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635" yWindow="195" windowWidth="23070" windowHeight="11805" firstSheet="6" activeTab="6"/>
  </bookViews>
  <sheets>
    <sheet name="TemplateResult" sheetId="19" state="hidden" r:id="rId1"/>
    <sheet name="Dashboard" sheetId="33" r:id="rId2"/>
    <sheet name="REPORT_FR2052a" sheetId="4" r:id="rId3"/>
    <sheet name="IOS" sheetId="5" state="hidden" r:id="rId4"/>
    <sheet name="FORMULAGE" sheetId="7" r:id="rId5"/>
    <sheet name="HQLATABLE" sheetId="9" state="hidden" r:id="rId6"/>
    <sheet name="PID CHECK" sheetId="13" r:id="rId7"/>
    <sheet name="NonLCRTemplate" sheetId="14" r:id="rId8"/>
    <sheet name="LCRTemplate" sheetId="17" r:id="rId9"/>
    <sheet name="LCR TYPE EXPLAIN" sheetId="15" state="hidden" r:id="rId10"/>
    <sheet name="PID SUMM" sheetId="16" state="hidden" r:id="rId11"/>
    <sheet name="ASSET TYPE" sheetId="20" r:id="rId12"/>
    <sheet name="HQLA RECON" sheetId="22" state="hidden" r:id="rId13"/>
    <sheet name="CommentFileCheck" sheetId="23" r:id="rId14"/>
    <sheet name="Loan and Collateral" sheetId="24" state="hidden" r:id="rId15"/>
    <sheet name="Sheet1" sheetId="25" state="hidden" r:id="rId16"/>
    <sheet name="Comments" sheetId="32" r:id="rId17"/>
    <sheet name="Value ADJ" sheetId="26" r:id="rId18"/>
    <sheet name="ChangeLog" sheetId="27" r:id="rId19"/>
    <sheet name="InternalReview Email" sheetId="29" r:id="rId20"/>
    <sheet name="ADC Test Email" sheetId="31" r:id="rId21"/>
    <sheet name="MRD Review Email" sheetId="30" r:id="rId22"/>
    <sheet name="SendComment Email" sheetId="28" r:id="rId23"/>
  </sheets>
  <functionGroups builtInGroupCount="17"/>
  <externalReferences>
    <externalReference r:id="rId24"/>
    <externalReference r:id="rId25"/>
    <externalReference r:id="rId26"/>
    <externalReference r:id="rId27"/>
    <externalReference r:id="rId28"/>
    <externalReference r:id="rId29"/>
    <externalReference r:id="rId30"/>
    <externalReference r:id="rId31"/>
    <externalReference r:id="rId32"/>
  </externalReferences>
  <definedNames>
    <definedName name="_1" localSheetId="19">#REF!</definedName>
    <definedName name="_1" localSheetId="8">#REF!</definedName>
    <definedName name="_1" localSheetId="21">#REF!</definedName>
    <definedName name="_1" localSheetId="7">#REF!</definedName>
    <definedName name="_1" localSheetId="0">#REF!</definedName>
    <definedName name="_1">#REF!</definedName>
    <definedName name="_100" localSheetId="19">#REF!</definedName>
    <definedName name="_100" localSheetId="21">#REF!</definedName>
    <definedName name="_100" localSheetId="7">#REF!</definedName>
    <definedName name="_100" localSheetId="0">#REF!</definedName>
    <definedName name="_100">#REF!</definedName>
    <definedName name="_1AA" localSheetId="19">#REF!</definedName>
    <definedName name="_1AA" localSheetId="21">#REF!</definedName>
    <definedName name="_1AA" localSheetId="7">#REF!</definedName>
    <definedName name="_1AA" localSheetId="0">#REF!</definedName>
    <definedName name="_1AA">#REF!</definedName>
    <definedName name="_1QA" localSheetId="19">#REF!</definedName>
    <definedName name="_1QA" localSheetId="21">#REF!</definedName>
    <definedName name="_1QA" localSheetId="7">#REF!</definedName>
    <definedName name="_1QA">#REF!</definedName>
    <definedName name="_1QL" localSheetId="19">#REF!</definedName>
    <definedName name="_1QL" localSheetId="21">#REF!</definedName>
    <definedName name="_1QL" localSheetId="7">#REF!</definedName>
    <definedName name="_1QL">#REF!</definedName>
    <definedName name="_1SW" localSheetId="19">#REF!</definedName>
    <definedName name="_1SW" localSheetId="21">#REF!</definedName>
    <definedName name="_1SW" localSheetId="7">#REF!</definedName>
    <definedName name="_1SW">#REF!</definedName>
    <definedName name="_2" localSheetId="19">#REF!</definedName>
    <definedName name="_2" localSheetId="21">#REF!</definedName>
    <definedName name="_2" localSheetId="7">#REF!</definedName>
    <definedName name="_2">#REF!</definedName>
    <definedName name="_22" localSheetId="19">#REF!</definedName>
    <definedName name="_22" localSheetId="21">#REF!</definedName>
    <definedName name="_22" localSheetId="7">#REF!</definedName>
    <definedName name="_22">#REF!</definedName>
    <definedName name="_22QA" localSheetId="19">#REF!</definedName>
    <definedName name="_22QA" localSheetId="21">#REF!</definedName>
    <definedName name="_22QA" localSheetId="7">#REF!</definedName>
    <definedName name="_22QA">#REF!</definedName>
    <definedName name="_2LL" localSheetId="19">#REF!</definedName>
    <definedName name="_2LL" localSheetId="21">#REF!</definedName>
    <definedName name="_2LL" localSheetId="7">#REF!</definedName>
    <definedName name="_2LL">#REF!</definedName>
    <definedName name="_2QA" localSheetId="19">#REF!</definedName>
    <definedName name="_2QA" localSheetId="21">#REF!</definedName>
    <definedName name="_2QA" localSheetId="7">#REF!</definedName>
    <definedName name="_2QA">#REF!</definedName>
    <definedName name="_2QL" localSheetId="19">#REF!</definedName>
    <definedName name="_2QL" localSheetId="21">#REF!</definedName>
    <definedName name="_2QL" localSheetId="7">#REF!</definedName>
    <definedName name="_2QL">#REF!</definedName>
    <definedName name="_2SW" localSheetId="19">#REF!</definedName>
    <definedName name="_2SW" localSheetId="21">#REF!</definedName>
    <definedName name="_2SW" localSheetId="7">#REF!</definedName>
    <definedName name="_2SW">#REF!</definedName>
    <definedName name="_3" localSheetId="19">#REF!</definedName>
    <definedName name="_3" localSheetId="21">#REF!</definedName>
    <definedName name="_3" localSheetId="7">#REF!</definedName>
    <definedName name="_3">#REF!</definedName>
    <definedName name="_6" localSheetId="19">#REF!</definedName>
    <definedName name="_6" localSheetId="21">#REF!</definedName>
    <definedName name="_6" localSheetId="7">#REF!</definedName>
    <definedName name="_6">#REF!</definedName>
    <definedName name="_xlnm._FilterDatabase" localSheetId="4" hidden="1">FORMULAGE!$A$1:$BK$172</definedName>
    <definedName name="_xlnm._FilterDatabase" localSheetId="12" hidden="1">'HQLA RECON'!#REF!</definedName>
    <definedName name="_xlnm._FilterDatabase" localSheetId="9" hidden="1">'LCR TYPE EXPLAIN'!$A$1:$B$165</definedName>
    <definedName name="_xlnm._FilterDatabase" localSheetId="8" hidden="1">LCRTemplate!$A$74:$E$165</definedName>
    <definedName name="_xlnm._FilterDatabase" localSheetId="7" hidden="1">NonLCRTemplate!#REF!</definedName>
    <definedName name="_xlnm._FilterDatabase" localSheetId="6" hidden="1">'PID CHECK'!$B$1:$M$45</definedName>
    <definedName name="_xlnm._FilterDatabase" localSheetId="10" hidden="1">'PID SUMM'!$A$1:$H$119</definedName>
    <definedName name="_xlnm._FilterDatabase" localSheetId="2" hidden="1">REPORT_FR2052a!$A$1:$AZ$685</definedName>
    <definedName name="_xlnm._FilterDatabase" localSheetId="15" hidden="1">Sheet1!$A$1:$B$60</definedName>
    <definedName name="_xlnm._FilterDatabase" localSheetId="0" hidden="1">TemplateResult!#REF!</definedName>
    <definedName name="_old1" localSheetId="19">#REF!</definedName>
    <definedName name="_old1" localSheetId="8">#REF!</definedName>
    <definedName name="_old1" localSheetId="21">#REF!</definedName>
    <definedName name="_old1" localSheetId="7">#REF!</definedName>
    <definedName name="_old1" localSheetId="0">#REF!</definedName>
    <definedName name="_old1">#REF!</definedName>
    <definedName name="_old2" localSheetId="19">#REF!</definedName>
    <definedName name="_old2" localSheetId="21">#REF!</definedName>
    <definedName name="_old2" localSheetId="7">#REF!</definedName>
    <definedName name="_old2" localSheetId="0">#REF!</definedName>
    <definedName name="_old2">#REF!</definedName>
    <definedName name="_old3" localSheetId="19">#REF!</definedName>
    <definedName name="_old3" localSheetId="21">#REF!</definedName>
    <definedName name="_old3" localSheetId="7">#REF!</definedName>
    <definedName name="_old3" localSheetId="0">#REF!</definedName>
    <definedName name="_old3">#REF!</definedName>
    <definedName name="_PRN200" localSheetId="19">#REF!</definedName>
    <definedName name="_PRN200" localSheetId="21">#REF!</definedName>
    <definedName name="_PRN200" localSheetId="7">#REF!</definedName>
    <definedName name="_PRN200">#REF!</definedName>
    <definedName name="A_Empty" localSheetId="19">#REF!</definedName>
    <definedName name="A_Empty" localSheetId="21">#REF!</definedName>
    <definedName name="A_Empty" localSheetId="7">#REF!</definedName>
    <definedName name="A_Empty">#REF!</definedName>
    <definedName name="Accounting">[1]Parameters!$D$107:$D$109</definedName>
    <definedName name="ASST" localSheetId="19">#REF!</definedName>
    <definedName name="ASST" localSheetId="8">#REF!</definedName>
    <definedName name="ASST" localSheetId="21">#REF!</definedName>
    <definedName name="ASST" localSheetId="7">#REF!</definedName>
    <definedName name="ASST" localSheetId="0">#REF!</definedName>
    <definedName name="ASST">#REF!</definedName>
    <definedName name="B" localSheetId="19">'[2]Leases_Legacy BK'!#REF!</definedName>
    <definedName name="B" localSheetId="8">'[2]Leases_Legacy BK'!#REF!</definedName>
    <definedName name="B" localSheetId="21">'[2]Leases_Legacy BK'!#REF!</definedName>
    <definedName name="B" localSheetId="0">'[2]Leases_Legacy BK'!#REF!</definedName>
    <definedName name="B">'[2]Leases_Legacy BK'!#REF!</definedName>
    <definedName name="BALCHG" localSheetId="19">#REF!</definedName>
    <definedName name="BALCHG" localSheetId="8">#REF!</definedName>
    <definedName name="BALCHG" localSheetId="21">#REF!</definedName>
    <definedName name="BALCHG" localSheetId="7">#REF!</definedName>
    <definedName name="BALCHG" localSheetId="0">#REF!</definedName>
    <definedName name="BALCHG">#REF!</definedName>
    <definedName name="BankType">[1]Parameters!$D$110:$D$112</definedName>
    <definedName name="BankTypeNumeric">[1]Parameters!$C$113:$C$119</definedName>
    <definedName name="bkrt_a" localSheetId="19">#REF!</definedName>
    <definedName name="bkrt_a" localSheetId="8">#REF!</definedName>
    <definedName name="bkrt_a" localSheetId="21">#REF!</definedName>
    <definedName name="bkrt_a" localSheetId="7">#REF!</definedName>
    <definedName name="bkrt_a" localSheetId="0">#REF!</definedName>
    <definedName name="bkrt_a">#REF!</definedName>
    <definedName name="bkrt_l" localSheetId="19">#REF!</definedName>
    <definedName name="bkrt_l" localSheetId="21">#REF!</definedName>
    <definedName name="bkrt_l" localSheetId="7">#REF!</definedName>
    <definedName name="bkrt_l" localSheetId="0">#REF!</definedName>
    <definedName name="bkrt_l">#REF!</definedName>
    <definedName name="Bus" localSheetId="0">[3]Ref!$Q$2:$Q$16</definedName>
    <definedName name="Bus">[3]Ref!$Q$2:$Q$16</definedName>
    <definedName name="Business" localSheetId="0">[4]Ref!$M$2:$M$16</definedName>
    <definedName name="Business">[4]Ref!$M$2:$M$16</definedName>
    <definedName name="CHGA" localSheetId="19">#REF!</definedName>
    <definedName name="CHGA" localSheetId="8">#REF!</definedName>
    <definedName name="CHGA" localSheetId="21">#REF!</definedName>
    <definedName name="CHGA" localSheetId="7">#REF!</definedName>
    <definedName name="CHGA" localSheetId="0">#REF!</definedName>
    <definedName name="CHGA">#REF!</definedName>
    <definedName name="CHGL" localSheetId="19">#REF!</definedName>
    <definedName name="CHGL" localSheetId="21">#REF!</definedName>
    <definedName name="CHGL" localSheetId="7">#REF!</definedName>
    <definedName name="CHGL" localSheetId="0">#REF!</definedName>
    <definedName name="CHGL">#REF!</definedName>
    <definedName name="CLSFC" localSheetId="19">#REF!</definedName>
    <definedName name="CLSFC" localSheetId="21">#REF!</definedName>
    <definedName name="CLSFC" localSheetId="7">#REF!</definedName>
    <definedName name="CLSFC" localSheetId="0">#REF!</definedName>
    <definedName name="CLSFC">#REF!</definedName>
    <definedName name="COPY" localSheetId="19">#REF!</definedName>
    <definedName name="COPY" localSheetId="21">#REF!</definedName>
    <definedName name="COPY" localSheetId="7">#REF!</definedName>
    <definedName name="COPY">#REF!</definedName>
    <definedName name="CPA" localSheetId="19">#REF!</definedName>
    <definedName name="CPA" localSheetId="21">#REF!</definedName>
    <definedName name="CPA" localSheetId="7">#REF!</definedName>
    <definedName name="CPA">#REF!</definedName>
    <definedName name="cpl" localSheetId="19">#REF!</definedName>
    <definedName name="cpl" localSheetId="21">#REF!</definedName>
    <definedName name="cpl" localSheetId="7">#REF!</definedName>
    <definedName name="cpl">#REF!</definedName>
    <definedName name="cplerase" localSheetId="19">#REF!</definedName>
    <definedName name="cplerase" localSheetId="21">#REF!</definedName>
    <definedName name="cplerase" localSheetId="7">#REF!</definedName>
    <definedName name="cplerase">#REF!</definedName>
    <definedName name="CUR" localSheetId="19">#REF!</definedName>
    <definedName name="CUR" localSheetId="21">#REF!</definedName>
    <definedName name="CUR" localSheetId="7">#REF!</definedName>
    <definedName name="CUR">#REF!</definedName>
    <definedName name="Current_Year" localSheetId="0">'[5]Select Date'!$P$24</definedName>
    <definedName name="Current_Year">'[5]Select Date'!$P$24</definedName>
    <definedName name="E" localSheetId="19">'[2]Leases_Legacy BK'!#REF!</definedName>
    <definedName name="E" localSheetId="8">'[2]Leases_Legacy BK'!#REF!</definedName>
    <definedName name="E" localSheetId="21">'[2]Leases_Legacy BK'!#REF!</definedName>
    <definedName name="E" localSheetId="0">'[2]Leases_Legacy BK'!#REF!</definedName>
    <definedName name="E">'[2]Leases_Legacy BK'!#REF!</definedName>
    <definedName name="EAY" localSheetId="19">#REF!</definedName>
    <definedName name="EAY" localSheetId="8">#REF!</definedName>
    <definedName name="EAY" localSheetId="21">#REF!</definedName>
    <definedName name="EAY" localSheetId="7">#REF!</definedName>
    <definedName name="EAY" localSheetId="0">#REF!</definedName>
    <definedName name="EAY">#REF!</definedName>
    <definedName name="ERASE" localSheetId="19">#REF!</definedName>
    <definedName name="ERASE" localSheetId="21">#REF!</definedName>
    <definedName name="ERASE" localSheetId="7">#REF!</definedName>
    <definedName name="ERASE" localSheetId="0">#REF!</definedName>
    <definedName name="ERASE">#REF!</definedName>
    <definedName name="EXASST" localSheetId="19">#REF!</definedName>
    <definedName name="EXASST" localSheetId="21">#REF!</definedName>
    <definedName name="EXASST" localSheetId="7">#REF!</definedName>
    <definedName name="EXASST" localSheetId="0">#REF!</definedName>
    <definedName name="EXASST">#REF!</definedName>
    <definedName name="EXLIAB" localSheetId="19">#REF!</definedName>
    <definedName name="EXLIAB" localSheetId="21">#REF!</definedName>
    <definedName name="EXLIAB" localSheetId="7">#REF!</definedName>
    <definedName name="EXLIAB">#REF!</definedName>
    <definedName name="EXOFFBAL" localSheetId="19">#REF!</definedName>
    <definedName name="EXOFFBAL" localSheetId="21">#REF!</definedName>
    <definedName name="EXOFFBAL" localSheetId="7">#REF!</definedName>
    <definedName name="EXOFFBAL">#REF!</definedName>
    <definedName name="F" localSheetId="19">'[2]Leases_Legacy BK'!#REF!</definedName>
    <definedName name="F" localSheetId="21">'[2]Leases_Legacy BK'!#REF!</definedName>
    <definedName name="F" localSheetId="0">'[2]Leases_Legacy BK'!#REF!</definedName>
    <definedName name="F">'[2]Leases_Legacy BK'!#REF!</definedName>
    <definedName name="FGN" localSheetId="19">#REF!</definedName>
    <definedName name="FGN" localSheetId="8">#REF!</definedName>
    <definedName name="FGN" localSheetId="21">#REF!</definedName>
    <definedName name="FGN" localSheetId="7">#REF!</definedName>
    <definedName name="FGN" localSheetId="0">#REF!</definedName>
    <definedName name="FGN">#REF!</definedName>
    <definedName name="FGNCK" localSheetId="19">#REF!</definedName>
    <definedName name="FGNCK" localSheetId="21">#REF!</definedName>
    <definedName name="FGNCK" localSheetId="7">#REF!</definedName>
    <definedName name="FGNCK" localSheetId="0">#REF!</definedName>
    <definedName name="FGNCK">#REF!</definedName>
    <definedName name="Full_LOB">[6]Ref!$Q$2:$Q$17</definedName>
    <definedName name="GPCol_Amount" localSheetId="0">'[7]BNYM-SF-TR 2014-04-30'!$E$5:$E$47</definedName>
    <definedName name="GPCol_Amount">'[7]BNYM-SF-TR 2014-04-30'!$E$5:$E$47</definedName>
    <definedName name="GPCol_Base_Rate" localSheetId="0">'[7]BNYM-SF-TR 2014-04-30'!$L$5:$L$47</definedName>
    <definedName name="GPCol_Base_Rate">'[7]BNYM-SF-TR 2014-04-30'!$L$5:$L$47</definedName>
    <definedName name="GPCol_Coupon" localSheetId="0">'[7]BNYM-SF-TR 2014-04-30'!$F$5:$F$47</definedName>
    <definedName name="GPCol_Coupon">'[7]BNYM-SF-TR 2014-04-30'!$F$5:$F$47</definedName>
    <definedName name="Group">[1]Parameters!$D$92:$D$93</definedName>
    <definedName name="hca" localSheetId="19">#REF!</definedName>
    <definedName name="hca" localSheetId="8">#REF!</definedName>
    <definedName name="hca" localSheetId="21">#REF!</definedName>
    <definedName name="hca" localSheetId="7">#REF!</definedName>
    <definedName name="hca" localSheetId="0">#REF!</definedName>
    <definedName name="hca">#REF!</definedName>
    <definedName name="hca_empty" localSheetId="19">#REF!</definedName>
    <definedName name="hca_empty" localSheetId="21">#REF!</definedName>
    <definedName name="hca_empty" localSheetId="7">#REF!</definedName>
    <definedName name="hca_empty" localSheetId="0">#REF!</definedName>
    <definedName name="hca_empty">#REF!</definedName>
    <definedName name="HCL" localSheetId="19">#REF!</definedName>
    <definedName name="HCL" localSheetId="21">#REF!</definedName>
    <definedName name="HCL" localSheetId="7">#REF!</definedName>
    <definedName name="HCL" localSheetId="0">#REF!</definedName>
    <definedName name="HCL">#REF!</definedName>
    <definedName name="hcl_empty" localSheetId="19">#REF!</definedName>
    <definedName name="hcl_empty" localSheetId="21">#REF!</definedName>
    <definedName name="hcl_empty" localSheetId="7">#REF!</definedName>
    <definedName name="hcl_empty">#REF!</definedName>
    <definedName name="i_key" localSheetId="19">#REF!</definedName>
    <definedName name="i_key" localSheetId="21">#REF!</definedName>
    <definedName name="i_key" localSheetId="7">#REF!</definedName>
    <definedName name="i_key">#REF!</definedName>
    <definedName name="ikey" localSheetId="19">#REF!</definedName>
    <definedName name="ikey" localSheetId="21">#REF!</definedName>
    <definedName name="ikey" localSheetId="7">#REF!</definedName>
    <definedName name="ikey">#REF!</definedName>
    <definedName name="IKEY_A" localSheetId="19">#REF!</definedName>
    <definedName name="IKEY_A" localSheetId="21">#REF!</definedName>
    <definedName name="IKEY_A" localSheetId="7">#REF!</definedName>
    <definedName name="IKEY_A">#REF!</definedName>
    <definedName name="IKey_L" localSheetId="19">#REF!</definedName>
    <definedName name="IKey_L" localSheetId="21">#REF!</definedName>
    <definedName name="IKey_L" localSheetId="7">#REF!</definedName>
    <definedName name="IKey_L">#REF!</definedName>
    <definedName name="Import_Date" localSheetId="19">#REF!</definedName>
    <definedName name="Import_Date" localSheetId="21">#REF!</definedName>
    <definedName name="Import_Date" localSheetId="7">#REF!</definedName>
    <definedName name="Import_Date">#REF!</definedName>
    <definedName name="INEABUSINESSMODEL_REPORT0" localSheetId="19">#REF!</definedName>
    <definedName name="INEABUSINESSMODEL_REPORT0" localSheetId="21">#REF!</definedName>
    <definedName name="INEABUSINESSMODEL_REPORT0" localSheetId="7">#REF!</definedName>
    <definedName name="INEABUSINESSMODEL_REPORT0">#REF!</definedName>
    <definedName name="INEACONTAINER_REPORT0" localSheetId="19">#REF!</definedName>
    <definedName name="INEACONTAINER_REPORT0" localSheetId="21">#REF!</definedName>
    <definedName name="INEACONTAINER_REPORT0" localSheetId="7">#REF!</definedName>
    <definedName name="INEACONTAINER_REPORT0">#REF!</definedName>
    <definedName name="INEADIM0ROW_REPORT0" localSheetId="19">#REF!</definedName>
    <definedName name="INEADIM0ROW_REPORT0" localSheetId="21">#REF!</definedName>
    <definedName name="INEADIM0ROW_REPORT0" localSheetId="7">#REF!</definedName>
    <definedName name="INEADIM0ROW_REPORT0">#REF!</definedName>
    <definedName name="INEADIM1_REPORT0" localSheetId="19">#REF!</definedName>
    <definedName name="INEADIM1_REPORT0" localSheetId="21">#REF!</definedName>
    <definedName name="INEADIM1_REPORT0" localSheetId="7">#REF!</definedName>
    <definedName name="INEADIM1_REPORT0">#REF!</definedName>
    <definedName name="INEADIM11ROW_REPORT0" localSheetId="19">#REF!</definedName>
    <definedName name="INEADIM11ROW_REPORT0" localSheetId="21">#REF!</definedName>
    <definedName name="INEADIM11ROW_REPORT0" localSheetId="7">#REF!</definedName>
    <definedName name="INEADIM11ROW_REPORT0">#REF!</definedName>
    <definedName name="INEADIM12_REPORT0" localSheetId="19">#REF!</definedName>
    <definedName name="INEADIM12_REPORT0" localSheetId="21">#REF!</definedName>
    <definedName name="INEADIM12_REPORT0" localSheetId="7">#REF!</definedName>
    <definedName name="INEADIM12_REPORT0">#REF!</definedName>
    <definedName name="INEADIM17_REPORT0" localSheetId="19">#REF!</definedName>
    <definedName name="INEADIM17_REPORT0" localSheetId="21">#REF!</definedName>
    <definedName name="INEADIM17_REPORT0" localSheetId="7">#REF!</definedName>
    <definedName name="INEADIM17_REPORT0">#REF!</definedName>
    <definedName name="INEADIM18_REPORT0" localSheetId="19">#REF!</definedName>
    <definedName name="INEADIM18_REPORT0" localSheetId="21">#REF!</definedName>
    <definedName name="INEADIM18_REPORT0" localSheetId="7">#REF!</definedName>
    <definedName name="INEADIM18_REPORT0">#REF!</definedName>
    <definedName name="INEADIM2_REPORT0" localSheetId="19">#REF!</definedName>
    <definedName name="INEADIM2_REPORT0" localSheetId="21">#REF!</definedName>
    <definedName name="INEADIM2_REPORT0" localSheetId="7">#REF!</definedName>
    <definedName name="INEADIM2_REPORT0">#REF!</definedName>
    <definedName name="INEADIM4_REPORT0" localSheetId="19">#REF!</definedName>
    <definedName name="INEADIM4_REPORT0" localSheetId="21">#REF!</definedName>
    <definedName name="INEADIM4_REPORT0" localSheetId="7">#REF!</definedName>
    <definedName name="INEADIM4_REPORT0">#REF!</definedName>
    <definedName name="INEADIM5_REPORT0" localSheetId="19">#REF!</definedName>
    <definedName name="INEADIM5_REPORT0" localSheetId="21">#REF!</definedName>
    <definedName name="INEADIM5_REPORT0" localSheetId="7">#REF!</definedName>
    <definedName name="INEADIM5_REPORT0">#REF!</definedName>
    <definedName name="INEADIM9COLUMN_REPORT0" localSheetId="19">#REF!</definedName>
    <definedName name="INEADIM9COLUMN_REPORT0" localSheetId="21">#REF!</definedName>
    <definedName name="INEADIM9COLUMN_REPORT0" localSheetId="7">#REF!</definedName>
    <definedName name="INEADIM9COLUMN_REPORT0">#REF!</definedName>
    <definedName name="INV" localSheetId="19">#REF!</definedName>
    <definedName name="INV" localSheetId="21">#REF!</definedName>
    <definedName name="INV" localSheetId="7">#REF!</definedName>
    <definedName name="INV">#REF!</definedName>
    <definedName name="L_Empty" localSheetId="19">#REF!</definedName>
    <definedName name="L_Empty" localSheetId="21">#REF!</definedName>
    <definedName name="L_Empty" localSheetId="7">#REF!</definedName>
    <definedName name="L_Empty">#REF!</definedName>
    <definedName name="LE">[6]Ref!$W$2:$W$25</definedName>
    <definedName name="LIAB" localSheetId="19">#REF!</definedName>
    <definedName name="LIAB" localSheetId="8">#REF!</definedName>
    <definedName name="LIAB" localSheetId="21">#REF!</definedName>
    <definedName name="LIAB" localSheetId="7">#REF!</definedName>
    <definedName name="LIAB" localSheetId="0">#REF!</definedName>
    <definedName name="LIAB">#REF!</definedName>
    <definedName name="ma_empty" localSheetId="19">#REF!</definedName>
    <definedName name="ma_empty" localSheetId="21">#REF!</definedName>
    <definedName name="ma_empty" localSheetId="7">#REF!</definedName>
    <definedName name="ma_empty" localSheetId="0">#REF!</definedName>
    <definedName name="ma_empty">#REF!</definedName>
    <definedName name="MATA" localSheetId="19">#REF!</definedName>
    <definedName name="MATA" localSheetId="21">#REF!</definedName>
    <definedName name="MATA" localSheetId="7">#REF!</definedName>
    <definedName name="MATA" localSheetId="0">#REF!</definedName>
    <definedName name="MATA">#REF!</definedName>
    <definedName name="MATL" localSheetId="19">#REF!</definedName>
    <definedName name="MATL" localSheetId="21">#REF!</definedName>
    <definedName name="MATL" localSheetId="7">#REF!</definedName>
    <definedName name="MATL">#REF!</definedName>
    <definedName name="mela" localSheetId="19">#REF!</definedName>
    <definedName name="mela" localSheetId="21">#REF!</definedName>
    <definedName name="mela" localSheetId="7">#REF!</definedName>
    <definedName name="mela">#REF!</definedName>
    <definedName name="mell" localSheetId="19">#REF!</definedName>
    <definedName name="mell" localSheetId="21">#REF!</definedName>
    <definedName name="mell" localSheetId="7">#REF!</definedName>
    <definedName name="mell">#REF!</definedName>
    <definedName name="melrt_a" localSheetId="19">#REF!</definedName>
    <definedName name="melrt_a" localSheetId="21">#REF!</definedName>
    <definedName name="melrt_a" localSheetId="7">#REF!</definedName>
    <definedName name="melrt_a">#REF!</definedName>
    <definedName name="MELRT_L" localSheetId="19">#REF!</definedName>
    <definedName name="MELRT_L" localSheetId="21">#REF!</definedName>
    <definedName name="MELRT_L" localSheetId="7">#REF!</definedName>
    <definedName name="MELRT_L">#REF!</definedName>
    <definedName name="ml_empty" localSheetId="19">#REF!</definedName>
    <definedName name="ml_empty" localSheetId="21">#REF!</definedName>
    <definedName name="ml_empty" localSheetId="7">#REF!</definedName>
    <definedName name="ml_empty">#REF!</definedName>
    <definedName name="MTM_on_SAFS" localSheetId="19">#REF!</definedName>
    <definedName name="MTM_on_SAFS" localSheetId="21">#REF!</definedName>
    <definedName name="MTM_on_SAFS" localSheetId="7">#REF!</definedName>
    <definedName name="MTM_on_SAFS">#REF!</definedName>
    <definedName name="old1L" localSheetId="19">#REF!</definedName>
    <definedName name="old1L" localSheetId="21">#REF!</definedName>
    <definedName name="old1L" localSheetId="7">#REF!</definedName>
    <definedName name="old1L">#REF!</definedName>
    <definedName name="old2L" localSheetId="19">#REF!</definedName>
    <definedName name="old2L" localSheetId="21">#REF!</definedName>
    <definedName name="old2L" localSheetId="7">#REF!</definedName>
    <definedName name="old2L">#REF!</definedName>
    <definedName name="old3L" localSheetId="19">#REF!</definedName>
    <definedName name="old3L" localSheetId="21">#REF!</definedName>
    <definedName name="old3L" localSheetId="7">#REF!</definedName>
    <definedName name="old3L">#REF!</definedName>
    <definedName name="_xlnm.Print_Area" localSheetId="19">#REF!</definedName>
    <definedName name="_xlnm.Print_Area" localSheetId="8">LCRTemplate!$A$1:$E$214</definedName>
    <definedName name="_xlnm.Print_Area" localSheetId="21">#REF!</definedName>
    <definedName name="_xlnm.Print_Area" localSheetId="0">#REF!</definedName>
    <definedName name="_xlnm.Print_Area">#REF!</definedName>
    <definedName name="_xlnm.Print_Titles">#N/A</definedName>
    <definedName name="Prior_2Year" localSheetId="0">'[5]Select Date'!$R$24</definedName>
    <definedName name="Prior_2Year">'[5]Select Date'!$R$24</definedName>
    <definedName name="Prior_2Yr_End" localSheetId="0">'[5]Select Date'!$O$24</definedName>
    <definedName name="Prior_2Yr_End">'[5]Select Date'!$O$24</definedName>
    <definedName name="Prior_Year" localSheetId="0">'[5]Select Date'!$Q$24</definedName>
    <definedName name="Prior_Year">'[5]Select Date'!$Q$24</definedName>
    <definedName name="Prior_Year_End" localSheetId="0">'[5]Select Date'!$N$24</definedName>
    <definedName name="Prior_Year_End">'[5]Select Date'!$N$24</definedName>
    <definedName name="PRNBAL" localSheetId="19">#REF!</definedName>
    <definedName name="PRNBAL" localSheetId="8">#REF!</definedName>
    <definedName name="PRNBAL" localSheetId="21">#REF!</definedName>
    <definedName name="PRNBAL" localSheetId="7">#REF!</definedName>
    <definedName name="PRNBAL" localSheetId="0">#REF!</definedName>
    <definedName name="PRNBAL">#REF!</definedName>
    <definedName name="PRNCOMPARE" localSheetId="19">#REF!</definedName>
    <definedName name="PRNCOMPARE" localSheetId="21">#REF!</definedName>
    <definedName name="PRNCOMPARE" localSheetId="7">#REF!</definedName>
    <definedName name="PRNCOMPARE" localSheetId="0">#REF!</definedName>
    <definedName name="PRNCOMPARE">#REF!</definedName>
    <definedName name="PRNEY" localSheetId="19">#REF!</definedName>
    <definedName name="PRNEY" localSheetId="21">#REF!</definedName>
    <definedName name="PRNEY" localSheetId="7">#REF!</definedName>
    <definedName name="PRNEY" localSheetId="0">#REF!</definedName>
    <definedName name="PRNEY">#REF!</definedName>
    <definedName name="PRNMV" localSheetId="19">#REF!</definedName>
    <definedName name="PRNMV" localSheetId="21">#REF!</definedName>
    <definedName name="PRNMV" localSheetId="7">#REF!</definedName>
    <definedName name="PRNMV">#REF!</definedName>
    <definedName name="PRNRATECOMP" localSheetId="19">#REF!</definedName>
    <definedName name="PRNRATECOMP" localSheetId="21">#REF!</definedName>
    <definedName name="PRNRATECOMP" localSheetId="7">#REF!</definedName>
    <definedName name="PRNRATECOMP">#REF!</definedName>
    <definedName name="PRNRATESHK" localSheetId="19">#REF!</definedName>
    <definedName name="PRNRATESHK" localSheetId="21">#REF!</definedName>
    <definedName name="PRNRATESHK" localSheetId="7">#REF!</definedName>
    <definedName name="PRNRATESHK">#REF!</definedName>
    <definedName name="PRNRTEFORC" localSheetId="19">#REF!</definedName>
    <definedName name="PRNRTEFORC" localSheetId="21">#REF!</definedName>
    <definedName name="PRNRTEFORC" localSheetId="7">#REF!</definedName>
    <definedName name="PRNRTEFORC">#REF!</definedName>
    <definedName name="Quarter_end" localSheetId="0">'[5]Select Date'!$L$24</definedName>
    <definedName name="Quarter_end">'[5]Select Date'!$L$24</definedName>
    <definedName name="Region">[6]Ref!$U$2:$U$3</definedName>
    <definedName name="RV" localSheetId="19">#REF!</definedName>
    <definedName name="RV" localSheetId="8">#REF!</definedName>
    <definedName name="RV" localSheetId="21">#REF!</definedName>
    <definedName name="RV" localSheetId="7">#REF!</definedName>
    <definedName name="RV" localSheetId="0">#REF!</definedName>
    <definedName name="RV">#REF!</definedName>
    <definedName name="sadf" localSheetId="19">#REF!</definedName>
    <definedName name="sadf" localSheetId="21">#REF!</definedName>
    <definedName name="sadf" localSheetId="7">#REF!</definedName>
    <definedName name="sadf" localSheetId="0">#REF!</definedName>
    <definedName name="sadf">#REF!</definedName>
    <definedName name="SAVE" localSheetId="19">#REF!</definedName>
    <definedName name="SAVE" localSheetId="21">#REF!</definedName>
    <definedName name="SAVE" localSheetId="7">#REF!</definedName>
    <definedName name="SAVE" localSheetId="0">#REF!</definedName>
    <definedName name="SAVE">#REF!</definedName>
    <definedName name="SECS" localSheetId="19">#REF!</definedName>
    <definedName name="SECS" localSheetId="21">#REF!</definedName>
    <definedName name="SECS" localSheetId="7">#REF!</definedName>
    <definedName name="SECS">#REF!</definedName>
    <definedName name="Table1" localSheetId="2">REPORT_FR2052a!$A$2:$A$660</definedName>
    <definedName name="Table1">[8]!Table10[Field1]</definedName>
    <definedName name="TBALA" localSheetId="19">#REF!</definedName>
    <definedName name="TBALA" localSheetId="8">#REF!</definedName>
    <definedName name="TBALA" localSheetId="21">#REF!</definedName>
    <definedName name="TBALA" localSheetId="7">#REF!</definedName>
    <definedName name="TBALA" localSheetId="0">#REF!</definedName>
    <definedName name="TBALA">#REF!</definedName>
    <definedName name="TBALL" localSheetId="19">#REF!</definedName>
    <definedName name="TBALL" localSheetId="21">#REF!</definedName>
    <definedName name="TBALL" localSheetId="7">#REF!</definedName>
    <definedName name="TBALL">#REF!</definedName>
    <definedName name="Text_Qtr_End" localSheetId="0">'[5]Select Date'!$K$24</definedName>
    <definedName name="Text_Qtr_End">'[5]Select Date'!$K$24</definedName>
    <definedName name="TYIELD" localSheetId="19">#REF!</definedName>
    <definedName name="TYIELD" localSheetId="8">#REF!</definedName>
    <definedName name="TYIELD" localSheetId="21">#REF!</definedName>
    <definedName name="TYIELD" localSheetId="7">#REF!</definedName>
    <definedName name="TYIELD" localSheetId="0">#REF!</definedName>
    <definedName name="TYIELD">#REF!</definedName>
    <definedName name="Var_2__Company_00110" localSheetId="19">#REF!</definedName>
    <definedName name="Var_2__Company_00110" localSheetId="21">#REF!</definedName>
    <definedName name="Var_2__Company_00110" localSheetId="7">#REF!</definedName>
    <definedName name="Var_2__Company_00110" localSheetId="0">#REF!</definedName>
    <definedName name="Var_2__Company_00110">#REF!</definedName>
    <definedName name="Var_2__Company_00111" localSheetId="19">#REF!</definedName>
    <definedName name="Var_2__Company_00111" localSheetId="21">#REF!</definedName>
    <definedName name="Var_2__Company_00111" localSheetId="7">#REF!</definedName>
    <definedName name="Var_2__Company_00111" localSheetId="0">#REF!</definedName>
    <definedName name="Var_2__Company_00111">#REF!</definedName>
    <definedName name="Var_2__Company_00112" localSheetId="19">#REF!</definedName>
    <definedName name="Var_2__Company_00112" localSheetId="21">#REF!</definedName>
    <definedName name="Var_2__Company_00112" localSheetId="7">#REF!</definedName>
    <definedName name="Var_2__Company_00112">#REF!</definedName>
    <definedName name="Var_2__Company_00181" localSheetId="19">#REF!</definedName>
    <definedName name="Var_2__Company_00181" localSheetId="21">#REF!</definedName>
    <definedName name="Var_2__Company_00181" localSheetId="7">#REF!</definedName>
    <definedName name="Var_2__Company_00181">#REF!</definedName>
    <definedName name="Var_2__Company_00270" localSheetId="19">#REF!</definedName>
    <definedName name="Var_2__Company_00270" localSheetId="21">#REF!</definedName>
    <definedName name="Var_2__Company_00270" localSheetId="7">#REF!</definedName>
    <definedName name="Var_2__Company_00270">#REF!</definedName>
    <definedName name="Var_2__Company_00276" localSheetId="19">#REF!</definedName>
    <definedName name="Var_2__Company_00276" localSheetId="21">#REF!</definedName>
    <definedName name="Var_2__Company_00276" localSheetId="7">#REF!</definedName>
    <definedName name="Var_2__Company_00276">#REF!</definedName>
    <definedName name="Var_2__Company_00297" localSheetId="19">#REF!</definedName>
    <definedName name="Var_2__Company_00297" localSheetId="21">#REF!</definedName>
    <definedName name="Var_2__Company_00297" localSheetId="7">#REF!</definedName>
    <definedName name="Var_2__Company_00297">#REF!</definedName>
    <definedName name="Var_2__Company_00381" localSheetId="19">#REF!</definedName>
    <definedName name="Var_2__Company_00381" localSheetId="21">#REF!</definedName>
    <definedName name="Var_2__Company_00381" localSheetId="7">#REF!</definedName>
    <definedName name="Var_2__Company_00381">#REF!</definedName>
    <definedName name="Var_2__Company_M0001" localSheetId="19">#REF!</definedName>
    <definedName name="Var_2__Company_M0001" localSheetId="21">#REF!</definedName>
    <definedName name="Var_2__Company_M0001" localSheetId="7">#REF!</definedName>
    <definedName name="Var_2__Company_M0001">#REF!</definedName>
    <definedName name="Var_2__Company_M0791" localSheetId="19">#REF!</definedName>
    <definedName name="Var_2__Company_M0791" localSheetId="21">#REF!</definedName>
    <definedName name="Var_2__Company_M0791" localSheetId="7">#REF!</definedName>
    <definedName name="Var_2__Company_M0791">#REF!</definedName>
    <definedName name="WorkStream" localSheetId="19">'[9]Value List'!#REF!</definedName>
    <definedName name="WorkStream" localSheetId="21">'[9]Value List'!#REF!</definedName>
    <definedName name="WorkStream">'[9]Value List'!#REF!</definedName>
    <definedName name="WorkstreamList" localSheetId="19">#REF!</definedName>
    <definedName name="WorkstreamList" localSheetId="21">#REF!</definedName>
    <definedName name="WorkstreamList">#REF!</definedName>
    <definedName name="WorkstreamList2" localSheetId="19">#REF!</definedName>
    <definedName name="WorkstreamList2" localSheetId="21">#REF!</definedName>
    <definedName name="WorkstreamList2">#REF!</definedName>
    <definedName name="YesNo">[1]Parameters!$D$89:$D$90</definedName>
  </definedNames>
  <calcPr calcId="145621"/>
</workbook>
</file>

<file path=xl/calcChain.xml><?xml version="1.0" encoding="utf-8"?>
<calcChain xmlns="http://schemas.openxmlformats.org/spreadsheetml/2006/main">
  <c r="B4" i="33" l="1"/>
  <c r="D3" i="26"/>
  <c r="E3" i="26"/>
  <c r="F3" i="26"/>
  <c r="D4" i="26"/>
  <c r="E4" i="26"/>
  <c r="F4" i="26"/>
  <c r="D5" i="26"/>
  <c r="E5" i="26"/>
  <c r="F5" i="26"/>
  <c r="D6" i="26"/>
  <c r="E6" i="26"/>
  <c r="F6" i="26"/>
  <c r="D7" i="26"/>
  <c r="E7" i="26"/>
  <c r="F7" i="26"/>
  <c r="D8" i="26"/>
  <c r="E8" i="26"/>
  <c r="F8" i="26"/>
  <c r="D9" i="26"/>
  <c r="E9" i="26"/>
  <c r="F9" i="26"/>
  <c r="D10" i="26"/>
  <c r="E10" i="26"/>
  <c r="F10" i="26"/>
  <c r="D11" i="26"/>
  <c r="E11" i="26"/>
  <c r="F11" i="26"/>
  <c r="D12" i="26"/>
  <c r="E12" i="26"/>
  <c r="F12" i="26"/>
  <c r="D13" i="26"/>
  <c r="E13" i="26"/>
  <c r="F13" i="26"/>
  <c r="D14" i="26"/>
  <c r="E14" i="26"/>
  <c r="F14" i="26"/>
  <c r="D15" i="26"/>
  <c r="E15" i="26"/>
  <c r="F15" i="26"/>
  <c r="D16" i="26"/>
  <c r="E16" i="26"/>
  <c r="F16" i="26"/>
  <c r="D17" i="26"/>
  <c r="E17" i="26"/>
  <c r="F17" i="26"/>
  <c r="D18" i="26"/>
  <c r="E18" i="26"/>
  <c r="F18" i="26"/>
  <c r="D19" i="26"/>
  <c r="E19" i="26"/>
  <c r="F19" i="26"/>
  <c r="D20" i="26"/>
  <c r="E20" i="26"/>
  <c r="F20" i="26"/>
  <c r="D21" i="26"/>
  <c r="E21" i="26"/>
  <c r="F21" i="26"/>
  <c r="D22" i="26"/>
  <c r="E22" i="26"/>
  <c r="F22" i="26"/>
  <c r="D23" i="26"/>
  <c r="E23" i="26"/>
  <c r="F23" i="26"/>
  <c r="D24" i="26"/>
  <c r="E24" i="26"/>
  <c r="F24" i="26"/>
  <c r="D25" i="26"/>
  <c r="E25" i="26"/>
  <c r="F25" i="26"/>
  <c r="D26" i="26"/>
  <c r="E26" i="26"/>
  <c r="F26" i="26"/>
  <c r="D27" i="26"/>
  <c r="E27" i="26"/>
  <c r="F27" i="26"/>
  <c r="D28" i="26"/>
  <c r="E28" i="26"/>
  <c r="F28" i="26"/>
  <c r="D29" i="26"/>
  <c r="E29" i="26"/>
  <c r="F29" i="26"/>
  <c r="D30" i="26"/>
  <c r="E30" i="26"/>
  <c r="F30" i="26"/>
  <c r="D31" i="26"/>
  <c r="E31" i="26"/>
  <c r="F31" i="26"/>
  <c r="D32" i="26"/>
  <c r="E32" i="26"/>
  <c r="F32" i="26"/>
  <c r="D33" i="26"/>
  <c r="E33" i="26"/>
  <c r="F33" i="26"/>
  <c r="D34" i="26"/>
  <c r="E34" i="26"/>
  <c r="F34" i="26"/>
  <c r="D35" i="26"/>
  <c r="E35" i="26"/>
  <c r="F35" i="26"/>
  <c r="D36" i="26"/>
  <c r="E36" i="26"/>
  <c r="F36" i="26"/>
  <c r="D37" i="26"/>
  <c r="E37" i="26"/>
  <c r="F37" i="26"/>
  <c r="D38" i="26"/>
  <c r="E38" i="26"/>
  <c r="F38" i="26"/>
  <c r="D39" i="26"/>
  <c r="E39" i="26"/>
  <c r="F39" i="26"/>
  <c r="D40" i="26"/>
  <c r="E40" i="26"/>
  <c r="F40" i="26"/>
  <c r="D41" i="26"/>
  <c r="E41" i="26"/>
  <c r="F41" i="26"/>
  <c r="D42" i="26"/>
  <c r="E42" i="26"/>
  <c r="F42" i="26"/>
  <c r="D43" i="26"/>
  <c r="E43" i="26"/>
  <c r="F43" i="26"/>
  <c r="D44" i="26"/>
  <c r="E44" i="26"/>
  <c r="F44" i="26"/>
  <c r="D45" i="26"/>
  <c r="E45" i="26"/>
  <c r="F45" i="26"/>
  <c r="D46" i="26"/>
  <c r="E46" i="26"/>
  <c r="F46" i="26"/>
  <c r="D47" i="26"/>
  <c r="E47" i="26"/>
  <c r="F47" i="26"/>
  <c r="D48" i="26"/>
  <c r="E48" i="26"/>
  <c r="F48" i="26"/>
  <c r="D49" i="26"/>
  <c r="E49" i="26"/>
  <c r="F49" i="26"/>
  <c r="D50" i="26"/>
  <c r="E50" i="26"/>
  <c r="F50" i="26"/>
  <c r="D51" i="26"/>
  <c r="E51" i="26"/>
  <c r="F51" i="26"/>
  <c r="D52" i="26"/>
  <c r="E52" i="26"/>
  <c r="F52" i="26"/>
  <c r="D53" i="26"/>
  <c r="E53" i="26"/>
  <c r="F53" i="26"/>
  <c r="D54" i="26"/>
  <c r="E54" i="26"/>
  <c r="F54" i="26"/>
  <c r="D55" i="26"/>
  <c r="E55" i="26"/>
  <c r="F55" i="26"/>
  <c r="D56" i="26"/>
  <c r="E56" i="26"/>
  <c r="F56" i="26"/>
  <c r="D57" i="26"/>
  <c r="E57" i="26"/>
  <c r="F57" i="26"/>
  <c r="D58" i="26"/>
  <c r="E58" i="26"/>
  <c r="F58" i="26"/>
  <c r="D59" i="26"/>
  <c r="E59" i="26"/>
  <c r="F59" i="26"/>
  <c r="D60" i="26"/>
  <c r="E60" i="26"/>
  <c r="F60" i="26"/>
  <c r="D61" i="26"/>
  <c r="E61" i="26"/>
  <c r="F61" i="26"/>
  <c r="D62" i="26"/>
  <c r="E62" i="26"/>
  <c r="F62" i="26"/>
  <c r="D63" i="26"/>
  <c r="E63" i="26"/>
  <c r="F63" i="26"/>
  <c r="D64" i="26"/>
  <c r="E64" i="26"/>
  <c r="F64" i="26"/>
  <c r="D65" i="26"/>
  <c r="E65" i="26"/>
  <c r="F65" i="26"/>
  <c r="D66" i="26"/>
  <c r="E66" i="26"/>
  <c r="F66" i="26"/>
  <c r="D67" i="26"/>
  <c r="E67" i="26"/>
  <c r="F67" i="26"/>
  <c r="D68" i="26"/>
  <c r="E68" i="26"/>
  <c r="F68" i="26"/>
  <c r="D69" i="26"/>
  <c r="E69" i="26"/>
  <c r="F69" i="26"/>
  <c r="D70" i="26"/>
  <c r="E70" i="26"/>
  <c r="F70" i="26"/>
  <c r="D71" i="26"/>
  <c r="E71" i="26"/>
  <c r="F71" i="26"/>
  <c r="D72" i="26"/>
  <c r="E72" i="26"/>
  <c r="F72" i="26"/>
  <c r="D73" i="26"/>
  <c r="E73" i="26"/>
  <c r="F73" i="26"/>
  <c r="D74" i="26"/>
  <c r="E74" i="26"/>
  <c r="F74" i="26"/>
  <c r="D75" i="26"/>
  <c r="E75" i="26"/>
  <c r="F75" i="26"/>
  <c r="D76" i="26"/>
  <c r="E76" i="26"/>
  <c r="F76" i="26"/>
  <c r="D77" i="26"/>
  <c r="E77" i="26"/>
  <c r="F77" i="26"/>
  <c r="D78" i="26"/>
  <c r="E78" i="26"/>
  <c r="F78" i="26"/>
  <c r="D79" i="26"/>
  <c r="E79" i="26"/>
  <c r="F79" i="26"/>
  <c r="D80" i="26"/>
  <c r="E80" i="26"/>
  <c r="F80" i="26"/>
  <c r="D81" i="26"/>
  <c r="E81" i="26"/>
  <c r="F81" i="26"/>
  <c r="D82" i="26"/>
  <c r="E82" i="26"/>
  <c r="F82" i="26"/>
  <c r="D83" i="26"/>
  <c r="E83" i="26"/>
  <c r="F83" i="26"/>
  <c r="D84" i="26"/>
  <c r="E84" i="26"/>
  <c r="F84" i="26"/>
  <c r="D85" i="26"/>
  <c r="E85" i="26"/>
  <c r="F85" i="26"/>
  <c r="D86" i="26"/>
  <c r="E86" i="26"/>
  <c r="F86" i="26"/>
  <c r="D87" i="26"/>
  <c r="E87" i="26"/>
  <c r="F87" i="26"/>
  <c r="D88" i="26"/>
  <c r="E88" i="26"/>
  <c r="F88" i="26"/>
  <c r="D89" i="26"/>
  <c r="E89" i="26"/>
  <c r="F89" i="26"/>
  <c r="D90" i="26"/>
  <c r="E90" i="26"/>
  <c r="F90" i="26"/>
  <c r="D91" i="26"/>
  <c r="E91" i="26"/>
  <c r="F91" i="26"/>
  <c r="D92" i="26"/>
  <c r="E92" i="26"/>
  <c r="F92" i="26"/>
  <c r="D93" i="26"/>
  <c r="E93" i="26"/>
  <c r="F93" i="26"/>
  <c r="D94" i="26"/>
  <c r="E94" i="26"/>
  <c r="F94" i="26"/>
  <c r="D95" i="26"/>
  <c r="E95" i="26"/>
  <c r="F95" i="26"/>
  <c r="D96" i="26"/>
  <c r="E96" i="26"/>
  <c r="F96" i="26"/>
  <c r="D97" i="26"/>
  <c r="E97" i="26"/>
  <c r="F97" i="26"/>
  <c r="D98" i="26"/>
  <c r="E98" i="26"/>
  <c r="F98" i="26"/>
  <c r="D99" i="26"/>
  <c r="E99" i="26"/>
  <c r="F99" i="26"/>
  <c r="D100" i="26"/>
  <c r="E100" i="26"/>
  <c r="F100" i="26"/>
  <c r="D101" i="26"/>
  <c r="E101" i="26"/>
  <c r="F101" i="26"/>
  <c r="D102" i="26"/>
  <c r="E102" i="26"/>
  <c r="F102" i="26"/>
  <c r="D103" i="26"/>
  <c r="E103" i="26"/>
  <c r="F103" i="26"/>
  <c r="D104" i="26"/>
  <c r="E104" i="26"/>
  <c r="F104" i="26"/>
  <c r="D105" i="26"/>
  <c r="E105" i="26"/>
  <c r="F105" i="26"/>
  <c r="D106" i="26"/>
  <c r="E106" i="26"/>
  <c r="F106" i="26"/>
  <c r="D107" i="26"/>
  <c r="E107" i="26"/>
  <c r="F107" i="26"/>
  <c r="D108" i="26"/>
  <c r="E108" i="26"/>
  <c r="F108" i="26"/>
  <c r="D109" i="26"/>
  <c r="E109" i="26"/>
  <c r="F109" i="26"/>
  <c r="D110" i="26"/>
  <c r="E110" i="26"/>
  <c r="F110" i="26"/>
  <c r="D111" i="26"/>
  <c r="E111" i="26"/>
  <c r="F111" i="26"/>
  <c r="D112" i="26"/>
  <c r="E112" i="26"/>
  <c r="F112" i="26"/>
  <c r="D113" i="26"/>
  <c r="E113" i="26"/>
  <c r="F113" i="26"/>
  <c r="D114" i="26"/>
  <c r="E114" i="26"/>
  <c r="F114" i="26"/>
  <c r="D115" i="26"/>
  <c r="E115" i="26"/>
  <c r="F115" i="26"/>
  <c r="D116" i="26"/>
  <c r="E116" i="26"/>
  <c r="F116" i="26"/>
  <c r="D117" i="26"/>
  <c r="E117" i="26"/>
  <c r="F117" i="26"/>
  <c r="D118" i="26"/>
  <c r="E118" i="26"/>
  <c r="F118" i="26"/>
  <c r="D119" i="26"/>
  <c r="E119" i="26"/>
  <c r="F119" i="26"/>
  <c r="D120" i="26"/>
  <c r="E120" i="26"/>
  <c r="F120" i="26"/>
  <c r="D121" i="26"/>
  <c r="E121" i="26"/>
  <c r="F121" i="26"/>
  <c r="D122" i="26"/>
  <c r="E122" i="26"/>
  <c r="F122" i="26"/>
  <c r="D123" i="26"/>
  <c r="E123" i="26"/>
  <c r="F123" i="26"/>
  <c r="D124" i="26"/>
  <c r="E124" i="26"/>
  <c r="F124" i="26"/>
  <c r="D125" i="26"/>
  <c r="E125" i="26"/>
  <c r="F125" i="26"/>
  <c r="D126" i="26"/>
  <c r="E126" i="26"/>
  <c r="F126" i="26"/>
  <c r="D127" i="26"/>
  <c r="E127" i="26"/>
  <c r="F127" i="26"/>
  <c r="D128" i="26"/>
  <c r="E128" i="26"/>
  <c r="F128" i="26"/>
  <c r="D129" i="26"/>
  <c r="E129" i="26"/>
  <c r="F129" i="26"/>
  <c r="D130" i="26"/>
  <c r="E130" i="26"/>
  <c r="F130" i="26"/>
  <c r="D131" i="26"/>
  <c r="E131" i="26"/>
  <c r="F131" i="26"/>
  <c r="D132" i="26"/>
  <c r="E132" i="26"/>
  <c r="F132" i="26"/>
  <c r="D133" i="26"/>
  <c r="E133" i="26"/>
  <c r="F133" i="26"/>
  <c r="D134" i="26"/>
  <c r="E134" i="26"/>
  <c r="F134" i="26"/>
  <c r="D135" i="26"/>
  <c r="E135" i="26"/>
  <c r="F135" i="26"/>
  <c r="D136" i="26"/>
  <c r="E136" i="26"/>
  <c r="F136" i="26"/>
  <c r="D137" i="26"/>
  <c r="E137" i="26"/>
  <c r="F137" i="26"/>
  <c r="D138" i="26"/>
  <c r="E138" i="26"/>
  <c r="F138" i="26"/>
  <c r="D139" i="26"/>
  <c r="E139" i="26"/>
  <c r="F139" i="26"/>
  <c r="D140" i="26"/>
  <c r="E140" i="26"/>
  <c r="F140" i="26"/>
  <c r="D141" i="26"/>
  <c r="E141" i="26"/>
  <c r="F141" i="26"/>
  <c r="D142" i="26"/>
  <c r="E142" i="26"/>
  <c r="F142" i="26"/>
  <c r="D143" i="26"/>
  <c r="E143" i="26"/>
  <c r="F143" i="26"/>
  <c r="D144" i="26"/>
  <c r="E144" i="26"/>
  <c r="F144" i="26"/>
  <c r="D145" i="26"/>
  <c r="E145" i="26"/>
  <c r="F145" i="26"/>
  <c r="D146" i="26"/>
  <c r="E146" i="26"/>
  <c r="F146" i="26"/>
  <c r="D147" i="26"/>
  <c r="E147" i="26"/>
  <c r="F147" i="26"/>
  <c r="D148" i="26"/>
  <c r="E148" i="26"/>
  <c r="F148" i="26"/>
  <c r="D149" i="26"/>
  <c r="E149" i="26"/>
  <c r="F149" i="26"/>
  <c r="D150" i="26"/>
  <c r="E150" i="26"/>
  <c r="F150" i="26"/>
  <c r="D151" i="26"/>
  <c r="E151" i="26"/>
  <c r="F151" i="26"/>
  <c r="D152" i="26"/>
  <c r="E152" i="26"/>
  <c r="F152" i="26"/>
  <c r="D153" i="26"/>
  <c r="E153" i="26"/>
  <c r="F153" i="26"/>
  <c r="D154" i="26"/>
  <c r="E154" i="26"/>
  <c r="F154" i="26"/>
  <c r="D155" i="26"/>
  <c r="E155" i="26"/>
  <c r="F155" i="26"/>
  <c r="D156" i="26"/>
  <c r="E156" i="26"/>
  <c r="F156" i="26"/>
  <c r="D157" i="26"/>
  <c r="E157" i="26"/>
  <c r="F157" i="26"/>
  <c r="D158" i="26"/>
  <c r="E158" i="26"/>
  <c r="F158" i="26"/>
  <c r="D159" i="26"/>
  <c r="E159" i="26"/>
  <c r="F159" i="26"/>
  <c r="D160" i="26"/>
  <c r="E160" i="26"/>
  <c r="F160" i="26"/>
  <c r="D161" i="26"/>
  <c r="E161" i="26"/>
  <c r="F161" i="26"/>
  <c r="D162" i="26"/>
  <c r="E162" i="26"/>
  <c r="F162" i="26"/>
  <c r="D163" i="26"/>
  <c r="E163" i="26"/>
  <c r="F163" i="26"/>
  <c r="D164" i="26"/>
  <c r="E164" i="26"/>
  <c r="F164" i="26"/>
  <c r="D165" i="26"/>
  <c r="E165" i="26"/>
  <c r="F165" i="26"/>
  <c r="D166" i="26"/>
  <c r="E166" i="26"/>
  <c r="F166" i="26"/>
  <c r="D167" i="26"/>
  <c r="E167" i="26"/>
  <c r="F167" i="26"/>
  <c r="D168" i="26"/>
  <c r="E168" i="26"/>
  <c r="F168" i="26"/>
  <c r="D169" i="26"/>
  <c r="E169" i="26"/>
  <c r="F169" i="26"/>
  <c r="D170" i="26"/>
  <c r="E170" i="26"/>
  <c r="F170" i="26"/>
  <c r="D171" i="26"/>
  <c r="E171" i="26"/>
  <c r="F171" i="26"/>
  <c r="D172" i="26"/>
  <c r="E172" i="26"/>
  <c r="F172" i="26"/>
  <c r="D173" i="26"/>
  <c r="E173" i="26"/>
  <c r="F173" i="26"/>
  <c r="D174" i="26"/>
  <c r="E174" i="26"/>
  <c r="F174" i="26"/>
  <c r="D175" i="26"/>
  <c r="E175" i="26"/>
  <c r="F175" i="26"/>
  <c r="D176" i="26"/>
  <c r="E176" i="26"/>
  <c r="F176" i="26"/>
  <c r="D177" i="26"/>
  <c r="E177" i="26"/>
  <c r="F177" i="26"/>
  <c r="D178" i="26"/>
  <c r="E178" i="26"/>
  <c r="F178" i="26"/>
  <c r="D179" i="26"/>
  <c r="E179" i="26"/>
  <c r="F179" i="26"/>
  <c r="D180" i="26"/>
  <c r="E180" i="26"/>
  <c r="F180" i="26"/>
  <c r="D181" i="26"/>
  <c r="E181" i="26"/>
  <c r="F181" i="26"/>
  <c r="D182" i="26"/>
  <c r="E182" i="26"/>
  <c r="F182" i="26"/>
  <c r="D183" i="26"/>
  <c r="E183" i="26"/>
  <c r="F183" i="26"/>
  <c r="D184" i="26"/>
  <c r="E184" i="26"/>
  <c r="F184" i="26"/>
  <c r="D185" i="26"/>
  <c r="E185" i="26"/>
  <c r="F185" i="26"/>
  <c r="D186" i="26"/>
  <c r="E186" i="26"/>
  <c r="F186" i="26"/>
  <c r="D187" i="26"/>
  <c r="E187" i="26"/>
  <c r="F187" i="26"/>
  <c r="D188" i="26"/>
  <c r="E188" i="26"/>
  <c r="F188" i="26"/>
  <c r="D189" i="26"/>
  <c r="E189" i="26"/>
  <c r="F189" i="26"/>
  <c r="D190" i="26"/>
  <c r="E190" i="26"/>
  <c r="F190" i="26"/>
  <c r="D191" i="26"/>
  <c r="E191" i="26"/>
  <c r="F191" i="26"/>
  <c r="D192" i="26"/>
  <c r="E192" i="26"/>
  <c r="F192" i="26"/>
  <c r="D193" i="26"/>
  <c r="E193" i="26"/>
  <c r="F193" i="26"/>
  <c r="D194" i="26"/>
  <c r="E194" i="26"/>
  <c r="F194" i="26"/>
  <c r="D195" i="26"/>
  <c r="E195" i="26"/>
  <c r="F195" i="26"/>
  <c r="D196" i="26"/>
  <c r="E196" i="26"/>
  <c r="F196" i="26"/>
  <c r="D197" i="26"/>
  <c r="E197" i="26"/>
  <c r="F197" i="26"/>
  <c r="D198" i="26"/>
  <c r="E198" i="26"/>
  <c r="F198" i="26"/>
  <c r="D199" i="26"/>
  <c r="E199" i="26"/>
  <c r="F199" i="26"/>
  <c r="D200" i="26"/>
  <c r="E200" i="26"/>
  <c r="F200" i="26"/>
  <c r="D201" i="26"/>
  <c r="E201" i="26"/>
  <c r="F201" i="26"/>
  <c r="D202" i="26"/>
  <c r="E202" i="26"/>
  <c r="F202" i="26"/>
  <c r="D203" i="26"/>
  <c r="E203" i="26"/>
  <c r="F203" i="26"/>
  <c r="D204" i="26"/>
  <c r="E204" i="26"/>
  <c r="F204" i="26"/>
  <c r="D205" i="26"/>
  <c r="E205" i="26"/>
  <c r="F205" i="26"/>
  <c r="D206" i="26"/>
  <c r="E206" i="26"/>
  <c r="F206" i="26"/>
  <c r="D207" i="26"/>
  <c r="E207" i="26"/>
  <c r="F207" i="26"/>
  <c r="D208" i="26"/>
  <c r="E208" i="26"/>
  <c r="F208" i="26"/>
  <c r="D209" i="26"/>
  <c r="E209" i="26"/>
  <c r="F209" i="26"/>
  <c r="D210" i="26"/>
  <c r="E210" i="26"/>
  <c r="F210" i="26"/>
  <c r="D211" i="26"/>
  <c r="E211" i="26"/>
  <c r="F211" i="26"/>
  <c r="D212" i="26"/>
  <c r="E212" i="26"/>
  <c r="F212" i="26"/>
  <c r="D213" i="26"/>
  <c r="E213" i="26"/>
  <c r="F213" i="26"/>
  <c r="D214" i="26"/>
  <c r="E214" i="26"/>
  <c r="F214" i="26"/>
  <c r="D215" i="26"/>
  <c r="E215" i="26"/>
  <c r="F215" i="26"/>
  <c r="D216" i="26"/>
  <c r="E216" i="26"/>
  <c r="F216" i="26"/>
  <c r="D217" i="26"/>
  <c r="E217" i="26"/>
  <c r="F217" i="26"/>
  <c r="D218" i="26"/>
  <c r="E218" i="26"/>
  <c r="F218" i="26"/>
  <c r="D219" i="26"/>
  <c r="E219" i="26"/>
  <c r="F219" i="26"/>
  <c r="D220" i="26"/>
  <c r="E220" i="26"/>
  <c r="F220" i="26"/>
  <c r="D221" i="26"/>
  <c r="E221" i="26"/>
  <c r="F221" i="26"/>
  <c r="D222" i="26"/>
  <c r="E222" i="26"/>
  <c r="F222" i="26"/>
  <c r="D223" i="26"/>
  <c r="E223" i="26"/>
  <c r="F223" i="26"/>
  <c r="D224" i="26"/>
  <c r="E224" i="26"/>
  <c r="F224" i="26"/>
  <c r="D225" i="26"/>
  <c r="E225" i="26"/>
  <c r="F225" i="26"/>
  <c r="D226" i="26"/>
  <c r="E226" i="26"/>
  <c r="F226" i="26"/>
  <c r="D227" i="26"/>
  <c r="E227" i="26"/>
  <c r="F227" i="26"/>
  <c r="D228" i="26"/>
  <c r="E228" i="26"/>
  <c r="F228" i="26"/>
  <c r="D229" i="26"/>
  <c r="E229" i="26"/>
  <c r="F229" i="26"/>
  <c r="D230" i="26"/>
  <c r="E230" i="26"/>
  <c r="F230" i="26"/>
  <c r="D231" i="26"/>
  <c r="E231" i="26"/>
  <c r="F231" i="26"/>
  <c r="D232" i="26"/>
  <c r="E232" i="26"/>
  <c r="F232" i="26"/>
  <c r="D233" i="26"/>
  <c r="E233" i="26"/>
  <c r="F233" i="26"/>
  <c r="D234" i="26"/>
  <c r="E234" i="26"/>
  <c r="F234" i="26"/>
  <c r="D235" i="26"/>
  <c r="E235" i="26"/>
  <c r="F235" i="26"/>
  <c r="D236" i="26"/>
  <c r="E236" i="26"/>
  <c r="F236" i="26"/>
  <c r="D237" i="26"/>
  <c r="E237" i="26"/>
  <c r="F237" i="26"/>
  <c r="D238" i="26"/>
  <c r="E238" i="26"/>
  <c r="F238" i="26"/>
  <c r="D239" i="26"/>
  <c r="E239" i="26"/>
  <c r="F239" i="26"/>
  <c r="D240" i="26"/>
  <c r="E240" i="26"/>
  <c r="F240" i="26"/>
  <c r="D241" i="26"/>
  <c r="E241" i="26"/>
  <c r="F241" i="26"/>
  <c r="D242" i="26"/>
  <c r="E242" i="26"/>
  <c r="F242" i="26"/>
  <c r="D243" i="26"/>
  <c r="E243" i="26"/>
  <c r="F243" i="26"/>
  <c r="D244" i="26"/>
  <c r="E244" i="26"/>
  <c r="F244" i="26"/>
  <c r="D245" i="26"/>
  <c r="E245" i="26"/>
  <c r="F245" i="26"/>
  <c r="D246" i="26"/>
  <c r="E246" i="26"/>
  <c r="F246" i="26"/>
  <c r="D247" i="26"/>
  <c r="E247" i="26"/>
  <c r="F247" i="26"/>
  <c r="D248" i="26"/>
  <c r="E248" i="26"/>
  <c r="F248" i="26"/>
  <c r="D249" i="26"/>
  <c r="E249" i="26"/>
  <c r="F249" i="26"/>
  <c r="D250" i="26"/>
  <c r="E250" i="26"/>
  <c r="F250" i="26"/>
  <c r="D251" i="26"/>
  <c r="E251" i="26"/>
  <c r="F251" i="26"/>
  <c r="D252" i="26"/>
  <c r="E252" i="26"/>
  <c r="F252" i="26"/>
  <c r="D253" i="26"/>
  <c r="E253" i="26"/>
  <c r="F253" i="26"/>
  <c r="D254" i="26"/>
  <c r="E254" i="26"/>
  <c r="F254" i="26"/>
  <c r="D255" i="26"/>
  <c r="E255" i="26"/>
  <c r="F255" i="26"/>
  <c r="D256" i="26"/>
  <c r="E256" i="26"/>
  <c r="F256" i="26"/>
  <c r="D257" i="26"/>
  <c r="E257" i="26"/>
  <c r="F257" i="26"/>
  <c r="D258" i="26"/>
  <c r="E258" i="26"/>
  <c r="F258" i="26"/>
  <c r="D259" i="26"/>
  <c r="E259" i="26"/>
  <c r="F259" i="26"/>
  <c r="D260" i="26"/>
  <c r="E260" i="26"/>
  <c r="F260" i="26"/>
  <c r="D261" i="26"/>
  <c r="E261" i="26"/>
  <c r="F261" i="26"/>
  <c r="D262" i="26"/>
  <c r="E262" i="26"/>
  <c r="F262" i="26"/>
  <c r="D263" i="26"/>
  <c r="E263" i="26"/>
  <c r="F263" i="26"/>
  <c r="D264" i="26"/>
  <c r="E264" i="26"/>
  <c r="F264" i="26"/>
  <c r="D265" i="26"/>
  <c r="E265" i="26"/>
  <c r="F265" i="26"/>
  <c r="D266" i="26"/>
  <c r="E266" i="26"/>
  <c r="F266" i="26"/>
  <c r="D267" i="26"/>
  <c r="E267" i="26"/>
  <c r="F267" i="26"/>
  <c r="D268" i="26"/>
  <c r="E268" i="26"/>
  <c r="F268" i="26"/>
  <c r="D269" i="26"/>
  <c r="E269" i="26"/>
  <c r="F269" i="26"/>
  <c r="D270" i="26"/>
  <c r="E270" i="26"/>
  <c r="F270" i="26"/>
  <c r="D271" i="26"/>
  <c r="E271" i="26"/>
  <c r="F271" i="26"/>
  <c r="D272" i="26"/>
  <c r="E272" i="26"/>
  <c r="F272" i="26"/>
  <c r="D273" i="26"/>
  <c r="E273" i="26"/>
  <c r="F273" i="26"/>
  <c r="D274" i="26"/>
  <c r="E274" i="26"/>
  <c r="F274" i="26"/>
  <c r="D275" i="26"/>
  <c r="E275" i="26"/>
  <c r="F275" i="26"/>
  <c r="D276" i="26"/>
  <c r="E276" i="26"/>
  <c r="F276" i="26"/>
  <c r="D277" i="26"/>
  <c r="E277" i="26"/>
  <c r="F277" i="26"/>
  <c r="D278" i="26"/>
  <c r="E278" i="26"/>
  <c r="F278" i="26"/>
  <c r="D279" i="26"/>
  <c r="E279" i="26"/>
  <c r="F279" i="26"/>
  <c r="D280" i="26"/>
  <c r="E280" i="26"/>
  <c r="F280" i="26"/>
  <c r="D281" i="26"/>
  <c r="E281" i="26"/>
  <c r="F281" i="26"/>
  <c r="D282" i="26"/>
  <c r="E282" i="26"/>
  <c r="F282" i="26"/>
  <c r="D283" i="26"/>
  <c r="E283" i="26"/>
  <c r="F283" i="26"/>
  <c r="D284" i="26"/>
  <c r="E284" i="26"/>
  <c r="F284" i="26"/>
  <c r="D285" i="26"/>
  <c r="E285" i="26"/>
  <c r="F285" i="26"/>
  <c r="D286" i="26"/>
  <c r="E286" i="26"/>
  <c r="F286" i="26"/>
  <c r="D287" i="26"/>
  <c r="E287" i="26"/>
  <c r="F287" i="26"/>
  <c r="D288" i="26"/>
  <c r="E288" i="26"/>
  <c r="F288" i="26"/>
  <c r="D289" i="26"/>
  <c r="E289" i="26"/>
  <c r="F289" i="26"/>
  <c r="D290" i="26"/>
  <c r="E290" i="26"/>
  <c r="F290" i="26"/>
  <c r="D291" i="26"/>
  <c r="E291" i="26"/>
  <c r="F291" i="26"/>
  <c r="D292" i="26"/>
  <c r="E292" i="26"/>
  <c r="F292" i="26"/>
  <c r="D293" i="26"/>
  <c r="E293" i="26"/>
  <c r="F293" i="26"/>
  <c r="D294" i="26"/>
  <c r="E294" i="26"/>
  <c r="F294" i="26"/>
  <c r="D295" i="26"/>
  <c r="E295" i="26"/>
  <c r="F295" i="26"/>
  <c r="D296" i="26"/>
  <c r="E296" i="26"/>
  <c r="F296" i="26"/>
  <c r="D297" i="26"/>
  <c r="E297" i="26"/>
  <c r="F297" i="26"/>
  <c r="D298" i="26"/>
  <c r="E298" i="26"/>
  <c r="F298" i="26"/>
  <c r="D299" i="26"/>
  <c r="E299" i="26"/>
  <c r="F299" i="26"/>
  <c r="D300" i="26"/>
  <c r="E300" i="26"/>
  <c r="F300" i="26"/>
  <c r="D301" i="26"/>
  <c r="E301" i="26"/>
  <c r="F301" i="26"/>
  <c r="D302" i="26"/>
  <c r="E302" i="26"/>
  <c r="F302" i="26"/>
  <c r="D303" i="26"/>
  <c r="E303" i="26"/>
  <c r="F303" i="26"/>
  <c r="D304" i="26"/>
  <c r="E304" i="26"/>
  <c r="F304" i="26"/>
  <c r="D305" i="26"/>
  <c r="E305" i="26"/>
  <c r="F305" i="26"/>
  <c r="D306" i="26"/>
  <c r="E306" i="26"/>
  <c r="F306" i="26"/>
  <c r="D307" i="26"/>
  <c r="E307" i="26"/>
  <c r="F307" i="26"/>
  <c r="D308" i="26"/>
  <c r="E308" i="26"/>
  <c r="F308" i="26"/>
  <c r="D309" i="26"/>
  <c r="E309" i="26"/>
  <c r="F309" i="26"/>
  <c r="D310" i="26"/>
  <c r="E310" i="26"/>
  <c r="F310" i="26"/>
  <c r="D311" i="26"/>
  <c r="E311" i="26"/>
  <c r="F311" i="26"/>
  <c r="D312" i="26"/>
  <c r="E312" i="26"/>
  <c r="F312" i="26"/>
  <c r="D313" i="26"/>
  <c r="E313" i="26"/>
  <c r="F313" i="26"/>
  <c r="D314" i="26"/>
  <c r="E314" i="26"/>
  <c r="F314" i="26"/>
  <c r="D315" i="26"/>
  <c r="E315" i="26"/>
  <c r="F315" i="26"/>
  <c r="D316" i="26"/>
  <c r="E316" i="26"/>
  <c r="F316" i="26"/>
  <c r="D317" i="26"/>
  <c r="E317" i="26"/>
  <c r="F317" i="26"/>
  <c r="D318" i="26"/>
  <c r="E318" i="26"/>
  <c r="F318" i="26"/>
  <c r="D319" i="26"/>
  <c r="E319" i="26"/>
  <c r="F319" i="26"/>
  <c r="D320" i="26"/>
  <c r="E320" i="26"/>
  <c r="F320" i="26"/>
  <c r="D321" i="26"/>
  <c r="E321" i="26"/>
  <c r="F321" i="26"/>
  <c r="D322" i="26"/>
  <c r="E322" i="26"/>
  <c r="F322" i="26"/>
  <c r="D323" i="26"/>
  <c r="E323" i="26"/>
  <c r="F323" i="26"/>
  <c r="D324" i="26"/>
  <c r="E324" i="26"/>
  <c r="F324" i="26"/>
  <c r="D325" i="26"/>
  <c r="E325" i="26"/>
  <c r="F325" i="26"/>
  <c r="D326" i="26"/>
  <c r="E326" i="26"/>
  <c r="F326" i="26"/>
  <c r="D327" i="26"/>
  <c r="E327" i="26"/>
  <c r="F327" i="26"/>
  <c r="D328" i="26"/>
  <c r="E328" i="26"/>
  <c r="F328" i="26"/>
  <c r="D329" i="26"/>
  <c r="E329" i="26"/>
  <c r="F329" i="26"/>
  <c r="D330" i="26"/>
  <c r="E330" i="26"/>
  <c r="F330" i="26"/>
  <c r="D331" i="26"/>
  <c r="E331" i="26"/>
  <c r="F331" i="26"/>
  <c r="D332" i="26"/>
  <c r="E332" i="26"/>
  <c r="F332" i="26"/>
  <c r="D333" i="26"/>
  <c r="E333" i="26"/>
  <c r="F333" i="26"/>
  <c r="D334" i="26"/>
  <c r="E334" i="26"/>
  <c r="F334" i="26"/>
  <c r="D335" i="26"/>
  <c r="E335" i="26"/>
  <c r="F335" i="26"/>
  <c r="D336" i="26"/>
  <c r="E336" i="26"/>
  <c r="F336" i="26"/>
  <c r="D337" i="26"/>
  <c r="E337" i="26"/>
  <c r="F337" i="26"/>
  <c r="D338" i="26"/>
  <c r="E338" i="26"/>
  <c r="F338" i="26"/>
  <c r="D339" i="26"/>
  <c r="E339" i="26"/>
  <c r="F339" i="26"/>
  <c r="D340" i="26"/>
  <c r="E340" i="26"/>
  <c r="F340" i="26"/>
  <c r="D341" i="26"/>
  <c r="E341" i="26"/>
  <c r="F341" i="26"/>
  <c r="D342" i="26"/>
  <c r="E342" i="26"/>
  <c r="F342" i="26"/>
  <c r="D343" i="26"/>
  <c r="E343" i="26"/>
  <c r="F343" i="26"/>
  <c r="D344" i="26"/>
  <c r="E344" i="26"/>
  <c r="F344" i="26"/>
  <c r="D345" i="26"/>
  <c r="E345" i="26"/>
  <c r="F345" i="26"/>
  <c r="D346" i="26"/>
  <c r="E346" i="26"/>
  <c r="F346" i="26"/>
  <c r="D347" i="26"/>
  <c r="E347" i="26"/>
  <c r="F347" i="26"/>
  <c r="D348" i="26"/>
  <c r="E348" i="26"/>
  <c r="F348" i="26"/>
  <c r="D349" i="26"/>
  <c r="E349" i="26"/>
  <c r="F349" i="26"/>
  <c r="D350" i="26"/>
  <c r="E350" i="26"/>
  <c r="F350" i="26"/>
  <c r="D351" i="26"/>
  <c r="E351" i="26"/>
  <c r="F351" i="26"/>
  <c r="D352" i="26"/>
  <c r="E352" i="26"/>
  <c r="F352" i="26"/>
  <c r="D353" i="26"/>
  <c r="E353" i="26"/>
  <c r="F353" i="26"/>
  <c r="D354" i="26"/>
  <c r="E354" i="26"/>
  <c r="F354" i="26"/>
  <c r="D355" i="26"/>
  <c r="E355" i="26"/>
  <c r="F355" i="26"/>
  <c r="D356" i="26"/>
  <c r="E356" i="26"/>
  <c r="F356" i="26"/>
  <c r="D357" i="26"/>
  <c r="E357" i="26"/>
  <c r="F357" i="26"/>
  <c r="D358" i="26"/>
  <c r="E358" i="26"/>
  <c r="F358" i="26"/>
  <c r="D359" i="26"/>
  <c r="E359" i="26"/>
  <c r="F359" i="26"/>
  <c r="D360" i="26"/>
  <c r="E360" i="26"/>
  <c r="F360" i="26"/>
  <c r="D361" i="26"/>
  <c r="E361" i="26"/>
  <c r="F361" i="26"/>
  <c r="D362" i="26"/>
  <c r="E362" i="26"/>
  <c r="F362" i="26"/>
  <c r="D363" i="26"/>
  <c r="E363" i="26"/>
  <c r="F363" i="26"/>
  <c r="D364" i="26"/>
  <c r="E364" i="26"/>
  <c r="F364" i="26"/>
  <c r="D365" i="26"/>
  <c r="E365" i="26"/>
  <c r="F365" i="26"/>
  <c r="D366" i="26"/>
  <c r="E366" i="26"/>
  <c r="F366" i="26"/>
  <c r="D367" i="26"/>
  <c r="E367" i="26"/>
  <c r="F367" i="26"/>
  <c r="D368" i="26"/>
  <c r="E368" i="26"/>
  <c r="F368" i="26"/>
  <c r="D369" i="26"/>
  <c r="E369" i="26"/>
  <c r="F369" i="26"/>
  <c r="D370" i="26"/>
  <c r="E370" i="26"/>
  <c r="F370" i="26"/>
  <c r="D371" i="26"/>
  <c r="E371" i="26"/>
  <c r="F371" i="26"/>
  <c r="D372" i="26"/>
  <c r="E372" i="26"/>
  <c r="F372" i="26"/>
  <c r="D373" i="26"/>
  <c r="E373" i="26"/>
  <c r="F373" i="26"/>
  <c r="D374" i="26"/>
  <c r="E374" i="26"/>
  <c r="F374" i="26"/>
  <c r="D375" i="26"/>
  <c r="E375" i="26"/>
  <c r="F375" i="26"/>
  <c r="D376" i="26"/>
  <c r="E376" i="26"/>
  <c r="F376" i="26"/>
  <c r="D377" i="26"/>
  <c r="E377" i="26"/>
  <c r="F377" i="26"/>
  <c r="D378" i="26"/>
  <c r="E378" i="26"/>
  <c r="F378" i="26"/>
  <c r="D379" i="26"/>
  <c r="E379" i="26"/>
  <c r="F379" i="26"/>
  <c r="D380" i="26"/>
  <c r="E380" i="26"/>
  <c r="F380" i="26"/>
  <c r="D381" i="26"/>
  <c r="E381" i="26"/>
  <c r="F381" i="26"/>
  <c r="D382" i="26"/>
  <c r="E382" i="26"/>
  <c r="F382" i="26"/>
  <c r="D383" i="26"/>
  <c r="E383" i="26"/>
  <c r="F383" i="26"/>
  <c r="D384" i="26"/>
  <c r="E384" i="26"/>
  <c r="F384" i="26"/>
  <c r="D385" i="26"/>
  <c r="E385" i="26"/>
  <c r="F385" i="26"/>
  <c r="D386" i="26"/>
  <c r="E386" i="26"/>
  <c r="F386" i="26"/>
  <c r="D387" i="26"/>
  <c r="E387" i="26"/>
  <c r="F387" i="26"/>
  <c r="D388" i="26"/>
  <c r="E388" i="26"/>
  <c r="F388" i="26"/>
  <c r="D389" i="26"/>
  <c r="E389" i="26"/>
  <c r="F389" i="26"/>
  <c r="D390" i="26"/>
  <c r="E390" i="26"/>
  <c r="F390" i="26"/>
  <c r="D391" i="26"/>
  <c r="E391" i="26"/>
  <c r="F391" i="26"/>
  <c r="D392" i="26"/>
  <c r="E392" i="26"/>
  <c r="F392" i="26"/>
  <c r="D393" i="26"/>
  <c r="E393" i="26"/>
  <c r="F393" i="26"/>
  <c r="D394" i="26"/>
  <c r="E394" i="26"/>
  <c r="F394" i="26"/>
  <c r="D395" i="26"/>
  <c r="E395" i="26"/>
  <c r="F395" i="26"/>
  <c r="D396" i="26"/>
  <c r="E396" i="26"/>
  <c r="F396" i="26"/>
  <c r="D397" i="26"/>
  <c r="E397" i="26"/>
  <c r="F397" i="26"/>
  <c r="D398" i="26"/>
  <c r="E398" i="26"/>
  <c r="F398" i="26"/>
  <c r="D399" i="26"/>
  <c r="E399" i="26"/>
  <c r="F399" i="26"/>
  <c r="D400" i="26"/>
  <c r="E400" i="26"/>
  <c r="F400" i="26"/>
  <c r="D401" i="26"/>
  <c r="E401" i="26"/>
  <c r="F401" i="26"/>
  <c r="D402" i="26"/>
  <c r="E402" i="26"/>
  <c r="F402" i="26"/>
  <c r="D403" i="26"/>
  <c r="E403" i="26"/>
  <c r="F403" i="26"/>
  <c r="D404" i="26"/>
  <c r="E404" i="26"/>
  <c r="F404" i="26"/>
  <c r="D405" i="26"/>
  <c r="E405" i="26"/>
  <c r="F405" i="26"/>
  <c r="D406" i="26"/>
  <c r="E406" i="26"/>
  <c r="F406" i="26"/>
  <c r="D407" i="26"/>
  <c r="E407" i="26"/>
  <c r="F407" i="26"/>
  <c r="D408" i="26"/>
  <c r="E408" i="26"/>
  <c r="F408" i="26"/>
  <c r="D409" i="26"/>
  <c r="E409" i="26"/>
  <c r="F409" i="26"/>
  <c r="D410" i="26"/>
  <c r="E410" i="26"/>
  <c r="F410" i="26"/>
  <c r="D411" i="26"/>
  <c r="E411" i="26"/>
  <c r="F411" i="26"/>
  <c r="D412" i="26"/>
  <c r="E412" i="26"/>
  <c r="F412" i="26"/>
  <c r="D413" i="26"/>
  <c r="E413" i="26"/>
  <c r="F413" i="26"/>
  <c r="D414" i="26"/>
  <c r="E414" i="26"/>
  <c r="F414" i="26"/>
  <c r="D415" i="26"/>
  <c r="E415" i="26"/>
  <c r="F415" i="26"/>
  <c r="D416" i="26"/>
  <c r="E416" i="26"/>
  <c r="F416" i="26"/>
  <c r="D417" i="26"/>
  <c r="E417" i="26"/>
  <c r="F417" i="26"/>
  <c r="D418" i="26"/>
  <c r="E418" i="26"/>
  <c r="F418" i="26"/>
  <c r="D419" i="26"/>
  <c r="E419" i="26"/>
  <c r="F419" i="26"/>
  <c r="D420" i="26"/>
  <c r="E420" i="26"/>
  <c r="F420" i="26"/>
  <c r="D421" i="26"/>
  <c r="E421" i="26"/>
  <c r="F421" i="26"/>
  <c r="D422" i="26"/>
  <c r="E422" i="26"/>
  <c r="F422" i="26"/>
  <c r="D423" i="26"/>
  <c r="E423" i="26"/>
  <c r="F423" i="26"/>
  <c r="D424" i="26"/>
  <c r="E424" i="26"/>
  <c r="F424" i="26"/>
  <c r="D425" i="26"/>
  <c r="E425" i="26"/>
  <c r="F425" i="26"/>
  <c r="D426" i="26"/>
  <c r="E426" i="26"/>
  <c r="F426" i="26"/>
  <c r="D427" i="26"/>
  <c r="E427" i="26"/>
  <c r="F427" i="26"/>
  <c r="D428" i="26"/>
  <c r="E428" i="26"/>
  <c r="F428" i="26"/>
  <c r="D429" i="26"/>
  <c r="E429" i="26"/>
  <c r="F429" i="26"/>
  <c r="D430" i="26"/>
  <c r="E430" i="26"/>
  <c r="F430" i="26"/>
  <c r="D431" i="26"/>
  <c r="E431" i="26"/>
  <c r="F431" i="26"/>
  <c r="D432" i="26"/>
  <c r="E432" i="26"/>
  <c r="F432" i="26"/>
  <c r="D433" i="26"/>
  <c r="E433" i="26"/>
  <c r="F433" i="26"/>
  <c r="D434" i="26"/>
  <c r="E434" i="26"/>
  <c r="F434" i="26"/>
  <c r="D435" i="26"/>
  <c r="E435" i="26"/>
  <c r="F435" i="26"/>
  <c r="D436" i="26"/>
  <c r="E436" i="26"/>
  <c r="F436" i="26"/>
  <c r="D437" i="26"/>
  <c r="E437" i="26"/>
  <c r="F437" i="26"/>
  <c r="D438" i="26"/>
  <c r="E438" i="26"/>
  <c r="F438" i="26"/>
  <c r="D439" i="26"/>
  <c r="E439" i="26"/>
  <c r="F439" i="26"/>
  <c r="D440" i="26"/>
  <c r="E440" i="26"/>
  <c r="F440" i="26"/>
  <c r="D441" i="26"/>
  <c r="E441" i="26"/>
  <c r="F441" i="26"/>
  <c r="D442" i="26"/>
  <c r="E442" i="26"/>
  <c r="F442" i="26"/>
  <c r="D443" i="26"/>
  <c r="E443" i="26"/>
  <c r="F443" i="26"/>
  <c r="D444" i="26"/>
  <c r="E444" i="26"/>
  <c r="F444" i="26"/>
  <c r="D445" i="26"/>
  <c r="E445" i="26"/>
  <c r="F445" i="26"/>
  <c r="D446" i="26"/>
  <c r="E446" i="26"/>
  <c r="F446" i="26"/>
  <c r="D447" i="26"/>
  <c r="E447" i="26"/>
  <c r="F447" i="26"/>
  <c r="D448" i="26"/>
  <c r="E448" i="26"/>
  <c r="F448" i="26"/>
  <c r="D449" i="26"/>
  <c r="E449" i="26"/>
  <c r="F449" i="26"/>
  <c r="D450" i="26"/>
  <c r="E450" i="26"/>
  <c r="F450" i="26"/>
  <c r="D451" i="26"/>
  <c r="E451" i="26"/>
  <c r="F451" i="26"/>
  <c r="D452" i="26"/>
  <c r="E452" i="26"/>
  <c r="F452" i="26"/>
  <c r="D453" i="26"/>
  <c r="E453" i="26"/>
  <c r="F453" i="26"/>
  <c r="D454" i="26"/>
  <c r="E454" i="26"/>
  <c r="F454" i="26"/>
  <c r="D455" i="26"/>
  <c r="E455" i="26"/>
  <c r="F455" i="26"/>
  <c r="D456" i="26"/>
  <c r="E456" i="26"/>
  <c r="F456" i="26"/>
  <c r="D457" i="26"/>
  <c r="E457" i="26"/>
  <c r="F457" i="26"/>
  <c r="D458" i="26"/>
  <c r="E458" i="26"/>
  <c r="F458" i="26"/>
  <c r="D459" i="26"/>
  <c r="E459" i="26"/>
  <c r="F459" i="26"/>
  <c r="D460" i="26"/>
  <c r="E460" i="26"/>
  <c r="F460" i="26"/>
  <c r="D461" i="26"/>
  <c r="E461" i="26"/>
  <c r="F461" i="26"/>
  <c r="D462" i="26"/>
  <c r="E462" i="26"/>
  <c r="F462" i="26"/>
  <c r="D463" i="26"/>
  <c r="E463" i="26"/>
  <c r="F463" i="26"/>
  <c r="D464" i="26"/>
  <c r="E464" i="26"/>
  <c r="F464" i="26"/>
  <c r="D465" i="26"/>
  <c r="E465" i="26"/>
  <c r="F465" i="26"/>
  <c r="D466" i="26"/>
  <c r="E466" i="26"/>
  <c r="F466" i="26"/>
  <c r="D467" i="26"/>
  <c r="E467" i="26"/>
  <c r="F467" i="26"/>
  <c r="D468" i="26"/>
  <c r="E468" i="26"/>
  <c r="F468" i="26"/>
  <c r="D469" i="26"/>
  <c r="E469" i="26"/>
  <c r="F469" i="26"/>
  <c r="D470" i="26"/>
  <c r="E470" i="26"/>
  <c r="F470" i="26"/>
  <c r="D471" i="26"/>
  <c r="E471" i="26"/>
  <c r="F471" i="26"/>
  <c r="D472" i="26"/>
  <c r="E472" i="26"/>
  <c r="F472" i="26"/>
  <c r="D473" i="26"/>
  <c r="E473" i="26"/>
  <c r="F473" i="26"/>
  <c r="D474" i="26"/>
  <c r="E474" i="26"/>
  <c r="F474" i="26"/>
  <c r="D475" i="26"/>
  <c r="E475" i="26"/>
  <c r="F475" i="26"/>
  <c r="D476" i="26"/>
  <c r="E476" i="26"/>
  <c r="F476" i="26"/>
  <c r="D477" i="26"/>
  <c r="E477" i="26"/>
  <c r="F477" i="26"/>
  <c r="D478" i="26"/>
  <c r="E478" i="26"/>
  <c r="F478" i="26"/>
  <c r="D479" i="26"/>
  <c r="E479" i="26"/>
  <c r="F479" i="26"/>
  <c r="D480" i="26"/>
  <c r="E480" i="26"/>
  <c r="F480" i="26"/>
  <c r="D481" i="26"/>
  <c r="E481" i="26"/>
  <c r="F481" i="26"/>
  <c r="D482" i="26"/>
  <c r="E482" i="26"/>
  <c r="F482" i="26"/>
  <c r="D483" i="26"/>
  <c r="E483" i="26"/>
  <c r="F483" i="26"/>
  <c r="D484" i="26"/>
  <c r="E484" i="26"/>
  <c r="F484" i="26"/>
  <c r="D485" i="26"/>
  <c r="E485" i="26"/>
  <c r="F485" i="26"/>
  <c r="D486" i="26"/>
  <c r="E486" i="26"/>
  <c r="F486" i="26"/>
  <c r="D487" i="26"/>
  <c r="E487" i="26"/>
  <c r="F487" i="26"/>
  <c r="D488" i="26"/>
  <c r="E488" i="26"/>
  <c r="F488" i="26"/>
  <c r="D489" i="26"/>
  <c r="E489" i="26"/>
  <c r="F489" i="26"/>
  <c r="D490" i="26"/>
  <c r="E490" i="26"/>
  <c r="F490" i="26"/>
  <c r="D491" i="26"/>
  <c r="E491" i="26"/>
  <c r="F491" i="26"/>
  <c r="D492" i="26"/>
  <c r="E492" i="26"/>
  <c r="F492" i="26"/>
  <c r="D493" i="26"/>
  <c r="E493" i="26"/>
  <c r="F493" i="26"/>
  <c r="D494" i="26"/>
  <c r="E494" i="26"/>
  <c r="F494" i="26"/>
  <c r="D495" i="26"/>
  <c r="E495" i="26"/>
  <c r="F495" i="26"/>
  <c r="D496" i="26"/>
  <c r="E496" i="26"/>
  <c r="F496" i="26"/>
  <c r="D497" i="26"/>
  <c r="E497" i="26"/>
  <c r="F497" i="26"/>
  <c r="D498" i="26"/>
  <c r="E498" i="26"/>
  <c r="F498" i="26"/>
  <c r="D499" i="26"/>
  <c r="E499" i="26"/>
  <c r="F499" i="26"/>
  <c r="D500" i="26"/>
  <c r="E500" i="26"/>
  <c r="F500" i="26"/>
  <c r="D501" i="26"/>
  <c r="E501" i="26"/>
  <c r="F501" i="26"/>
  <c r="D502" i="26"/>
  <c r="E502" i="26"/>
  <c r="F502" i="26"/>
  <c r="D503" i="26"/>
  <c r="E503" i="26"/>
  <c r="F503" i="26"/>
  <c r="D504" i="26"/>
  <c r="E504" i="26"/>
  <c r="F504" i="26"/>
  <c r="D505" i="26"/>
  <c r="E505" i="26"/>
  <c r="F505" i="26"/>
  <c r="D506" i="26"/>
  <c r="E506" i="26"/>
  <c r="F506" i="26"/>
  <c r="D507" i="26"/>
  <c r="E507" i="26"/>
  <c r="F507" i="26"/>
  <c r="D508" i="26"/>
  <c r="E508" i="26"/>
  <c r="F508" i="26"/>
  <c r="D509" i="26"/>
  <c r="E509" i="26"/>
  <c r="F509" i="26"/>
  <c r="D510" i="26"/>
  <c r="E510" i="26"/>
  <c r="F510" i="26"/>
  <c r="D511" i="26"/>
  <c r="E511" i="26"/>
  <c r="F511" i="26"/>
  <c r="D512" i="26"/>
  <c r="E512" i="26"/>
  <c r="F512" i="26"/>
  <c r="D513" i="26"/>
  <c r="E513" i="26"/>
  <c r="F513" i="26"/>
  <c r="D514" i="26"/>
  <c r="E514" i="26"/>
  <c r="F514" i="26"/>
  <c r="D515" i="26"/>
  <c r="E515" i="26"/>
  <c r="F515" i="26"/>
  <c r="D516" i="26"/>
  <c r="E516" i="26"/>
  <c r="F516" i="26"/>
  <c r="D517" i="26"/>
  <c r="E517" i="26"/>
  <c r="F517" i="26"/>
  <c r="D518" i="26"/>
  <c r="E518" i="26"/>
  <c r="F518" i="26"/>
  <c r="D519" i="26"/>
  <c r="E519" i="26"/>
  <c r="F519" i="26"/>
  <c r="D520" i="26"/>
  <c r="E520" i="26"/>
  <c r="F520" i="26"/>
  <c r="D521" i="26"/>
  <c r="E521" i="26"/>
  <c r="F521" i="26"/>
  <c r="D522" i="26"/>
  <c r="E522" i="26"/>
  <c r="F522" i="26"/>
  <c r="D523" i="26"/>
  <c r="E523" i="26"/>
  <c r="F523" i="26"/>
  <c r="D524" i="26"/>
  <c r="E524" i="26"/>
  <c r="F524" i="26"/>
  <c r="D525" i="26"/>
  <c r="E525" i="26"/>
  <c r="F525" i="26"/>
  <c r="D526" i="26"/>
  <c r="E526" i="26"/>
  <c r="F526" i="26"/>
  <c r="D527" i="26"/>
  <c r="E527" i="26"/>
  <c r="F527" i="26"/>
  <c r="D528" i="26"/>
  <c r="E528" i="26"/>
  <c r="F528" i="26"/>
  <c r="D529" i="26"/>
  <c r="E529" i="26"/>
  <c r="F529" i="26"/>
  <c r="D530" i="26"/>
  <c r="E530" i="26"/>
  <c r="F530" i="26"/>
  <c r="D531" i="26"/>
  <c r="E531" i="26"/>
  <c r="F531" i="26"/>
  <c r="D532" i="26"/>
  <c r="E532" i="26"/>
  <c r="F532" i="26"/>
  <c r="D533" i="26"/>
  <c r="E533" i="26"/>
  <c r="F533" i="26"/>
  <c r="D534" i="26"/>
  <c r="E534" i="26"/>
  <c r="F534" i="26"/>
  <c r="D535" i="26"/>
  <c r="E535" i="26"/>
  <c r="F535" i="26"/>
  <c r="D536" i="26"/>
  <c r="E536" i="26"/>
  <c r="F536" i="26"/>
  <c r="D537" i="26"/>
  <c r="E537" i="26"/>
  <c r="F537" i="26"/>
  <c r="D538" i="26"/>
  <c r="E538" i="26"/>
  <c r="F538" i="26"/>
  <c r="D539" i="26"/>
  <c r="E539" i="26"/>
  <c r="F539" i="26"/>
  <c r="D540" i="26"/>
  <c r="E540" i="26"/>
  <c r="F540" i="26"/>
  <c r="D541" i="26"/>
  <c r="E541" i="26"/>
  <c r="F541" i="26"/>
  <c r="D542" i="26"/>
  <c r="E542" i="26"/>
  <c r="F542" i="26"/>
  <c r="D543" i="26"/>
  <c r="E543" i="26"/>
  <c r="F543" i="26"/>
  <c r="D544" i="26"/>
  <c r="E544" i="26"/>
  <c r="F544" i="26"/>
  <c r="D545" i="26"/>
  <c r="E545" i="26"/>
  <c r="F545" i="26"/>
  <c r="D546" i="26"/>
  <c r="E546" i="26"/>
  <c r="F546" i="26"/>
  <c r="D547" i="26"/>
  <c r="E547" i="26"/>
  <c r="F547" i="26"/>
  <c r="D548" i="26"/>
  <c r="E548" i="26"/>
  <c r="F548" i="26"/>
  <c r="D549" i="26"/>
  <c r="E549" i="26"/>
  <c r="F549" i="26"/>
  <c r="D550" i="26"/>
  <c r="E550" i="26"/>
  <c r="F550" i="26"/>
  <c r="D551" i="26"/>
  <c r="E551" i="26"/>
  <c r="F551" i="26"/>
  <c r="D552" i="26"/>
  <c r="E552" i="26"/>
  <c r="F552" i="26"/>
  <c r="D553" i="26"/>
  <c r="E553" i="26"/>
  <c r="F553" i="26"/>
  <c r="D554" i="26"/>
  <c r="E554" i="26"/>
  <c r="F554" i="26"/>
  <c r="D555" i="26"/>
  <c r="E555" i="26"/>
  <c r="F555" i="26"/>
  <c r="D556" i="26"/>
  <c r="E556" i="26"/>
  <c r="F556" i="26"/>
  <c r="D557" i="26"/>
  <c r="E557" i="26"/>
  <c r="F557" i="26"/>
  <c r="D558" i="26"/>
  <c r="E558" i="26"/>
  <c r="F558" i="26"/>
  <c r="D559" i="26"/>
  <c r="E559" i="26"/>
  <c r="F559" i="26"/>
  <c r="D560" i="26"/>
  <c r="E560" i="26"/>
  <c r="F560" i="26"/>
  <c r="D561" i="26"/>
  <c r="E561" i="26"/>
  <c r="F561" i="26"/>
  <c r="D562" i="26"/>
  <c r="E562" i="26"/>
  <c r="F562" i="26"/>
  <c r="D563" i="26"/>
  <c r="E563" i="26"/>
  <c r="F563" i="26"/>
  <c r="D564" i="26"/>
  <c r="E564" i="26"/>
  <c r="F564" i="26"/>
  <c r="D565" i="26"/>
  <c r="E565" i="26"/>
  <c r="F565" i="26"/>
  <c r="D566" i="26"/>
  <c r="E566" i="26"/>
  <c r="F566" i="26"/>
  <c r="D567" i="26"/>
  <c r="E567" i="26"/>
  <c r="F567" i="26"/>
  <c r="D568" i="26"/>
  <c r="E568" i="26"/>
  <c r="F568" i="26"/>
  <c r="D569" i="26"/>
  <c r="E569" i="26"/>
  <c r="F569" i="26"/>
  <c r="D570" i="26"/>
  <c r="E570" i="26"/>
  <c r="F570" i="26"/>
  <c r="D571" i="26"/>
  <c r="E571" i="26"/>
  <c r="F571" i="26"/>
  <c r="D572" i="26"/>
  <c r="E572" i="26"/>
  <c r="F572" i="26"/>
  <c r="D573" i="26"/>
  <c r="E573" i="26"/>
  <c r="F573" i="26"/>
  <c r="D574" i="26"/>
  <c r="E574" i="26"/>
  <c r="F574" i="26"/>
  <c r="D575" i="26"/>
  <c r="E575" i="26"/>
  <c r="F575" i="26"/>
  <c r="D576" i="26"/>
  <c r="E576" i="26"/>
  <c r="F576" i="26"/>
  <c r="D577" i="26"/>
  <c r="E577" i="26"/>
  <c r="F577" i="26"/>
  <c r="D578" i="26"/>
  <c r="E578" i="26"/>
  <c r="F578" i="26"/>
  <c r="D579" i="26"/>
  <c r="E579" i="26"/>
  <c r="F579" i="26"/>
  <c r="D580" i="26"/>
  <c r="E580" i="26"/>
  <c r="F580" i="26"/>
  <c r="D581" i="26"/>
  <c r="E581" i="26"/>
  <c r="F581" i="26"/>
  <c r="D582" i="26"/>
  <c r="E582" i="26"/>
  <c r="F582" i="26"/>
  <c r="D583" i="26"/>
  <c r="E583" i="26"/>
  <c r="F583" i="26"/>
  <c r="D584" i="26"/>
  <c r="E584" i="26"/>
  <c r="F584" i="26"/>
  <c r="D585" i="26"/>
  <c r="E585" i="26"/>
  <c r="F585" i="26"/>
  <c r="D586" i="26"/>
  <c r="E586" i="26"/>
  <c r="F586" i="26"/>
  <c r="D587" i="26"/>
  <c r="E587" i="26"/>
  <c r="F587" i="26"/>
  <c r="D588" i="26"/>
  <c r="E588" i="26"/>
  <c r="F588" i="26"/>
  <c r="D589" i="26"/>
  <c r="E589" i="26"/>
  <c r="F589" i="26"/>
  <c r="D590" i="26"/>
  <c r="E590" i="26"/>
  <c r="F590" i="26"/>
  <c r="D591" i="26"/>
  <c r="E591" i="26"/>
  <c r="F591" i="26"/>
  <c r="D592" i="26"/>
  <c r="E592" i="26"/>
  <c r="F592" i="26"/>
  <c r="D593" i="26"/>
  <c r="E593" i="26"/>
  <c r="F593" i="26"/>
  <c r="D594" i="26"/>
  <c r="E594" i="26"/>
  <c r="F594" i="26"/>
  <c r="D595" i="26"/>
  <c r="E595" i="26"/>
  <c r="F595" i="26"/>
  <c r="D596" i="26"/>
  <c r="E596" i="26"/>
  <c r="F596" i="26"/>
  <c r="D597" i="26"/>
  <c r="E597" i="26"/>
  <c r="F597" i="26"/>
  <c r="D598" i="26"/>
  <c r="E598" i="26"/>
  <c r="F598" i="26"/>
  <c r="D599" i="26"/>
  <c r="E599" i="26"/>
  <c r="F599" i="26"/>
  <c r="D600" i="26"/>
  <c r="E600" i="26"/>
  <c r="F600" i="26"/>
  <c r="D601" i="26"/>
  <c r="E601" i="26"/>
  <c r="F601" i="26"/>
  <c r="D602" i="26"/>
  <c r="E602" i="26"/>
  <c r="F602" i="26"/>
  <c r="D603" i="26"/>
  <c r="E603" i="26"/>
  <c r="F603" i="26"/>
  <c r="D604" i="26"/>
  <c r="E604" i="26"/>
  <c r="F604" i="26"/>
  <c r="D605" i="26"/>
  <c r="E605" i="26"/>
  <c r="F605" i="26"/>
  <c r="D606" i="26"/>
  <c r="E606" i="26"/>
  <c r="F606" i="26"/>
  <c r="D607" i="26"/>
  <c r="E607" i="26"/>
  <c r="F607" i="26"/>
  <c r="D608" i="26"/>
  <c r="E608" i="26"/>
  <c r="F608" i="26"/>
  <c r="D609" i="26"/>
  <c r="E609" i="26"/>
  <c r="F609" i="26"/>
  <c r="D610" i="26"/>
  <c r="E610" i="26"/>
  <c r="F610" i="26"/>
  <c r="D611" i="26"/>
  <c r="E611" i="26"/>
  <c r="F611" i="26"/>
  <c r="D612" i="26"/>
  <c r="E612" i="26"/>
  <c r="F612" i="26"/>
  <c r="D613" i="26"/>
  <c r="E613" i="26"/>
  <c r="F613" i="26"/>
  <c r="D614" i="26"/>
  <c r="E614" i="26"/>
  <c r="F614" i="26"/>
  <c r="D615" i="26"/>
  <c r="E615" i="26"/>
  <c r="F615" i="26"/>
  <c r="D616" i="26"/>
  <c r="E616" i="26"/>
  <c r="F616" i="26"/>
  <c r="D617" i="26"/>
  <c r="E617" i="26"/>
  <c r="F617" i="26"/>
  <c r="D618" i="26"/>
  <c r="E618" i="26"/>
  <c r="F618" i="26"/>
  <c r="D619" i="26"/>
  <c r="E619" i="26"/>
  <c r="F619" i="26"/>
  <c r="D620" i="26"/>
  <c r="E620" i="26"/>
  <c r="F620" i="26"/>
  <c r="D621" i="26"/>
  <c r="E621" i="26"/>
  <c r="F621" i="26"/>
  <c r="D622" i="26"/>
  <c r="E622" i="26"/>
  <c r="F622" i="26"/>
  <c r="D623" i="26"/>
  <c r="E623" i="26"/>
  <c r="F623" i="26"/>
  <c r="D624" i="26"/>
  <c r="E624" i="26"/>
  <c r="F624" i="26"/>
  <c r="D625" i="26"/>
  <c r="E625" i="26"/>
  <c r="F625" i="26"/>
  <c r="D626" i="26"/>
  <c r="E626" i="26"/>
  <c r="F626" i="26"/>
  <c r="D627" i="26"/>
  <c r="E627" i="26"/>
  <c r="F627" i="26"/>
  <c r="D628" i="26"/>
  <c r="E628" i="26"/>
  <c r="F628" i="26"/>
  <c r="D629" i="26"/>
  <c r="E629" i="26"/>
  <c r="F629" i="26"/>
  <c r="D630" i="26"/>
  <c r="E630" i="26"/>
  <c r="F630" i="26"/>
  <c r="D631" i="26"/>
  <c r="E631" i="26"/>
  <c r="F631" i="26"/>
  <c r="D632" i="26"/>
  <c r="E632" i="26"/>
  <c r="F632" i="26"/>
  <c r="D633" i="26"/>
  <c r="E633" i="26"/>
  <c r="F633" i="26"/>
  <c r="D634" i="26"/>
  <c r="E634" i="26"/>
  <c r="F634" i="26"/>
  <c r="D635" i="26"/>
  <c r="E635" i="26"/>
  <c r="F635" i="26"/>
  <c r="D636" i="26"/>
  <c r="E636" i="26"/>
  <c r="F636" i="26"/>
  <c r="D637" i="26"/>
  <c r="E637" i="26"/>
  <c r="F637" i="26"/>
  <c r="D638" i="26"/>
  <c r="E638" i="26"/>
  <c r="F638" i="26"/>
  <c r="D639" i="26"/>
  <c r="E639" i="26"/>
  <c r="F639" i="26"/>
  <c r="D640" i="26"/>
  <c r="E640" i="26"/>
  <c r="F640" i="26"/>
  <c r="D641" i="26"/>
  <c r="E641" i="26"/>
  <c r="F641" i="26"/>
  <c r="D642" i="26"/>
  <c r="E642" i="26"/>
  <c r="F642" i="26"/>
  <c r="D643" i="26"/>
  <c r="E643" i="26"/>
  <c r="F643" i="26"/>
  <c r="D644" i="26"/>
  <c r="E644" i="26"/>
  <c r="F644" i="26"/>
  <c r="D645" i="26"/>
  <c r="E645" i="26"/>
  <c r="F645" i="26"/>
  <c r="D646" i="26"/>
  <c r="E646" i="26"/>
  <c r="F646" i="26"/>
  <c r="D647" i="26"/>
  <c r="E647" i="26"/>
  <c r="F647" i="26"/>
  <c r="D648" i="26"/>
  <c r="E648" i="26"/>
  <c r="F648" i="26"/>
  <c r="D649" i="26"/>
  <c r="E649" i="26"/>
  <c r="F649" i="26"/>
  <c r="D650" i="26"/>
  <c r="E650" i="26"/>
  <c r="F650" i="26"/>
  <c r="D651" i="26"/>
  <c r="E651" i="26"/>
  <c r="F651" i="26"/>
  <c r="D652" i="26"/>
  <c r="E652" i="26"/>
  <c r="F652" i="26"/>
  <c r="D653" i="26"/>
  <c r="E653" i="26"/>
  <c r="F653" i="26"/>
  <c r="D654" i="26"/>
  <c r="E654" i="26"/>
  <c r="F654" i="26"/>
  <c r="D655" i="26"/>
  <c r="E655" i="26"/>
  <c r="F655" i="26"/>
  <c r="D656" i="26"/>
  <c r="E656" i="26"/>
  <c r="F656" i="26"/>
  <c r="D657" i="26"/>
  <c r="E657" i="26"/>
  <c r="F657" i="26"/>
  <c r="D658" i="26"/>
  <c r="E658" i="26"/>
  <c r="F658" i="26"/>
  <c r="D659" i="26"/>
  <c r="E659" i="26"/>
  <c r="F659" i="26"/>
  <c r="D660" i="26"/>
  <c r="E660" i="26"/>
  <c r="F660" i="26"/>
  <c r="D661" i="26"/>
  <c r="E661" i="26"/>
  <c r="F661" i="26"/>
  <c r="D662" i="26"/>
  <c r="E662" i="26"/>
  <c r="F662" i="26"/>
  <c r="AO3" i="4"/>
  <c r="AQ3" i="4" s="1"/>
  <c r="AP3" i="4"/>
  <c r="AR3" i="4"/>
  <c r="AZ3" i="4" s="1"/>
  <c r="AS3" i="4"/>
  <c r="AT3" i="4"/>
  <c r="AU3" i="4"/>
  <c r="AV3" i="4"/>
  <c r="AW3" i="4"/>
  <c r="AX3" i="4"/>
  <c r="AO4" i="4"/>
  <c r="AQ4" i="4" s="1"/>
  <c r="AP4" i="4"/>
  <c r="AR4" i="4"/>
  <c r="AZ4" i="4" s="1"/>
  <c r="AS4" i="4"/>
  <c r="AT4" i="4"/>
  <c r="AU4" i="4"/>
  <c r="AV4" i="4"/>
  <c r="AW4" i="4"/>
  <c r="AX4" i="4"/>
  <c r="AO5" i="4"/>
  <c r="AQ5" i="4" s="1"/>
  <c r="AP5" i="4"/>
  <c r="AR5" i="4"/>
  <c r="AZ5" i="4" s="1"/>
  <c r="AS5" i="4"/>
  <c r="AT5" i="4"/>
  <c r="AU5" i="4"/>
  <c r="AV5" i="4"/>
  <c r="AW5" i="4"/>
  <c r="AX5" i="4"/>
  <c r="AO6" i="4"/>
  <c r="AQ6" i="4" s="1"/>
  <c r="AP6" i="4"/>
  <c r="AR6" i="4"/>
  <c r="AZ6" i="4" s="1"/>
  <c r="AS6" i="4"/>
  <c r="AT6" i="4"/>
  <c r="AU6" i="4"/>
  <c r="AV6" i="4"/>
  <c r="AW6" i="4"/>
  <c r="AX6" i="4"/>
  <c r="AO7" i="4"/>
  <c r="AQ7" i="4" s="1"/>
  <c r="AP7" i="4"/>
  <c r="AR7" i="4"/>
  <c r="AZ7" i="4" s="1"/>
  <c r="AS7" i="4"/>
  <c r="AT7" i="4"/>
  <c r="AU7" i="4"/>
  <c r="AV7" i="4"/>
  <c r="AW7" i="4"/>
  <c r="AX7" i="4"/>
  <c r="AO8" i="4"/>
  <c r="AQ8" i="4" s="1"/>
  <c r="AP8" i="4"/>
  <c r="AR8" i="4"/>
  <c r="AZ8" i="4" s="1"/>
  <c r="AS8" i="4"/>
  <c r="AT8" i="4"/>
  <c r="AU8" i="4"/>
  <c r="AV8" i="4"/>
  <c r="AW8" i="4"/>
  <c r="AX8" i="4"/>
  <c r="AO9" i="4"/>
  <c r="AQ9" i="4" s="1"/>
  <c r="AP9" i="4"/>
  <c r="AR9" i="4"/>
  <c r="AZ9" i="4" s="1"/>
  <c r="AS9" i="4"/>
  <c r="AT9" i="4"/>
  <c r="AU9" i="4"/>
  <c r="AV9" i="4"/>
  <c r="AW9" i="4"/>
  <c r="AX9" i="4"/>
  <c r="AO10" i="4"/>
  <c r="AQ10" i="4" s="1"/>
  <c r="AP10" i="4"/>
  <c r="AR10" i="4"/>
  <c r="AS10" i="4"/>
  <c r="AT10" i="4"/>
  <c r="AU10" i="4"/>
  <c r="AV10" i="4"/>
  <c r="AW10" i="4"/>
  <c r="AX10" i="4"/>
  <c r="AZ10" i="4"/>
  <c r="AO11" i="4"/>
  <c r="AP11" i="4"/>
  <c r="AQ11" i="4"/>
  <c r="AR11" i="4"/>
  <c r="AZ11" i="4" s="1"/>
  <c r="AS11" i="4"/>
  <c r="AT11" i="4"/>
  <c r="AU11" i="4"/>
  <c r="AV11" i="4"/>
  <c r="AW11" i="4"/>
  <c r="AX11" i="4"/>
  <c r="AO12" i="4"/>
  <c r="AQ12" i="4" s="1"/>
  <c r="AP12" i="4"/>
  <c r="AR12" i="4"/>
  <c r="AZ12" i="4" s="1"/>
  <c r="AS12" i="4"/>
  <c r="AT12" i="4"/>
  <c r="AU12" i="4"/>
  <c r="AV12" i="4"/>
  <c r="AW12" i="4"/>
  <c r="AX12" i="4"/>
  <c r="AO13" i="4"/>
  <c r="AQ13" i="4" s="1"/>
  <c r="AP13" i="4"/>
  <c r="AR13" i="4"/>
  <c r="AZ13" i="4" s="1"/>
  <c r="AS13" i="4"/>
  <c r="AT13" i="4"/>
  <c r="AU13" i="4"/>
  <c r="AV13" i="4"/>
  <c r="AW13" i="4"/>
  <c r="AX13" i="4"/>
  <c r="AO14" i="4"/>
  <c r="AQ14" i="4" s="1"/>
  <c r="AP14" i="4"/>
  <c r="AR14" i="4"/>
  <c r="AZ14" i="4" s="1"/>
  <c r="AS14" i="4"/>
  <c r="AT14" i="4"/>
  <c r="AU14" i="4"/>
  <c r="AV14" i="4"/>
  <c r="AW14" i="4"/>
  <c r="AX14" i="4"/>
  <c r="AO15" i="4"/>
  <c r="AQ15" i="4" s="1"/>
  <c r="AP15" i="4"/>
  <c r="AR15" i="4"/>
  <c r="AZ15" i="4" s="1"/>
  <c r="AS15" i="4"/>
  <c r="AT15" i="4"/>
  <c r="AU15" i="4"/>
  <c r="AV15" i="4"/>
  <c r="AW15" i="4"/>
  <c r="AX15" i="4"/>
  <c r="AO16" i="4"/>
  <c r="AQ16" i="4" s="1"/>
  <c r="AP16" i="4"/>
  <c r="AR16" i="4"/>
  <c r="AZ16" i="4" s="1"/>
  <c r="AS16" i="4"/>
  <c r="AT16" i="4"/>
  <c r="AU16" i="4"/>
  <c r="AV16" i="4"/>
  <c r="AW16" i="4"/>
  <c r="AX16" i="4"/>
  <c r="AO17" i="4"/>
  <c r="AQ17" i="4" s="1"/>
  <c r="AP17" i="4"/>
  <c r="AR17" i="4"/>
  <c r="AZ17" i="4" s="1"/>
  <c r="AS17" i="4"/>
  <c r="AT17" i="4"/>
  <c r="AU17" i="4"/>
  <c r="AV17" i="4"/>
  <c r="AW17" i="4"/>
  <c r="AX17" i="4"/>
  <c r="AO18" i="4"/>
  <c r="AQ18" i="4" s="1"/>
  <c r="AP18" i="4"/>
  <c r="AR18" i="4"/>
  <c r="AZ18" i="4" s="1"/>
  <c r="AS18" i="4"/>
  <c r="AT18" i="4"/>
  <c r="AU18" i="4"/>
  <c r="AV18" i="4"/>
  <c r="AW18" i="4"/>
  <c r="AX18" i="4"/>
  <c r="AO19" i="4"/>
  <c r="AQ19" i="4" s="1"/>
  <c r="AP19" i="4"/>
  <c r="AR19" i="4"/>
  <c r="AZ19" i="4" s="1"/>
  <c r="AS19" i="4"/>
  <c r="AT19" i="4"/>
  <c r="AU19" i="4"/>
  <c r="AV19" i="4"/>
  <c r="AW19" i="4"/>
  <c r="AX19" i="4"/>
  <c r="AO20" i="4"/>
  <c r="AQ20" i="4" s="1"/>
  <c r="AP20" i="4"/>
  <c r="AR20" i="4"/>
  <c r="AZ20" i="4" s="1"/>
  <c r="AS20" i="4"/>
  <c r="AT20" i="4"/>
  <c r="AU20" i="4"/>
  <c r="AV20" i="4"/>
  <c r="AW20" i="4"/>
  <c r="AX20" i="4"/>
  <c r="AO21" i="4"/>
  <c r="AQ21" i="4" s="1"/>
  <c r="AP21" i="4"/>
  <c r="AR21" i="4"/>
  <c r="AZ21" i="4" s="1"/>
  <c r="AS21" i="4"/>
  <c r="AT21" i="4"/>
  <c r="AU21" i="4"/>
  <c r="AV21" i="4"/>
  <c r="AW21" i="4"/>
  <c r="AX21" i="4"/>
  <c r="AO22" i="4"/>
  <c r="AQ22" i="4" s="1"/>
  <c r="AP22" i="4"/>
  <c r="AR22" i="4"/>
  <c r="AZ22" i="4" s="1"/>
  <c r="AS22" i="4"/>
  <c r="AT22" i="4"/>
  <c r="AU22" i="4"/>
  <c r="AV22" i="4"/>
  <c r="AW22" i="4"/>
  <c r="AX22" i="4"/>
  <c r="AO23" i="4"/>
  <c r="AQ23" i="4" s="1"/>
  <c r="AP23" i="4"/>
  <c r="AR23" i="4"/>
  <c r="AZ23" i="4" s="1"/>
  <c r="AS23" i="4"/>
  <c r="AT23" i="4"/>
  <c r="AU23" i="4"/>
  <c r="AV23" i="4"/>
  <c r="AW23" i="4"/>
  <c r="AX23" i="4"/>
  <c r="AO24" i="4"/>
  <c r="AQ24" i="4" s="1"/>
  <c r="AP24" i="4"/>
  <c r="AR24" i="4"/>
  <c r="AZ24" i="4" s="1"/>
  <c r="AS24" i="4"/>
  <c r="AT24" i="4"/>
  <c r="AU24" i="4"/>
  <c r="AV24" i="4"/>
  <c r="AW24" i="4"/>
  <c r="AX24" i="4"/>
  <c r="AO25" i="4"/>
  <c r="AQ25" i="4" s="1"/>
  <c r="AP25" i="4"/>
  <c r="AR25" i="4"/>
  <c r="AZ25" i="4" s="1"/>
  <c r="AS25" i="4"/>
  <c r="AT25" i="4"/>
  <c r="AU25" i="4"/>
  <c r="AV25" i="4"/>
  <c r="AW25" i="4"/>
  <c r="AX25" i="4"/>
  <c r="AO26" i="4"/>
  <c r="AQ26" i="4" s="1"/>
  <c r="AP26" i="4"/>
  <c r="AR26" i="4"/>
  <c r="AS26" i="4"/>
  <c r="AT26" i="4"/>
  <c r="AU26" i="4"/>
  <c r="AV26" i="4"/>
  <c r="AW26" i="4"/>
  <c r="AX26" i="4"/>
  <c r="AZ26" i="4"/>
  <c r="AO27" i="4"/>
  <c r="AP27" i="4"/>
  <c r="AQ27" i="4"/>
  <c r="AR27" i="4"/>
  <c r="AZ27" i="4" s="1"/>
  <c r="AS27" i="4"/>
  <c r="AT27" i="4"/>
  <c r="AU27" i="4"/>
  <c r="AV27" i="4"/>
  <c r="AW27" i="4"/>
  <c r="AX27" i="4"/>
  <c r="AO28" i="4"/>
  <c r="AQ28" i="4" s="1"/>
  <c r="AP28" i="4"/>
  <c r="AR28" i="4"/>
  <c r="AZ28" i="4" s="1"/>
  <c r="AS28" i="4"/>
  <c r="AT28" i="4"/>
  <c r="AU28" i="4"/>
  <c r="AV28" i="4"/>
  <c r="AW28" i="4"/>
  <c r="AX28" i="4"/>
  <c r="AO29" i="4"/>
  <c r="AQ29" i="4" s="1"/>
  <c r="AP29" i="4"/>
  <c r="AR29" i="4"/>
  <c r="AZ29" i="4" s="1"/>
  <c r="AS29" i="4"/>
  <c r="AT29" i="4"/>
  <c r="AU29" i="4"/>
  <c r="AV29" i="4"/>
  <c r="AW29" i="4"/>
  <c r="AX29" i="4"/>
  <c r="AO30" i="4"/>
  <c r="AP30" i="4"/>
  <c r="AQ30" i="4"/>
  <c r="AR30" i="4"/>
  <c r="AZ30" i="4" s="1"/>
  <c r="AS30" i="4"/>
  <c r="AT30" i="4"/>
  <c r="AU30" i="4"/>
  <c r="AV30" i="4"/>
  <c r="AW30" i="4"/>
  <c r="AX30" i="4"/>
  <c r="AO31" i="4"/>
  <c r="AQ31" i="4" s="1"/>
  <c r="AP31" i="4"/>
  <c r="AR31" i="4"/>
  <c r="AZ31" i="4" s="1"/>
  <c r="AS31" i="4"/>
  <c r="AT31" i="4"/>
  <c r="AU31" i="4"/>
  <c r="AV31" i="4"/>
  <c r="AW31" i="4"/>
  <c r="AX31" i="4"/>
  <c r="AO32" i="4"/>
  <c r="AQ32" i="4" s="1"/>
  <c r="AP32" i="4"/>
  <c r="AR32" i="4"/>
  <c r="AZ32" i="4" s="1"/>
  <c r="AS32" i="4"/>
  <c r="AT32" i="4"/>
  <c r="AU32" i="4"/>
  <c r="AV32" i="4"/>
  <c r="AW32" i="4"/>
  <c r="AX32" i="4"/>
  <c r="AO33" i="4"/>
  <c r="AQ33" i="4" s="1"/>
  <c r="AP33" i="4"/>
  <c r="AR33" i="4"/>
  <c r="AZ33" i="4" s="1"/>
  <c r="AS33" i="4"/>
  <c r="AT33" i="4"/>
  <c r="AU33" i="4"/>
  <c r="AV33" i="4"/>
  <c r="AW33" i="4"/>
  <c r="AX33" i="4"/>
  <c r="AO34" i="4"/>
  <c r="AQ34" i="4" s="1"/>
  <c r="AP34" i="4"/>
  <c r="AR34" i="4"/>
  <c r="AZ34" i="4" s="1"/>
  <c r="AS34" i="4"/>
  <c r="AT34" i="4"/>
  <c r="AU34" i="4"/>
  <c r="AV34" i="4"/>
  <c r="AW34" i="4"/>
  <c r="AX34" i="4"/>
  <c r="AO35" i="4"/>
  <c r="AQ35" i="4" s="1"/>
  <c r="AP35" i="4"/>
  <c r="AR35" i="4"/>
  <c r="AZ35" i="4" s="1"/>
  <c r="AS35" i="4"/>
  <c r="AT35" i="4"/>
  <c r="AU35" i="4"/>
  <c r="AV35" i="4"/>
  <c r="AW35" i="4"/>
  <c r="AX35" i="4"/>
  <c r="AO36" i="4"/>
  <c r="AQ36" i="4" s="1"/>
  <c r="AP36" i="4"/>
  <c r="AR36" i="4"/>
  <c r="AZ36" i="4" s="1"/>
  <c r="AS36" i="4"/>
  <c r="AT36" i="4"/>
  <c r="AU36" i="4"/>
  <c r="AV36" i="4"/>
  <c r="AW36" i="4"/>
  <c r="AX36" i="4"/>
  <c r="AO37" i="4"/>
  <c r="AQ37" i="4" s="1"/>
  <c r="AP37" i="4"/>
  <c r="AR37" i="4"/>
  <c r="AZ37" i="4" s="1"/>
  <c r="AS37" i="4"/>
  <c r="AT37" i="4"/>
  <c r="AU37" i="4"/>
  <c r="AV37" i="4"/>
  <c r="AW37" i="4"/>
  <c r="AX37" i="4"/>
  <c r="AO38" i="4"/>
  <c r="AQ38" i="4" s="1"/>
  <c r="AP38" i="4"/>
  <c r="AR38" i="4"/>
  <c r="AZ38" i="4" s="1"/>
  <c r="AS38" i="4"/>
  <c r="AT38" i="4"/>
  <c r="AU38" i="4"/>
  <c r="AV38" i="4"/>
  <c r="AW38" i="4"/>
  <c r="AX38" i="4"/>
  <c r="AO39" i="4"/>
  <c r="AQ39" i="4" s="1"/>
  <c r="AP39" i="4"/>
  <c r="AR39" i="4"/>
  <c r="AZ39" i="4" s="1"/>
  <c r="AS39" i="4"/>
  <c r="AT39" i="4"/>
  <c r="AU39" i="4"/>
  <c r="AV39" i="4"/>
  <c r="AW39" i="4"/>
  <c r="AX39" i="4"/>
  <c r="AO40" i="4"/>
  <c r="AQ40" i="4" s="1"/>
  <c r="AP40" i="4"/>
  <c r="AR40" i="4"/>
  <c r="AZ40" i="4" s="1"/>
  <c r="AS40" i="4"/>
  <c r="AT40" i="4"/>
  <c r="AU40" i="4"/>
  <c r="AV40" i="4"/>
  <c r="AW40" i="4"/>
  <c r="AX40" i="4"/>
  <c r="AO41" i="4"/>
  <c r="AQ41" i="4" s="1"/>
  <c r="AP41" i="4"/>
  <c r="AR41" i="4"/>
  <c r="AZ41" i="4" s="1"/>
  <c r="AS41" i="4"/>
  <c r="AT41" i="4"/>
  <c r="AU41" i="4"/>
  <c r="AV41" i="4"/>
  <c r="AW41" i="4"/>
  <c r="AX41" i="4"/>
  <c r="AO42" i="4"/>
  <c r="AQ42" i="4" s="1"/>
  <c r="AP42" i="4"/>
  <c r="AR42" i="4"/>
  <c r="AZ42" i="4" s="1"/>
  <c r="AS42" i="4"/>
  <c r="AT42" i="4"/>
  <c r="AU42" i="4"/>
  <c r="AV42" i="4"/>
  <c r="AW42" i="4"/>
  <c r="AX42" i="4"/>
  <c r="AO43" i="4"/>
  <c r="AP43" i="4"/>
  <c r="AQ43" i="4"/>
  <c r="AR43" i="4"/>
  <c r="AZ43" i="4" s="1"/>
  <c r="AS43" i="4"/>
  <c r="AT43" i="4"/>
  <c r="AU43" i="4"/>
  <c r="AV43" i="4"/>
  <c r="AW43" i="4"/>
  <c r="AX43" i="4"/>
  <c r="AO44" i="4"/>
  <c r="AQ44" i="4" s="1"/>
  <c r="AP44" i="4"/>
  <c r="AR44" i="4"/>
  <c r="AZ44" i="4" s="1"/>
  <c r="AS44" i="4"/>
  <c r="AT44" i="4"/>
  <c r="AU44" i="4"/>
  <c r="AV44" i="4"/>
  <c r="AW44" i="4"/>
  <c r="AX44" i="4"/>
  <c r="AO45" i="4"/>
  <c r="AQ45" i="4" s="1"/>
  <c r="AP45" i="4"/>
  <c r="AR45" i="4"/>
  <c r="AZ45" i="4" s="1"/>
  <c r="AS45" i="4"/>
  <c r="AT45" i="4"/>
  <c r="AU45" i="4"/>
  <c r="AV45" i="4"/>
  <c r="AW45" i="4"/>
  <c r="AX45" i="4"/>
  <c r="AO46" i="4"/>
  <c r="AP46" i="4"/>
  <c r="AQ46" i="4"/>
  <c r="AR46" i="4"/>
  <c r="AZ46" i="4" s="1"/>
  <c r="AS46" i="4"/>
  <c r="AT46" i="4"/>
  <c r="AU46" i="4"/>
  <c r="AV46" i="4"/>
  <c r="AW46" i="4"/>
  <c r="AX46" i="4"/>
  <c r="AO47" i="4"/>
  <c r="AQ47" i="4" s="1"/>
  <c r="AP47" i="4"/>
  <c r="AR47" i="4"/>
  <c r="AZ47" i="4" s="1"/>
  <c r="AS47" i="4"/>
  <c r="AT47" i="4"/>
  <c r="AU47" i="4"/>
  <c r="AV47" i="4"/>
  <c r="AW47" i="4"/>
  <c r="AX47" i="4"/>
  <c r="AO48" i="4"/>
  <c r="AQ48" i="4" s="1"/>
  <c r="AP48" i="4"/>
  <c r="AR48" i="4"/>
  <c r="AZ48" i="4" s="1"/>
  <c r="AS48" i="4"/>
  <c r="AT48" i="4"/>
  <c r="AU48" i="4"/>
  <c r="AV48" i="4"/>
  <c r="AW48" i="4"/>
  <c r="AX48" i="4"/>
  <c r="AO49" i="4"/>
  <c r="AQ49" i="4" s="1"/>
  <c r="AP49" i="4"/>
  <c r="AR49" i="4"/>
  <c r="AZ49" i="4" s="1"/>
  <c r="AS49" i="4"/>
  <c r="AT49" i="4"/>
  <c r="AU49" i="4"/>
  <c r="AV49" i="4"/>
  <c r="AW49" i="4"/>
  <c r="AX49" i="4"/>
  <c r="AO50" i="4"/>
  <c r="AQ50" i="4" s="1"/>
  <c r="AP50" i="4"/>
  <c r="AR50" i="4"/>
  <c r="AZ50" i="4" s="1"/>
  <c r="AS50" i="4"/>
  <c r="AT50" i="4"/>
  <c r="AU50" i="4"/>
  <c r="AV50" i="4"/>
  <c r="AW50" i="4"/>
  <c r="AX50" i="4"/>
  <c r="AO51" i="4"/>
  <c r="AQ51" i="4" s="1"/>
  <c r="AP51" i="4"/>
  <c r="AR51" i="4"/>
  <c r="AZ51" i="4" s="1"/>
  <c r="AS51" i="4"/>
  <c r="AT51" i="4"/>
  <c r="AU51" i="4"/>
  <c r="AV51" i="4"/>
  <c r="AW51" i="4"/>
  <c r="AX51" i="4"/>
  <c r="AO52" i="4"/>
  <c r="AQ52" i="4" s="1"/>
  <c r="AP52" i="4"/>
  <c r="AR52" i="4"/>
  <c r="AZ52" i="4" s="1"/>
  <c r="AS52" i="4"/>
  <c r="AT52" i="4"/>
  <c r="AU52" i="4"/>
  <c r="AV52" i="4"/>
  <c r="AW52" i="4"/>
  <c r="AX52" i="4"/>
  <c r="AO53" i="4"/>
  <c r="AQ53" i="4" s="1"/>
  <c r="AP53" i="4"/>
  <c r="AR53" i="4"/>
  <c r="AZ53" i="4" s="1"/>
  <c r="AS53" i="4"/>
  <c r="AT53" i="4"/>
  <c r="AU53" i="4"/>
  <c r="AV53" i="4"/>
  <c r="AW53" i="4"/>
  <c r="AX53" i="4"/>
  <c r="AO54" i="4"/>
  <c r="AQ54" i="4" s="1"/>
  <c r="AP54" i="4"/>
  <c r="AR54" i="4"/>
  <c r="AZ54" i="4" s="1"/>
  <c r="AS54" i="4"/>
  <c r="AT54" i="4"/>
  <c r="AU54" i="4"/>
  <c r="AV54" i="4"/>
  <c r="AW54" i="4"/>
  <c r="AX54" i="4"/>
  <c r="AO55" i="4"/>
  <c r="AQ55" i="4" s="1"/>
  <c r="AP55" i="4"/>
  <c r="AR55" i="4"/>
  <c r="AZ55" i="4" s="1"/>
  <c r="AS55" i="4"/>
  <c r="AT55" i="4"/>
  <c r="AU55" i="4"/>
  <c r="AV55" i="4"/>
  <c r="AW55" i="4"/>
  <c r="AX55" i="4"/>
  <c r="AO56" i="4"/>
  <c r="AQ56" i="4" s="1"/>
  <c r="AP56" i="4"/>
  <c r="AR56" i="4"/>
  <c r="AZ56" i="4" s="1"/>
  <c r="AS56" i="4"/>
  <c r="AT56" i="4"/>
  <c r="AU56" i="4"/>
  <c r="AV56" i="4"/>
  <c r="AW56" i="4"/>
  <c r="AX56" i="4"/>
  <c r="AO57" i="4"/>
  <c r="AQ57" i="4" s="1"/>
  <c r="AP57" i="4"/>
  <c r="AR57" i="4"/>
  <c r="AZ57" i="4" s="1"/>
  <c r="AS57" i="4"/>
  <c r="AT57" i="4"/>
  <c r="AU57" i="4"/>
  <c r="AV57" i="4"/>
  <c r="AW57" i="4"/>
  <c r="AX57" i="4"/>
  <c r="AO58" i="4"/>
  <c r="AQ58" i="4" s="1"/>
  <c r="AP58" i="4"/>
  <c r="AR58" i="4"/>
  <c r="AS58" i="4"/>
  <c r="AT58" i="4"/>
  <c r="AU58" i="4"/>
  <c r="AV58" i="4"/>
  <c r="AW58" i="4"/>
  <c r="AX58" i="4"/>
  <c r="AZ58" i="4"/>
  <c r="AO59" i="4"/>
  <c r="AP59" i="4"/>
  <c r="AQ59" i="4"/>
  <c r="AR59" i="4"/>
  <c r="AZ59" i="4" s="1"/>
  <c r="AS59" i="4"/>
  <c r="AT59" i="4"/>
  <c r="AU59" i="4"/>
  <c r="AV59" i="4"/>
  <c r="AW59" i="4"/>
  <c r="AX59" i="4"/>
  <c r="AO60" i="4"/>
  <c r="AQ60" i="4" s="1"/>
  <c r="AP60" i="4"/>
  <c r="AR60" i="4"/>
  <c r="AZ60" i="4" s="1"/>
  <c r="AS60" i="4"/>
  <c r="AT60" i="4"/>
  <c r="AU60" i="4"/>
  <c r="AV60" i="4"/>
  <c r="AW60" i="4"/>
  <c r="AX60" i="4"/>
  <c r="AO61" i="4"/>
  <c r="AQ61" i="4" s="1"/>
  <c r="AP61" i="4"/>
  <c r="AR61" i="4"/>
  <c r="AZ61" i="4" s="1"/>
  <c r="AS61" i="4"/>
  <c r="AT61" i="4"/>
  <c r="AU61" i="4"/>
  <c r="AV61" i="4"/>
  <c r="AW61" i="4"/>
  <c r="AX61" i="4"/>
  <c r="AO62" i="4"/>
  <c r="AP62" i="4"/>
  <c r="AQ62" i="4"/>
  <c r="AR62" i="4"/>
  <c r="AZ62" i="4" s="1"/>
  <c r="AS62" i="4"/>
  <c r="AT62" i="4"/>
  <c r="AU62" i="4"/>
  <c r="AV62" i="4"/>
  <c r="AW62" i="4"/>
  <c r="AX62" i="4"/>
  <c r="AO63" i="4"/>
  <c r="AQ63" i="4" s="1"/>
  <c r="AP63" i="4"/>
  <c r="AR63" i="4"/>
  <c r="AZ63" i="4" s="1"/>
  <c r="AS63" i="4"/>
  <c r="AT63" i="4"/>
  <c r="AU63" i="4"/>
  <c r="AV63" i="4"/>
  <c r="AW63" i="4"/>
  <c r="AX63" i="4"/>
  <c r="AO64" i="4"/>
  <c r="AQ64" i="4" s="1"/>
  <c r="AP64" i="4"/>
  <c r="AR64" i="4"/>
  <c r="AZ64" i="4" s="1"/>
  <c r="AS64" i="4"/>
  <c r="AT64" i="4"/>
  <c r="AU64" i="4"/>
  <c r="AV64" i="4"/>
  <c r="AW64" i="4"/>
  <c r="AX64" i="4"/>
  <c r="AO65" i="4"/>
  <c r="AQ65" i="4" s="1"/>
  <c r="AP65" i="4"/>
  <c r="AR65" i="4"/>
  <c r="AZ65" i="4" s="1"/>
  <c r="AS65" i="4"/>
  <c r="AT65" i="4"/>
  <c r="AU65" i="4"/>
  <c r="AV65" i="4"/>
  <c r="AW65" i="4"/>
  <c r="AX65" i="4"/>
  <c r="AO66" i="4"/>
  <c r="AQ66" i="4" s="1"/>
  <c r="AP66" i="4"/>
  <c r="AR66" i="4"/>
  <c r="AZ66" i="4" s="1"/>
  <c r="AS66" i="4"/>
  <c r="AT66" i="4"/>
  <c r="AU66" i="4"/>
  <c r="AV66" i="4"/>
  <c r="AW66" i="4"/>
  <c r="AX66" i="4"/>
  <c r="AO67" i="4"/>
  <c r="AQ67" i="4" s="1"/>
  <c r="AP67" i="4"/>
  <c r="AR67" i="4"/>
  <c r="AZ67" i="4" s="1"/>
  <c r="AS67" i="4"/>
  <c r="AT67" i="4"/>
  <c r="AU67" i="4"/>
  <c r="AV67" i="4"/>
  <c r="AW67" i="4"/>
  <c r="AX67" i="4"/>
  <c r="AO68" i="4"/>
  <c r="AQ68" i="4" s="1"/>
  <c r="AP68" i="4"/>
  <c r="AR68" i="4"/>
  <c r="AZ68" i="4" s="1"/>
  <c r="AS68" i="4"/>
  <c r="AT68" i="4"/>
  <c r="AU68" i="4"/>
  <c r="AV68" i="4"/>
  <c r="AW68" i="4"/>
  <c r="AX68" i="4"/>
  <c r="AO69" i="4"/>
  <c r="AQ69" i="4" s="1"/>
  <c r="AP69" i="4"/>
  <c r="AR69" i="4"/>
  <c r="AZ69" i="4" s="1"/>
  <c r="AS69" i="4"/>
  <c r="AT69" i="4"/>
  <c r="AU69" i="4"/>
  <c r="AV69" i="4"/>
  <c r="AW69" i="4"/>
  <c r="AX69" i="4"/>
  <c r="AO70" i="4"/>
  <c r="AQ70" i="4" s="1"/>
  <c r="AP70" i="4"/>
  <c r="AR70" i="4"/>
  <c r="AZ70" i="4" s="1"/>
  <c r="AS70" i="4"/>
  <c r="AT70" i="4"/>
  <c r="AU70" i="4"/>
  <c r="AV70" i="4"/>
  <c r="AW70" i="4"/>
  <c r="AX70" i="4"/>
  <c r="AO71" i="4"/>
  <c r="AQ71" i="4" s="1"/>
  <c r="AP71" i="4"/>
  <c r="AR71" i="4"/>
  <c r="AZ71" i="4" s="1"/>
  <c r="AS71" i="4"/>
  <c r="AT71" i="4"/>
  <c r="AU71" i="4"/>
  <c r="AV71" i="4"/>
  <c r="AW71" i="4"/>
  <c r="AX71" i="4"/>
  <c r="AO72" i="4"/>
  <c r="AQ72" i="4" s="1"/>
  <c r="AP72" i="4"/>
  <c r="AR72" i="4"/>
  <c r="AZ72" i="4" s="1"/>
  <c r="AS72" i="4"/>
  <c r="AT72" i="4"/>
  <c r="AU72" i="4"/>
  <c r="AV72" i="4"/>
  <c r="AW72" i="4"/>
  <c r="AX72" i="4"/>
  <c r="AO73" i="4"/>
  <c r="AQ73" i="4" s="1"/>
  <c r="AP73" i="4"/>
  <c r="AR73" i="4"/>
  <c r="AZ73" i="4" s="1"/>
  <c r="AS73" i="4"/>
  <c r="AT73" i="4"/>
  <c r="AU73" i="4"/>
  <c r="AV73" i="4"/>
  <c r="AW73" i="4"/>
  <c r="AX73" i="4"/>
  <c r="AO74" i="4"/>
  <c r="AQ74" i="4" s="1"/>
  <c r="AP74" i="4"/>
  <c r="AR74" i="4"/>
  <c r="AS74" i="4"/>
  <c r="AT74" i="4"/>
  <c r="AU74" i="4"/>
  <c r="AV74" i="4"/>
  <c r="AW74" i="4"/>
  <c r="AX74" i="4"/>
  <c r="AZ74" i="4"/>
  <c r="AO75" i="4"/>
  <c r="AP75" i="4"/>
  <c r="AQ75" i="4"/>
  <c r="AR75" i="4"/>
  <c r="AZ75" i="4" s="1"/>
  <c r="AS75" i="4"/>
  <c r="AT75" i="4"/>
  <c r="AU75" i="4"/>
  <c r="AV75" i="4"/>
  <c r="AW75" i="4"/>
  <c r="AX75" i="4"/>
  <c r="AO76" i="4"/>
  <c r="AQ76" i="4" s="1"/>
  <c r="AP76" i="4"/>
  <c r="AR76" i="4"/>
  <c r="AZ76" i="4" s="1"/>
  <c r="AS76" i="4"/>
  <c r="AT76" i="4"/>
  <c r="AU76" i="4"/>
  <c r="AV76" i="4"/>
  <c r="AW76" i="4"/>
  <c r="AX76" i="4"/>
  <c r="AO77" i="4"/>
  <c r="AQ77" i="4" s="1"/>
  <c r="AP77" i="4"/>
  <c r="AR77" i="4"/>
  <c r="AZ77" i="4" s="1"/>
  <c r="AS77" i="4"/>
  <c r="AT77" i="4"/>
  <c r="AU77" i="4"/>
  <c r="AV77" i="4"/>
  <c r="AW77" i="4"/>
  <c r="AX77" i="4"/>
  <c r="AO78" i="4"/>
  <c r="AP78" i="4"/>
  <c r="AQ78" i="4"/>
  <c r="AR78" i="4"/>
  <c r="AZ78" i="4" s="1"/>
  <c r="AS78" i="4"/>
  <c r="AT78" i="4"/>
  <c r="AU78" i="4"/>
  <c r="AV78" i="4"/>
  <c r="AW78" i="4"/>
  <c r="AX78" i="4"/>
  <c r="AO79" i="4"/>
  <c r="AQ79" i="4" s="1"/>
  <c r="AP79" i="4"/>
  <c r="AR79" i="4"/>
  <c r="AZ79" i="4" s="1"/>
  <c r="AS79" i="4"/>
  <c r="AT79" i="4"/>
  <c r="AU79" i="4"/>
  <c r="AV79" i="4"/>
  <c r="AW79" i="4"/>
  <c r="AX79" i="4"/>
  <c r="AO80" i="4"/>
  <c r="AQ80" i="4" s="1"/>
  <c r="AP80" i="4"/>
  <c r="AR80" i="4"/>
  <c r="AZ80" i="4" s="1"/>
  <c r="AS80" i="4"/>
  <c r="AT80" i="4"/>
  <c r="AU80" i="4"/>
  <c r="AV80" i="4"/>
  <c r="AW80" i="4"/>
  <c r="AX80" i="4"/>
  <c r="AO81" i="4"/>
  <c r="AQ81" i="4" s="1"/>
  <c r="AP81" i="4"/>
  <c r="AR81" i="4"/>
  <c r="AZ81" i="4" s="1"/>
  <c r="AS81" i="4"/>
  <c r="AT81" i="4"/>
  <c r="AU81" i="4"/>
  <c r="AV81" i="4"/>
  <c r="AW81" i="4"/>
  <c r="AX81" i="4"/>
  <c r="AO82" i="4"/>
  <c r="AQ82" i="4" s="1"/>
  <c r="AP82" i="4"/>
  <c r="AR82" i="4"/>
  <c r="AZ82" i="4" s="1"/>
  <c r="AS82" i="4"/>
  <c r="AT82" i="4"/>
  <c r="AU82" i="4"/>
  <c r="AV82" i="4"/>
  <c r="AW82" i="4"/>
  <c r="AX82" i="4"/>
  <c r="AO83" i="4"/>
  <c r="AQ83" i="4" s="1"/>
  <c r="AP83" i="4"/>
  <c r="AR83" i="4"/>
  <c r="AZ83" i="4" s="1"/>
  <c r="AS83" i="4"/>
  <c r="AT83" i="4"/>
  <c r="AU83" i="4"/>
  <c r="AV83" i="4"/>
  <c r="AW83" i="4"/>
  <c r="AX83" i="4"/>
  <c r="AO84" i="4"/>
  <c r="AQ84" i="4" s="1"/>
  <c r="AP84" i="4"/>
  <c r="AR84" i="4"/>
  <c r="AZ84" i="4" s="1"/>
  <c r="AS84" i="4"/>
  <c r="AT84" i="4"/>
  <c r="AU84" i="4"/>
  <c r="AV84" i="4"/>
  <c r="AW84" i="4"/>
  <c r="AX84" i="4"/>
  <c r="AO85" i="4"/>
  <c r="AQ85" i="4" s="1"/>
  <c r="AP85" i="4"/>
  <c r="AR85" i="4"/>
  <c r="AZ85" i="4" s="1"/>
  <c r="AS85" i="4"/>
  <c r="AT85" i="4"/>
  <c r="AU85" i="4"/>
  <c r="AV85" i="4"/>
  <c r="AW85" i="4"/>
  <c r="AX85" i="4"/>
  <c r="AO86" i="4"/>
  <c r="AQ86" i="4" s="1"/>
  <c r="AP86" i="4"/>
  <c r="AR86" i="4"/>
  <c r="AZ86" i="4" s="1"/>
  <c r="AS86" i="4"/>
  <c r="AT86" i="4"/>
  <c r="AU86" i="4"/>
  <c r="AV86" i="4"/>
  <c r="AW86" i="4"/>
  <c r="AX86" i="4"/>
  <c r="AO87" i="4"/>
  <c r="AQ87" i="4" s="1"/>
  <c r="AP87" i="4"/>
  <c r="AR87" i="4"/>
  <c r="AZ87" i="4" s="1"/>
  <c r="AS87" i="4"/>
  <c r="AT87" i="4"/>
  <c r="AU87" i="4"/>
  <c r="AV87" i="4"/>
  <c r="AW87" i="4"/>
  <c r="AX87" i="4"/>
  <c r="AO88" i="4"/>
  <c r="AQ88" i="4" s="1"/>
  <c r="AP88" i="4"/>
  <c r="AR88" i="4"/>
  <c r="AZ88" i="4" s="1"/>
  <c r="AS88" i="4"/>
  <c r="AT88" i="4"/>
  <c r="AU88" i="4"/>
  <c r="AV88" i="4"/>
  <c r="AW88" i="4"/>
  <c r="AX88" i="4"/>
  <c r="AO89" i="4"/>
  <c r="AQ89" i="4" s="1"/>
  <c r="AP89" i="4"/>
  <c r="AR89" i="4"/>
  <c r="AZ89" i="4" s="1"/>
  <c r="AS89" i="4"/>
  <c r="AT89" i="4"/>
  <c r="AU89" i="4"/>
  <c r="AV89" i="4"/>
  <c r="AW89" i="4"/>
  <c r="AX89" i="4"/>
  <c r="AO90" i="4"/>
  <c r="AQ90" i="4" s="1"/>
  <c r="AP90" i="4"/>
  <c r="AR90" i="4"/>
  <c r="AS90" i="4"/>
  <c r="AT90" i="4"/>
  <c r="AU90" i="4"/>
  <c r="AV90" i="4"/>
  <c r="AW90" i="4"/>
  <c r="AX90" i="4"/>
  <c r="AZ90" i="4"/>
  <c r="AO91" i="4"/>
  <c r="AP91" i="4"/>
  <c r="AQ91" i="4"/>
  <c r="AR91" i="4"/>
  <c r="AZ91" i="4" s="1"/>
  <c r="AS91" i="4"/>
  <c r="AT91" i="4"/>
  <c r="AU91" i="4"/>
  <c r="AV91" i="4"/>
  <c r="AW91" i="4"/>
  <c r="AX91" i="4"/>
  <c r="AO92" i="4"/>
  <c r="AQ92" i="4" s="1"/>
  <c r="AP92" i="4"/>
  <c r="AR92" i="4"/>
  <c r="AZ92" i="4" s="1"/>
  <c r="AS92" i="4"/>
  <c r="AT92" i="4"/>
  <c r="AU92" i="4"/>
  <c r="AV92" i="4"/>
  <c r="AW92" i="4"/>
  <c r="AX92" i="4"/>
  <c r="AO93" i="4"/>
  <c r="AQ93" i="4" s="1"/>
  <c r="AP93" i="4"/>
  <c r="AR93" i="4"/>
  <c r="AZ93" i="4" s="1"/>
  <c r="AS93" i="4"/>
  <c r="AT93" i="4"/>
  <c r="AU93" i="4"/>
  <c r="AV93" i="4"/>
  <c r="AW93" i="4"/>
  <c r="AX93" i="4"/>
  <c r="AO94" i="4"/>
  <c r="AP94" i="4"/>
  <c r="AQ94" i="4"/>
  <c r="AR94" i="4"/>
  <c r="AZ94" i="4" s="1"/>
  <c r="AS94" i="4"/>
  <c r="AT94" i="4"/>
  <c r="AU94" i="4"/>
  <c r="AV94" i="4"/>
  <c r="AW94" i="4"/>
  <c r="AX94" i="4"/>
  <c r="AO95" i="4"/>
  <c r="AQ95" i="4" s="1"/>
  <c r="AP95" i="4"/>
  <c r="AR95" i="4"/>
  <c r="AZ95" i="4" s="1"/>
  <c r="AS95" i="4"/>
  <c r="AT95" i="4"/>
  <c r="AU95" i="4"/>
  <c r="AV95" i="4"/>
  <c r="AW95" i="4"/>
  <c r="AX95" i="4"/>
  <c r="AO96" i="4"/>
  <c r="AQ96" i="4" s="1"/>
  <c r="AP96" i="4"/>
  <c r="AR96" i="4"/>
  <c r="AZ96" i="4" s="1"/>
  <c r="AS96" i="4"/>
  <c r="AT96" i="4"/>
  <c r="AU96" i="4"/>
  <c r="AV96" i="4"/>
  <c r="AW96" i="4"/>
  <c r="AX96" i="4"/>
  <c r="AO97" i="4"/>
  <c r="AQ97" i="4" s="1"/>
  <c r="AP97" i="4"/>
  <c r="AR97" i="4"/>
  <c r="AZ97" i="4" s="1"/>
  <c r="AS97" i="4"/>
  <c r="AT97" i="4"/>
  <c r="AU97" i="4"/>
  <c r="AV97" i="4"/>
  <c r="AW97" i="4"/>
  <c r="AX97" i="4"/>
  <c r="AO98" i="4"/>
  <c r="AQ98" i="4" s="1"/>
  <c r="AP98" i="4"/>
  <c r="AR98" i="4"/>
  <c r="AS98" i="4"/>
  <c r="AT98" i="4"/>
  <c r="AU98" i="4"/>
  <c r="AV98" i="4"/>
  <c r="AW98" i="4"/>
  <c r="AX98" i="4"/>
  <c r="AZ98" i="4"/>
  <c r="AO99" i="4"/>
  <c r="AQ99" i="4" s="1"/>
  <c r="AP99" i="4"/>
  <c r="AR99" i="4"/>
  <c r="AZ99" i="4" s="1"/>
  <c r="AS99" i="4"/>
  <c r="AT99" i="4"/>
  <c r="AU99" i="4"/>
  <c r="AV99" i="4"/>
  <c r="AW99" i="4"/>
  <c r="AX99" i="4"/>
  <c r="AO100" i="4"/>
  <c r="AQ100" i="4" s="1"/>
  <c r="AP100" i="4"/>
  <c r="AR100" i="4"/>
  <c r="AZ100" i="4" s="1"/>
  <c r="AS100" i="4"/>
  <c r="AT100" i="4"/>
  <c r="AU100" i="4"/>
  <c r="AV100" i="4"/>
  <c r="AW100" i="4"/>
  <c r="AX100" i="4"/>
  <c r="AO101" i="4"/>
  <c r="AQ101" i="4" s="1"/>
  <c r="AP101" i="4"/>
  <c r="AR101" i="4"/>
  <c r="AZ101" i="4" s="1"/>
  <c r="AS101" i="4"/>
  <c r="AT101" i="4"/>
  <c r="AU101" i="4"/>
  <c r="AV101" i="4"/>
  <c r="AW101" i="4"/>
  <c r="AX101" i="4"/>
  <c r="AO102" i="4"/>
  <c r="AQ102" i="4" s="1"/>
  <c r="AP102" i="4"/>
  <c r="AR102" i="4"/>
  <c r="AZ102" i="4" s="1"/>
  <c r="AS102" i="4"/>
  <c r="AT102" i="4"/>
  <c r="AU102" i="4"/>
  <c r="AV102" i="4"/>
  <c r="AW102" i="4"/>
  <c r="AX102" i="4"/>
  <c r="AO103" i="4"/>
  <c r="AQ103" i="4" s="1"/>
  <c r="AP103" i="4"/>
  <c r="AR103" i="4"/>
  <c r="AZ103" i="4" s="1"/>
  <c r="AS103" i="4"/>
  <c r="AT103" i="4"/>
  <c r="AU103" i="4"/>
  <c r="AV103" i="4"/>
  <c r="AW103" i="4"/>
  <c r="AX103" i="4"/>
  <c r="AO104" i="4"/>
  <c r="AQ104" i="4" s="1"/>
  <c r="AP104" i="4"/>
  <c r="AR104" i="4"/>
  <c r="AZ104" i="4" s="1"/>
  <c r="AS104" i="4"/>
  <c r="AT104" i="4"/>
  <c r="AU104" i="4"/>
  <c r="AV104" i="4"/>
  <c r="AW104" i="4"/>
  <c r="AX104" i="4"/>
  <c r="AO105" i="4"/>
  <c r="AQ105" i="4" s="1"/>
  <c r="AP105" i="4"/>
  <c r="AR105" i="4"/>
  <c r="AZ105" i="4" s="1"/>
  <c r="AS105" i="4"/>
  <c r="AT105" i="4"/>
  <c r="AU105" i="4"/>
  <c r="AV105" i="4"/>
  <c r="AW105" i="4"/>
  <c r="AX105" i="4"/>
  <c r="AO106" i="4"/>
  <c r="AQ106" i="4" s="1"/>
  <c r="AP106" i="4"/>
  <c r="AR106" i="4"/>
  <c r="AS106" i="4"/>
  <c r="AT106" i="4"/>
  <c r="AU106" i="4"/>
  <c r="AV106" i="4"/>
  <c r="AW106" i="4"/>
  <c r="AX106" i="4"/>
  <c r="AZ106" i="4"/>
  <c r="AO107" i="4"/>
  <c r="AP107" i="4"/>
  <c r="AQ107" i="4"/>
  <c r="AR107" i="4"/>
  <c r="AZ107" i="4" s="1"/>
  <c r="AS107" i="4"/>
  <c r="AT107" i="4"/>
  <c r="AU107" i="4"/>
  <c r="AV107" i="4"/>
  <c r="AW107" i="4"/>
  <c r="AX107" i="4"/>
  <c r="AO108" i="4"/>
  <c r="AQ108" i="4" s="1"/>
  <c r="AP108" i="4"/>
  <c r="AR108" i="4"/>
  <c r="AZ108" i="4" s="1"/>
  <c r="AS108" i="4"/>
  <c r="AT108" i="4"/>
  <c r="AU108" i="4"/>
  <c r="AV108" i="4"/>
  <c r="AW108" i="4"/>
  <c r="AX108" i="4"/>
  <c r="AO109" i="4"/>
  <c r="AQ109" i="4" s="1"/>
  <c r="AP109" i="4"/>
  <c r="AR109" i="4"/>
  <c r="AZ109" i="4" s="1"/>
  <c r="AS109" i="4"/>
  <c r="AT109" i="4"/>
  <c r="AU109" i="4"/>
  <c r="AV109" i="4"/>
  <c r="AW109" i="4"/>
  <c r="AX109" i="4"/>
  <c r="AO110" i="4"/>
  <c r="AQ110" i="4" s="1"/>
  <c r="AP110" i="4"/>
  <c r="AR110" i="4"/>
  <c r="AZ110" i="4" s="1"/>
  <c r="AS110" i="4"/>
  <c r="AT110" i="4"/>
  <c r="AU110" i="4"/>
  <c r="AV110" i="4"/>
  <c r="AW110" i="4"/>
  <c r="AX110" i="4"/>
  <c r="AO111" i="4"/>
  <c r="AQ111" i="4" s="1"/>
  <c r="AP111" i="4"/>
  <c r="AR111" i="4"/>
  <c r="AZ111" i="4" s="1"/>
  <c r="AS111" i="4"/>
  <c r="AT111" i="4"/>
  <c r="AU111" i="4"/>
  <c r="AV111" i="4"/>
  <c r="AW111" i="4"/>
  <c r="AX111" i="4"/>
  <c r="AO112" i="4"/>
  <c r="AQ112" i="4" s="1"/>
  <c r="AP112" i="4"/>
  <c r="AR112" i="4"/>
  <c r="AZ112" i="4" s="1"/>
  <c r="AS112" i="4"/>
  <c r="AT112" i="4"/>
  <c r="AU112" i="4"/>
  <c r="AV112" i="4"/>
  <c r="AW112" i="4"/>
  <c r="AX112" i="4"/>
  <c r="AO113" i="4"/>
  <c r="AQ113" i="4" s="1"/>
  <c r="AP113" i="4"/>
  <c r="AR113" i="4"/>
  <c r="AZ113" i="4" s="1"/>
  <c r="AS113" i="4"/>
  <c r="AT113" i="4"/>
  <c r="AU113" i="4"/>
  <c r="AV113" i="4"/>
  <c r="AW113" i="4"/>
  <c r="AX113" i="4"/>
  <c r="AO114" i="4"/>
  <c r="AQ114" i="4" s="1"/>
  <c r="AP114" i="4"/>
  <c r="AR114" i="4"/>
  <c r="AS114" i="4"/>
  <c r="AT114" i="4"/>
  <c r="AU114" i="4"/>
  <c r="AV114" i="4"/>
  <c r="AW114" i="4"/>
  <c r="AX114" i="4"/>
  <c r="AZ114" i="4"/>
  <c r="AO115" i="4"/>
  <c r="AQ115" i="4" s="1"/>
  <c r="AP115" i="4"/>
  <c r="AR115" i="4"/>
  <c r="AZ115" i="4" s="1"/>
  <c r="AS115" i="4"/>
  <c r="AT115" i="4"/>
  <c r="AU115" i="4"/>
  <c r="AV115" i="4"/>
  <c r="AW115" i="4"/>
  <c r="AX115" i="4"/>
  <c r="AO116" i="4"/>
  <c r="AQ116" i="4" s="1"/>
  <c r="AP116" i="4"/>
  <c r="AR116" i="4"/>
  <c r="AZ116" i="4" s="1"/>
  <c r="AS116" i="4"/>
  <c r="AT116" i="4"/>
  <c r="AU116" i="4"/>
  <c r="AV116" i="4"/>
  <c r="AW116" i="4"/>
  <c r="AX116" i="4"/>
  <c r="AO117" i="4"/>
  <c r="AQ117" i="4" s="1"/>
  <c r="AP117" i="4"/>
  <c r="AR117" i="4"/>
  <c r="AZ117" i="4" s="1"/>
  <c r="AS117" i="4"/>
  <c r="AT117" i="4"/>
  <c r="AU117" i="4"/>
  <c r="AV117" i="4"/>
  <c r="AW117" i="4"/>
  <c r="AX117" i="4"/>
  <c r="AO118" i="4"/>
  <c r="AQ118" i="4" s="1"/>
  <c r="AP118" i="4"/>
  <c r="AR118" i="4"/>
  <c r="AZ118" i="4" s="1"/>
  <c r="AS118" i="4"/>
  <c r="AT118" i="4"/>
  <c r="AU118" i="4"/>
  <c r="AV118" i="4"/>
  <c r="AW118" i="4"/>
  <c r="AX118" i="4"/>
  <c r="AO119" i="4"/>
  <c r="AQ119" i="4" s="1"/>
  <c r="AP119" i="4"/>
  <c r="AR119" i="4"/>
  <c r="AZ119" i="4" s="1"/>
  <c r="AS119" i="4"/>
  <c r="AT119" i="4"/>
  <c r="AU119" i="4"/>
  <c r="AV119" i="4"/>
  <c r="AW119" i="4"/>
  <c r="AX119" i="4"/>
  <c r="AO120" i="4"/>
  <c r="AQ120" i="4" s="1"/>
  <c r="AP120" i="4"/>
  <c r="AR120" i="4"/>
  <c r="AZ120" i="4" s="1"/>
  <c r="AS120" i="4"/>
  <c r="AT120" i="4"/>
  <c r="AU120" i="4"/>
  <c r="AV120" i="4"/>
  <c r="AW120" i="4"/>
  <c r="AX120" i="4"/>
  <c r="AO121" i="4"/>
  <c r="AQ121" i="4" s="1"/>
  <c r="AP121" i="4"/>
  <c r="AR121" i="4"/>
  <c r="AZ121" i="4" s="1"/>
  <c r="AS121" i="4"/>
  <c r="AT121" i="4"/>
  <c r="AU121" i="4"/>
  <c r="AV121" i="4"/>
  <c r="AW121" i="4"/>
  <c r="AX121" i="4"/>
  <c r="AO122" i="4"/>
  <c r="AQ122" i="4" s="1"/>
  <c r="AP122" i="4"/>
  <c r="AR122" i="4"/>
  <c r="AZ122" i="4" s="1"/>
  <c r="AS122" i="4"/>
  <c r="AT122" i="4"/>
  <c r="AU122" i="4"/>
  <c r="AV122" i="4"/>
  <c r="AW122" i="4"/>
  <c r="AX122" i="4"/>
  <c r="AO123" i="4"/>
  <c r="AP123" i="4"/>
  <c r="AQ123" i="4"/>
  <c r="AR123" i="4"/>
  <c r="AZ123" i="4" s="1"/>
  <c r="AS123" i="4"/>
  <c r="AT123" i="4"/>
  <c r="AU123" i="4"/>
  <c r="AV123" i="4"/>
  <c r="AW123" i="4"/>
  <c r="AX123" i="4"/>
  <c r="AO124" i="4"/>
  <c r="AQ124" i="4" s="1"/>
  <c r="AP124" i="4"/>
  <c r="AR124" i="4"/>
  <c r="AZ124" i="4" s="1"/>
  <c r="AS124" i="4"/>
  <c r="AT124" i="4"/>
  <c r="AU124" i="4"/>
  <c r="AV124" i="4"/>
  <c r="AW124" i="4"/>
  <c r="AX124" i="4"/>
  <c r="AO125" i="4"/>
  <c r="AQ125" i="4" s="1"/>
  <c r="AP125" i="4"/>
  <c r="AR125" i="4"/>
  <c r="AZ125" i="4" s="1"/>
  <c r="AS125" i="4"/>
  <c r="AT125" i="4"/>
  <c r="AU125" i="4"/>
  <c r="AV125" i="4"/>
  <c r="AW125" i="4"/>
  <c r="AX125" i="4"/>
  <c r="AO126" i="4"/>
  <c r="AQ126" i="4" s="1"/>
  <c r="AP126" i="4"/>
  <c r="AR126" i="4"/>
  <c r="AZ126" i="4" s="1"/>
  <c r="AS126" i="4"/>
  <c r="AT126" i="4"/>
  <c r="AU126" i="4"/>
  <c r="AV126" i="4"/>
  <c r="AW126" i="4"/>
  <c r="AX126" i="4"/>
  <c r="AO127" i="4"/>
  <c r="AQ127" i="4" s="1"/>
  <c r="AP127" i="4"/>
  <c r="AR127" i="4"/>
  <c r="AZ127" i="4" s="1"/>
  <c r="AS127" i="4"/>
  <c r="AT127" i="4"/>
  <c r="AU127" i="4"/>
  <c r="AV127" i="4"/>
  <c r="AW127" i="4"/>
  <c r="AX127" i="4"/>
  <c r="AO128" i="4"/>
  <c r="AQ128" i="4" s="1"/>
  <c r="AP128" i="4"/>
  <c r="AR128" i="4"/>
  <c r="AZ128" i="4" s="1"/>
  <c r="AS128" i="4"/>
  <c r="AT128" i="4"/>
  <c r="AU128" i="4"/>
  <c r="AV128" i="4"/>
  <c r="AW128" i="4"/>
  <c r="AX128" i="4"/>
  <c r="AO129" i="4"/>
  <c r="AQ129" i="4" s="1"/>
  <c r="AP129" i="4"/>
  <c r="AR129" i="4"/>
  <c r="AZ129" i="4" s="1"/>
  <c r="AS129" i="4"/>
  <c r="AT129" i="4"/>
  <c r="AU129" i="4"/>
  <c r="AV129" i="4"/>
  <c r="AW129" i="4"/>
  <c r="AX129" i="4"/>
  <c r="AO130" i="4"/>
  <c r="AQ130" i="4" s="1"/>
  <c r="AP130" i="4"/>
  <c r="AR130" i="4"/>
  <c r="AZ130" i="4" s="1"/>
  <c r="AS130" i="4"/>
  <c r="AT130" i="4"/>
  <c r="AU130" i="4"/>
  <c r="AV130" i="4"/>
  <c r="AW130" i="4"/>
  <c r="AX130" i="4"/>
  <c r="AO131" i="4"/>
  <c r="AQ131" i="4" s="1"/>
  <c r="AP131" i="4"/>
  <c r="AR131" i="4"/>
  <c r="AZ131" i="4" s="1"/>
  <c r="AS131" i="4"/>
  <c r="AT131" i="4"/>
  <c r="AU131" i="4"/>
  <c r="AV131" i="4"/>
  <c r="AW131" i="4"/>
  <c r="AX131" i="4"/>
  <c r="AO132" i="4"/>
  <c r="AQ132" i="4" s="1"/>
  <c r="AP132" i="4"/>
  <c r="AR132" i="4"/>
  <c r="AZ132" i="4" s="1"/>
  <c r="AS132" i="4"/>
  <c r="AT132" i="4"/>
  <c r="AU132" i="4"/>
  <c r="AV132" i="4"/>
  <c r="AW132" i="4"/>
  <c r="AX132" i="4"/>
  <c r="AO133" i="4"/>
  <c r="AQ133" i="4" s="1"/>
  <c r="AP133" i="4"/>
  <c r="AR133" i="4"/>
  <c r="AZ133" i="4" s="1"/>
  <c r="AS133" i="4"/>
  <c r="AT133" i="4"/>
  <c r="AU133" i="4"/>
  <c r="AV133" i="4"/>
  <c r="AW133" i="4"/>
  <c r="AX133" i="4"/>
  <c r="AO134" i="4"/>
  <c r="AQ134" i="4" s="1"/>
  <c r="AP134" i="4"/>
  <c r="AR134" i="4"/>
  <c r="AZ134" i="4" s="1"/>
  <c r="AS134" i="4"/>
  <c r="AT134" i="4"/>
  <c r="AU134" i="4"/>
  <c r="AV134" i="4"/>
  <c r="AW134" i="4"/>
  <c r="AX134" i="4"/>
  <c r="AO135" i="4"/>
  <c r="AQ135" i="4" s="1"/>
  <c r="AP135" i="4"/>
  <c r="AR135" i="4"/>
  <c r="AZ135" i="4" s="1"/>
  <c r="AS135" i="4"/>
  <c r="AT135" i="4"/>
  <c r="AU135" i="4"/>
  <c r="AV135" i="4"/>
  <c r="AW135" i="4"/>
  <c r="AX135" i="4"/>
  <c r="AO136" i="4"/>
  <c r="AQ136" i="4" s="1"/>
  <c r="AP136" i="4"/>
  <c r="AR136" i="4"/>
  <c r="AZ136" i="4" s="1"/>
  <c r="AS136" i="4"/>
  <c r="AT136" i="4"/>
  <c r="AU136" i="4"/>
  <c r="AV136" i="4"/>
  <c r="AW136" i="4"/>
  <c r="AX136" i="4"/>
  <c r="AO137" i="4"/>
  <c r="AQ137" i="4" s="1"/>
  <c r="AP137" i="4"/>
  <c r="AR137" i="4"/>
  <c r="AZ137" i="4" s="1"/>
  <c r="AS137" i="4"/>
  <c r="AT137" i="4"/>
  <c r="AU137" i="4"/>
  <c r="AV137" i="4"/>
  <c r="AW137" i="4"/>
  <c r="AX137" i="4"/>
  <c r="AO138" i="4"/>
  <c r="AQ138" i="4" s="1"/>
  <c r="AP138" i="4"/>
  <c r="AR138" i="4"/>
  <c r="AZ138" i="4" s="1"/>
  <c r="AS138" i="4"/>
  <c r="AT138" i="4"/>
  <c r="AU138" i="4"/>
  <c r="AV138" i="4"/>
  <c r="AW138" i="4"/>
  <c r="AX138" i="4"/>
  <c r="AO139" i="4"/>
  <c r="AQ139" i="4" s="1"/>
  <c r="AP139" i="4"/>
  <c r="AR139" i="4"/>
  <c r="AZ139" i="4" s="1"/>
  <c r="AS139" i="4"/>
  <c r="AT139" i="4"/>
  <c r="AU139" i="4"/>
  <c r="AV139" i="4"/>
  <c r="AW139" i="4"/>
  <c r="AX139" i="4"/>
  <c r="AO140" i="4"/>
  <c r="AQ140" i="4" s="1"/>
  <c r="AP140" i="4"/>
  <c r="AR140" i="4"/>
  <c r="AZ140" i="4" s="1"/>
  <c r="AS140" i="4"/>
  <c r="AT140" i="4"/>
  <c r="AU140" i="4"/>
  <c r="AV140" i="4"/>
  <c r="AW140" i="4"/>
  <c r="AX140" i="4"/>
  <c r="AO141" i="4"/>
  <c r="AQ141" i="4" s="1"/>
  <c r="AP141" i="4"/>
  <c r="AR141" i="4"/>
  <c r="AZ141" i="4" s="1"/>
  <c r="AS141" i="4"/>
  <c r="AT141" i="4"/>
  <c r="AU141" i="4"/>
  <c r="AV141" i="4"/>
  <c r="AW141" i="4"/>
  <c r="AX141" i="4"/>
  <c r="AO142" i="4"/>
  <c r="AQ142" i="4" s="1"/>
  <c r="AP142" i="4"/>
  <c r="AR142" i="4"/>
  <c r="AZ142" i="4" s="1"/>
  <c r="AS142" i="4"/>
  <c r="AT142" i="4"/>
  <c r="AU142" i="4"/>
  <c r="AV142" i="4"/>
  <c r="AW142" i="4"/>
  <c r="AX142" i="4"/>
  <c r="AO143" i="4"/>
  <c r="AQ143" i="4" s="1"/>
  <c r="AP143" i="4"/>
  <c r="AR143" i="4"/>
  <c r="AZ143" i="4" s="1"/>
  <c r="AS143" i="4"/>
  <c r="AT143" i="4"/>
  <c r="AU143" i="4"/>
  <c r="AV143" i="4"/>
  <c r="AW143" i="4"/>
  <c r="AX143" i="4"/>
  <c r="AO144" i="4"/>
  <c r="AQ144" i="4" s="1"/>
  <c r="AP144" i="4"/>
  <c r="AR144" i="4"/>
  <c r="AZ144" i="4" s="1"/>
  <c r="AS144" i="4"/>
  <c r="AT144" i="4"/>
  <c r="AU144" i="4"/>
  <c r="AV144" i="4"/>
  <c r="AW144" i="4"/>
  <c r="AX144" i="4"/>
  <c r="AO145" i="4"/>
  <c r="AQ145" i="4" s="1"/>
  <c r="AP145" i="4"/>
  <c r="AR145" i="4"/>
  <c r="AZ145" i="4" s="1"/>
  <c r="AS145" i="4"/>
  <c r="AT145" i="4"/>
  <c r="AU145" i="4"/>
  <c r="AV145" i="4"/>
  <c r="AW145" i="4"/>
  <c r="AX145" i="4"/>
  <c r="AO146" i="4"/>
  <c r="AQ146" i="4" s="1"/>
  <c r="AP146" i="4"/>
  <c r="AR146" i="4"/>
  <c r="AZ146" i="4" s="1"/>
  <c r="AS146" i="4"/>
  <c r="AT146" i="4"/>
  <c r="AU146" i="4"/>
  <c r="AV146" i="4"/>
  <c r="AW146" i="4"/>
  <c r="AX146" i="4"/>
  <c r="AO147" i="4"/>
  <c r="AQ147" i="4" s="1"/>
  <c r="AP147" i="4"/>
  <c r="AR147" i="4"/>
  <c r="AZ147" i="4" s="1"/>
  <c r="AS147" i="4"/>
  <c r="AT147" i="4"/>
  <c r="AU147" i="4"/>
  <c r="AV147" i="4"/>
  <c r="AW147" i="4"/>
  <c r="AX147" i="4"/>
  <c r="AO148" i="4"/>
  <c r="AQ148" i="4" s="1"/>
  <c r="AP148" i="4"/>
  <c r="AR148" i="4"/>
  <c r="AZ148" i="4" s="1"/>
  <c r="AS148" i="4"/>
  <c r="AT148" i="4"/>
  <c r="AU148" i="4"/>
  <c r="AV148" i="4"/>
  <c r="AW148" i="4"/>
  <c r="AX148" i="4"/>
  <c r="AO149" i="4"/>
  <c r="AQ149" i="4" s="1"/>
  <c r="AP149" i="4"/>
  <c r="AR149" i="4"/>
  <c r="AZ149" i="4" s="1"/>
  <c r="AS149" i="4"/>
  <c r="AT149" i="4"/>
  <c r="AU149" i="4"/>
  <c r="AV149" i="4"/>
  <c r="AW149" i="4"/>
  <c r="AX149" i="4"/>
  <c r="AO150" i="4"/>
  <c r="AQ150" i="4" s="1"/>
  <c r="AP150" i="4"/>
  <c r="AR150" i="4"/>
  <c r="AZ150" i="4" s="1"/>
  <c r="AS150" i="4"/>
  <c r="AT150" i="4"/>
  <c r="AU150" i="4"/>
  <c r="AV150" i="4"/>
  <c r="AW150" i="4"/>
  <c r="AX150" i="4"/>
  <c r="AO151" i="4"/>
  <c r="AQ151" i="4" s="1"/>
  <c r="AP151" i="4"/>
  <c r="AR151" i="4"/>
  <c r="AZ151" i="4" s="1"/>
  <c r="AS151" i="4"/>
  <c r="AT151" i="4"/>
  <c r="AU151" i="4"/>
  <c r="AV151" i="4"/>
  <c r="AW151" i="4"/>
  <c r="AX151" i="4"/>
  <c r="AO152" i="4"/>
  <c r="AQ152" i="4" s="1"/>
  <c r="AP152" i="4"/>
  <c r="AR152" i="4"/>
  <c r="AZ152" i="4" s="1"/>
  <c r="AS152" i="4"/>
  <c r="AT152" i="4"/>
  <c r="AU152" i="4"/>
  <c r="AV152" i="4"/>
  <c r="AW152" i="4"/>
  <c r="AX152" i="4"/>
  <c r="AO153" i="4"/>
  <c r="AQ153" i="4" s="1"/>
  <c r="AP153" i="4"/>
  <c r="AR153" i="4"/>
  <c r="AZ153" i="4" s="1"/>
  <c r="AS153" i="4"/>
  <c r="AT153" i="4"/>
  <c r="AU153" i="4"/>
  <c r="AV153" i="4"/>
  <c r="AW153" i="4"/>
  <c r="AX153" i="4"/>
  <c r="AO154" i="4"/>
  <c r="AQ154" i="4" s="1"/>
  <c r="AP154" i="4"/>
  <c r="AR154" i="4"/>
  <c r="AS154" i="4"/>
  <c r="AT154" i="4"/>
  <c r="AU154" i="4"/>
  <c r="AV154" i="4"/>
  <c r="AW154" i="4"/>
  <c r="AX154" i="4"/>
  <c r="AZ154" i="4"/>
  <c r="AO155" i="4"/>
  <c r="AQ155" i="4" s="1"/>
  <c r="AP155" i="4"/>
  <c r="AR155" i="4"/>
  <c r="AZ155" i="4" s="1"/>
  <c r="AS155" i="4"/>
  <c r="AT155" i="4"/>
  <c r="AU155" i="4"/>
  <c r="AV155" i="4"/>
  <c r="AW155" i="4"/>
  <c r="AX155" i="4"/>
  <c r="AO156" i="4"/>
  <c r="AQ156" i="4" s="1"/>
  <c r="AP156" i="4"/>
  <c r="AR156" i="4"/>
  <c r="AZ156" i="4" s="1"/>
  <c r="AS156" i="4"/>
  <c r="AT156" i="4"/>
  <c r="AU156" i="4"/>
  <c r="AV156" i="4"/>
  <c r="AW156" i="4"/>
  <c r="AX156" i="4"/>
  <c r="AO157" i="4"/>
  <c r="AQ157" i="4" s="1"/>
  <c r="AP157" i="4"/>
  <c r="AR157" i="4"/>
  <c r="AZ157" i="4" s="1"/>
  <c r="AS157" i="4"/>
  <c r="AT157" i="4"/>
  <c r="AU157" i="4"/>
  <c r="AV157" i="4"/>
  <c r="AW157" i="4"/>
  <c r="AX157" i="4"/>
  <c r="AO158" i="4"/>
  <c r="AQ158" i="4" s="1"/>
  <c r="AP158" i="4"/>
  <c r="AR158" i="4"/>
  <c r="AZ158" i="4" s="1"/>
  <c r="AS158" i="4"/>
  <c r="AT158" i="4"/>
  <c r="AU158" i="4"/>
  <c r="AV158" i="4"/>
  <c r="AW158" i="4"/>
  <c r="AX158" i="4"/>
  <c r="AO159" i="4"/>
  <c r="AP159" i="4"/>
  <c r="AQ159" i="4"/>
  <c r="AR159" i="4"/>
  <c r="AZ159" i="4" s="1"/>
  <c r="AS159" i="4"/>
  <c r="AT159" i="4"/>
  <c r="AU159" i="4"/>
  <c r="AV159" i="4"/>
  <c r="AW159" i="4"/>
  <c r="AX159" i="4"/>
  <c r="AO160" i="4"/>
  <c r="AQ160" i="4" s="1"/>
  <c r="AP160" i="4"/>
  <c r="AR160" i="4"/>
  <c r="AZ160" i="4" s="1"/>
  <c r="AS160" i="4"/>
  <c r="AT160" i="4"/>
  <c r="AU160" i="4"/>
  <c r="AV160" i="4"/>
  <c r="AW160" i="4"/>
  <c r="AX160" i="4"/>
  <c r="AO161" i="4"/>
  <c r="AQ161" i="4" s="1"/>
  <c r="AP161" i="4"/>
  <c r="AR161" i="4"/>
  <c r="AZ161" i="4" s="1"/>
  <c r="AS161" i="4"/>
  <c r="AT161" i="4"/>
  <c r="AU161" i="4"/>
  <c r="AV161" i="4"/>
  <c r="AW161" i="4"/>
  <c r="AX161" i="4"/>
  <c r="AO162" i="4"/>
  <c r="AP162" i="4"/>
  <c r="AQ162" i="4"/>
  <c r="AR162" i="4"/>
  <c r="AS162" i="4"/>
  <c r="AT162" i="4"/>
  <c r="AU162" i="4"/>
  <c r="AV162" i="4"/>
  <c r="AW162" i="4"/>
  <c r="AX162" i="4"/>
  <c r="AZ162" i="4"/>
  <c r="AO163" i="4"/>
  <c r="AQ163" i="4" s="1"/>
  <c r="AP163" i="4"/>
  <c r="AR163" i="4"/>
  <c r="AZ163" i="4" s="1"/>
  <c r="AS163" i="4"/>
  <c r="AT163" i="4"/>
  <c r="AU163" i="4"/>
  <c r="AV163" i="4"/>
  <c r="AW163" i="4"/>
  <c r="AX163" i="4"/>
  <c r="AO164" i="4"/>
  <c r="AQ164" i="4" s="1"/>
  <c r="AP164" i="4"/>
  <c r="AR164" i="4"/>
  <c r="AZ164" i="4" s="1"/>
  <c r="AS164" i="4"/>
  <c r="AT164" i="4"/>
  <c r="AU164" i="4"/>
  <c r="AV164" i="4"/>
  <c r="AW164" i="4"/>
  <c r="AX164" i="4"/>
  <c r="AO165" i="4"/>
  <c r="AQ165" i="4" s="1"/>
  <c r="AP165" i="4"/>
  <c r="AR165" i="4"/>
  <c r="AZ165" i="4" s="1"/>
  <c r="AS165" i="4"/>
  <c r="AT165" i="4"/>
  <c r="AU165" i="4"/>
  <c r="AV165" i="4"/>
  <c r="AW165" i="4"/>
  <c r="AX165" i="4"/>
  <c r="AO166" i="4"/>
  <c r="AQ166" i="4" s="1"/>
  <c r="AP166" i="4"/>
  <c r="AR166" i="4"/>
  <c r="AS166" i="4"/>
  <c r="AT166" i="4"/>
  <c r="AU166" i="4"/>
  <c r="AV166" i="4"/>
  <c r="AW166" i="4"/>
  <c r="AX166" i="4"/>
  <c r="AZ166" i="4"/>
  <c r="AO167" i="4"/>
  <c r="AP167" i="4"/>
  <c r="AQ167" i="4"/>
  <c r="AR167" i="4"/>
  <c r="AZ167" i="4" s="1"/>
  <c r="AS167" i="4"/>
  <c r="AT167" i="4"/>
  <c r="AU167" i="4"/>
  <c r="AV167" i="4"/>
  <c r="AW167" i="4"/>
  <c r="AX167" i="4"/>
  <c r="AO168" i="4"/>
  <c r="AQ168" i="4" s="1"/>
  <c r="AP168" i="4"/>
  <c r="AR168" i="4"/>
  <c r="AZ168" i="4" s="1"/>
  <c r="AS168" i="4"/>
  <c r="AT168" i="4"/>
  <c r="AU168" i="4"/>
  <c r="AV168" i="4"/>
  <c r="AW168" i="4"/>
  <c r="AX168" i="4"/>
  <c r="AO169" i="4"/>
  <c r="AQ169" i="4" s="1"/>
  <c r="AP169" i="4"/>
  <c r="AR169" i="4"/>
  <c r="AZ169" i="4" s="1"/>
  <c r="AS169" i="4"/>
  <c r="AT169" i="4"/>
  <c r="AU169" i="4"/>
  <c r="AV169" i="4"/>
  <c r="AW169" i="4"/>
  <c r="AX169" i="4"/>
  <c r="AO170" i="4"/>
  <c r="AQ170" i="4" s="1"/>
  <c r="AP170" i="4"/>
  <c r="AR170" i="4"/>
  <c r="AZ170" i="4" s="1"/>
  <c r="AS170" i="4"/>
  <c r="AT170" i="4"/>
  <c r="AU170" i="4"/>
  <c r="AV170" i="4"/>
  <c r="AW170" i="4"/>
  <c r="AX170" i="4"/>
  <c r="AO171" i="4"/>
  <c r="AQ171" i="4" s="1"/>
  <c r="AP171" i="4"/>
  <c r="AR171" i="4"/>
  <c r="AZ171" i="4" s="1"/>
  <c r="AS171" i="4"/>
  <c r="AT171" i="4"/>
  <c r="AU171" i="4"/>
  <c r="AV171" i="4"/>
  <c r="AW171" i="4"/>
  <c r="AX171" i="4"/>
  <c r="AO172" i="4"/>
  <c r="AQ172" i="4" s="1"/>
  <c r="AP172" i="4"/>
  <c r="AR172" i="4"/>
  <c r="AZ172" i="4" s="1"/>
  <c r="AS172" i="4"/>
  <c r="AT172" i="4"/>
  <c r="AU172" i="4"/>
  <c r="AV172" i="4"/>
  <c r="AW172" i="4"/>
  <c r="AX172" i="4"/>
  <c r="AO173" i="4"/>
  <c r="AQ173" i="4" s="1"/>
  <c r="AP173" i="4"/>
  <c r="AR173" i="4"/>
  <c r="AZ173" i="4" s="1"/>
  <c r="AS173" i="4"/>
  <c r="AT173" i="4"/>
  <c r="AU173" i="4"/>
  <c r="AV173" i="4"/>
  <c r="AW173" i="4"/>
  <c r="AX173" i="4"/>
  <c r="AO174" i="4"/>
  <c r="AQ174" i="4" s="1"/>
  <c r="AP174" i="4"/>
  <c r="AR174" i="4"/>
  <c r="AZ174" i="4" s="1"/>
  <c r="AS174" i="4"/>
  <c r="AT174" i="4"/>
  <c r="AU174" i="4"/>
  <c r="AV174" i="4"/>
  <c r="AW174" i="4"/>
  <c r="AX174" i="4"/>
  <c r="AO175" i="4"/>
  <c r="AQ175" i="4" s="1"/>
  <c r="AP175" i="4"/>
  <c r="AR175" i="4"/>
  <c r="AZ175" i="4" s="1"/>
  <c r="AS175" i="4"/>
  <c r="AT175" i="4"/>
  <c r="AU175" i="4"/>
  <c r="AV175" i="4"/>
  <c r="AW175" i="4"/>
  <c r="AX175" i="4"/>
  <c r="AO176" i="4"/>
  <c r="AQ176" i="4" s="1"/>
  <c r="AP176" i="4"/>
  <c r="AR176" i="4"/>
  <c r="AZ176" i="4" s="1"/>
  <c r="AS176" i="4"/>
  <c r="AT176" i="4"/>
  <c r="AU176" i="4"/>
  <c r="AV176" i="4"/>
  <c r="AW176" i="4"/>
  <c r="AX176" i="4"/>
  <c r="AO177" i="4"/>
  <c r="AQ177" i="4" s="1"/>
  <c r="AP177" i="4"/>
  <c r="AR177" i="4"/>
  <c r="AZ177" i="4" s="1"/>
  <c r="AS177" i="4"/>
  <c r="AT177" i="4"/>
  <c r="AU177" i="4"/>
  <c r="AV177" i="4"/>
  <c r="AW177" i="4"/>
  <c r="AX177" i="4"/>
  <c r="AO178" i="4"/>
  <c r="AQ178" i="4" s="1"/>
  <c r="AP178" i="4"/>
  <c r="AR178" i="4"/>
  <c r="AZ178" i="4" s="1"/>
  <c r="AS178" i="4"/>
  <c r="AT178" i="4"/>
  <c r="AU178" i="4"/>
  <c r="AV178" i="4"/>
  <c r="AW178" i="4"/>
  <c r="AX178" i="4"/>
  <c r="AO179" i="4"/>
  <c r="AQ179" i="4" s="1"/>
  <c r="AP179" i="4"/>
  <c r="AR179" i="4"/>
  <c r="AZ179" i="4" s="1"/>
  <c r="AS179" i="4"/>
  <c r="AT179" i="4"/>
  <c r="AU179" i="4"/>
  <c r="AV179" i="4"/>
  <c r="AW179" i="4"/>
  <c r="AX179" i="4"/>
  <c r="AO180" i="4"/>
  <c r="AQ180" i="4" s="1"/>
  <c r="AP180" i="4"/>
  <c r="AR180" i="4"/>
  <c r="AZ180" i="4" s="1"/>
  <c r="AS180" i="4"/>
  <c r="AT180" i="4"/>
  <c r="AU180" i="4"/>
  <c r="AV180" i="4"/>
  <c r="AW180" i="4"/>
  <c r="AX180" i="4"/>
  <c r="AO181" i="4"/>
  <c r="AQ181" i="4" s="1"/>
  <c r="AP181" i="4"/>
  <c r="AR181" i="4"/>
  <c r="AZ181" i="4" s="1"/>
  <c r="AS181" i="4"/>
  <c r="AT181" i="4"/>
  <c r="AU181" i="4"/>
  <c r="AV181" i="4"/>
  <c r="AW181" i="4"/>
  <c r="AX181" i="4"/>
  <c r="AO182" i="4"/>
  <c r="AQ182" i="4" s="1"/>
  <c r="AP182" i="4"/>
  <c r="AR182" i="4"/>
  <c r="AZ182" i="4" s="1"/>
  <c r="AS182" i="4"/>
  <c r="AT182" i="4"/>
  <c r="AU182" i="4"/>
  <c r="AV182" i="4"/>
  <c r="AW182" i="4"/>
  <c r="AX182" i="4"/>
  <c r="AO183" i="4"/>
  <c r="AQ183" i="4" s="1"/>
  <c r="AP183" i="4"/>
  <c r="AR183" i="4"/>
  <c r="AZ183" i="4" s="1"/>
  <c r="AS183" i="4"/>
  <c r="AT183" i="4"/>
  <c r="AU183" i="4"/>
  <c r="AV183" i="4"/>
  <c r="AW183" i="4"/>
  <c r="AX183" i="4"/>
  <c r="AO184" i="4"/>
  <c r="AQ184" i="4" s="1"/>
  <c r="AP184" i="4"/>
  <c r="AR184" i="4"/>
  <c r="AZ184" i="4" s="1"/>
  <c r="AS184" i="4"/>
  <c r="AT184" i="4"/>
  <c r="AU184" i="4"/>
  <c r="AV184" i="4"/>
  <c r="AW184" i="4"/>
  <c r="AX184" i="4"/>
  <c r="AO185" i="4"/>
  <c r="AQ185" i="4" s="1"/>
  <c r="AP185" i="4"/>
  <c r="AR185" i="4"/>
  <c r="AZ185" i="4" s="1"/>
  <c r="AS185" i="4"/>
  <c r="AT185" i="4"/>
  <c r="AU185" i="4"/>
  <c r="AV185" i="4"/>
  <c r="AW185" i="4"/>
  <c r="AX185" i="4"/>
  <c r="AO186" i="4"/>
  <c r="AP186" i="4"/>
  <c r="AQ186" i="4"/>
  <c r="AR186" i="4"/>
  <c r="AZ186" i="4" s="1"/>
  <c r="AS186" i="4"/>
  <c r="AT186" i="4"/>
  <c r="AU186" i="4"/>
  <c r="AV186" i="4"/>
  <c r="AW186" i="4"/>
  <c r="AX186" i="4"/>
  <c r="AO187" i="4"/>
  <c r="AQ187" i="4" s="1"/>
  <c r="AP187" i="4"/>
  <c r="AR187" i="4"/>
  <c r="AZ187" i="4" s="1"/>
  <c r="AS187" i="4"/>
  <c r="AT187" i="4"/>
  <c r="AU187" i="4"/>
  <c r="AV187" i="4"/>
  <c r="AW187" i="4"/>
  <c r="AX187" i="4"/>
  <c r="AO188" i="4"/>
  <c r="AQ188" i="4" s="1"/>
  <c r="AP188" i="4"/>
  <c r="AR188" i="4"/>
  <c r="AZ188" i="4" s="1"/>
  <c r="AS188" i="4"/>
  <c r="AT188" i="4"/>
  <c r="AU188" i="4"/>
  <c r="AV188" i="4"/>
  <c r="AW188" i="4"/>
  <c r="AX188" i="4"/>
  <c r="AO189" i="4"/>
  <c r="AP189" i="4"/>
  <c r="AQ189" i="4"/>
  <c r="AR189" i="4"/>
  <c r="AZ189" i="4" s="1"/>
  <c r="AS189" i="4"/>
  <c r="AT189" i="4"/>
  <c r="AU189" i="4"/>
  <c r="AV189" i="4"/>
  <c r="AW189" i="4"/>
  <c r="AX189" i="4"/>
  <c r="AO190" i="4"/>
  <c r="AQ190" i="4" s="1"/>
  <c r="AP190" i="4"/>
  <c r="AR190" i="4"/>
  <c r="AZ190" i="4" s="1"/>
  <c r="AS190" i="4"/>
  <c r="AT190" i="4"/>
  <c r="AU190" i="4"/>
  <c r="AV190" i="4"/>
  <c r="AW190" i="4"/>
  <c r="AX190" i="4"/>
  <c r="AO191" i="4"/>
  <c r="AQ191" i="4" s="1"/>
  <c r="AP191" i="4"/>
  <c r="AR191" i="4"/>
  <c r="AZ191" i="4" s="1"/>
  <c r="AS191" i="4"/>
  <c r="AT191" i="4"/>
  <c r="AU191" i="4"/>
  <c r="AV191" i="4"/>
  <c r="AW191" i="4"/>
  <c r="AX191" i="4"/>
  <c r="AO192" i="4"/>
  <c r="AQ192" i="4" s="1"/>
  <c r="AP192" i="4"/>
  <c r="AR192" i="4"/>
  <c r="AZ192" i="4" s="1"/>
  <c r="AS192" i="4"/>
  <c r="AT192" i="4"/>
  <c r="AU192" i="4"/>
  <c r="AV192" i="4"/>
  <c r="AW192" i="4"/>
  <c r="AX192" i="4"/>
  <c r="AO193" i="4"/>
  <c r="AQ193" i="4" s="1"/>
  <c r="AP193" i="4"/>
  <c r="AR193" i="4"/>
  <c r="AZ193" i="4" s="1"/>
  <c r="AS193" i="4"/>
  <c r="AT193" i="4"/>
  <c r="AU193" i="4"/>
  <c r="AV193" i="4"/>
  <c r="AW193" i="4"/>
  <c r="AX193" i="4"/>
  <c r="AO194" i="4"/>
  <c r="AQ194" i="4" s="1"/>
  <c r="AP194" i="4"/>
  <c r="AR194" i="4"/>
  <c r="AZ194" i="4" s="1"/>
  <c r="AS194" i="4"/>
  <c r="AT194" i="4"/>
  <c r="AU194" i="4"/>
  <c r="AV194" i="4"/>
  <c r="AW194" i="4"/>
  <c r="AX194" i="4"/>
  <c r="AO195" i="4"/>
  <c r="AQ195" i="4" s="1"/>
  <c r="AP195" i="4"/>
  <c r="AR195" i="4"/>
  <c r="AZ195" i="4" s="1"/>
  <c r="AS195" i="4"/>
  <c r="AT195" i="4"/>
  <c r="AU195" i="4"/>
  <c r="AV195" i="4"/>
  <c r="AW195" i="4"/>
  <c r="AX195" i="4"/>
  <c r="AO196" i="4"/>
  <c r="AQ196" i="4" s="1"/>
  <c r="AP196" i="4"/>
  <c r="AR196" i="4"/>
  <c r="AZ196" i="4" s="1"/>
  <c r="AS196" i="4"/>
  <c r="AT196" i="4"/>
  <c r="AU196" i="4"/>
  <c r="AV196" i="4"/>
  <c r="AW196" i="4"/>
  <c r="AX196" i="4"/>
  <c r="AO197" i="4"/>
  <c r="AP197" i="4"/>
  <c r="AQ197" i="4"/>
  <c r="AR197" i="4"/>
  <c r="AZ197" i="4" s="1"/>
  <c r="AS197" i="4"/>
  <c r="AT197" i="4"/>
  <c r="AU197" i="4"/>
  <c r="AV197" i="4"/>
  <c r="AW197" i="4"/>
  <c r="AX197" i="4"/>
  <c r="AO198" i="4"/>
  <c r="AQ198" i="4" s="1"/>
  <c r="AP198" i="4"/>
  <c r="AR198" i="4"/>
  <c r="AZ198" i="4" s="1"/>
  <c r="AS198" i="4"/>
  <c r="AT198" i="4"/>
  <c r="AU198" i="4"/>
  <c r="AV198" i="4"/>
  <c r="AW198" i="4"/>
  <c r="AX198" i="4"/>
  <c r="AO199" i="4"/>
  <c r="AQ199" i="4" s="1"/>
  <c r="AP199" i="4"/>
  <c r="AR199" i="4"/>
  <c r="AZ199" i="4" s="1"/>
  <c r="AS199" i="4"/>
  <c r="AT199" i="4"/>
  <c r="AU199" i="4"/>
  <c r="AV199" i="4"/>
  <c r="AW199" i="4"/>
  <c r="AX199" i="4"/>
  <c r="AO200" i="4"/>
  <c r="AQ200" i="4" s="1"/>
  <c r="AP200" i="4"/>
  <c r="AR200" i="4"/>
  <c r="AZ200" i="4" s="1"/>
  <c r="AS200" i="4"/>
  <c r="AT200" i="4"/>
  <c r="AU200" i="4"/>
  <c r="AV200" i="4"/>
  <c r="AW200" i="4"/>
  <c r="AX200" i="4"/>
  <c r="AO201" i="4"/>
  <c r="AP201" i="4"/>
  <c r="AQ201" i="4"/>
  <c r="AR201" i="4"/>
  <c r="AS201" i="4"/>
  <c r="AT201" i="4"/>
  <c r="AU201" i="4"/>
  <c r="AV201" i="4"/>
  <c r="AW201" i="4"/>
  <c r="AX201" i="4"/>
  <c r="AZ201" i="4"/>
  <c r="AO202" i="4"/>
  <c r="AQ202" i="4" s="1"/>
  <c r="AP202" i="4"/>
  <c r="AR202" i="4"/>
  <c r="AZ202" i="4" s="1"/>
  <c r="AS202" i="4"/>
  <c r="AT202" i="4"/>
  <c r="AU202" i="4"/>
  <c r="AV202" i="4"/>
  <c r="AW202" i="4"/>
  <c r="AX202" i="4"/>
  <c r="AO203" i="4"/>
  <c r="AQ203" i="4" s="1"/>
  <c r="AP203" i="4"/>
  <c r="AR203" i="4"/>
  <c r="AZ203" i="4" s="1"/>
  <c r="AS203" i="4"/>
  <c r="AT203" i="4"/>
  <c r="AU203" i="4"/>
  <c r="AV203" i="4"/>
  <c r="AW203" i="4"/>
  <c r="AX203" i="4"/>
  <c r="AO204" i="4"/>
  <c r="AQ204" i="4" s="1"/>
  <c r="AP204" i="4"/>
  <c r="AR204" i="4"/>
  <c r="AS204" i="4"/>
  <c r="AT204" i="4"/>
  <c r="AU204" i="4"/>
  <c r="AV204" i="4"/>
  <c r="AW204" i="4"/>
  <c r="AX204" i="4"/>
  <c r="AZ204" i="4"/>
  <c r="AO205" i="4"/>
  <c r="AQ205" i="4" s="1"/>
  <c r="AP205" i="4"/>
  <c r="AR205" i="4"/>
  <c r="AZ205" i="4" s="1"/>
  <c r="AS205" i="4"/>
  <c r="AT205" i="4"/>
  <c r="AU205" i="4"/>
  <c r="AV205" i="4"/>
  <c r="AW205" i="4"/>
  <c r="AX205" i="4"/>
  <c r="AO206" i="4"/>
  <c r="AQ206" i="4" s="1"/>
  <c r="AP206" i="4"/>
  <c r="AR206" i="4"/>
  <c r="AZ206" i="4" s="1"/>
  <c r="AS206" i="4"/>
  <c r="AT206" i="4"/>
  <c r="AU206" i="4"/>
  <c r="AV206" i="4"/>
  <c r="AW206" i="4"/>
  <c r="AX206" i="4"/>
  <c r="AO207" i="4"/>
  <c r="AQ207" i="4" s="1"/>
  <c r="AP207" i="4"/>
  <c r="AR207" i="4"/>
  <c r="AZ207" i="4" s="1"/>
  <c r="AS207" i="4"/>
  <c r="AT207" i="4"/>
  <c r="AU207" i="4"/>
  <c r="AV207" i="4"/>
  <c r="AW207" i="4"/>
  <c r="AX207" i="4"/>
  <c r="AO208" i="4"/>
  <c r="AQ208" i="4" s="1"/>
  <c r="AP208" i="4"/>
  <c r="AR208" i="4"/>
  <c r="AZ208" i="4" s="1"/>
  <c r="AS208" i="4"/>
  <c r="AT208" i="4"/>
  <c r="AU208" i="4"/>
  <c r="AV208" i="4"/>
  <c r="AW208" i="4"/>
  <c r="AX208" i="4"/>
  <c r="AO209" i="4"/>
  <c r="AQ209" i="4" s="1"/>
  <c r="AP209" i="4"/>
  <c r="AR209" i="4"/>
  <c r="AS209" i="4"/>
  <c r="AT209" i="4"/>
  <c r="AU209" i="4"/>
  <c r="AV209" i="4"/>
  <c r="AW209" i="4"/>
  <c r="AX209" i="4"/>
  <c r="AZ209" i="4"/>
  <c r="AO210" i="4"/>
  <c r="AQ210" i="4" s="1"/>
  <c r="AP210" i="4"/>
  <c r="AR210" i="4"/>
  <c r="AZ210" i="4" s="1"/>
  <c r="AS210" i="4"/>
  <c r="AT210" i="4"/>
  <c r="AU210" i="4"/>
  <c r="AV210" i="4"/>
  <c r="AW210" i="4"/>
  <c r="AX210" i="4"/>
  <c r="AO211" i="4"/>
  <c r="AQ211" i="4" s="1"/>
  <c r="AP211" i="4"/>
  <c r="AR211" i="4"/>
  <c r="AZ211" i="4" s="1"/>
  <c r="AS211" i="4"/>
  <c r="AT211" i="4"/>
  <c r="AU211" i="4"/>
  <c r="AV211" i="4"/>
  <c r="AW211" i="4"/>
  <c r="AX211" i="4"/>
  <c r="AO212" i="4"/>
  <c r="AQ212" i="4" s="1"/>
  <c r="AP212" i="4"/>
  <c r="AR212" i="4"/>
  <c r="AS212" i="4"/>
  <c r="AT212" i="4"/>
  <c r="AU212" i="4"/>
  <c r="AV212" i="4"/>
  <c r="AW212" i="4"/>
  <c r="AX212" i="4"/>
  <c r="AZ212" i="4"/>
  <c r="AO213" i="4"/>
  <c r="AP213" i="4"/>
  <c r="AQ213" i="4"/>
  <c r="AR213" i="4"/>
  <c r="AZ213" i="4" s="1"/>
  <c r="AS213" i="4"/>
  <c r="AT213" i="4"/>
  <c r="AU213" i="4"/>
  <c r="AV213" i="4"/>
  <c r="AW213" i="4"/>
  <c r="AX213" i="4"/>
  <c r="AO214" i="4"/>
  <c r="AQ214" i="4" s="1"/>
  <c r="AP214" i="4"/>
  <c r="AR214" i="4"/>
  <c r="AZ214" i="4" s="1"/>
  <c r="AS214" i="4"/>
  <c r="AT214" i="4"/>
  <c r="AU214" i="4"/>
  <c r="AV214" i="4"/>
  <c r="AW214" i="4"/>
  <c r="AX214" i="4"/>
  <c r="AO215" i="4"/>
  <c r="AQ215" i="4" s="1"/>
  <c r="AP215" i="4"/>
  <c r="AR215" i="4"/>
  <c r="AZ215" i="4" s="1"/>
  <c r="AS215" i="4"/>
  <c r="AT215" i="4"/>
  <c r="AU215" i="4"/>
  <c r="AV215" i="4"/>
  <c r="AW215" i="4"/>
  <c r="AX215" i="4"/>
  <c r="AO216" i="4"/>
  <c r="AQ216" i="4" s="1"/>
  <c r="AP216" i="4"/>
  <c r="AR216" i="4"/>
  <c r="AZ216" i="4" s="1"/>
  <c r="AS216" i="4"/>
  <c r="AT216" i="4"/>
  <c r="AU216" i="4"/>
  <c r="AV216" i="4"/>
  <c r="AW216" i="4"/>
  <c r="AX216" i="4"/>
  <c r="AO217" i="4"/>
  <c r="AP217" i="4"/>
  <c r="AQ217" i="4"/>
  <c r="AR217" i="4"/>
  <c r="AS217" i="4"/>
  <c r="AT217" i="4"/>
  <c r="AU217" i="4"/>
  <c r="AV217" i="4"/>
  <c r="AW217" i="4"/>
  <c r="AX217" i="4"/>
  <c r="AZ217" i="4"/>
  <c r="AO218" i="4"/>
  <c r="AQ218" i="4" s="1"/>
  <c r="AP218" i="4"/>
  <c r="AR218" i="4"/>
  <c r="AZ218" i="4" s="1"/>
  <c r="AS218" i="4"/>
  <c r="AT218" i="4"/>
  <c r="AU218" i="4"/>
  <c r="AV218" i="4"/>
  <c r="AW218" i="4"/>
  <c r="AX218" i="4"/>
  <c r="AO219" i="4"/>
  <c r="AQ219" i="4" s="1"/>
  <c r="AP219" i="4"/>
  <c r="AR219" i="4"/>
  <c r="AZ219" i="4" s="1"/>
  <c r="AS219" i="4"/>
  <c r="AT219" i="4"/>
  <c r="AU219" i="4"/>
  <c r="AV219" i="4"/>
  <c r="AW219" i="4"/>
  <c r="AX219" i="4"/>
  <c r="AO220" i="4"/>
  <c r="AQ220" i="4" s="1"/>
  <c r="AP220" i="4"/>
  <c r="AR220" i="4"/>
  <c r="AS220" i="4"/>
  <c r="AT220" i="4"/>
  <c r="AU220" i="4"/>
  <c r="AV220" i="4"/>
  <c r="AW220" i="4"/>
  <c r="AX220" i="4"/>
  <c r="AZ220" i="4"/>
  <c r="AO221" i="4"/>
  <c r="AQ221" i="4" s="1"/>
  <c r="AP221" i="4"/>
  <c r="AR221" i="4"/>
  <c r="AZ221" i="4" s="1"/>
  <c r="AS221" i="4"/>
  <c r="AT221" i="4"/>
  <c r="AU221" i="4"/>
  <c r="AV221" i="4"/>
  <c r="AW221" i="4"/>
  <c r="AX221" i="4"/>
  <c r="AO222" i="4"/>
  <c r="AQ222" i="4" s="1"/>
  <c r="AP222" i="4"/>
  <c r="AR222" i="4"/>
  <c r="AZ222" i="4" s="1"/>
  <c r="AS222" i="4"/>
  <c r="AT222" i="4"/>
  <c r="AU222" i="4"/>
  <c r="AV222" i="4"/>
  <c r="AW222" i="4"/>
  <c r="AX222" i="4"/>
  <c r="AO223" i="4"/>
  <c r="AQ223" i="4" s="1"/>
  <c r="AP223" i="4"/>
  <c r="AR223" i="4"/>
  <c r="AZ223" i="4" s="1"/>
  <c r="AS223" i="4"/>
  <c r="AT223" i="4"/>
  <c r="AU223" i="4"/>
  <c r="AV223" i="4"/>
  <c r="AW223" i="4"/>
  <c r="AX223" i="4"/>
  <c r="AO224" i="4"/>
  <c r="AQ224" i="4" s="1"/>
  <c r="AP224" i="4"/>
  <c r="AR224" i="4"/>
  <c r="AZ224" i="4" s="1"/>
  <c r="AS224" i="4"/>
  <c r="AT224" i="4"/>
  <c r="AU224" i="4"/>
  <c r="AV224" i="4"/>
  <c r="AW224" i="4"/>
  <c r="AX224" i="4"/>
  <c r="AO225" i="4"/>
  <c r="AQ225" i="4" s="1"/>
  <c r="AP225" i="4"/>
  <c r="AR225" i="4"/>
  <c r="AS225" i="4"/>
  <c r="AT225" i="4"/>
  <c r="AU225" i="4"/>
  <c r="AV225" i="4"/>
  <c r="AW225" i="4"/>
  <c r="AX225" i="4"/>
  <c r="AZ225" i="4"/>
  <c r="AO226" i="4"/>
  <c r="AQ226" i="4" s="1"/>
  <c r="AP226" i="4"/>
  <c r="AR226" i="4"/>
  <c r="AZ226" i="4" s="1"/>
  <c r="AS226" i="4"/>
  <c r="AT226" i="4"/>
  <c r="AU226" i="4"/>
  <c r="AV226" i="4"/>
  <c r="AW226" i="4"/>
  <c r="AX226" i="4"/>
  <c r="AO227" i="4"/>
  <c r="AQ227" i="4" s="1"/>
  <c r="AP227" i="4"/>
  <c r="AR227" i="4"/>
  <c r="AZ227" i="4" s="1"/>
  <c r="AS227" i="4"/>
  <c r="AT227" i="4"/>
  <c r="AU227" i="4"/>
  <c r="AV227" i="4"/>
  <c r="AW227" i="4"/>
  <c r="AX227" i="4"/>
  <c r="AO228" i="4"/>
  <c r="AQ228" i="4" s="1"/>
  <c r="AP228" i="4"/>
  <c r="AR228" i="4"/>
  <c r="AS228" i="4"/>
  <c r="AT228" i="4"/>
  <c r="AU228" i="4"/>
  <c r="AV228" i="4"/>
  <c r="AW228" i="4"/>
  <c r="AX228" i="4"/>
  <c r="AZ228" i="4"/>
  <c r="AO229" i="4"/>
  <c r="AP229" i="4"/>
  <c r="AQ229" i="4"/>
  <c r="AR229" i="4"/>
  <c r="AZ229" i="4" s="1"/>
  <c r="AS229" i="4"/>
  <c r="AT229" i="4"/>
  <c r="AU229" i="4"/>
  <c r="AV229" i="4"/>
  <c r="AW229" i="4"/>
  <c r="AX229" i="4"/>
  <c r="AO230" i="4"/>
  <c r="AQ230" i="4" s="1"/>
  <c r="AP230" i="4"/>
  <c r="AR230" i="4"/>
  <c r="AZ230" i="4" s="1"/>
  <c r="AS230" i="4"/>
  <c r="AT230" i="4"/>
  <c r="AU230" i="4"/>
  <c r="AV230" i="4"/>
  <c r="AW230" i="4"/>
  <c r="AX230" i="4"/>
  <c r="AO231" i="4"/>
  <c r="AQ231" i="4" s="1"/>
  <c r="AP231" i="4"/>
  <c r="AR231" i="4"/>
  <c r="AZ231" i="4" s="1"/>
  <c r="AS231" i="4"/>
  <c r="AT231" i="4"/>
  <c r="AU231" i="4"/>
  <c r="AV231" i="4"/>
  <c r="AW231" i="4"/>
  <c r="AX231" i="4"/>
  <c r="AO232" i="4"/>
  <c r="AQ232" i="4" s="1"/>
  <c r="AP232" i="4"/>
  <c r="AR232" i="4"/>
  <c r="AZ232" i="4" s="1"/>
  <c r="AS232" i="4"/>
  <c r="AT232" i="4"/>
  <c r="AU232" i="4"/>
  <c r="AV232" i="4"/>
  <c r="AW232" i="4"/>
  <c r="AX232" i="4"/>
  <c r="AO233" i="4"/>
  <c r="AP233" i="4"/>
  <c r="AQ233" i="4"/>
  <c r="AR233" i="4"/>
  <c r="AS233" i="4"/>
  <c r="AT233" i="4"/>
  <c r="AU233" i="4"/>
  <c r="AV233" i="4"/>
  <c r="AW233" i="4"/>
  <c r="AX233" i="4"/>
  <c r="AZ233" i="4"/>
  <c r="AO234" i="4"/>
  <c r="AQ234" i="4" s="1"/>
  <c r="AP234" i="4"/>
  <c r="AR234" i="4"/>
  <c r="AZ234" i="4" s="1"/>
  <c r="AS234" i="4"/>
  <c r="AT234" i="4"/>
  <c r="AU234" i="4"/>
  <c r="AV234" i="4"/>
  <c r="AW234" i="4"/>
  <c r="AX234" i="4"/>
  <c r="AO235" i="4"/>
  <c r="AQ235" i="4" s="1"/>
  <c r="AP235" i="4"/>
  <c r="AR235" i="4"/>
  <c r="AZ235" i="4" s="1"/>
  <c r="AS235" i="4"/>
  <c r="AT235" i="4"/>
  <c r="AU235" i="4"/>
  <c r="AV235" i="4"/>
  <c r="AW235" i="4"/>
  <c r="AX235" i="4"/>
  <c r="AO236" i="4"/>
  <c r="AQ236" i="4" s="1"/>
  <c r="AP236" i="4"/>
  <c r="AR236" i="4"/>
  <c r="AS236" i="4"/>
  <c r="AT236" i="4"/>
  <c r="AU236" i="4"/>
  <c r="AV236" i="4"/>
  <c r="AW236" i="4"/>
  <c r="AX236" i="4"/>
  <c r="AZ236" i="4"/>
  <c r="AO237" i="4"/>
  <c r="AQ237" i="4" s="1"/>
  <c r="AP237" i="4"/>
  <c r="AR237" i="4"/>
  <c r="AZ237" i="4" s="1"/>
  <c r="AS237" i="4"/>
  <c r="AT237" i="4"/>
  <c r="AU237" i="4"/>
  <c r="AV237" i="4"/>
  <c r="AW237" i="4"/>
  <c r="AX237" i="4"/>
  <c r="AO238" i="4"/>
  <c r="AQ238" i="4" s="1"/>
  <c r="AP238" i="4"/>
  <c r="AR238" i="4"/>
  <c r="AZ238" i="4" s="1"/>
  <c r="AS238" i="4"/>
  <c r="AT238" i="4"/>
  <c r="AU238" i="4"/>
  <c r="AV238" i="4"/>
  <c r="AW238" i="4"/>
  <c r="AX238" i="4"/>
  <c r="AO239" i="4"/>
  <c r="AQ239" i="4" s="1"/>
  <c r="AP239" i="4"/>
  <c r="AR239" i="4"/>
  <c r="AZ239" i="4" s="1"/>
  <c r="AS239" i="4"/>
  <c r="AT239" i="4"/>
  <c r="AU239" i="4"/>
  <c r="AV239" i="4"/>
  <c r="AW239" i="4"/>
  <c r="AX239" i="4"/>
  <c r="AO240" i="4"/>
  <c r="AQ240" i="4" s="1"/>
  <c r="AP240" i="4"/>
  <c r="AR240" i="4"/>
  <c r="AZ240" i="4" s="1"/>
  <c r="AS240" i="4"/>
  <c r="AT240" i="4"/>
  <c r="AU240" i="4"/>
  <c r="AV240" i="4"/>
  <c r="AW240" i="4"/>
  <c r="AX240" i="4"/>
  <c r="AO241" i="4"/>
  <c r="AQ241" i="4" s="1"/>
  <c r="AP241" i="4"/>
  <c r="AR241" i="4"/>
  <c r="AS241" i="4"/>
  <c r="AT241" i="4"/>
  <c r="AU241" i="4"/>
  <c r="AV241" i="4"/>
  <c r="AW241" i="4"/>
  <c r="AX241" i="4"/>
  <c r="AZ241" i="4"/>
  <c r="AO242" i="4"/>
  <c r="AQ242" i="4" s="1"/>
  <c r="AP242" i="4"/>
  <c r="AR242" i="4"/>
  <c r="AZ242" i="4" s="1"/>
  <c r="AS242" i="4"/>
  <c r="AT242" i="4"/>
  <c r="AU242" i="4"/>
  <c r="AV242" i="4"/>
  <c r="AW242" i="4"/>
  <c r="AX242" i="4"/>
  <c r="AO243" i="4"/>
  <c r="AQ243" i="4" s="1"/>
  <c r="AP243" i="4"/>
  <c r="AR243" i="4"/>
  <c r="AZ243" i="4" s="1"/>
  <c r="AS243" i="4"/>
  <c r="AT243" i="4"/>
  <c r="AU243" i="4"/>
  <c r="AV243" i="4"/>
  <c r="AW243" i="4"/>
  <c r="AX243" i="4"/>
  <c r="AO244" i="4"/>
  <c r="AQ244" i="4" s="1"/>
  <c r="AP244" i="4"/>
  <c r="AR244" i="4"/>
  <c r="AS244" i="4"/>
  <c r="AT244" i="4"/>
  <c r="AU244" i="4"/>
  <c r="AV244" i="4"/>
  <c r="AW244" i="4"/>
  <c r="AX244" i="4"/>
  <c r="AZ244" i="4"/>
  <c r="AO245" i="4"/>
  <c r="AP245" i="4"/>
  <c r="AQ245" i="4"/>
  <c r="AR245" i="4"/>
  <c r="AZ245" i="4" s="1"/>
  <c r="AS245" i="4"/>
  <c r="AT245" i="4"/>
  <c r="AU245" i="4"/>
  <c r="AV245" i="4"/>
  <c r="AW245" i="4"/>
  <c r="AX245" i="4"/>
  <c r="AO246" i="4"/>
  <c r="AQ246" i="4" s="1"/>
  <c r="AP246" i="4"/>
  <c r="AR246" i="4"/>
  <c r="AZ246" i="4" s="1"/>
  <c r="AS246" i="4"/>
  <c r="AT246" i="4"/>
  <c r="AU246" i="4"/>
  <c r="AV246" i="4"/>
  <c r="AW246" i="4"/>
  <c r="AX246" i="4"/>
  <c r="AO247" i="4"/>
  <c r="AQ247" i="4" s="1"/>
  <c r="AP247" i="4"/>
  <c r="AR247" i="4"/>
  <c r="AZ247" i="4" s="1"/>
  <c r="AS247" i="4"/>
  <c r="AT247" i="4"/>
  <c r="AU247" i="4"/>
  <c r="AV247" i="4"/>
  <c r="AW247" i="4"/>
  <c r="AX247" i="4"/>
  <c r="AO248" i="4"/>
  <c r="AQ248" i="4" s="1"/>
  <c r="AP248" i="4"/>
  <c r="AR248" i="4"/>
  <c r="AZ248" i="4" s="1"/>
  <c r="AS248" i="4"/>
  <c r="AT248" i="4"/>
  <c r="AU248" i="4"/>
  <c r="AV248" i="4"/>
  <c r="AW248" i="4"/>
  <c r="AX248" i="4"/>
  <c r="AO249" i="4"/>
  <c r="AP249" i="4"/>
  <c r="AQ249" i="4"/>
  <c r="AR249" i="4"/>
  <c r="AS249" i="4"/>
  <c r="AT249" i="4"/>
  <c r="AU249" i="4"/>
  <c r="AV249" i="4"/>
  <c r="AW249" i="4"/>
  <c r="AX249" i="4"/>
  <c r="AZ249" i="4"/>
  <c r="AO250" i="4"/>
  <c r="AQ250" i="4" s="1"/>
  <c r="AP250" i="4"/>
  <c r="AR250" i="4"/>
  <c r="AZ250" i="4" s="1"/>
  <c r="AS250" i="4"/>
  <c r="AT250" i="4"/>
  <c r="AU250" i="4"/>
  <c r="AV250" i="4"/>
  <c r="AW250" i="4"/>
  <c r="AX250" i="4"/>
  <c r="AO251" i="4"/>
  <c r="AQ251" i="4" s="1"/>
  <c r="AP251" i="4"/>
  <c r="AR251" i="4"/>
  <c r="AZ251" i="4" s="1"/>
  <c r="AS251" i="4"/>
  <c r="AT251" i="4"/>
  <c r="AU251" i="4"/>
  <c r="AV251" i="4"/>
  <c r="AW251" i="4"/>
  <c r="AX251" i="4"/>
  <c r="AO252" i="4"/>
  <c r="AQ252" i="4" s="1"/>
  <c r="AP252" i="4"/>
  <c r="AR252" i="4"/>
  <c r="AS252" i="4"/>
  <c r="AT252" i="4"/>
  <c r="AU252" i="4"/>
  <c r="AV252" i="4"/>
  <c r="AW252" i="4"/>
  <c r="AX252" i="4"/>
  <c r="AZ252" i="4"/>
  <c r="AO253" i="4"/>
  <c r="AQ253" i="4" s="1"/>
  <c r="AP253" i="4"/>
  <c r="AR253" i="4"/>
  <c r="AZ253" i="4" s="1"/>
  <c r="AS253" i="4"/>
  <c r="AT253" i="4"/>
  <c r="AU253" i="4"/>
  <c r="AV253" i="4"/>
  <c r="AW253" i="4"/>
  <c r="AX253" i="4"/>
  <c r="AO254" i="4"/>
  <c r="AQ254" i="4" s="1"/>
  <c r="AP254" i="4"/>
  <c r="AR254" i="4"/>
  <c r="AZ254" i="4" s="1"/>
  <c r="AS254" i="4"/>
  <c r="AT254" i="4"/>
  <c r="AU254" i="4"/>
  <c r="AV254" i="4"/>
  <c r="AW254" i="4"/>
  <c r="AX254" i="4"/>
  <c r="AO255" i="4"/>
  <c r="AQ255" i="4" s="1"/>
  <c r="AP255" i="4"/>
  <c r="AR255" i="4"/>
  <c r="AZ255" i="4" s="1"/>
  <c r="AS255" i="4"/>
  <c r="AT255" i="4"/>
  <c r="AU255" i="4"/>
  <c r="AV255" i="4"/>
  <c r="AW255" i="4"/>
  <c r="AX255" i="4"/>
  <c r="AO256" i="4"/>
  <c r="AQ256" i="4" s="1"/>
  <c r="AP256" i="4"/>
  <c r="AR256" i="4"/>
  <c r="AZ256" i="4" s="1"/>
  <c r="AS256" i="4"/>
  <c r="AT256" i="4"/>
  <c r="AU256" i="4"/>
  <c r="AV256" i="4"/>
  <c r="AW256" i="4"/>
  <c r="AX256" i="4"/>
  <c r="AO257" i="4"/>
  <c r="AQ257" i="4" s="1"/>
  <c r="AP257" i="4"/>
  <c r="AR257" i="4"/>
  <c r="AS257" i="4"/>
  <c r="AT257" i="4"/>
  <c r="AU257" i="4"/>
  <c r="AV257" i="4"/>
  <c r="AW257" i="4"/>
  <c r="AX257" i="4"/>
  <c r="AZ257" i="4"/>
  <c r="AO258" i="4"/>
  <c r="AQ258" i="4" s="1"/>
  <c r="AP258" i="4"/>
  <c r="AR258" i="4"/>
  <c r="AZ258" i="4" s="1"/>
  <c r="AS258" i="4"/>
  <c r="AT258" i="4"/>
  <c r="AU258" i="4"/>
  <c r="AV258" i="4"/>
  <c r="AW258" i="4"/>
  <c r="AX258" i="4"/>
  <c r="AO259" i="4"/>
  <c r="AQ259" i="4" s="1"/>
  <c r="AP259" i="4"/>
  <c r="AR259" i="4"/>
  <c r="AZ259" i="4" s="1"/>
  <c r="AS259" i="4"/>
  <c r="AT259" i="4"/>
  <c r="AU259" i="4"/>
  <c r="AV259" i="4"/>
  <c r="AW259" i="4"/>
  <c r="AX259" i="4"/>
  <c r="AO260" i="4"/>
  <c r="AQ260" i="4" s="1"/>
  <c r="AP260" i="4"/>
  <c r="AR260" i="4"/>
  <c r="AS260" i="4"/>
  <c r="AT260" i="4"/>
  <c r="AU260" i="4"/>
  <c r="AV260" i="4"/>
  <c r="AW260" i="4"/>
  <c r="AX260" i="4"/>
  <c r="AZ260" i="4"/>
  <c r="AO261" i="4"/>
  <c r="AP261" i="4"/>
  <c r="AQ261" i="4"/>
  <c r="AR261" i="4"/>
  <c r="AZ261" i="4" s="1"/>
  <c r="AS261" i="4"/>
  <c r="AT261" i="4"/>
  <c r="AU261" i="4"/>
  <c r="AV261" i="4"/>
  <c r="AW261" i="4"/>
  <c r="AX261" i="4"/>
  <c r="AO262" i="4"/>
  <c r="AQ262" i="4" s="1"/>
  <c r="AP262" i="4"/>
  <c r="AR262" i="4"/>
  <c r="AZ262" i="4" s="1"/>
  <c r="AS262" i="4"/>
  <c r="AT262" i="4"/>
  <c r="AU262" i="4"/>
  <c r="AV262" i="4"/>
  <c r="AW262" i="4"/>
  <c r="AX262" i="4"/>
  <c r="AO263" i="4"/>
  <c r="AQ263" i="4" s="1"/>
  <c r="AP263" i="4"/>
  <c r="AR263" i="4"/>
  <c r="AZ263" i="4" s="1"/>
  <c r="AS263" i="4"/>
  <c r="AT263" i="4"/>
  <c r="AU263" i="4"/>
  <c r="AV263" i="4"/>
  <c r="AW263" i="4"/>
  <c r="AX263" i="4"/>
  <c r="AO264" i="4"/>
  <c r="AQ264" i="4" s="1"/>
  <c r="AP264" i="4"/>
  <c r="AR264" i="4"/>
  <c r="AZ264" i="4" s="1"/>
  <c r="AS264" i="4"/>
  <c r="AT264" i="4"/>
  <c r="AU264" i="4"/>
  <c r="AV264" i="4"/>
  <c r="AW264" i="4"/>
  <c r="AX264" i="4"/>
  <c r="AO265" i="4"/>
  <c r="AP265" i="4"/>
  <c r="AQ265" i="4"/>
  <c r="AR265" i="4"/>
  <c r="AS265" i="4"/>
  <c r="AT265" i="4"/>
  <c r="AU265" i="4"/>
  <c r="AV265" i="4"/>
  <c r="AW265" i="4"/>
  <c r="AX265" i="4"/>
  <c r="AZ265" i="4"/>
  <c r="AO266" i="4"/>
  <c r="AQ266" i="4" s="1"/>
  <c r="AP266" i="4"/>
  <c r="AR266" i="4"/>
  <c r="AZ266" i="4" s="1"/>
  <c r="AS266" i="4"/>
  <c r="AT266" i="4"/>
  <c r="AU266" i="4"/>
  <c r="AV266" i="4"/>
  <c r="AW266" i="4"/>
  <c r="AX266" i="4"/>
  <c r="AO267" i="4"/>
  <c r="AQ267" i="4" s="1"/>
  <c r="AP267" i="4"/>
  <c r="AR267" i="4"/>
  <c r="AZ267" i="4" s="1"/>
  <c r="AS267" i="4"/>
  <c r="AT267" i="4"/>
  <c r="AU267" i="4"/>
  <c r="AV267" i="4"/>
  <c r="AW267" i="4"/>
  <c r="AX267" i="4"/>
  <c r="AO268" i="4"/>
  <c r="AQ268" i="4" s="1"/>
  <c r="AP268" i="4"/>
  <c r="AR268" i="4"/>
  <c r="AS268" i="4"/>
  <c r="AT268" i="4"/>
  <c r="AU268" i="4"/>
  <c r="AV268" i="4"/>
  <c r="AW268" i="4"/>
  <c r="AX268" i="4"/>
  <c r="AZ268" i="4"/>
  <c r="AO269" i="4"/>
  <c r="AQ269" i="4" s="1"/>
  <c r="AP269" i="4"/>
  <c r="AR269" i="4"/>
  <c r="AZ269" i="4" s="1"/>
  <c r="AS269" i="4"/>
  <c r="AT269" i="4"/>
  <c r="AU269" i="4"/>
  <c r="AV269" i="4"/>
  <c r="AW269" i="4"/>
  <c r="AX269" i="4"/>
  <c r="AO270" i="4"/>
  <c r="AQ270" i="4" s="1"/>
  <c r="AP270" i="4"/>
  <c r="AR270" i="4"/>
  <c r="AZ270" i="4" s="1"/>
  <c r="AS270" i="4"/>
  <c r="AT270" i="4"/>
  <c r="AU270" i="4"/>
  <c r="AV270" i="4"/>
  <c r="AW270" i="4"/>
  <c r="AX270" i="4"/>
  <c r="AO271" i="4"/>
  <c r="AQ271" i="4" s="1"/>
  <c r="AP271" i="4"/>
  <c r="AR271" i="4"/>
  <c r="AZ271" i="4" s="1"/>
  <c r="AS271" i="4"/>
  <c r="AT271" i="4"/>
  <c r="AU271" i="4"/>
  <c r="AV271" i="4"/>
  <c r="AW271" i="4"/>
  <c r="AX271" i="4"/>
  <c r="AO272" i="4"/>
  <c r="AQ272" i="4" s="1"/>
  <c r="AP272" i="4"/>
  <c r="AR272" i="4"/>
  <c r="AZ272" i="4" s="1"/>
  <c r="AS272" i="4"/>
  <c r="AT272" i="4"/>
  <c r="AU272" i="4"/>
  <c r="AV272" i="4"/>
  <c r="AW272" i="4"/>
  <c r="AX272" i="4"/>
  <c r="AO273" i="4"/>
  <c r="AQ273" i="4" s="1"/>
  <c r="AP273" i="4"/>
  <c r="AR273" i="4"/>
  <c r="AS273" i="4"/>
  <c r="AT273" i="4"/>
  <c r="AU273" i="4"/>
  <c r="AV273" i="4"/>
  <c r="AW273" i="4"/>
  <c r="AX273" i="4"/>
  <c r="AZ273" i="4"/>
  <c r="AO274" i="4"/>
  <c r="AQ274" i="4" s="1"/>
  <c r="AP274" i="4"/>
  <c r="AR274" i="4"/>
  <c r="AZ274" i="4" s="1"/>
  <c r="AS274" i="4"/>
  <c r="AT274" i="4"/>
  <c r="AU274" i="4"/>
  <c r="AV274" i="4"/>
  <c r="AW274" i="4"/>
  <c r="AX274" i="4"/>
  <c r="AO275" i="4"/>
  <c r="AQ275" i="4" s="1"/>
  <c r="AP275" i="4"/>
  <c r="AR275" i="4"/>
  <c r="AZ275" i="4" s="1"/>
  <c r="AS275" i="4"/>
  <c r="AT275" i="4"/>
  <c r="AU275" i="4"/>
  <c r="AV275" i="4"/>
  <c r="AW275" i="4"/>
  <c r="AX275" i="4"/>
  <c r="AO276" i="4"/>
  <c r="AQ276" i="4" s="1"/>
  <c r="AP276" i="4"/>
  <c r="AR276" i="4"/>
  <c r="AS276" i="4"/>
  <c r="AT276" i="4"/>
  <c r="AU276" i="4"/>
  <c r="AV276" i="4"/>
  <c r="AW276" i="4"/>
  <c r="AX276" i="4"/>
  <c r="AZ276" i="4"/>
  <c r="AO277" i="4"/>
  <c r="AP277" i="4"/>
  <c r="AQ277" i="4"/>
  <c r="AR277" i="4"/>
  <c r="AZ277" i="4" s="1"/>
  <c r="AS277" i="4"/>
  <c r="AT277" i="4"/>
  <c r="AU277" i="4"/>
  <c r="AV277" i="4"/>
  <c r="AW277" i="4"/>
  <c r="AX277" i="4"/>
  <c r="AO278" i="4"/>
  <c r="AQ278" i="4" s="1"/>
  <c r="AP278" i="4"/>
  <c r="AR278" i="4"/>
  <c r="AZ278" i="4" s="1"/>
  <c r="AS278" i="4"/>
  <c r="AT278" i="4"/>
  <c r="AU278" i="4"/>
  <c r="AV278" i="4"/>
  <c r="AW278" i="4"/>
  <c r="AX278" i="4"/>
  <c r="AO279" i="4"/>
  <c r="AQ279" i="4" s="1"/>
  <c r="AP279" i="4"/>
  <c r="AR279" i="4"/>
  <c r="AZ279" i="4" s="1"/>
  <c r="AS279" i="4"/>
  <c r="AT279" i="4"/>
  <c r="AU279" i="4"/>
  <c r="AV279" i="4"/>
  <c r="AW279" i="4"/>
  <c r="AX279" i="4"/>
  <c r="AO280" i="4"/>
  <c r="AQ280" i="4" s="1"/>
  <c r="AP280" i="4"/>
  <c r="AR280" i="4"/>
  <c r="AZ280" i="4" s="1"/>
  <c r="AS280" i="4"/>
  <c r="AT280" i="4"/>
  <c r="AU280" i="4"/>
  <c r="AV280" i="4"/>
  <c r="AW280" i="4"/>
  <c r="AX280" i="4"/>
  <c r="AO281" i="4"/>
  <c r="AP281" i="4"/>
  <c r="AQ281" i="4"/>
  <c r="AR281" i="4"/>
  <c r="AS281" i="4"/>
  <c r="AT281" i="4"/>
  <c r="AU281" i="4"/>
  <c r="AV281" i="4"/>
  <c r="AW281" i="4"/>
  <c r="AX281" i="4"/>
  <c r="AZ281" i="4"/>
  <c r="AO282" i="4"/>
  <c r="AQ282" i="4" s="1"/>
  <c r="AP282" i="4"/>
  <c r="AR282" i="4"/>
  <c r="AZ282" i="4" s="1"/>
  <c r="AS282" i="4"/>
  <c r="AT282" i="4"/>
  <c r="AU282" i="4"/>
  <c r="AV282" i="4"/>
  <c r="AW282" i="4"/>
  <c r="AX282" i="4"/>
  <c r="AO283" i="4"/>
  <c r="AQ283" i="4" s="1"/>
  <c r="AP283" i="4"/>
  <c r="AR283" i="4"/>
  <c r="AZ283" i="4" s="1"/>
  <c r="AS283" i="4"/>
  <c r="AT283" i="4"/>
  <c r="AU283" i="4"/>
  <c r="AV283" i="4"/>
  <c r="AW283" i="4"/>
  <c r="AX283" i="4"/>
  <c r="AO284" i="4"/>
  <c r="AQ284" i="4" s="1"/>
  <c r="AP284" i="4"/>
  <c r="AR284" i="4"/>
  <c r="AS284" i="4"/>
  <c r="AT284" i="4"/>
  <c r="AU284" i="4"/>
  <c r="AV284" i="4"/>
  <c r="AW284" i="4"/>
  <c r="AX284" i="4"/>
  <c r="AZ284" i="4"/>
  <c r="AO285" i="4"/>
  <c r="AQ285" i="4" s="1"/>
  <c r="AP285" i="4"/>
  <c r="AR285" i="4"/>
  <c r="AZ285" i="4" s="1"/>
  <c r="AS285" i="4"/>
  <c r="AT285" i="4"/>
  <c r="AU285" i="4"/>
  <c r="AV285" i="4"/>
  <c r="AW285" i="4"/>
  <c r="AX285" i="4"/>
  <c r="AO286" i="4"/>
  <c r="AQ286" i="4" s="1"/>
  <c r="AP286" i="4"/>
  <c r="AR286" i="4"/>
  <c r="AZ286" i="4" s="1"/>
  <c r="AS286" i="4"/>
  <c r="AT286" i="4"/>
  <c r="AU286" i="4"/>
  <c r="AV286" i="4"/>
  <c r="AW286" i="4"/>
  <c r="AX286" i="4"/>
  <c r="AO287" i="4"/>
  <c r="AQ287" i="4" s="1"/>
  <c r="AP287" i="4"/>
  <c r="AR287" i="4"/>
  <c r="AZ287" i="4" s="1"/>
  <c r="AS287" i="4"/>
  <c r="AT287" i="4"/>
  <c r="AU287" i="4"/>
  <c r="AV287" i="4"/>
  <c r="AW287" i="4"/>
  <c r="AX287" i="4"/>
  <c r="AO288" i="4"/>
  <c r="AQ288" i="4" s="1"/>
  <c r="AP288" i="4"/>
  <c r="AR288" i="4"/>
  <c r="AZ288" i="4" s="1"/>
  <c r="AS288" i="4"/>
  <c r="AT288" i="4"/>
  <c r="AU288" i="4"/>
  <c r="AV288" i="4"/>
  <c r="AW288" i="4"/>
  <c r="AX288" i="4"/>
  <c r="AO289" i="4"/>
  <c r="AQ289" i="4" s="1"/>
  <c r="AP289" i="4"/>
  <c r="AR289" i="4"/>
  <c r="AS289" i="4"/>
  <c r="AT289" i="4"/>
  <c r="AU289" i="4"/>
  <c r="AV289" i="4"/>
  <c r="AW289" i="4"/>
  <c r="AX289" i="4"/>
  <c r="AZ289" i="4"/>
  <c r="AO290" i="4"/>
  <c r="AQ290" i="4" s="1"/>
  <c r="AP290" i="4"/>
  <c r="AR290" i="4"/>
  <c r="AZ290" i="4" s="1"/>
  <c r="AS290" i="4"/>
  <c r="AT290" i="4"/>
  <c r="AU290" i="4"/>
  <c r="AV290" i="4"/>
  <c r="AW290" i="4"/>
  <c r="AX290" i="4"/>
  <c r="AO291" i="4"/>
  <c r="AQ291" i="4" s="1"/>
  <c r="AP291" i="4"/>
  <c r="AR291" i="4"/>
  <c r="AZ291" i="4" s="1"/>
  <c r="AS291" i="4"/>
  <c r="AT291" i="4"/>
  <c r="AU291" i="4"/>
  <c r="AV291" i="4"/>
  <c r="AW291" i="4"/>
  <c r="AX291" i="4"/>
  <c r="AO292" i="4"/>
  <c r="AQ292" i="4" s="1"/>
  <c r="AP292" i="4"/>
  <c r="AR292" i="4"/>
  <c r="AS292" i="4"/>
  <c r="AT292" i="4"/>
  <c r="AU292" i="4"/>
  <c r="AV292" i="4"/>
  <c r="AW292" i="4"/>
  <c r="AX292" i="4"/>
  <c r="AZ292" i="4"/>
  <c r="AO293" i="4"/>
  <c r="AP293" i="4"/>
  <c r="AQ293" i="4"/>
  <c r="AR293" i="4"/>
  <c r="AZ293" i="4" s="1"/>
  <c r="AS293" i="4"/>
  <c r="AT293" i="4"/>
  <c r="AU293" i="4"/>
  <c r="AV293" i="4"/>
  <c r="AW293" i="4"/>
  <c r="AX293" i="4"/>
  <c r="AO294" i="4"/>
  <c r="AQ294" i="4" s="1"/>
  <c r="AP294" i="4"/>
  <c r="AR294" i="4"/>
  <c r="AZ294" i="4" s="1"/>
  <c r="AS294" i="4"/>
  <c r="AT294" i="4"/>
  <c r="AU294" i="4"/>
  <c r="AV294" i="4"/>
  <c r="AW294" i="4"/>
  <c r="AX294" i="4"/>
  <c r="AO295" i="4"/>
  <c r="AQ295" i="4" s="1"/>
  <c r="AP295" i="4"/>
  <c r="AR295" i="4"/>
  <c r="AZ295" i="4" s="1"/>
  <c r="AS295" i="4"/>
  <c r="AT295" i="4"/>
  <c r="AU295" i="4"/>
  <c r="AV295" i="4"/>
  <c r="AW295" i="4"/>
  <c r="AX295" i="4"/>
  <c r="AO296" i="4"/>
  <c r="AQ296" i="4" s="1"/>
  <c r="AP296" i="4"/>
  <c r="AR296" i="4"/>
  <c r="AZ296" i="4" s="1"/>
  <c r="AS296" i="4"/>
  <c r="AT296" i="4"/>
  <c r="AU296" i="4"/>
  <c r="AV296" i="4"/>
  <c r="AW296" i="4"/>
  <c r="AX296" i="4"/>
  <c r="AO297" i="4"/>
  <c r="AP297" i="4"/>
  <c r="AQ297" i="4"/>
  <c r="AR297" i="4"/>
  <c r="AS297" i="4"/>
  <c r="AT297" i="4"/>
  <c r="AU297" i="4"/>
  <c r="AV297" i="4"/>
  <c r="AW297" i="4"/>
  <c r="AX297" i="4"/>
  <c r="AZ297" i="4"/>
  <c r="AO298" i="4"/>
  <c r="AQ298" i="4" s="1"/>
  <c r="AP298" i="4"/>
  <c r="AR298" i="4"/>
  <c r="AZ298" i="4" s="1"/>
  <c r="AS298" i="4"/>
  <c r="AT298" i="4"/>
  <c r="AU298" i="4"/>
  <c r="AV298" i="4"/>
  <c r="AW298" i="4"/>
  <c r="AX298" i="4"/>
  <c r="AO299" i="4"/>
  <c r="AQ299" i="4" s="1"/>
  <c r="AP299" i="4"/>
  <c r="AR299" i="4"/>
  <c r="AZ299" i="4" s="1"/>
  <c r="AS299" i="4"/>
  <c r="AT299" i="4"/>
  <c r="AU299" i="4"/>
  <c r="AV299" i="4"/>
  <c r="AW299" i="4"/>
  <c r="AX299" i="4"/>
  <c r="AO300" i="4"/>
  <c r="AQ300" i="4" s="1"/>
  <c r="AP300" i="4"/>
  <c r="AR300" i="4"/>
  <c r="AS300" i="4"/>
  <c r="AT300" i="4"/>
  <c r="AU300" i="4"/>
  <c r="AV300" i="4"/>
  <c r="AW300" i="4"/>
  <c r="AX300" i="4"/>
  <c r="AZ300" i="4"/>
  <c r="AO301" i="4"/>
  <c r="AQ301" i="4" s="1"/>
  <c r="AP301" i="4"/>
  <c r="AR301" i="4"/>
  <c r="AZ301" i="4" s="1"/>
  <c r="AS301" i="4"/>
  <c r="AT301" i="4"/>
  <c r="AU301" i="4"/>
  <c r="AV301" i="4"/>
  <c r="AW301" i="4"/>
  <c r="AX301" i="4"/>
  <c r="AO302" i="4"/>
  <c r="AQ302" i="4" s="1"/>
  <c r="AP302" i="4"/>
  <c r="AR302" i="4"/>
  <c r="AZ302" i="4" s="1"/>
  <c r="AS302" i="4"/>
  <c r="AT302" i="4"/>
  <c r="AU302" i="4"/>
  <c r="AV302" i="4"/>
  <c r="AW302" i="4"/>
  <c r="AX302" i="4"/>
  <c r="AO303" i="4"/>
  <c r="AQ303" i="4" s="1"/>
  <c r="AP303" i="4"/>
  <c r="AR303" i="4"/>
  <c r="AZ303" i="4" s="1"/>
  <c r="AS303" i="4"/>
  <c r="AT303" i="4"/>
  <c r="AU303" i="4"/>
  <c r="AV303" i="4"/>
  <c r="AW303" i="4"/>
  <c r="AX303" i="4"/>
  <c r="AO304" i="4"/>
  <c r="AQ304" i="4" s="1"/>
  <c r="AP304" i="4"/>
  <c r="AR304" i="4"/>
  <c r="AZ304" i="4" s="1"/>
  <c r="AS304" i="4"/>
  <c r="AT304" i="4"/>
  <c r="AU304" i="4"/>
  <c r="AV304" i="4"/>
  <c r="AW304" i="4"/>
  <c r="AX304" i="4"/>
  <c r="AO305" i="4"/>
  <c r="AQ305" i="4" s="1"/>
  <c r="AP305" i="4"/>
  <c r="AR305" i="4"/>
  <c r="AS305" i="4"/>
  <c r="AT305" i="4"/>
  <c r="AU305" i="4"/>
  <c r="AV305" i="4"/>
  <c r="AW305" i="4"/>
  <c r="AX305" i="4"/>
  <c r="AZ305" i="4"/>
  <c r="AO306" i="4"/>
  <c r="AQ306" i="4" s="1"/>
  <c r="AP306" i="4"/>
  <c r="AR306" i="4"/>
  <c r="AZ306" i="4" s="1"/>
  <c r="AS306" i="4"/>
  <c r="AT306" i="4"/>
  <c r="AU306" i="4"/>
  <c r="AV306" i="4"/>
  <c r="AW306" i="4"/>
  <c r="AX306" i="4"/>
  <c r="AO307" i="4"/>
  <c r="AQ307" i="4" s="1"/>
  <c r="AP307" i="4"/>
  <c r="AR307" i="4"/>
  <c r="AZ307" i="4" s="1"/>
  <c r="AS307" i="4"/>
  <c r="AT307" i="4"/>
  <c r="AU307" i="4"/>
  <c r="AV307" i="4"/>
  <c r="AW307" i="4"/>
  <c r="AX307" i="4"/>
  <c r="AO308" i="4"/>
  <c r="AQ308" i="4" s="1"/>
  <c r="AP308" i="4"/>
  <c r="AR308" i="4"/>
  <c r="AS308" i="4"/>
  <c r="AT308" i="4"/>
  <c r="AU308" i="4"/>
  <c r="AV308" i="4"/>
  <c r="AW308" i="4"/>
  <c r="AX308" i="4"/>
  <c r="AZ308" i="4"/>
  <c r="AO309" i="4"/>
  <c r="AP309" i="4"/>
  <c r="AQ309" i="4"/>
  <c r="AR309" i="4"/>
  <c r="AZ309" i="4" s="1"/>
  <c r="AS309" i="4"/>
  <c r="AT309" i="4"/>
  <c r="AU309" i="4"/>
  <c r="AV309" i="4"/>
  <c r="AW309" i="4"/>
  <c r="AX309" i="4"/>
  <c r="AO310" i="4"/>
  <c r="AQ310" i="4" s="1"/>
  <c r="AP310" i="4"/>
  <c r="AR310" i="4"/>
  <c r="AZ310" i="4" s="1"/>
  <c r="AS310" i="4"/>
  <c r="AT310" i="4"/>
  <c r="AU310" i="4"/>
  <c r="AV310" i="4"/>
  <c r="AW310" i="4"/>
  <c r="AX310" i="4"/>
  <c r="AO311" i="4"/>
  <c r="AQ311" i="4" s="1"/>
  <c r="AP311" i="4"/>
  <c r="AR311" i="4"/>
  <c r="AZ311" i="4" s="1"/>
  <c r="AS311" i="4"/>
  <c r="AT311" i="4"/>
  <c r="AU311" i="4"/>
  <c r="AV311" i="4"/>
  <c r="AW311" i="4"/>
  <c r="AX311" i="4"/>
  <c r="AO312" i="4"/>
  <c r="AQ312" i="4" s="1"/>
  <c r="AP312" i="4"/>
  <c r="AR312" i="4"/>
  <c r="AZ312" i="4" s="1"/>
  <c r="AS312" i="4"/>
  <c r="AT312" i="4"/>
  <c r="AU312" i="4"/>
  <c r="AV312" i="4"/>
  <c r="AW312" i="4"/>
  <c r="AX312" i="4"/>
  <c r="AO313" i="4"/>
  <c r="AP313" i="4"/>
  <c r="AQ313" i="4"/>
  <c r="AR313" i="4"/>
  <c r="AS313" i="4"/>
  <c r="AT313" i="4"/>
  <c r="AU313" i="4"/>
  <c r="AV313" i="4"/>
  <c r="AW313" i="4"/>
  <c r="AX313" i="4"/>
  <c r="AZ313" i="4"/>
  <c r="AO314" i="4"/>
  <c r="AQ314" i="4" s="1"/>
  <c r="AP314" i="4"/>
  <c r="AR314" i="4"/>
  <c r="AZ314" i="4" s="1"/>
  <c r="AS314" i="4"/>
  <c r="AT314" i="4"/>
  <c r="AU314" i="4"/>
  <c r="AV314" i="4"/>
  <c r="AW314" i="4"/>
  <c r="AX314" i="4"/>
  <c r="AO315" i="4"/>
  <c r="AQ315" i="4" s="1"/>
  <c r="AP315" i="4"/>
  <c r="AR315" i="4"/>
  <c r="AZ315" i="4" s="1"/>
  <c r="AS315" i="4"/>
  <c r="AT315" i="4"/>
  <c r="AU315" i="4"/>
  <c r="AV315" i="4"/>
  <c r="AW315" i="4"/>
  <c r="AX315" i="4"/>
  <c r="AO316" i="4"/>
  <c r="AQ316" i="4" s="1"/>
  <c r="AP316" i="4"/>
  <c r="AR316" i="4"/>
  <c r="AS316" i="4"/>
  <c r="AT316" i="4"/>
  <c r="AU316" i="4"/>
  <c r="AV316" i="4"/>
  <c r="AW316" i="4"/>
  <c r="AX316" i="4"/>
  <c r="AZ316" i="4"/>
  <c r="AO317" i="4"/>
  <c r="AQ317" i="4" s="1"/>
  <c r="AP317" i="4"/>
  <c r="AR317" i="4"/>
  <c r="AZ317" i="4" s="1"/>
  <c r="AS317" i="4"/>
  <c r="AT317" i="4"/>
  <c r="AU317" i="4"/>
  <c r="AV317" i="4"/>
  <c r="AW317" i="4"/>
  <c r="AX317" i="4"/>
  <c r="AO318" i="4"/>
  <c r="AQ318" i="4" s="1"/>
  <c r="AP318" i="4"/>
  <c r="AR318" i="4"/>
  <c r="AZ318" i="4" s="1"/>
  <c r="AS318" i="4"/>
  <c r="AT318" i="4"/>
  <c r="AU318" i="4"/>
  <c r="AV318" i="4"/>
  <c r="AW318" i="4"/>
  <c r="AX318" i="4"/>
  <c r="AO319" i="4"/>
  <c r="AQ319" i="4" s="1"/>
  <c r="AP319" i="4"/>
  <c r="AR319" i="4"/>
  <c r="AZ319" i="4" s="1"/>
  <c r="AS319" i="4"/>
  <c r="AT319" i="4"/>
  <c r="AU319" i="4"/>
  <c r="AV319" i="4"/>
  <c r="AW319" i="4"/>
  <c r="AX319" i="4"/>
  <c r="AO320" i="4"/>
  <c r="AQ320" i="4" s="1"/>
  <c r="AP320" i="4"/>
  <c r="AR320" i="4"/>
  <c r="AS320" i="4"/>
  <c r="AT320" i="4"/>
  <c r="AU320" i="4"/>
  <c r="AV320" i="4"/>
  <c r="AW320" i="4"/>
  <c r="AX320" i="4"/>
  <c r="AZ320" i="4"/>
  <c r="AO321" i="4"/>
  <c r="AP321" i="4"/>
  <c r="AQ321" i="4"/>
  <c r="AR321" i="4"/>
  <c r="AZ321" i="4" s="1"/>
  <c r="AS321" i="4"/>
  <c r="AT321" i="4"/>
  <c r="AU321" i="4"/>
  <c r="AV321" i="4"/>
  <c r="AW321" i="4"/>
  <c r="AX321" i="4"/>
  <c r="AO322" i="4"/>
  <c r="AQ322" i="4" s="1"/>
  <c r="AP322" i="4"/>
  <c r="AR322" i="4"/>
  <c r="AZ322" i="4" s="1"/>
  <c r="AS322" i="4"/>
  <c r="AT322" i="4"/>
  <c r="AU322" i="4"/>
  <c r="AV322" i="4"/>
  <c r="AW322" i="4"/>
  <c r="AX322" i="4"/>
  <c r="AO323" i="4"/>
  <c r="AQ323" i="4" s="1"/>
  <c r="AP323" i="4"/>
  <c r="AR323" i="4"/>
  <c r="AZ323" i="4" s="1"/>
  <c r="AS323" i="4"/>
  <c r="AT323" i="4"/>
  <c r="AU323" i="4"/>
  <c r="AV323" i="4"/>
  <c r="AW323" i="4"/>
  <c r="AX323" i="4"/>
  <c r="AO324" i="4"/>
  <c r="AQ324" i="4" s="1"/>
  <c r="AP324" i="4"/>
  <c r="AR324" i="4"/>
  <c r="AZ324" i="4" s="1"/>
  <c r="AS324" i="4"/>
  <c r="AT324" i="4"/>
  <c r="AU324" i="4"/>
  <c r="AV324" i="4"/>
  <c r="AW324" i="4"/>
  <c r="AX324" i="4"/>
  <c r="AO325" i="4"/>
  <c r="AP325" i="4"/>
  <c r="AQ325" i="4"/>
  <c r="AR325" i="4"/>
  <c r="AZ325" i="4" s="1"/>
  <c r="AS325" i="4"/>
  <c r="AT325" i="4"/>
  <c r="AU325" i="4"/>
  <c r="AV325" i="4"/>
  <c r="AW325" i="4"/>
  <c r="AX325" i="4"/>
  <c r="AO326" i="4"/>
  <c r="AQ326" i="4" s="1"/>
  <c r="AP326" i="4"/>
  <c r="AR326" i="4"/>
  <c r="AZ326" i="4" s="1"/>
  <c r="AS326" i="4"/>
  <c r="AT326" i="4"/>
  <c r="AU326" i="4"/>
  <c r="AV326" i="4"/>
  <c r="AW326" i="4"/>
  <c r="AX326" i="4"/>
  <c r="AO327" i="4"/>
  <c r="AQ327" i="4" s="1"/>
  <c r="AP327" i="4"/>
  <c r="AR327" i="4"/>
  <c r="AZ327" i="4" s="1"/>
  <c r="AS327" i="4"/>
  <c r="AT327" i="4"/>
  <c r="AU327" i="4"/>
  <c r="AV327" i="4"/>
  <c r="AW327" i="4"/>
  <c r="AX327" i="4"/>
  <c r="AO328" i="4"/>
  <c r="AQ328" i="4" s="1"/>
  <c r="AP328" i="4"/>
  <c r="AR328" i="4"/>
  <c r="AZ328" i="4" s="1"/>
  <c r="AS328" i="4"/>
  <c r="AT328" i="4"/>
  <c r="AU328" i="4"/>
  <c r="AV328" i="4"/>
  <c r="AW328" i="4"/>
  <c r="AX328" i="4"/>
  <c r="AO329" i="4"/>
  <c r="AQ329" i="4" s="1"/>
  <c r="AP329" i="4"/>
  <c r="AR329" i="4"/>
  <c r="AS329" i="4"/>
  <c r="AT329" i="4"/>
  <c r="AU329" i="4"/>
  <c r="AV329" i="4"/>
  <c r="AW329" i="4"/>
  <c r="AX329" i="4"/>
  <c r="AZ329" i="4"/>
  <c r="AO330" i="4"/>
  <c r="AQ330" i="4" s="1"/>
  <c r="AP330" i="4"/>
  <c r="AR330" i="4"/>
  <c r="AZ330" i="4" s="1"/>
  <c r="AS330" i="4"/>
  <c r="AT330" i="4"/>
  <c r="AU330" i="4"/>
  <c r="AV330" i="4"/>
  <c r="AW330" i="4"/>
  <c r="AX330" i="4"/>
  <c r="AO331" i="4"/>
  <c r="AQ331" i="4" s="1"/>
  <c r="AP331" i="4"/>
  <c r="AR331" i="4"/>
  <c r="AZ331" i="4" s="1"/>
  <c r="AS331" i="4"/>
  <c r="AT331" i="4"/>
  <c r="AU331" i="4"/>
  <c r="AV331" i="4"/>
  <c r="AW331" i="4"/>
  <c r="AX331" i="4"/>
  <c r="AO332" i="4"/>
  <c r="AQ332" i="4" s="1"/>
  <c r="AP332" i="4"/>
  <c r="AR332" i="4"/>
  <c r="AS332" i="4"/>
  <c r="AT332" i="4"/>
  <c r="AU332" i="4"/>
  <c r="AV332" i="4"/>
  <c r="AW332" i="4"/>
  <c r="AX332" i="4"/>
  <c r="AZ332" i="4"/>
  <c r="AO333" i="4"/>
  <c r="AP333" i="4"/>
  <c r="AQ333" i="4"/>
  <c r="AR333" i="4"/>
  <c r="AZ333" i="4" s="1"/>
  <c r="AS333" i="4"/>
  <c r="AT333" i="4"/>
  <c r="AU333" i="4"/>
  <c r="AV333" i="4"/>
  <c r="AW333" i="4"/>
  <c r="AX333" i="4"/>
  <c r="AO334" i="4"/>
  <c r="AQ334" i="4" s="1"/>
  <c r="AP334" i="4"/>
  <c r="AR334" i="4"/>
  <c r="AZ334" i="4" s="1"/>
  <c r="AS334" i="4"/>
  <c r="AT334" i="4"/>
  <c r="AU334" i="4"/>
  <c r="AV334" i="4"/>
  <c r="AW334" i="4"/>
  <c r="AX334" i="4"/>
  <c r="AO335" i="4"/>
  <c r="AQ335" i="4" s="1"/>
  <c r="AP335" i="4"/>
  <c r="AR335" i="4"/>
  <c r="AZ335" i="4" s="1"/>
  <c r="AS335" i="4"/>
  <c r="AT335" i="4"/>
  <c r="AU335" i="4"/>
  <c r="AV335" i="4"/>
  <c r="AW335" i="4"/>
  <c r="AX335" i="4"/>
  <c r="AO336" i="4"/>
  <c r="AQ336" i="4" s="1"/>
  <c r="AP336" i="4"/>
  <c r="AR336" i="4"/>
  <c r="AS336" i="4"/>
  <c r="AT336" i="4"/>
  <c r="AU336" i="4"/>
  <c r="AV336" i="4"/>
  <c r="AW336" i="4"/>
  <c r="AX336" i="4"/>
  <c r="AZ336" i="4"/>
  <c r="AO337" i="4"/>
  <c r="AQ337" i="4" s="1"/>
  <c r="AP337" i="4"/>
  <c r="AR337" i="4"/>
  <c r="AZ337" i="4" s="1"/>
  <c r="AS337" i="4"/>
  <c r="AT337" i="4"/>
  <c r="AU337" i="4"/>
  <c r="AV337" i="4"/>
  <c r="AW337" i="4"/>
  <c r="AX337" i="4"/>
  <c r="AO338" i="4"/>
  <c r="AQ338" i="4" s="1"/>
  <c r="AP338" i="4"/>
  <c r="AR338" i="4"/>
  <c r="AZ338" i="4" s="1"/>
  <c r="AS338" i="4"/>
  <c r="AT338" i="4"/>
  <c r="AU338" i="4"/>
  <c r="AV338" i="4"/>
  <c r="AW338" i="4"/>
  <c r="AX338" i="4"/>
  <c r="AO339" i="4"/>
  <c r="AQ339" i="4" s="1"/>
  <c r="AP339" i="4"/>
  <c r="AR339" i="4"/>
  <c r="AZ339" i="4" s="1"/>
  <c r="AS339" i="4"/>
  <c r="AT339" i="4"/>
  <c r="AU339" i="4"/>
  <c r="AV339" i="4"/>
  <c r="AW339" i="4"/>
  <c r="AX339" i="4"/>
  <c r="AO340" i="4"/>
  <c r="AQ340" i="4" s="1"/>
  <c r="AP340" i="4"/>
  <c r="AR340" i="4"/>
  <c r="AZ340" i="4" s="1"/>
  <c r="AS340" i="4"/>
  <c r="AT340" i="4"/>
  <c r="AU340" i="4"/>
  <c r="AV340" i="4"/>
  <c r="AW340" i="4"/>
  <c r="AX340" i="4"/>
  <c r="AO341" i="4"/>
  <c r="AQ341" i="4" s="1"/>
  <c r="AP341" i="4"/>
  <c r="AR341" i="4"/>
  <c r="AZ341" i="4" s="1"/>
  <c r="AS341" i="4"/>
  <c r="AT341" i="4"/>
  <c r="AU341" i="4"/>
  <c r="AV341" i="4"/>
  <c r="AW341" i="4"/>
  <c r="AX341" i="4"/>
  <c r="AO342" i="4"/>
  <c r="AQ342" i="4" s="1"/>
  <c r="AP342" i="4"/>
  <c r="AR342" i="4"/>
  <c r="AZ342" i="4" s="1"/>
  <c r="AS342" i="4"/>
  <c r="AT342" i="4"/>
  <c r="AU342" i="4"/>
  <c r="AV342" i="4"/>
  <c r="AW342" i="4"/>
  <c r="AX342" i="4"/>
  <c r="AO343" i="4"/>
  <c r="AQ343" i="4" s="1"/>
  <c r="AP343" i="4"/>
  <c r="AR343" i="4"/>
  <c r="AZ343" i="4" s="1"/>
  <c r="AS343" i="4"/>
  <c r="AT343" i="4"/>
  <c r="AU343" i="4"/>
  <c r="AV343" i="4"/>
  <c r="AW343" i="4"/>
  <c r="AX343" i="4"/>
  <c r="AO344" i="4"/>
  <c r="AQ344" i="4" s="1"/>
  <c r="AP344" i="4"/>
  <c r="AR344" i="4"/>
  <c r="AZ344" i="4" s="1"/>
  <c r="AS344" i="4"/>
  <c r="AT344" i="4"/>
  <c r="AU344" i="4"/>
  <c r="AV344" i="4"/>
  <c r="AW344" i="4"/>
  <c r="AX344" i="4"/>
  <c r="AO345" i="4"/>
  <c r="AP345" i="4"/>
  <c r="AQ345" i="4"/>
  <c r="AR345" i="4"/>
  <c r="AS345" i="4"/>
  <c r="AT345" i="4"/>
  <c r="AU345" i="4"/>
  <c r="AV345" i="4"/>
  <c r="AW345" i="4"/>
  <c r="AX345" i="4"/>
  <c r="AZ345" i="4"/>
  <c r="AO346" i="4"/>
  <c r="AQ346" i="4" s="1"/>
  <c r="AP346" i="4"/>
  <c r="AR346" i="4"/>
  <c r="AZ346" i="4" s="1"/>
  <c r="AS346" i="4"/>
  <c r="AT346" i="4"/>
  <c r="AU346" i="4"/>
  <c r="AV346" i="4"/>
  <c r="AW346" i="4"/>
  <c r="AX346" i="4"/>
  <c r="AO347" i="4"/>
  <c r="AQ347" i="4" s="1"/>
  <c r="AP347" i="4"/>
  <c r="AR347" i="4"/>
  <c r="AZ347" i="4" s="1"/>
  <c r="AS347" i="4"/>
  <c r="AT347" i="4"/>
  <c r="AU347" i="4"/>
  <c r="AV347" i="4"/>
  <c r="AW347" i="4"/>
  <c r="AX347" i="4"/>
  <c r="AO348" i="4"/>
  <c r="AQ348" i="4" s="1"/>
  <c r="AP348" i="4"/>
  <c r="AR348" i="4"/>
  <c r="AS348" i="4"/>
  <c r="AT348" i="4"/>
  <c r="AU348" i="4"/>
  <c r="AV348" i="4"/>
  <c r="AW348" i="4"/>
  <c r="AX348" i="4"/>
  <c r="AZ348" i="4"/>
  <c r="AO349" i="4"/>
  <c r="AQ349" i="4" s="1"/>
  <c r="AP349" i="4"/>
  <c r="AR349" i="4"/>
  <c r="AZ349" i="4" s="1"/>
  <c r="AS349" i="4"/>
  <c r="AT349" i="4"/>
  <c r="AU349" i="4"/>
  <c r="AV349" i="4"/>
  <c r="AW349" i="4"/>
  <c r="AX349" i="4"/>
  <c r="AO350" i="4"/>
  <c r="AQ350" i="4" s="1"/>
  <c r="AP350" i="4"/>
  <c r="AR350" i="4"/>
  <c r="AZ350" i="4" s="1"/>
  <c r="AS350" i="4"/>
  <c r="AT350" i="4"/>
  <c r="AU350" i="4"/>
  <c r="AV350" i="4"/>
  <c r="AW350" i="4"/>
  <c r="AX350" i="4"/>
  <c r="AO351" i="4"/>
  <c r="AQ351" i="4" s="1"/>
  <c r="AP351" i="4"/>
  <c r="AR351" i="4"/>
  <c r="AZ351" i="4" s="1"/>
  <c r="AS351" i="4"/>
  <c r="AT351" i="4"/>
  <c r="AU351" i="4"/>
  <c r="AV351" i="4"/>
  <c r="AW351" i="4"/>
  <c r="AX351" i="4"/>
  <c r="AO352" i="4"/>
  <c r="AQ352" i="4" s="1"/>
  <c r="AP352" i="4"/>
  <c r="AR352" i="4"/>
  <c r="AS352" i="4"/>
  <c r="AT352" i="4"/>
  <c r="AU352" i="4"/>
  <c r="AV352" i="4"/>
  <c r="AW352" i="4"/>
  <c r="AX352" i="4"/>
  <c r="AZ352" i="4"/>
  <c r="AO353" i="4"/>
  <c r="AP353" i="4"/>
  <c r="AQ353" i="4"/>
  <c r="AR353" i="4"/>
  <c r="AZ353" i="4" s="1"/>
  <c r="AS353" i="4"/>
  <c r="AT353" i="4"/>
  <c r="AU353" i="4"/>
  <c r="AV353" i="4"/>
  <c r="AW353" i="4"/>
  <c r="AX353" i="4"/>
  <c r="AO354" i="4"/>
  <c r="AQ354" i="4" s="1"/>
  <c r="AP354" i="4"/>
  <c r="AR354" i="4"/>
  <c r="AZ354" i="4" s="1"/>
  <c r="AS354" i="4"/>
  <c r="AT354" i="4"/>
  <c r="AU354" i="4"/>
  <c r="AV354" i="4"/>
  <c r="AW354" i="4"/>
  <c r="AX354" i="4"/>
  <c r="AO355" i="4"/>
  <c r="AQ355" i="4" s="1"/>
  <c r="AP355" i="4"/>
  <c r="AR355" i="4"/>
  <c r="AZ355" i="4" s="1"/>
  <c r="AS355" i="4"/>
  <c r="AT355" i="4"/>
  <c r="AU355" i="4"/>
  <c r="AV355" i="4"/>
  <c r="AW355" i="4"/>
  <c r="AX355" i="4"/>
  <c r="AO356" i="4"/>
  <c r="AQ356" i="4" s="1"/>
  <c r="AP356" i="4"/>
  <c r="AR356" i="4"/>
  <c r="AZ356" i="4" s="1"/>
  <c r="AS356" i="4"/>
  <c r="AT356" i="4"/>
  <c r="AU356" i="4"/>
  <c r="AV356" i="4"/>
  <c r="AW356" i="4"/>
  <c r="AX356" i="4"/>
  <c r="AO357" i="4"/>
  <c r="AP357" i="4"/>
  <c r="AQ357" i="4"/>
  <c r="AR357" i="4"/>
  <c r="AZ357" i="4" s="1"/>
  <c r="AS357" i="4"/>
  <c r="AT357" i="4"/>
  <c r="AU357" i="4"/>
  <c r="AV357" i="4"/>
  <c r="AW357" i="4"/>
  <c r="AX357" i="4"/>
  <c r="AO358" i="4"/>
  <c r="AQ358" i="4" s="1"/>
  <c r="AP358" i="4"/>
  <c r="AR358" i="4"/>
  <c r="AZ358" i="4" s="1"/>
  <c r="AS358" i="4"/>
  <c r="AT358" i="4"/>
  <c r="AU358" i="4"/>
  <c r="AV358" i="4"/>
  <c r="AW358" i="4"/>
  <c r="AX358" i="4"/>
  <c r="AO359" i="4"/>
  <c r="AQ359" i="4" s="1"/>
  <c r="AP359" i="4"/>
  <c r="AR359" i="4"/>
  <c r="AZ359" i="4" s="1"/>
  <c r="AS359" i="4"/>
  <c r="AT359" i="4"/>
  <c r="AU359" i="4"/>
  <c r="AV359" i="4"/>
  <c r="AW359" i="4"/>
  <c r="AX359" i="4"/>
  <c r="AO360" i="4"/>
  <c r="AQ360" i="4" s="1"/>
  <c r="AP360" i="4"/>
  <c r="AR360" i="4"/>
  <c r="AZ360" i="4" s="1"/>
  <c r="AS360" i="4"/>
  <c r="AT360" i="4"/>
  <c r="AU360" i="4"/>
  <c r="AV360" i="4"/>
  <c r="AW360" i="4"/>
  <c r="AX360" i="4"/>
  <c r="AO361" i="4"/>
  <c r="AQ361" i="4" s="1"/>
  <c r="AP361" i="4"/>
  <c r="AR361" i="4"/>
  <c r="AS361" i="4"/>
  <c r="AT361" i="4"/>
  <c r="AU361" i="4"/>
  <c r="AV361" i="4"/>
  <c r="AW361" i="4"/>
  <c r="AX361" i="4"/>
  <c r="AZ361" i="4"/>
  <c r="AO362" i="4"/>
  <c r="AQ362" i="4" s="1"/>
  <c r="AP362" i="4"/>
  <c r="AR362" i="4"/>
  <c r="AZ362" i="4" s="1"/>
  <c r="AS362" i="4"/>
  <c r="AT362" i="4"/>
  <c r="AU362" i="4"/>
  <c r="AV362" i="4"/>
  <c r="AW362" i="4"/>
  <c r="AX362" i="4"/>
  <c r="AO363" i="4"/>
  <c r="AQ363" i="4" s="1"/>
  <c r="AP363" i="4"/>
  <c r="AR363" i="4"/>
  <c r="AZ363" i="4" s="1"/>
  <c r="AS363" i="4"/>
  <c r="AT363" i="4"/>
  <c r="AU363" i="4"/>
  <c r="AV363" i="4"/>
  <c r="AW363" i="4"/>
  <c r="AX363" i="4"/>
  <c r="AO364" i="4"/>
  <c r="AQ364" i="4" s="1"/>
  <c r="AP364" i="4"/>
  <c r="AR364" i="4"/>
  <c r="AS364" i="4"/>
  <c r="AT364" i="4"/>
  <c r="AU364" i="4"/>
  <c r="AV364" i="4"/>
  <c r="AW364" i="4"/>
  <c r="AX364" i="4"/>
  <c r="AZ364" i="4"/>
  <c r="AO365" i="4"/>
  <c r="AP365" i="4"/>
  <c r="AQ365" i="4"/>
  <c r="AR365" i="4"/>
  <c r="AZ365" i="4" s="1"/>
  <c r="AS365" i="4"/>
  <c r="AT365" i="4"/>
  <c r="AU365" i="4"/>
  <c r="AV365" i="4"/>
  <c r="AW365" i="4"/>
  <c r="AX365" i="4"/>
  <c r="AO366" i="4"/>
  <c r="AQ366" i="4" s="1"/>
  <c r="AP366" i="4"/>
  <c r="AR366" i="4"/>
  <c r="AZ366" i="4" s="1"/>
  <c r="AS366" i="4"/>
  <c r="AT366" i="4"/>
  <c r="AU366" i="4"/>
  <c r="AV366" i="4"/>
  <c r="AW366" i="4"/>
  <c r="AX366" i="4"/>
  <c r="AO367" i="4"/>
  <c r="AQ367" i="4" s="1"/>
  <c r="AP367" i="4"/>
  <c r="AR367" i="4"/>
  <c r="AZ367" i="4" s="1"/>
  <c r="AS367" i="4"/>
  <c r="AT367" i="4"/>
  <c r="AU367" i="4"/>
  <c r="AV367" i="4"/>
  <c r="AW367" i="4"/>
  <c r="AX367" i="4"/>
  <c r="AO368" i="4"/>
  <c r="AQ368" i="4" s="1"/>
  <c r="AP368" i="4"/>
  <c r="AR368" i="4"/>
  <c r="AS368" i="4"/>
  <c r="AT368" i="4"/>
  <c r="AU368" i="4"/>
  <c r="AV368" i="4"/>
  <c r="AW368" i="4"/>
  <c r="AX368" i="4"/>
  <c r="AZ368" i="4"/>
  <c r="AO369" i="4"/>
  <c r="AQ369" i="4" s="1"/>
  <c r="AP369" i="4"/>
  <c r="AR369" i="4"/>
  <c r="AZ369" i="4" s="1"/>
  <c r="AS369" i="4"/>
  <c r="AT369" i="4"/>
  <c r="AU369" i="4"/>
  <c r="AV369" i="4"/>
  <c r="AW369" i="4"/>
  <c r="AX369" i="4"/>
  <c r="AO370" i="4"/>
  <c r="AQ370" i="4" s="1"/>
  <c r="AP370" i="4"/>
  <c r="AR370" i="4"/>
  <c r="AZ370" i="4" s="1"/>
  <c r="AS370" i="4"/>
  <c r="AT370" i="4"/>
  <c r="AU370" i="4"/>
  <c r="AV370" i="4"/>
  <c r="AW370" i="4"/>
  <c r="AX370" i="4"/>
  <c r="AO371" i="4"/>
  <c r="AQ371" i="4" s="1"/>
  <c r="AP371" i="4"/>
  <c r="AR371" i="4"/>
  <c r="AZ371" i="4" s="1"/>
  <c r="AS371" i="4"/>
  <c r="AT371" i="4"/>
  <c r="AU371" i="4"/>
  <c r="AV371" i="4"/>
  <c r="AW371" i="4"/>
  <c r="AX371" i="4"/>
  <c r="AO372" i="4"/>
  <c r="AQ372" i="4" s="1"/>
  <c r="AP372" i="4"/>
  <c r="AR372" i="4"/>
  <c r="AZ372" i="4" s="1"/>
  <c r="AS372" i="4"/>
  <c r="AT372" i="4"/>
  <c r="AU372" i="4"/>
  <c r="AV372" i="4"/>
  <c r="AW372" i="4"/>
  <c r="AX372" i="4"/>
  <c r="AO373" i="4"/>
  <c r="AQ373" i="4" s="1"/>
  <c r="AP373" i="4"/>
  <c r="AR373" i="4"/>
  <c r="AZ373" i="4" s="1"/>
  <c r="AS373" i="4"/>
  <c r="AT373" i="4"/>
  <c r="AU373" i="4"/>
  <c r="AV373" i="4"/>
  <c r="AW373" i="4"/>
  <c r="AX373" i="4"/>
  <c r="AO374" i="4"/>
  <c r="AQ374" i="4" s="1"/>
  <c r="AP374" i="4"/>
  <c r="AR374" i="4"/>
  <c r="AZ374" i="4" s="1"/>
  <c r="AS374" i="4"/>
  <c r="AT374" i="4"/>
  <c r="AU374" i="4"/>
  <c r="AV374" i="4"/>
  <c r="AW374" i="4"/>
  <c r="AX374" i="4"/>
  <c r="AO375" i="4"/>
  <c r="AQ375" i="4" s="1"/>
  <c r="AP375" i="4"/>
  <c r="AR375" i="4"/>
  <c r="AZ375" i="4" s="1"/>
  <c r="AS375" i="4"/>
  <c r="AT375" i="4"/>
  <c r="AU375" i="4"/>
  <c r="AV375" i="4"/>
  <c r="AW375" i="4"/>
  <c r="AX375" i="4"/>
  <c r="AO376" i="4"/>
  <c r="AQ376" i="4" s="1"/>
  <c r="AP376" i="4"/>
  <c r="AR376" i="4"/>
  <c r="AZ376" i="4" s="1"/>
  <c r="AS376" i="4"/>
  <c r="AT376" i="4"/>
  <c r="AU376" i="4"/>
  <c r="AV376" i="4"/>
  <c r="AW376" i="4"/>
  <c r="AX376" i="4"/>
  <c r="AO377" i="4"/>
  <c r="AP377" i="4"/>
  <c r="AQ377" i="4"/>
  <c r="AR377" i="4"/>
  <c r="AS377" i="4"/>
  <c r="AT377" i="4"/>
  <c r="AU377" i="4"/>
  <c r="AV377" i="4"/>
  <c r="AW377" i="4"/>
  <c r="AX377" i="4"/>
  <c r="AZ377" i="4"/>
  <c r="AO378" i="4"/>
  <c r="AQ378" i="4" s="1"/>
  <c r="AP378" i="4"/>
  <c r="AR378" i="4"/>
  <c r="AZ378" i="4" s="1"/>
  <c r="AS378" i="4"/>
  <c r="AT378" i="4"/>
  <c r="AU378" i="4"/>
  <c r="AV378" i="4"/>
  <c r="AW378" i="4"/>
  <c r="AX378" i="4"/>
  <c r="AO379" i="4"/>
  <c r="AQ379" i="4" s="1"/>
  <c r="AP379" i="4"/>
  <c r="AR379" i="4"/>
  <c r="AZ379" i="4" s="1"/>
  <c r="AS379" i="4"/>
  <c r="AT379" i="4"/>
  <c r="AU379" i="4"/>
  <c r="AV379" i="4"/>
  <c r="AW379" i="4"/>
  <c r="AX379" i="4"/>
  <c r="AO380" i="4"/>
  <c r="AQ380" i="4" s="1"/>
  <c r="AP380" i="4"/>
  <c r="AR380" i="4"/>
  <c r="AS380" i="4"/>
  <c r="AT380" i="4"/>
  <c r="AU380" i="4"/>
  <c r="AV380" i="4"/>
  <c r="AW380" i="4"/>
  <c r="AX380" i="4"/>
  <c r="AZ380" i="4"/>
  <c r="AO381" i="4"/>
  <c r="AQ381" i="4" s="1"/>
  <c r="AP381" i="4"/>
  <c r="AR381" i="4"/>
  <c r="AZ381" i="4" s="1"/>
  <c r="AS381" i="4"/>
  <c r="AT381" i="4"/>
  <c r="AU381" i="4"/>
  <c r="AV381" i="4"/>
  <c r="AW381" i="4"/>
  <c r="AX381" i="4"/>
  <c r="AO382" i="4"/>
  <c r="AQ382" i="4" s="1"/>
  <c r="AP382" i="4"/>
  <c r="AR382" i="4"/>
  <c r="AZ382" i="4" s="1"/>
  <c r="AS382" i="4"/>
  <c r="AT382" i="4"/>
  <c r="AU382" i="4"/>
  <c r="AV382" i="4"/>
  <c r="AW382" i="4"/>
  <c r="AX382" i="4"/>
  <c r="AO383" i="4"/>
  <c r="AQ383" i="4" s="1"/>
  <c r="AP383" i="4"/>
  <c r="AR383" i="4"/>
  <c r="AZ383" i="4" s="1"/>
  <c r="AS383" i="4"/>
  <c r="AT383" i="4"/>
  <c r="AU383" i="4"/>
  <c r="AV383" i="4"/>
  <c r="AW383" i="4"/>
  <c r="AX383" i="4"/>
  <c r="AO384" i="4"/>
  <c r="AQ384" i="4" s="1"/>
  <c r="AP384" i="4"/>
  <c r="AR384" i="4"/>
  <c r="AZ384" i="4" s="1"/>
  <c r="AS384" i="4"/>
  <c r="AT384" i="4"/>
  <c r="AU384" i="4"/>
  <c r="AV384" i="4"/>
  <c r="AW384" i="4"/>
  <c r="AX384" i="4"/>
  <c r="AO385" i="4"/>
  <c r="AQ385" i="4" s="1"/>
  <c r="AP385" i="4"/>
  <c r="AR385" i="4"/>
  <c r="AS385" i="4"/>
  <c r="AT385" i="4"/>
  <c r="AU385" i="4"/>
  <c r="AV385" i="4"/>
  <c r="AW385" i="4"/>
  <c r="AX385" i="4"/>
  <c r="AZ385" i="4"/>
  <c r="AO386" i="4"/>
  <c r="AQ386" i="4" s="1"/>
  <c r="AP386" i="4"/>
  <c r="AR386" i="4"/>
  <c r="AZ386" i="4" s="1"/>
  <c r="AS386" i="4"/>
  <c r="AT386" i="4"/>
  <c r="AU386" i="4"/>
  <c r="AV386" i="4"/>
  <c r="AW386" i="4"/>
  <c r="AX386" i="4"/>
  <c r="AO387" i="4"/>
  <c r="AQ387" i="4" s="1"/>
  <c r="AP387" i="4"/>
  <c r="AR387" i="4"/>
  <c r="AZ387" i="4" s="1"/>
  <c r="AS387" i="4"/>
  <c r="AT387" i="4"/>
  <c r="AU387" i="4"/>
  <c r="AV387" i="4"/>
  <c r="AW387" i="4"/>
  <c r="AX387" i="4"/>
  <c r="AO388" i="4"/>
  <c r="AQ388" i="4" s="1"/>
  <c r="AP388" i="4"/>
  <c r="AR388" i="4"/>
  <c r="AS388" i="4"/>
  <c r="AT388" i="4"/>
  <c r="AU388" i="4"/>
  <c r="AV388" i="4"/>
  <c r="AW388" i="4"/>
  <c r="AX388" i="4"/>
  <c r="AZ388" i="4"/>
  <c r="AO389" i="4"/>
  <c r="AP389" i="4"/>
  <c r="AQ389" i="4"/>
  <c r="AR389" i="4"/>
  <c r="AZ389" i="4" s="1"/>
  <c r="AS389" i="4"/>
  <c r="AT389" i="4"/>
  <c r="AU389" i="4"/>
  <c r="AV389" i="4"/>
  <c r="AW389" i="4"/>
  <c r="AX389" i="4"/>
  <c r="AO390" i="4"/>
  <c r="AQ390" i="4" s="1"/>
  <c r="AP390" i="4"/>
  <c r="AR390" i="4"/>
  <c r="AZ390" i="4" s="1"/>
  <c r="AS390" i="4"/>
  <c r="AT390" i="4"/>
  <c r="AU390" i="4"/>
  <c r="AV390" i="4"/>
  <c r="AW390" i="4"/>
  <c r="AX390" i="4"/>
  <c r="AO391" i="4"/>
  <c r="AQ391" i="4" s="1"/>
  <c r="AP391" i="4"/>
  <c r="AR391" i="4"/>
  <c r="AZ391" i="4" s="1"/>
  <c r="AS391" i="4"/>
  <c r="AT391" i="4"/>
  <c r="AU391" i="4"/>
  <c r="AV391" i="4"/>
  <c r="AW391" i="4"/>
  <c r="AX391" i="4"/>
  <c r="AO392" i="4"/>
  <c r="AQ392" i="4" s="1"/>
  <c r="AP392" i="4"/>
  <c r="AR392" i="4"/>
  <c r="AZ392" i="4" s="1"/>
  <c r="AS392" i="4"/>
  <c r="AT392" i="4"/>
  <c r="AU392" i="4"/>
  <c r="AV392" i="4"/>
  <c r="AW392" i="4"/>
  <c r="AX392" i="4"/>
  <c r="AO393" i="4"/>
  <c r="AP393" i="4"/>
  <c r="AQ393" i="4"/>
  <c r="AR393" i="4"/>
  <c r="AS393" i="4"/>
  <c r="AT393" i="4"/>
  <c r="AU393" i="4"/>
  <c r="AV393" i="4"/>
  <c r="AW393" i="4"/>
  <c r="AX393" i="4"/>
  <c r="AZ393" i="4"/>
  <c r="AO394" i="4"/>
  <c r="AQ394" i="4" s="1"/>
  <c r="AP394" i="4"/>
  <c r="AR394" i="4"/>
  <c r="AZ394" i="4" s="1"/>
  <c r="AS394" i="4"/>
  <c r="AT394" i="4"/>
  <c r="AU394" i="4"/>
  <c r="AV394" i="4"/>
  <c r="AW394" i="4"/>
  <c r="AX394" i="4"/>
  <c r="AO395" i="4"/>
  <c r="AQ395" i="4" s="1"/>
  <c r="AP395" i="4"/>
  <c r="AR395" i="4"/>
  <c r="AZ395" i="4" s="1"/>
  <c r="AS395" i="4"/>
  <c r="AT395" i="4"/>
  <c r="AU395" i="4"/>
  <c r="AV395" i="4"/>
  <c r="AW395" i="4"/>
  <c r="AX395" i="4"/>
  <c r="AO396" i="4"/>
  <c r="AQ396" i="4" s="1"/>
  <c r="AP396" i="4"/>
  <c r="AR396" i="4"/>
  <c r="AS396" i="4"/>
  <c r="AT396" i="4"/>
  <c r="AU396" i="4"/>
  <c r="AV396" i="4"/>
  <c r="AW396" i="4"/>
  <c r="AX396" i="4"/>
  <c r="AZ396" i="4"/>
  <c r="AO397" i="4"/>
  <c r="AQ397" i="4" s="1"/>
  <c r="AP397" i="4"/>
  <c r="AR397" i="4"/>
  <c r="AZ397" i="4" s="1"/>
  <c r="AS397" i="4"/>
  <c r="AT397" i="4"/>
  <c r="AU397" i="4"/>
  <c r="AV397" i="4"/>
  <c r="AW397" i="4"/>
  <c r="AX397" i="4"/>
  <c r="AO398" i="4"/>
  <c r="AQ398" i="4" s="1"/>
  <c r="AP398" i="4"/>
  <c r="AR398" i="4"/>
  <c r="AZ398" i="4" s="1"/>
  <c r="AS398" i="4"/>
  <c r="AT398" i="4"/>
  <c r="AU398" i="4"/>
  <c r="AV398" i="4"/>
  <c r="AW398" i="4"/>
  <c r="AX398" i="4"/>
  <c r="AO399" i="4"/>
  <c r="AQ399" i="4" s="1"/>
  <c r="AP399" i="4"/>
  <c r="AR399" i="4"/>
  <c r="AZ399" i="4" s="1"/>
  <c r="AS399" i="4"/>
  <c r="AT399" i="4"/>
  <c r="AU399" i="4"/>
  <c r="AV399" i="4"/>
  <c r="AW399" i="4"/>
  <c r="AX399" i="4"/>
  <c r="AO400" i="4"/>
  <c r="AQ400" i="4" s="1"/>
  <c r="AP400" i="4"/>
  <c r="AR400" i="4"/>
  <c r="AZ400" i="4" s="1"/>
  <c r="AS400" i="4"/>
  <c r="AT400" i="4"/>
  <c r="AU400" i="4"/>
  <c r="AV400" i="4"/>
  <c r="AW400" i="4"/>
  <c r="AX400" i="4"/>
  <c r="AO401" i="4"/>
  <c r="AQ401" i="4" s="1"/>
  <c r="AP401" i="4"/>
  <c r="AR401" i="4"/>
  <c r="AS401" i="4"/>
  <c r="AT401" i="4"/>
  <c r="AU401" i="4"/>
  <c r="AV401" i="4"/>
  <c r="AW401" i="4"/>
  <c r="AX401" i="4"/>
  <c r="AZ401" i="4"/>
  <c r="AO402" i="4"/>
  <c r="AQ402" i="4" s="1"/>
  <c r="AP402" i="4"/>
  <c r="AR402" i="4"/>
  <c r="AZ402" i="4" s="1"/>
  <c r="AS402" i="4"/>
  <c r="AT402" i="4"/>
  <c r="AU402" i="4"/>
  <c r="AV402" i="4"/>
  <c r="AW402" i="4"/>
  <c r="AX402" i="4"/>
  <c r="AO403" i="4"/>
  <c r="AQ403" i="4" s="1"/>
  <c r="AP403" i="4"/>
  <c r="AR403" i="4"/>
  <c r="AZ403" i="4" s="1"/>
  <c r="AS403" i="4"/>
  <c r="AT403" i="4"/>
  <c r="AU403" i="4"/>
  <c r="AV403" i="4"/>
  <c r="AW403" i="4"/>
  <c r="AX403" i="4"/>
  <c r="AO404" i="4"/>
  <c r="AQ404" i="4" s="1"/>
  <c r="AP404" i="4"/>
  <c r="AR404" i="4"/>
  <c r="AS404" i="4"/>
  <c r="AT404" i="4"/>
  <c r="AU404" i="4"/>
  <c r="AV404" i="4"/>
  <c r="AW404" i="4"/>
  <c r="AX404" i="4"/>
  <c r="AZ404" i="4"/>
  <c r="AO405" i="4"/>
  <c r="AP405" i="4"/>
  <c r="AQ405" i="4"/>
  <c r="AR405" i="4"/>
  <c r="AZ405" i="4" s="1"/>
  <c r="AS405" i="4"/>
  <c r="AT405" i="4"/>
  <c r="AU405" i="4"/>
  <c r="AV405" i="4"/>
  <c r="AW405" i="4"/>
  <c r="AX405" i="4"/>
  <c r="AO406" i="4"/>
  <c r="AQ406" i="4" s="1"/>
  <c r="AP406" i="4"/>
  <c r="AR406" i="4"/>
  <c r="AZ406" i="4" s="1"/>
  <c r="AS406" i="4"/>
  <c r="AT406" i="4"/>
  <c r="AU406" i="4"/>
  <c r="AV406" i="4"/>
  <c r="AW406" i="4"/>
  <c r="AX406" i="4"/>
  <c r="AO407" i="4"/>
  <c r="AQ407" i="4" s="1"/>
  <c r="AP407" i="4"/>
  <c r="AR407" i="4"/>
  <c r="AZ407" i="4" s="1"/>
  <c r="AS407" i="4"/>
  <c r="AT407" i="4"/>
  <c r="AU407" i="4"/>
  <c r="AV407" i="4"/>
  <c r="AW407" i="4"/>
  <c r="AX407" i="4"/>
  <c r="AO408" i="4"/>
  <c r="AQ408" i="4" s="1"/>
  <c r="AP408" i="4"/>
  <c r="AR408" i="4"/>
  <c r="AZ408" i="4" s="1"/>
  <c r="AS408" i="4"/>
  <c r="AT408" i="4"/>
  <c r="AU408" i="4"/>
  <c r="AV408" i="4"/>
  <c r="AW408" i="4"/>
  <c r="AX408" i="4"/>
  <c r="AO409" i="4"/>
  <c r="AP409" i="4"/>
  <c r="AQ409" i="4"/>
  <c r="AR409" i="4"/>
  <c r="AS409" i="4"/>
  <c r="AT409" i="4"/>
  <c r="AU409" i="4"/>
  <c r="AV409" i="4"/>
  <c r="AW409" i="4"/>
  <c r="AX409" i="4"/>
  <c r="AZ409" i="4"/>
  <c r="AO410" i="4"/>
  <c r="AQ410" i="4" s="1"/>
  <c r="AP410" i="4"/>
  <c r="AR410" i="4"/>
  <c r="AZ410" i="4" s="1"/>
  <c r="AS410" i="4"/>
  <c r="AT410" i="4"/>
  <c r="AU410" i="4"/>
  <c r="AV410" i="4"/>
  <c r="AW410" i="4"/>
  <c r="AX410" i="4"/>
  <c r="AO411" i="4"/>
  <c r="AQ411" i="4" s="1"/>
  <c r="AP411" i="4"/>
  <c r="AR411" i="4"/>
  <c r="AZ411" i="4" s="1"/>
  <c r="AS411" i="4"/>
  <c r="AT411" i="4"/>
  <c r="AU411" i="4"/>
  <c r="AV411" i="4"/>
  <c r="AW411" i="4"/>
  <c r="AX411" i="4"/>
  <c r="AO412" i="4"/>
  <c r="AQ412" i="4" s="1"/>
  <c r="AP412" i="4"/>
  <c r="AR412" i="4"/>
  <c r="AS412" i="4"/>
  <c r="AT412" i="4"/>
  <c r="AU412" i="4"/>
  <c r="AV412" i="4"/>
  <c r="AW412" i="4"/>
  <c r="AX412" i="4"/>
  <c r="AZ412" i="4"/>
  <c r="AO413" i="4"/>
  <c r="AQ413" i="4" s="1"/>
  <c r="AP413" i="4"/>
  <c r="AR413" i="4"/>
  <c r="AZ413" i="4" s="1"/>
  <c r="AS413" i="4"/>
  <c r="AT413" i="4"/>
  <c r="AU413" i="4"/>
  <c r="AV413" i="4"/>
  <c r="AW413" i="4"/>
  <c r="AX413" i="4"/>
  <c r="AO414" i="4"/>
  <c r="AQ414" i="4" s="1"/>
  <c r="AP414" i="4"/>
  <c r="AR414" i="4"/>
  <c r="AZ414" i="4" s="1"/>
  <c r="AS414" i="4"/>
  <c r="AT414" i="4"/>
  <c r="AU414" i="4"/>
  <c r="AV414" i="4"/>
  <c r="AW414" i="4"/>
  <c r="AX414" i="4"/>
  <c r="AO415" i="4"/>
  <c r="AQ415" i="4" s="1"/>
  <c r="AP415" i="4"/>
  <c r="AR415" i="4"/>
  <c r="AZ415" i="4" s="1"/>
  <c r="AS415" i="4"/>
  <c r="AT415" i="4"/>
  <c r="AU415" i="4"/>
  <c r="AV415" i="4"/>
  <c r="AW415" i="4"/>
  <c r="AX415" i="4"/>
  <c r="AO416" i="4"/>
  <c r="AQ416" i="4" s="1"/>
  <c r="AP416" i="4"/>
  <c r="AR416" i="4"/>
  <c r="AZ416" i="4" s="1"/>
  <c r="AS416" i="4"/>
  <c r="AT416" i="4"/>
  <c r="AU416" i="4"/>
  <c r="AV416" i="4"/>
  <c r="AW416" i="4"/>
  <c r="AX416" i="4"/>
  <c r="AO417" i="4"/>
  <c r="AQ417" i="4" s="1"/>
  <c r="AP417" i="4"/>
  <c r="AR417" i="4"/>
  <c r="AS417" i="4"/>
  <c r="AT417" i="4"/>
  <c r="AU417" i="4"/>
  <c r="AV417" i="4"/>
  <c r="AW417" i="4"/>
  <c r="AX417" i="4"/>
  <c r="AZ417" i="4"/>
  <c r="AO418" i="4"/>
  <c r="AQ418" i="4" s="1"/>
  <c r="AP418" i="4"/>
  <c r="AR418" i="4"/>
  <c r="AZ418" i="4" s="1"/>
  <c r="AS418" i="4"/>
  <c r="AT418" i="4"/>
  <c r="AU418" i="4"/>
  <c r="AV418" i="4"/>
  <c r="AW418" i="4"/>
  <c r="AX418" i="4"/>
  <c r="AO419" i="4"/>
  <c r="AQ419" i="4" s="1"/>
  <c r="AP419" i="4"/>
  <c r="AR419" i="4"/>
  <c r="AZ419" i="4" s="1"/>
  <c r="AS419" i="4"/>
  <c r="AT419" i="4"/>
  <c r="AU419" i="4"/>
  <c r="AV419" i="4"/>
  <c r="AW419" i="4"/>
  <c r="AX419" i="4"/>
  <c r="AO420" i="4"/>
  <c r="AQ420" i="4" s="1"/>
  <c r="AP420" i="4"/>
  <c r="AR420" i="4"/>
  <c r="AS420" i="4"/>
  <c r="AT420" i="4"/>
  <c r="AU420" i="4"/>
  <c r="AV420" i="4"/>
  <c r="AW420" i="4"/>
  <c r="AX420" i="4"/>
  <c r="AZ420" i="4"/>
  <c r="AO421" i="4"/>
  <c r="AP421" i="4"/>
  <c r="AQ421" i="4"/>
  <c r="AR421" i="4"/>
  <c r="AZ421" i="4" s="1"/>
  <c r="AS421" i="4"/>
  <c r="AT421" i="4"/>
  <c r="AU421" i="4"/>
  <c r="AV421" i="4"/>
  <c r="AW421" i="4"/>
  <c r="AX421" i="4"/>
  <c r="AO422" i="4"/>
  <c r="AQ422" i="4" s="1"/>
  <c r="AP422" i="4"/>
  <c r="AR422" i="4"/>
  <c r="AZ422" i="4" s="1"/>
  <c r="AS422" i="4"/>
  <c r="AT422" i="4"/>
  <c r="AU422" i="4"/>
  <c r="AV422" i="4"/>
  <c r="AW422" i="4"/>
  <c r="AX422" i="4"/>
  <c r="AO423" i="4"/>
  <c r="AQ423" i="4" s="1"/>
  <c r="AP423" i="4"/>
  <c r="AR423" i="4"/>
  <c r="AZ423" i="4" s="1"/>
  <c r="AS423" i="4"/>
  <c r="AT423" i="4"/>
  <c r="AU423" i="4"/>
  <c r="AV423" i="4"/>
  <c r="AW423" i="4"/>
  <c r="AX423" i="4"/>
  <c r="AO424" i="4"/>
  <c r="AQ424" i="4" s="1"/>
  <c r="AP424" i="4"/>
  <c r="AR424" i="4"/>
  <c r="AZ424" i="4" s="1"/>
  <c r="AS424" i="4"/>
  <c r="AT424" i="4"/>
  <c r="AU424" i="4"/>
  <c r="AV424" i="4"/>
  <c r="AW424" i="4"/>
  <c r="AX424" i="4"/>
  <c r="AO425" i="4"/>
  <c r="AP425" i="4"/>
  <c r="AQ425" i="4"/>
  <c r="AR425" i="4"/>
  <c r="AS425" i="4"/>
  <c r="AT425" i="4"/>
  <c r="AU425" i="4"/>
  <c r="AV425" i="4"/>
  <c r="AW425" i="4"/>
  <c r="AX425" i="4"/>
  <c r="AZ425" i="4"/>
  <c r="AO426" i="4"/>
  <c r="AQ426" i="4" s="1"/>
  <c r="AP426" i="4"/>
  <c r="AR426" i="4"/>
  <c r="AZ426" i="4" s="1"/>
  <c r="AS426" i="4"/>
  <c r="AT426" i="4"/>
  <c r="AU426" i="4"/>
  <c r="AV426" i="4"/>
  <c r="AW426" i="4"/>
  <c r="AX426" i="4"/>
  <c r="AO427" i="4"/>
  <c r="AQ427" i="4" s="1"/>
  <c r="AP427" i="4"/>
  <c r="AR427" i="4"/>
  <c r="AZ427" i="4" s="1"/>
  <c r="AS427" i="4"/>
  <c r="AT427" i="4"/>
  <c r="AU427" i="4"/>
  <c r="AV427" i="4"/>
  <c r="AW427" i="4"/>
  <c r="AX427" i="4"/>
  <c r="AO428" i="4"/>
  <c r="AQ428" i="4" s="1"/>
  <c r="AP428" i="4"/>
  <c r="AR428" i="4"/>
  <c r="AS428" i="4"/>
  <c r="AT428" i="4"/>
  <c r="AU428" i="4"/>
  <c r="AV428" i="4"/>
  <c r="AW428" i="4"/>
  <c r="AX428" i="4"/>
  <c r="AZ428" i="4"/>
  <c r="AO429" i="4"/>
  <c r="AQ429" i="4" s="1"/>
  <c r="AP429" i="4"/>
  <c r="AR429" i="4"/>
  <c r="AZ429" i="4" s="1"/>
  <c r="AS429" i="4"/>
  <c r="AT429" i="4"/>
  <c r="AU429" i="4"/>
  <c r="AV429" i="4"/>
  <c r="AW429" i="4"/>
  <c r="AX429" i="4"/>
  <c r="AO430" i="4"/>
  <c r="AQ430" i="4" s="1"/>
  <c r="AP430" i="4"/>
  <c r="AR430" i="4"/>
  <c r="AZ430" i="4" s="1"/>
  <c r="AS430" i="4"/>
  <c r="AT430" i="4"/>
  <c r="AU430" i="4"/>
  <c r="AV430" i="4"/>
  <c r="AW430" i="4"/>
  <c r="AX430" i="4"/>
  <c r="AO431" i="4"/>
  <c r="AQ431" i="4" s="1"/>
  <c r="AP431" i="4"/>
  <c r="AR431" i="4"/>
  <c r="AZ431" i="4" s="1"/>
  <c r="AS431" i="4"/>
  <c r="AT431" i="4"/>
  <c r="AU431" i="4"/>
  <c r="AV431" i="4"/>
  <c r="AW431" i="4"/>
  <c r="AX431" i="4"/>
  <c r="AO432" i="4"/>
  <c r="AP432" i="4"/>
  <c r="AQ432" i="4"/>
  <c r="AR432" i="4"/>
  <c r="AS432" i="4"/>
  <c r="AT432" i="4"/>
  <c r="AU432" i="4"/>
  <c r="AV432" i="4"/>
  <c r="AW432" i="4"/>
  <c r="AX432" i="4"/>
  <c r="AZ432" i="4"/>
  <c r="AO433" i="4"/>
  <c r="AQ433" i="4" s="1"/>
  <c r="AP433" i="4"/>
  <c r="AR433" i="4"/>
  <c r="AZ433" i="4" s="1"/>
  <c r="AS433" i="4"/>
  <c r="AT433" i="4"/>
  <c r="AU433" i="4"/>
  <c r="AV433" i="4"/>
  <c r="AW433" i="4"/>
  <c r="AX433" i="4"/>
  <c r="AO434" i="4"/>
  <c r="AQ434" i="4" s="1"/>
  <c r="AP434" i="4"/>
  <c r="AR434" i="4"/>
  <c r="AZ434" i="4" s="1"/>
  <c r="AS434" i="4"/>
  <c r="AT434" i="4"/>
  <c r="AU434" i="4"/>
  <c r="AV434" i="4"/>
  <c r="AW434" i="4"/>
  <c r="AX434" i="4"/>
  <c r="AO435" i="4"/>
  <c r="AQ435" i="4" s="1"/>
  <c r="AP435" i="4"/>
  <c r="AR435" i="4"/>
  <c r="AZ435" i="4" s="1"/>
  <c r="AS435" i="4"/>
  <c r="AT435" i="4"/>
  <c r="AU435" i="4"/>
  <c r="AV435" i="4"/>
  <c r="AW435" i="4"/>
  <c r="AX435" i="4"/>
  <c r="AO436" i="4"/>
  <c r="AQ436" i="4" s="1"/>
  <c r="AP436" i="4"/>
  <c r="AR436" i="4"/>
  <c r="AZ436" i="4" s="1"/>
  <c r="AS436" i="4"/>
  <c r="AT436" i="4"/>
  <c r="AU436" i="4"/>
  <c r="AV436" i="4"/>
  <c r="AW436" i="4"/>
  <c r="AX436" i="4"/>
  <c r="AO437" i="4"/>
  <c r="AQ437" i="4" s="1"/>
  <c r="AP437" i="4"/>
  <c r="AR437" i="4"/>
  <c r="AZ437" i="4" s="1"/>
  <c r="AS437" i="4"/>
  <c r="AT437" i="4"/>
  <c r="AU437" i="4"/>
  <c r="AV437" i="4"/>
  <c r="AW437" i="4"/>
  <c r="AX437" i="4"/>
  <c r="AO438" i="4"/>
  <c r="AQ438" i="4" s="1"/>
  <c r="AP438" i="4"/>
  <c r="AR438" i="4"/>
  <c r="AZ438" i="4" s="1"/>
  <c r="AS438" i="4"/>
  <c r="AT438" i="4"/>
  <c r="AU438" i="4"/>
  <c r="AV438" i="4"/>
  <c r="AW438" i="4"/>
  <c r="AX438" i="4"/>
  <c r="AO439" i="4"/>
  <c r="AQ439" i="4" s="1"/>
  <c r="AP439" i="4"/>
  <c r="AR439" i="4"/>
  <c r="AZ439" i="4" s="1"/>
  <c r="AS439" i="4"/>
  <c r="AT439" i="4"/>
  <c r="AU439" i="4"/>
  <c r="AV439" i="4"/>
  <c r="AW439" i="4"/>
  <c r="AX439" i="4"/>
  <c r="AO440" i="4"/>
  <c r="AQ440" i="4" s="1"/>
  <c r="AP440" i="4"/>
  <c r="AR440" i="4"/>
  <c r="AZ440" i="4" s="1"/>
  <c r="AS440" i="4"/>
  <c r="AT440" i="4"/>
  <c r="AU440" i="4"/>
  <c r="AV440" i="4"/>
  <c r="AW440" i="4"/>
  <c r="AX440" i="4"/>
  <c r="AO441" i="4"/>
  <c r="AQ441" i="4" s="1"/>
  <c r="AP441" i="4"/>
  <c r="AR441" i="4"/>
  <c r="AS441" i="4"/>
  <c r="AT441" i="4"/>
  <c r="AU441" i="4"/>
  <c r="AV441" i="4"/>
  <c r="AW441" i="4"/>
  <c r="AX441" i="4"/>
  <c r="AZ441" i="4"/>
  <c r="AO442" i="4"/>
  <c r="AQ442" i="4" s="1"/>
  <c r="AP442" i="4"/>
  <c r="AR442" i="4"/>
  <c r="AS442" i="4"/>
  <c r="AT442" i="4"/>
  <c r="AU442" i="4"/>
  <c r="AV442" i="4"/>
  <c r="AW442" i="4"/>
  <c r="AX442" i="4"/>
  <c r="AZ442" i="4"/>
  <c r="AO443" i="4"/>
  <c r="AQ443" i="4" s="1"/>
  <c r="AP443" i="4"/>
  <c r="AR443" i="4"/>
  <c r="AZ443" i="4" s="1"/>
  <c r="AS443" i="4"/>
  <c r="AT443" i="4"/>
  <c r="AU443" i="4"/>
  <c r="AV443" i="4"/>
  <c r="AW443" i="4"/>
  <c r="AX443" i="4"/>
  <c r="AO444" i="4"/>
  <c r="AP444" i="4"/>
  <c r="AQ444" i="4"/>
  <c r="AR444" i="4"/>
  <c r="AS444" i="4"/>
  <c r="AT444" i="4"/>
  <c r="AU444" i="4"/>
  <c r="AV444" i="4"/>
  <c r="AW444" i="4"/>
  <c r="AX444" i="4"/>
  <c r="AZ444" i="4"/>
  <c r="AO445" i="4"/>
  <c r="AQ445" i="4" s="1"/>
  <c r="AP445" i="4"/>
  <c r="AR445" i="4"/>
  <c r="AZ445" i="4" s="1"/>
  <c r="AS445" i="4"/>
  <c r="AT445" i="4"/>
  <c r="AU445" i="4"/>
  <c r="AV445" i="4"/>
  <c r="AW445" i="4"/>
  <c r="AX445" i="4"/>
  <c r="AO446" i="4"/>
  <c r="AQ446" i="4" s="1"/>
  <c r="AP446" i="4"/>
  <c r="AR446" i="4"/>
  <c r="AZ446" i="4" s="1"/>
  <c r="AS446" i="4"/>
  <c r="AT446" i="4"/>
  <c r="AU446" i="4"/>
  <c r="AV446" i="4"/>
  <c r="AW446" i="4"/>
  <c r="AX446" i="4"/>
  <c r="AO447" i="4"/>
  <c r="AQ447" i="4" s="1"/>
  <c r="AP447" i="4"/>
  <c r="AR447" i="4"/>
  <c r="AZ447" i="4" s="1"/>
  <c r="AS447" i="4"/>
  <c r="AT447" i="4"/>
  <c r="AU447" i="4"/>
  <c r="AV447" i="4"/>
  <c r="AW447" i="4"/>
  <c r="AX447" i="4"/>
  <c r="AO448" i="4"/>
  <c r="AQ448" i="4" s="1"/>
  <c r="AP448" i="4"/>
  <c r="AR448" i="4"/>
  <c r="AS448" i="4"/>
  <c r="AT448" i="4"/>
  <c r="AU448" i="4"/>
  <c r="AV448" i="4"/>
  <c r="AW448" i="4"/>
  <c r="AX448" i="4"/>
  <c r="AZ448" i="4"/>
  <c r="AO449" i="4"/>
  <c r="AQ449" i="4" s="1"/>
  <c r="AP449" i="4"/>
  <c r="AR449" i="4"/>
  <c r="AZ449" i="4" s="1"/>
  <c r="AS449" i="4"/>
  <c r="AT449" i="4"/>
  <c r="AU449" i="4"/>
  <c r="AV449" i="4"/>
  <c r="AW449" i="4"/>
  <c r="AX449" i="4"/>
  <c r="AO450" i="4"/>
  <c r="AQ450" i="4" s="1"/>
  <c r="AP450" i="4"/>
  <c r="AR450" i="4"/>
  <c r="AZ450" i="4" s="1"/>
  <c r="AS450" i="4"/>
  <c r="AT450" i="4"/>
  <c r="AU450" i="4"/>
  <c r="AV450" i="4"/>
  <c r="AW450" i="4"/>
  <c r="AX450" i="4"/>
  <c r="AO451" i="4"/>
  <c r="AQ451" i="4" s="1"/>
  <c r="AP451" i="4"/>
  <c r="AR451" i="4"/>
  <c r="AZ451" i="4" s="1"/>
  <c r="AS451" i="4"/>
  <c r="AT451" i="4"/>
  <c r="AU451" i="4"/>
  <c r="AV451" i="4"/>
  <c r="AW451" i="4"/>
  <c r="AX451" i="4"/>
  <c r="AO452" i="4"/>
  <c r="AP452" i="4"/>
  <c r="AQ452" i="4"/>
  <c r="AR452" i="4"/>
  <c r="AZ452" i="4" s="1"/>
  <c r="AS452" i="4"/>
  <c r="AT452" i="4"/>
  <c r="AU452" i="4"/>
  <c r="AV452" i="4"/>
  <c r="AW452" i="4"/>
  <c r="AX452" i="4"/>
  <c r="AO453" i="4"/>
  <c r="AP453" i="4"/>
  <c r="AQ453" i="4"/>
  <c r="AR453" i="4"/>
  <c r="AZ453" i="4" s="1"/>
  <c r="AS453" i="4"/>
  <c r="AT453" i="4"/>
  <c r="AU453" i="4"/>
  <c r="AV453" i="4"/>
  <c r="AW453" i="4"/>
  <c r="AX453" i="4"/>
  <c r="AO454" i="4"/>
  <c r="AQ454" i="4" s="1"/>
  <c r="AP454" i="4"/>
  <c r="AR454" i="4"/>
  <c r="AZ454" i="4" s="1"/>
  <c r="AS454" i="4"/>
  <c r="AT454" i="4"/>
  <c r="AU454" i="4"/>
  <c r="AV454" i="4"/>
  <c r="AW454" i="4"/>
  <c r="AX454" i="4"/>
  <c r="AO455" i="4"/>
  <c r="AQ455" i="4" s="1"/>
  <c r="AP455" i="4"/>
  <c r="AR455" i="4"/>
  <c r="AZ455" i="4" s="1"/>
  <c r="AS455" i="4"/>
  <c r="AT455" i="4"/>
  <c r="AU455" i="4"/>
  <c r="AV455" i="4"/>
  <c r="AW455" i="4"/>
  <c r="AX455" i="4"/>
  <c r="AO456" i="4"/>
  <c r="AQ456" i="4" s="1"/>
  <c r="AP456" i="4"/>
  <c r="AR456" i="4"/>
  <c r="AZ456" i="4" s="1"/>
  <c r="AS456" i="4"/>
  <c r="AT456" i="4"/>
  <c r="AU456" i="4"/>
  <c r="AV456" i="4"/>
  <c r="AW456" i="4"/>
  <c r="AX456" i="4"/>
  <c r="AO457" i="4"/>
  <c r="AQ457" i="4" s="1"/>
  <c r="AP457" i="4"/>
  <c r="AR457" i="4"/>
  <c r="AZ457" i="4" s="1"/>
  <c r="AS457" i="4"/>
  <c r="AT457" i="4"/>
  <c r="AU457" i="4"/>
  <c r="AV457" i="4"/>
  <c r="AW457" i="4"/>
  <c r="AX457" i="4"/>
  <c r="AO458" i="4"/>
  <c r="AQ458" i="4" s="1"/>
  <c r="AP458" i="4"/>
  <c r="AR458" i="4"/>
  <c r="AZ458" i="4" s="1"/>
  <c r="AS458" i="4"/>
  <c r="AT458" i="4"/>
  <c r="AU458" i="4"/>
  <c r="AV458" i="4"/>
  <c r="AW458" i="4"/>
  <c r="AX458" i="4"/>
  <c r="AO459" i="4"/>
  <c r="AQ459" i="4" s="1"/>
  <c r="AP459" i="4"/>
  <c r="AR459" i="4"/>
  <c r="AZ459" i="4" s="1"/>
  <c r="AS459" i="4"/>
  <c r="AT459" i="4"/>
  <c r="AU459" i="4"/>
  <c r="AV459" i="4"/>
  <c r="AW459" i="4"/>
  <c r="AX459" i="4"/>
  <c r="AO460" i="4"/>
  <c r="AQ460" i="4" s="1"/>
  <c r="AP460" i="4"/>
  <c r="AR460" i="4"/>
  <c r="AZ460" i="4" s="1"/>
  <c r="AS460" i="4"/>
  <c r="AT460" i="4"/>
  <c r="AU460" i="4"/>
  <c r="AV460" i="4"/>
  <c r="AW460" i="4"/>
  <c r="AX460" i="4"/>
  <c r="AO461" i="4"/>
  <c r="AQ461" i="4" s="1"/>
  <c r="AP461" i="4"/>
  <c r="AR461" i="4"/>
  <c r="AZ461" i="4" s="1"/>
  <c r="AS461" i="4"/>
  <c r="AT461" i="4"/>
  <c r="AU461" i="4"/>
  <c r="AV461" i="4"/>
  <c r="AW461" i="4"/>
  <c r="AX461" i="4"/>
  <c r="AO462" i="4"/>
  <c r="AQ462" i="4" s="1"/>
  <c r="AP462" i="4"/>
  <c r="AR462" i="4"/>
  <c r="AZ462" i="4" s="1"/>
  <c r="AS462" i="4"/>
  <c r="AT462" i="4"/>
  <c r="AU462" i="4"/>
  <c r="AV462" i="4"/>
  <c r="AW462" i="4"/>
  <c r="AX462" i="4"/>
  <c r="AO463" i="4"/>
  <c r="AQ463" i="4" s="1"/>
  <c r="AP463" i="4"/>
  <c r="AR463" i="4"/>
  <c r="AZ463" i="4" s="1"/>
  <c r="AS463" i="4"/>
  <c r="AT463" i="4"/>
  <c r="AU463" i="4"/>
  <c r="AV463" i="4"/>
  <c r="AW463" i="4"/>
  <c r="AX463" i="4"/>
  <c r="AO464" i="4"/>
  <c r="AQ464" i="4" s="1"/>
  <c r="AP464" i="4"/>
  <c r="AR464" i="4"/>
  <c r="AZ464" i="4" s="1"/>
  <c r="AS464" i="4"/>
  <c r="AT464" i="4"/>
  <c r="AU464" i="4"/>
  <c r="AV464" i="4"/>
  <c r="AW464" i="4"/>
  <c r="AX464" i="4"/>
  <c r="AO465" i="4"/>
  <c r="AQ465" i="4" s="1"/>
  <c r="AP465" i="4"/>
  <c r="AR465" i="4"/>
  <c r="AZ465" i="4" s="1"/>
  <c r="AS465" i="4"/>
  <c r="AT465" i="4"/>
  <c r="AU465" i="4"/>
  <c r="AV465" i="4"/>
  <c r="AW465" i="4"/>
  <c r="AX465" i="4"/>
  <c r="AO466" i="4"/>
  <c r="AP466" i="4"/>
  <c r="AQ466" i="4"/>
  <c r="AR466" i="4"/>
  <c r="AZ466" i="4" s="1"/>
  <c r="AS466" i="4"/>
  <c r="AT466" i="4"/>
  <c r="AU466" i="4"/>
  <c r="AV466" i="4"/>
  <c r="AW466" i="4"/>
  <c r="AX466" i="4"/>
  <c r="AO467" i="4"/>
  <c r="AQ467" i="4" s="1"/>
  <c r="AP467" i="4"/>
  <c r="AR467" i="4"/>
  <c r="AZ467" i="4" s="1"/>
  <c r="AS467" i="4"/>
  <c r="AT467" i="4"/>
  <c r="AU467" i="4"/>
  <c r="AV467" i="4"/>
  <c r="AW467" i="4"/>
  <c r="AX467" i="4"/>
  <c r="AO468" i="4"/>
  <c r="AP468" i="4"/>
  <c r="AQ468" i="4"/>
  <c r="AR468" i="4"/>
  <c r="AZ468" i="4" s="1"/>
  <c r="AS468" i="4"/>
  <c r="AT468" i="4"/>
  <c r="AU468" i="4"/>
  <c r="AV468" i="4"/>
  <c r="AW468" i="4"/>
  <c r="AX468" i="4"/>
  <c r="AO469" i="4"/>
  <c r="AP469" i="4"/>
  <c r="AQ469" i="4"/>
  <c r="AR469" i="4"/>
  <c r="AZ469" i="4" s="1"/>
  <c r="AS469" i="4"/>
  <c r="AT469" i="4"/>
  <c r="AU469" i="4"/>
  <c r="AV469" i="4"/>
  <c r="AW469" i="4"/>
  <c r="AX469" i="4"/>
  <c r="AO470" i="4"/>
  <c r="AQ470" i="4" s="1"/>
  <c r="AP470" i="4"/>
  <c r="AR470" i="4"/>
  <c r="AZ470" i="4" s="1"/>
  <c r="AS470" i="4"/>
  <c r="AT470" i="4"/>
  <c r="AU470" i="4"/>
  <c r="AV470" i="4"/>
  <c r="AW470" i="4"/>
  <c r="AX470" i="4"/>
  <c r="AO471" i="4"/>
  <c r="AQ471" i="4" s="1"/>
  <c r="AP471" i="4"/>
  <c r="AR471" i="4"/>
  <c r="AZ471" i="4" s="1"/>
  <c r="AS471" i="4"/>
  <c r="AT471" i="4"/>
  <c r="AU471" i="4"/>
  <c r="AV471" i="4"/>
  <c r="AW471" i="4"/>
  <c r="AX471" i="4"/>
  <c r="AO472" i="4"/>
  <c r="AQ472" i="4" s="1"/>
  <c r="AP472" i="4"/>
  <c r="AR472" i="4"/>
  <c r="AZ472" i="4" s="1"/>
  <c r="AS472" i="4"/>
  <c r="AT472" i="4"/>
  <c r="AU472" i="4"/>
  <c r="AV472" i="4"/>
  <c r="AW472" i="4"/>
  <c r="AX472" i="4"/>
  <c r="AO473" i="4"/>
  <c r="AQ473" i="4" s="1"/>
  <c r="AP473" i="4"/>
  <c r="AR473" i="4"/>
  <c r="AZ473" i="4" s="1"/>
  <c r="AS473" i="4"/>
  <c r="AT473" i="4"/>
  <c r="AU473" i="4"/>
  <c r="AV473" i="4"/>
  <c r="AW473" i="4"/>
  <c r="AX473" i="4"/>
  <c r="AO474" i="4"/>
  <c r="AQ474" i="4" s="1"/>
  <c r="AP474" i="4"/>
  <c r="AR474" i="4"/>
  <c r="AZ474" i="4" s="1"/>
  <c r="AS474" i="4"/>
  <c r="AT474" i="4"/>
  <c r="AU474" i="4"/>
  <c r="AV474" i="4"/>
  <c r="AW474" i="4"/>
  <c r="AX474" i="4"/>
  <c r="AO475" i="4"/>
  <c r="AQ475" i="4" s="1"/>
  <c r="AP475" i="4"/>
  <c r="AR475" i="4"/>
  <c r="AZ475" i="4" s="1"/>
  <c r="AS475" i="4"/>
  <c r="AT475" i="4"/>
  <c r="AU475" i="4"/>
  <c r="AV475" i="4"/>
  <c r="AW475" i="4"/>
  <c r="AX475" i="4"/>
  <c r="AO476" i="4"/>
  <c r="AQ476" i="4" s="1"/>
  <c r="AP476" i="4"/>
  <c r="AR476" i="4"/>
  <c r="AZ476" i="4" s="1"/>
  <c r="AS476" i="4"/>
  <c r="AT476" i="4"/>
  <c r="AU476" i="4"/>
  <c r="AV476" i="4"/>
  <c r="AW476" i="4"/>
  <c r="AX476" i="4"/>
  <c r="AO477" i="4"/>
  <c r="AQ477" i="4" s="1"/>
  <c r="AP477" i="4"/>
  <c r="AR477" i="4"/>
  <c r="AZ477" i="4" s="1"/>
  <c r="AS477" i="4"/>
  <c r="AT477" i="4"/>
  <c r="AU477" i="4"/>
  <c r="AV477" i="4"/>
  <c r="AW477" i="4"/>
  <c r="AX477" i="4"/>
  <c r="AO478" i="4"/>
  <c r="AQ478" i="4" s="1"/>
  <c r="AP478" i="4"/>
  <c r="AR478" i="4"/>
  <c r="AZ478" i="4" s="1"/>
  <c r="AS478" i="4"/>
  <c r="AT478" i="4"/>
  <c r="AU478" i="4"/>
  <c r="AV478" i="4"/>
  <c r="AW478" i="4"/>
  <c r="AX478" i="4"/>
  <c r="AO479" i="4"/>
  <c r="AQ479" i="4" s="1"/>
  <c r="AP479" i="4"/>
  <c r="AR479" i="4"/>
  <c r="AZ479" i="4" s="1"/>
  <c r="AS479" i="4"/>
  <c r="AT479" i="4"/>
  <c r="AU479" i="4"/>
  <c r="AV479" i="4"/>
  <c r="AW479" i="4"/>
  <c r="AX479" i="4"/>
  <c r="AO480" i="4"/>
  <c r="AQ480" i="4" s="1"/>
  <c r="AP480" i="4"/>
  <c r="AR480" i="4"/>
  <c r="AZ480" i="4" s="1"/>
  <c r="AS480" i="4"/>
  <c r="AT480" i="4"/>
  <c r="AU480" i="4"/>
  <c r="AV480" i="4"/>
  <c r="AW480" i="4"/>
  <c r="AX480" i="4"/>
  <c r="AO481" i="4"/>
  <c r="AQ481" i="4" s="1"/>
  <c r="AP481" i="4"/>
  <c r="AR481" i="4"/>
  <c r="AZ481" i="4" s="1"/>
  <c r="AS481" i="4"/>
  <c r="AT481" i="4"/>
  <c r="AU481" i="4"/>
  <c r="AV481" i="4"/>
  <c r="AW481" i="4"/>
  <c r="AX481" i="4"/>
  <c r="AO482" i="4"/>
  <c r="AQ482" i="4" s="1"/>
  <c r="AP482" i="4"/>
  <c r="AR482" i="4"/>
  <c r="AZ482" i="4" s="1"/>
  <c r="AS482" i="4"/>
  <c r="AT482" i="4"/>
  <c r="AU482" i="4"/>
  <c r="AV482" i="4"/>
  <c r="AW482" i="4"/>
  <c r="AX482" i="4"/>
  <c r="AO483" i="4"/>
  <c r="AQ483" i="4" s="1"/>
  <c r="AP483" i="4"/>
  <c r="AR483" i="4"/>
  <c r="AZ483" i="4" s="1"/>
  <c r="AS483" i="4"/>
  <c r="AT483" i="4"/>
  <c r="AU483" i="4"/>
  <c r="AV483" i="4"/>
  <c r="AW483" i="4"/>
  <c r="AX483" i="4"/>
  <c r="AO484" i="4"/>
  <c r="AQ484" i="4" s="1"/>
  <c r="AP484" i="4"/>
  <c r="AR484" i="4"/>
  <c r="AZ484" i="4" s="1"/>
  <c r="AS484" i="4"/>
  <c r="AT484" i="4"/>
  <c r="AU484" i="4"/>
  <c r="AV484" i="4"/>
  <c r="AW484" i="4"/>
  <c r="AX484" i="4"/>
  <c r="AO485" i="4"/>
  <c r="AQ485" i="4" s="1"/>
  <c r="AP485" i="4"/>
  <c r="AR485" i="4"/>
  <c r="AZ485" i="4" s="1"/>
  <c r="AS485" i="4"/>
  <c r="AT485" i="4"/>
  <c r="AU485" i="4"/>
  <c r="AV485" i="4"/>
  <c r="AW485" i="4"/>
  <c r="AX485" i="4"/>
  <c r="AO486" i="4"/>
  <c r="AP486" i="4"/>
  <c r="AQ486" i="4"/>
  <c r="AR486" i="4"/>
  <c r="AZ486" i="4" s="1"/>
  <c r="AS486" i="4"/>
  <c r="AT486" i="4"/>
  <c r="AU486" i="4"/>
  <c r="AV486" i="4"/>
  <c r="AW486" i="4"/>
  <c r="AX486" i="4"/>
  <c r="AO487" i="4"/>
  <c r="AQ487" i="4" s="1"/>
  <c r="AP487" i="4"/>
  <c r="AR487" i="4"/>
  <c r="AZ487" i="4" s="1"/>
  <c r="AS487" i="4"/>
  <c r="AT487" i="4"/>
  <c r="AU487" i="4"/>
  <c r="AV487" i="4"/>
  <c r="AW487" i="4"/>
  <c r="AX487" i="4"/>
  <c r="AO488" i="4"/>
  <c r="AQ488" i="4" s="1"/>
  <c r="AP488" i="4"/>
  <c r="AR488" i="4"/>
  <c r="AZ488" i="4" s="1"/>
  <c r="AS488" i="4"/>
  <c r="AT488" i="4"/>
  <c r="AU488" i="4"/>
  <c r="AV488" i="4"/>
  <c r="AW488" i="4"/>
  <c r="AX488" i="4"/>
  <c r="AO489" i="4"/>
  <c r="AQ489" i="4" s="1"/>
  <c r="AP489" i="4"/>
  <c r="AR489" i="4"/>
  <c r="AZ489" i="4" s="1"/>
  <c r="AS489" i="4"/>
  <c r="AT489" i="4"/>
  <c r="AU489" i="4"/>
  <c r="AV489" i="4"/>
  <c r="AW489" i="4"/>
  <c r="AX489" i="4"/>
  <c r="AO490" i="4"/>
  <c r="AQ490" i="4" s="1"/>
  <c r="AP490" i="4"/>
  <c r="AR490" i="4"/>
  <c r="AZ490" i="4" s="1"/>
  <c r="AS490" i="4"/>
  <c r="AT490" i="4"/>
  <c r="AU490" i="4"/>
  <c r="AV490" i="4"/>
  <c r="AW490" i="4"/>
  <c r="AX490" i="4"/>
  <c r="AO491" i="4"/>
  <c r="AQ491" i="4" s="1"/>
  <c r="AP491" i="4"/>
  <c r="AR491" i="4"/>
  <c r="AZ491" i="4" s="1"/>
  <c r="AS491" i="4"/>
  <c r="AT491" i="4"/>
  <c r="AU491" i="4"/>
  <c r="AV491" i="4"/>
  <c r="AW491" i="4"/>
  <c r="AX491" i="4"/>
  <c r="AO492" i="4"/>
  <c r="AQ492" i="4" s="1"/>
  <c r="AP492" i="4"/>
  <c r="AR492" i="4"/>
  <c r="AZ492" i="4" s="1"/>
  <c r="AS492" i="4"/>
  <c r="AT492" i="4"/>
  <c r="AU492" i="4"/>
  <c r="AV492" i="4"/>
  <c r="AW492" i="4"/>
  <c r="AX492" i="4"/>
  <c r="AO493" i="4"/>
  <c r="AQ493" i="4" s="1"/>
  <c r="AP493" i="4"/>
  <c r="AR493" i="4"/>
  <c r="AZ493" i="4" s="1"/>
  <c r="AS493" i="4"/>
  <c r="AT493" i="4"/>
  <c r="AU493" i="4"/>
  <c r="AV493" i="4"/>
  <c r="AW493" i="4"/>
  <c r="AX493" i="4"/>
  <c r="AO494" i="4"/>
  <c r="AP494" i="4"/>
  <c r="AQ494" i="4"/>
  <c r="AR494" i="4"/>
  <c r="AZ494" i="4" s="1"/>
  <c r="AS494" i="4"/>
  <c r="AT494" i="4"/>
  <c r="AU494" i="4"/>
  <c r="AV494" i="4"/>
  <c r="AW494" i="4"/>
  <c r="AX494" i="4"/>
  <c r="AO495" i="4"/>
  <c r="AQ495" i="4" s="1"/>
  <c r="AP495" i="4"/>
  <c r="AR495" i="4"/>
  <c r="AZ495" i="4" s="1"/>
  <c r="AS495" i="4"/>
  <c r="AT495" i="4"/>
  <c r="AU495" i="4"/>
  <c r="AV495" i="4"/>
  <c r="AW495" i="4"/>
  <c r="AX495" i="4"/>
  <c r="AO496" i="4"/>
  <c r="AQ496" i="4" s="1"/>
  <c r="AP496" i="4"/>
  <c r="AR496" i="4"/>
  <c r="AZ496" i="4" s="1"/>
  <c r="AS496" i="4"/>
  <c r="AT496" i="4"/>
  <c r="AU496" i="4"/>
  <c r="AV496" i="4"/>
  <c r="AW496" i="4"/>
  <c r="AX496" i="4"/>
  <c r="AO497" i="4"/>
  <c r="AQ497" i="4" s="1"/>
  <c r="AP497" i="4"/>
  <c r="AR497" i="4"/>
  <c r="AZ497" i="4" s="1"/>
  <c r="AS497" i="4"/>
  <c r="AT497" i="4"/>
  <c r="AU497" i="4"/>
  <c r="AV497" i="4"/>
  <c r="AW497" i="4"/>
  <c r="AX497" i="4"/>
  <c r="AO498" i="4"/>
  <c r="AQ498" i="4" s="1"/>
  <c r="AP498" i="4"/>
  <c r="AR498" i="4"/>
  <c r="AZ498" i="4" s="1"/>
  <c r="AS498" i="4"/>
  <c r="AT498" i="4"/>
  <c r="AU498" i="4"/>
  <c r="AV498" i="4"/>
  <c r="AW498" i="4"/>
  <c r="AX498" i="4"/>
  <c r="AO499" i="4"/>
  <c r="AQ499" i="4" s="1"/>
  <c r="AP499" i="4"/>
  <c r="AR499" i="4"/>
  <c r="AZ499" i="4" s="1"/>
  <c r="AS499" i="4"/>
  <c r="AT499" i="4"/>
  <c r="AU499" i="4"/>
  <c r="AV499" i="4"/>
  <c r="AW499" i="4"/>
  <c r="AX499" i="4"/>
  <c r="AO500" i="4"/>
  <c r="AQ500" i="4" s="1"/>
  <c r="AP500" i="4"/>
  <c r="AR500" i="4"/>
  <c r="AZ500" i="4" s="1"/>
  <c r="AS500" i="4"/>
  <c r="AT500" i="4"/>
  <c r="AU500" i="4"/>
  <c r="AV500" i="4"/>
  <c r="AW500" i="4"/>
  <c r="AX500" i="4"/>
  <c r="AO501" i="4"/>
  <c r="AQ501" i="4" s="1"/>
  <c r="AP501" i="4"/>
  <c r="AR501" i="4"/>
  <c r="AZ501" i="4" s="1"/>
  <c r="AS501" i="4"/>
  <c r="AT501" i="4"/>
  <c r="AU501" i="4"/>
  <c r="AV501" i="4"/>
  <c r="AW501" i="4"/>
  <c r="AX501" i="4"/>
  <c r="AO502" i="4"/>
  <c r="AP502" i="4"/>
  <c r="AQ502" i="4"/>
  <c r="AR502" i="4"/>
  <c r="AZ502" i="4" s="1"/>
  <c r="AS502" i="4"/>
  <c r="AT502" i="4"/>
  <c r="AU502" i="4"/>
  <c r="AV502" i="4"/>
  <c r="AW502" i="4"/>
  <c r="AX502" i="4"/>
  <c r="AO503" i="4"/>
  <c r="AQ503" i="4" s="1"/>
  <c r="AP503" i="4"/>
  <c r="AR503" i="4"/>
  <c r="AZ503" i="4" s="1"/>
  <c r="AS503" i="4"/>
  <c r="AT503" i="4"/>
  <c r="AU503" i="4"/>
  <c r="AV503" i="4"/>
  <c r="AW503" i="4"/>
  <c r="AX503" i="4"/>
  <c r="AO504" i="4"/>
  <c r="AQ504" i="4" s="1"/>
  <c r="AP504" i="4"/>
  <c r="AR504" i="4"/>
  <c r="AZ504" i="4" s="1"/>
  <c r="AS504" i="4"/>
  <c r="AT504" i="4"/>
  <c r="AU504" i="4"/>
  <c r="AV504" i="4"/>
  <c r="AW504" i="4"/>
  <c r="AX504" i="4"/>
  <c r="AO505" i="4"/>
  <c r="AQ505" i="4" s="1"/>
  <c r="AP505" i="4"/>
  <c r="AR505" i="4"/>
  <c r="AZ505" i="4" s="1"/>
  <c r="AS505" i="4"/>
  <c r="AT505" i="4"/>
  <c r="AU505" i="4"/>
  <c r="AV505" i="4"/>
  <c r="AW505" i="4"/>
  <c r="AX505" i="4"/>
  <c r="AO506" i="4"/>
  <c r="AQ506" i="4" s="1"/>
  <c r="AP506" i="4"/>
  <c r="AR506" i="4"/>
  <c r="AZ506" i="4" s="1"/>
  <c r="AS506" i="4"/>
  <c r="AT506" i="4"/>
  <c r="AU506" i="4"/>
  <c r="AV506" i="4"/>
  <c r="AW506" i="4"/>
  <c r="AX506" i="4"/>
  <c r="AO507" i="4"/>
  <c r="AQ507" i="4" s="1"/>
  <c r="AP507" i="4"/>
  <c r="AR507" i="4"/>
  <c r="AZ507" i="4" s="1"/>
  <c r="AS507" i="4"/>
  <c r="AT507" i="4"/>
  <c r="AU507" i="4"/>
  <c r="AV507" i="4"/>
  <c r="AW507" i="4"/>
  <c r="AX507" i="4"/>
  <c r="AO508" i="4"/>
  <c r="AQ508" i="4" s="1"/>
  <c r="AP508" i="4"/>
  <c r="AR508" i="4"/>
  <c r="AZ508" i="4" s="1"/>
  <c r="AS508" i="4"/>
  <c r="AT508" i="4"/>
  <c r="AU508" i="4"/>
  <c r="AV508" i="4"/>
  <c r="AW508" i="4"/>
  <c r="AX508" i="4"/>
  <c r="AO509" i="4"/>
  <c r="AQ509" i="4" s="1"/>
  <c r="AP509" i="4"/>
  <c r="AR509" i="4"/>
  <c r="AZ509" i="4" s="1"/>
  <c r="AS509" i="4"/>
  <c r="AT509" i="4"/>
  <c r="AU509" i="4"/>
  <c r="AV509" i="4"/>
  <c r="AW509" i="4"/>
  <c r="AX509" i="4"/>
  <c r="AO510" i="4"/>
  <c r="AP510" i="4"/>
  <c r="AQ510" i="4"/>
  <c r="AR510" i="4"/>
  <c r="AZ510" i="4" s="1"/>
  <c r="AS510" i="4"/>
  <c r="AT510" i="4"/>
  <c r="AU510" i="4"/>
  <c r="AV510" i="4"/>
  <c r="AW510" i="4"/>
  <c r="AX510" i="4"/>
  <c r="AO511" i="4"/>
  <c r="AQ511" i="4" s="1"/>
  <c r="AP511" i="4"/>
  <c r="AR511" i="4"/>
  <c r="AZ511" i="4" s="1"/>
  <c r="AS511" i="4"/>
  <c r="AT511" i="4"/>
  <c r="AU511" i="4"/>
  <c r="AV511" i="4"/>
  <c r="AW511" i="4"/>
  <c r="AX511" i="4"/>
  <c r="AO512" i="4"/>
  <c r="AQ512" i="4" s="1"/>
  <c r="AP512" i="4"/>
  <c r="AR512" i="4"/>
  <c r="AZ512" i="4" s="1"/>
  <c r="AS512" i="4"/>
  <c r="AT512" i="4"/>
  <c r="AU512" i="4"/>
  <c r="AV512" i="4"/>
  <c r="AW512" i="4"/>
  <c r="AX512" i="4"/>
  <c r="AO513" i="4"/>
  <c r="AQ513" i="4" s="1"/>
  <c r="AP513" i="4"/>
  <c r="AR513" i="4"/>
  <c r="AZ513" i="4" s="1"/>
  <c r="AS513" i="4"/>
  <c r="AT513" i="4"/>
  <c r="AU513" i="4"/>
  <c r="AV513" i="4"/>
  <c r="AW513" i="4"/>
  <c r="AX513" i="4"/>
  <c r="AO514" i="4"/>
  <c r="AQ514" i="4" s="1"/>
  <c r="AP514" i="4"/>
  <c r="AR514" i="4"/>
  <c r="AZ514" i="4" s="1"/>
  <c r="AS514" i="4"/>
  <c r="AT514" i="4"/>
  <c r="AU514" i="4"/>
  <c r="AV514" i="4"/>
  <c r="AW514" i="4"/>
  <c r="AX514" i="4"/>
  <c r="AO515" i="4"/>
  <c r="AQ515" i="4" s="1"/>
  <c r="AP515" i="4"/>
  <c r="AR515" i="4"/>
  <c r="AZ515" i="4" s="1"/>
  <c r="AS515" i="4"/>
  <c r="AT515" i="4"/>
  <c r="AU515" i="4"/>
  <c r="AV515" i="4"/>
  <c r="AW515" i="4"/>
  <c r="AX515" i="4"/>
  <c r="AO516" i="4"/>
  <c r="AQ516" i="4" s="1"/>
  <c r="AP516" i="4"/>
  <c r="AR516" i="4"/>
  <c r="AZ516" i="4" s="1"/>
  <c r="AS516" i="4"/>
  <c r="AT516" i="4"/>
  <c r="AU516" i="4"/>
  <c r="AV516" i="4"/>
  <c r="AW516" i="4"/>
  <c r="AX516" i="4"/>
  <c r="AO517" i="4"/>
  <c r="AQ517" i="4" s="1"/>
  <c r="AP517" i="4"/>
  <c r="AR517" i="4"/>
  <c r="AZ517" i="4" s="1"/>
  <c r="AS517" i="4"/>
  <c r="AT517" i="4"/>
  <c r="AU517" i="4"/>
  <c r="AV517" i="4"/>
  <c r="AW517" i="4"/>
  <c r="AX517" i="4"/>
  <c r="AO518" i="4"/>
  <c r="AP518" i="4"/>
  <c r="AQ518" i="4"/>
  <c r="AR518" i="4"/>
  <c r="AZ518" i="4" s="1"/>
  <c r="AS518" i="4"/>
  <c r="AT518" i="4"/>
  <c r="AU518" i="4"/>
  <c r="AV518" i="4"/>
  <c r="AW518" i="4"/>
  <c r="AX518" i="4"/>
  <c r="AO519" i="4"/>
  <c r="AQ519" i="4" s="1"/>
  <c r="AP519" i="4"/>
  <c r="AR519" i="4"/>
  <c r="AZ519" i="4" s="1"/>
  <c r="AS519" i="4"/>
  <c r="AT519" i="4"/>
  <c r="AU519" i="4"/>
  <c r="AV519" i="4"/>
  <c r="AW519" i="4"/>
  <c r="AX519" i="4"/>
  <c r="AO520" i="4"/>
  <c r="AQ520" i="4" s="1"/>
  <c r="AP520" i="4"/>
  <c r="AR520" i="4"/>
  <c r="AZ520" i="4" s="1"/>
  <c r="AS520" i="4"/>
  <c r="AT520" i="4"/>
  <c r="AU520" i="4"/>
  <c r="AV520" i="4"/>
  <c r="AW520" i="4"/>
  <c r="AX520" i="4"/>
  <c r="AO521" i="4"/>
  <c r="AQ521" i="4" s="1"/>
  <c r="AP521" i="4"/>
  <c r="AR521" i="4"/>
  <c r="AZ521" i="4" s="1"/>
  <c r="AS521" i="4"/>
  <c r="AT521" i="4"/>
  <c r="AU521" i="4"/>
  <c r="AV521" i="4"/>
  <c r="AW521" i="4"/>
  <c r="AX521" i="4"/>
  <c r="AO522" i="4"/>
  <c r="AQ522" i="4" s="1"/>
  <c r="AP522" i="4"/>
  <c r="AR522" i="4"/>
  <c r="AZ522" i="4" s="1"/>
  <c r="AS522" i="4"/>
  <c r="AT522" i="4"/>
  <c r="AU522" i="4"/>
  <c r="AV522" i="4"/>
  <c r="AW522" i="4"/>
  <c r="AX522" i="4"/>
  <c r="AO523" i="4"/>
  <c r="AQ523" i="4" s="1"/>
  <c r="AP523" i="4"/>
  <c r="AR523" i="4"/>
  <c r="AZ523" i="4" s="1"/>
  <c r="AS523" i="4"/>
  <c r="AT523" i="4"/>
  <c r="AU523" i="4"/>
  <c r="AV523" i="4"/>
  <c r="AW523" i="4"/>
  <c r="AX523" i="4"/>
  <c r="AO524" i="4"/>
  <c r="AQ524" i="4" s="1"/>
  <c r="AP524" i="4"/>
  <c r="AR524" i="4"/>
  <c r="AZ524" i="4" s="1"/>
  <c r="AS524" i="4"/>
  <c r="AT524" i="4"/>
  <c r="AU524" i="4"/>
  <c r="AV524" i="4"/>
  <c r="AW524" i="4"/>
  <c r="AX524" i="4"/>
  <c r="AO525" i="4"/>
  <c r="AQ525" i="4" s="1"/>
  <c r="AP525" i="4"/>
  <c r="AR525" i="4"/>
  <c r="AZ525" i="4" s="1"/>
  <c r="AS525" i="4"/>
  <c r="AT525" i="4"/>
  <c r="AU525" i="4"/>
  <c r="AV525" i="4"/>
  <c r="AW525" i="4"/>
  <c r="AX525" i="4"/>
  <c r="AO526" i="4"/>
  <c r="AP526" i="4"/>
  <c r="AQ526" i="4"/>
  <c r="AR526" i="4"/>
  <c r="AZ526" i="4" s="1"/>
  <c r="AS526" i="4"/>
  <c r="AT526" i="4"/>
  <c r="AU526" i="4"/>
  <c r="AV526" i="4"/>
  <c r="AW526" i="4"/>
  <c r="AX526" i="4"/>
  <c r="AO527" i="4"/>
  <c r="AQ527" i="4" s="1"/>
  <c r="AP527" i="4"/>
  <c r="AR527" i="4"/>
  <c r="AZ527" i="4" s="1"/>
  <c r="AS527" i="4"/>
  <c r="AT527" i="4"/>
  <c r="AU527" i="4"/>
  <c r="AV527" i="4"/>
  <c r="AW527" i="4"/>
  <c r="AX527" i="4"/>
  <c r="AO528" i="4"/>
  <c r="AQ528" i="4" s="1"/>
  <c r="AP528" i="4"/>
  <c r="AR528" i="4"/>
  <c r="AZ528" i="4" s="1"/>
  <c r="AS528" i="4"/>
  <c r="AT528" i="4"/>
  <c r="AU528" i="4"/>
  <c r="AV528" i="4"/>
  <c r="AW528" i="4"/>
  <c r="AX528" i="4"/>
  <c r="AO529" i="4"/>
  <c r="AQ529" i="4" s="1"/>
  <c r="AP529" i="4"/>
  <c r="AR529" i="4"/>
  <c r="AZ529" i="4" s="1"/>
  <c r="AS529" i="4"/>
  <c r="AT529" i="4"/>
  <c r="AU529" i="4"/>
  <c r="AV529" i="4"/>
  <c r="AW529" i="4"/>
  <c r="AX529" i="4"/>
  <c r="AO530" i="4"/>
  <c r="AQ530" i="4" s="1"/>
  <c r="AP530" i="4"/>
  <c r="AR530" i="4"/>
  <c r="AZ530" i="4" s="1"/>
  <c r="AS530" i="4"/>
  <c r="AT530" i="4"/>
  <c r="AU530" i="4"/>
  <c r="AV530" i="4"/>
  <c r="AW530" i="4"/>
  <c r="AX530" i="4"/>
  <c r="AO531" i="4"/>
  <c r="AQ531" i="4" s="1"/>
  <c r="AP531" i="4"/>
  <c r="AR531" i="4"/>
  <c r="AZ531" i="4" s="1"/>
  <c r="AS531" i="4"/>
  <c r="AT531" i="4"/>
  <c r="AU531" i="4"/>
  <c r="AV531" i="4"/>
  <c r="AW531" i="4"/>
  <c r="AX531" i="4"/>
  <c r="AO532" i="4"/>
  <c r="AQ532" i="4" s="1"/>
  <c r="AP532" i="4"/>
  <c r="AR532" i="4"/>
  <c r="AZ532" i="4" s="1"/>
  <c r="AS532" i="4"/>
  <c r="AT532" i="4"/>
  <c r="AU532" i="4"/>
  <c r="AV532" i="4"/>
  <c r="AW532" i="4"/>
  <c r="AX532" i="4"/>
  <c r="AO533" i="4"/>
  <c r="AQ533" i="4" s="1"/>
  <c r="AP533" i="4"/>
  <c r="AR533" i="4"/>
  <c r="AZ533" i="4" s="1"/>
  <c r="AS533" i="4"/>
  <c r="AT533" i="4"/>
  <c r="AU533" i="4"/>
  <c r="AV533" i="4"/>
  <c r="AW533" i="4"/>
  <c r="AX533" i="4"/>
  <c r="AO534" i="4"/>
  <c r="AP534" i="4"/>
  <c r="AQ534" i="4"/>
  <c r="AR534" i="4"/>
  <c r="AZ534" i="4" s="1"/>
  <c r="AS534" i="4"/>
  <c r="AT534" i="4"/>
  <c r="AU534" i="4"/>
  <c r="AV534" i="4"/>
  <c r="AW534" i="4"/>
  <c r="AX534" i="4"/>
  <c r="AO535" i="4"/>
  <c r="AQ535" i="4" s="1"/>
  <c r="AP535" i="4"/>
  <c r="AR535" i="4"/>
  <c r="AZ535" i="4" s="1"/>
  <c r="AS535" i="4"/>
  <c r="AT535" i="4"/>
  <c r="AU535" i="4"/>
  <c r="AV535" i="4"/>
  <c r="AW535" i="4"/>
  <c r="AX535" i="4"/>
  <c r="AO536" i="4"/>
  <c r="AQ536" i="4" s="1"/>
  <c r="AP536" i="4"/>
  <c r="AR536" i="4"/>
  <c r="AZ536" i="4" s="1"/>
  <c r="AS536" i="4"/>
  <c r="AT536" i="4"/>
  <c r="AU536" i="4"/>
  <c r="AV536" i="4"/>
  <c r="AW536" i="4"/>
  <c r="AX536" i="4"/>
  <c r="AO537" i="4"/>
  <c r="AQ537" i="4" s="1"/>
  <c r="AP537" i="4"/>
  <c r="AR537" i="4"/>
  <c r="AZ537" i="4" s="1"/>
  <c r="AS537" i="4"/>
  <c r="AT537" i="4"/>
  <c r="AU537" i="4"/>
  <c r="AV537" i="4"/>
  <c r="AW537" i="4"/>
  <c r="AX537" i="4"/>
  <c r="AO538" i="4"/>
  <c r="AQ538" i="4" s="1"/>
  <c r="AP538" i="4"/>
  <c r="AR538" i="4"/>
  <c r="AZ538" i="4" s="1"/>
  <c r="AS538" i="4"/>
  <c r="AT538" i="4"/>
  <c r="AU538" i="4"/>
  <c r="AV538" i="4"/>
  <c r="AW538" i="4"/>
  <c r="AX538" i="4"/>
  <c r="AO539" i="4"/>
  <c r="AQ539" i="4" s="1"/>
  <c r="AP539" i="4"/>
  <c r="AR539" i="4"/>
  <c r="AZ539" i="4" s="1"/>
  <c r="AS539" i="4"/>
  <c r="AT539" i="4"/>
  <c r="AU539" i="4"/>
  <c r="AV539" i="4"/>
  <c r="AW539" i="4"/>
  <c r="AX539" i="4"/>
  <c r="AO540" i="4"/>
  <c r="AQ540" i="4" s="1"/>
  <c r="AP540" i="4"/>
  <c r="AR540" i="4"/>
  <c r="AZ540" i="4" s="1"/>
  <c r="AS540" i="4"/>
  <c r="AT540" i="4"/>
  <c r="AU540" i="4"/>
  <c r="AV540" i="4"/>
  <c r="AW540" i="4"/>
  <c r="AX540" i="4"/>
  <c r="AO541" i="4"/>
  <c r="AQ541" i="4" s="1"/>
  <c r="AP541" i="4"/>
  <c r="AR541" i="4"/>
  <c r="AZ541" i="4" s="1"/>
  <c r="AS541" i="4"/>
  <c r="AT541" i="4"/>
  <c r="AU541" i="4"/>
  <c r="AV541" i="4"/>
  <c r="AW541" i="4"/>
  <c r="AX541" i="4"/>
  <c r="AO542" i="4"/>
  <c r="AP542" i="4"/>
  <c r="AQ542" i="4"/>
  <c r="AR542" i="4"/>
  <c r="AZ542" i="4" s="1"/>
  <c r="AS542" i="4"/>
  <c r="AT542" i="4"/>
  <c r="AU542" i="4"/>
  <c r="AV542" i="4"/>
  <c r="AW542" i="4"/>
  <c r="AX542" i="4"/>
  <c r="AO543" i="4"/>
  <c r="AQ543" i="4" s="1"/>
  <c r="AP543" i="4"/>
  <c r="AR543" i="4"/>
  <c r="AZ543" i="4" s="1"/>
  <c r="AS543" i="4"/>
  <c r="AT543" i="4"/>
  <c r="AU543" i="4"/>
  <c r="AV543" i="4"/>
  <c r="AW543" i="4"/>
  <c r="AX543" i="4"/>
  <c r="AO544" i="4"/>
  <c r="AQ544" i="4" s="1"/>
  <c r="AP544" i="4"/>
  <c r="AR544" i="4"/>
  <c r="AZ544" i="4" s="1"/>
  <c r="AS544" i="4"/>
  <c r="AT544" i="4"/>
  <c r="AU544" i="4"/>
  <c r="AV544" i="4"/>
  <c r="AW544" i="4"/>
  <c r="AX544" i="4"/>
  <c r="AO545" i="4"/>
  <c r="AQ545" i="4" s="1"/>
  <c r="AP545" i="4"/>
  <c r="AR545" i="4"/>
  <c r="AZ545" i="4" s="1"/>
  <c r="AS545" i="4"/>
  <c r="AT545" i="4"/>
  <c r="AU545" i="4"/>
  <c r="AV545" i="4"/>
  <c r="AW545" i="4"/>
  <c r="AX545" i="4"/>
  <c r="AO546" i="4"/>
  <c r="AQ546" i="4" s="1"/>
  <c r="AP546" i="4"/>
  <c r="AR546" i="4"/>
  <c r="AZ546" i="4" s="1"/>
  <c r="AS546" i="4"/>
  <c r="AT546" i="4"/>
  <c r="AU546" i="4"/>
  <c r="AV546" i="4"/>
  <c r="AW546" i="4"/>
  <c r="AX546" i="4"/>
  <c r="AO547" i="4"/>
  <c r="AQ547" i="4" s="1"/>
  <c r="AP547" i="4"/>
  <c r="AR547" i="4"/>
  <c r="AZ547" i="4" s="1"/>
  <c r="AS547" i="4"/>
  <c r="AT547" i="4"/>
  <c r="AU547" i="4"/>
  <c r="AV547" i="4"/>
  <c r="AW547" i="4"/>
  <c r="AX547" i="4"/>
  <c r="AO548" i="4"/>
  <c r="AQ548" i="4" s="1"/>
  <c r="AP548" i="4"/>
  <c r="AR548" i="4"/>
  <c r="AZ548" i="4" s="1"/>
  <c r="AS548" i="4"/>
  <c r="AT548" i="4"/>
  <c r="AU548" i="4"/>
  <c r="AV548" i="4"/>
  <c r="AW548" i="4"/>
  <c r="AX548" i="4"/>
  <c r="AO549" i="4"/>
  <c r="AQ549" i="4" s="1"/>
  <c r="AP549" i="4"/>
  <c r="AR549" i="4"/>
  <c r="AZ549" i="4" s="1"/>
  <c r="AS549" i="4"/>
  <c r="AT549" i="4"/>
  <c r="AU549" i="4"/>
  <c r="AV549" i="4"/>
  <c r="AW549" i="4"/>
  <c r="AX549" i="4"/>
  <c r="AO550" i="4"/>
  <c r="AP550" i="4"/>
  <c r="AQ550" i="4"/>
  <c r="AR550" i="4"/>
  <c r="AZ550" i="4" s="1"/>
  <c r="AS550" i="4"/>
  <c r="AT550" i="4"/>
  <c r="AU550" i="4"/>
  <c r="AV550" i="4"/>
  <c r="AW550" i="4"/>
  <c r="AX550" i="4"/>
  <c r="AO551" i="4"/>
  <c r="AQ551" i="4" s="1"/>
  <c r="AP551" i="4"/>
  <c r="AR551" i="4"/>
  <c r="AZ551" i="4" s="1"/>
  <c r="AS551" i="4"/>
  <c r="AT551" i="4"/>
  <c r="AU551" i="4"/>
  <c r="AV551" i="4"/>
  <c r="AW551" i="4"/>
  <c r="AX551" i="4"/>
  <c r="AO552" i="4"/>
  <c r="AQ552" i="4" s="1"/>
  <c r="AP552" i="4"/>
  <c r="AR552" i="4"/>
  <c r="AZ552" i="4" s="1"/>
  <c r="AS552" i="4"/>
  <c r="AT552" i="4"/>
  <c r="AU552" i="4"/>
  <c r="AV552" i="4"/>
  <c r="AW552" i="4"/>
  <c r="AX552" i="4"/>
  <c r="AO553" i="4"/>
  <c r="AQ553" i="4" s="1"/>
  <c r="AP553" i="4"/>
  <c r="AR553" i="4"/>
  <c r="AZ553" i="4" s="1"/>
  <c r="AS553" i="4"/>
  <c r="AT553" i="4"/>
  <c r="AU553" i="4"/>
  <c r="AV553" i="4"/>
  <c r="AW553" i="4"/>
  <c r="AX553" i="4"/>
  <c r="AO554" i="4"/>
  <c r="AQ554" i="4" s="1"/>
  <c r="AP554" i="4"/>
  <c r="AR554" i="4"/>
  <c r="AZ554" i="4" s="1"/>
  <c r="AS554" i="4"/>
  <c r="AT554" i="4"/>
  <c r="AU554" i="4"/>
  <c r="AV554" i="4"/>
  <c r="AW554" i="4"/>
  <c r="AX554" i="4"/>
  <c r="AO555" i="4"/>
  <c r="AQ555" i="4" s="1"/>
  <c r="AP555" i="4"/>
  <c r="AR555" i="4"/>
  <c r="AZ555" i="4" s="1"/>
  <c r="AS555" i="4"/>
  <c r="AT555" i="4"/>
  <c r="AU555" i="4"/>
  <c r="AV555" i="4"/>
  <c r="AW555" i="4"/>
  <c r="AX555" i="4"/>
  <c r="AO556" i="4"/>
  <c r="AQ556" i="4" s="1"/>
  <c r="AP556" i="4"/>
  <c r="AR556" i="4"/>
  <c r="AZ556" i="4" s="1"/>
  <c r="AS556" i="4"/>
  <c r="AT556" i="4"/>
  <c r="AU556" i="4"/>
  <c r="AV556" i="4"/>
  <c r="AW556" i="4"/>
  <c r="AX556" i="4"/>
  <c r="AO557" i="4"/>
  <c r="AQ557" i="4" s="1"/>
  <c r="AP557" i="4"/>
  <c r="AR557" i="4"/>
  <c r="AS557" i="4"/>
  <c r="AT557" i="4"/>
  <c r="AU557" i="4"/>
  <c r="AV557" i="4"/>
  <c r="AW557" i="4"/>
  <c r="AX557" i="4"/>
  <c r="AZ557" i="4"/>
  <c r="AO558" i="4"/>
  <c r="AP558" i="4"/>
  <c r="AQ558" i="4"/>
  <c r="AR558" i="4"/>
  <c r="AZ558" i="4" s="1"/>
  <c r="AS558" i="4"/>
  <c r="AT558" i="4"/>
  <c r="AU558" i="4"/>
  <c r="AV558" i="4"/>
  <c r="AW558" i="4"/>
  <c r="AX558" i="4"/>
  <c r="AO559" i="4"/>
  <c r="AQ559" i="4" s="1"/>
  <c r="AP559" i="4"/>
  <c r="AR559" i="4"/>
  <c r="AZ559" i="4" s="1"/>
  <c r="AS559" i="4"/>
  <c r="AT559" i="4"/>
  <c r="AU559" i="4"/>
  <c r="AV559" i="4"/>
  <c r="AW559" i="4"/>
  <c r="AX559" i="4"/>
  <c r="AO560" i="4"/>
  <c r="AQ560" i="4" s="1"/>
  <c r="AP560" i="4"/>
  <c r="AR560" i="4"/>
  <c r="AZ560" i="4" s="1"/>
  <c r="AS560" i="4"/>
  <c r="AT560" i="4"/>
  <c r="AU560" i="4"/>
  <c r="AV560" i="4"/>
  <c r="AW560" i="4"/>
  <c r="AX560" i="4"/>
  <c r="AO561" i="4"/>
  <c r="AQ561" i="4" s="1"/>
  <c r="AP561" i="4"/>
  <c r="AR561" i="4"/>
  <c r="AZ561" i="4" s="1"/>
  <c r="AS561" i="4"/>
  <c r="AT561" i="4"/>
  <c r="AU561" i="4"/>
  <c r="AV561" i="4"/>
  <c r="AW561" i="4"/>
  <c r="AX561" i="4"/>
  <c r="AO562" i="4"/>
  <c r="AQ562" i="4" s="1"/>
  <c r="AP562" i="4"/>
  <c r="AR562" i="4"/>
  <c r="AZ562" i="4" s="1"/>
  <c r="AS562" i="4"/>
  <c r="AT562" i="4"/>
  <c r="AU562" i="4"/>
  <c r="AV562" i="4"/>
  <c r="AW562" i="4"/>
  <c r="AX562" i="4"/>
  <c r="AO563" i="4"/>
  <c r="AQ563" i="4" s="1"/>
  <c r="AP563" i="4"/>
  <c r="AR563" i="4"/>
  <c r="AZ563" i="4" s="1"/>
  <c r="AS563" i="4"/>
  <c r="AT563" i="4"/>
  <c r="AU563" i="4"/>
  <c r="AV563" i="4"/>
  <c r="AW563" i="4"/>
  <c r="AX563" i="4"/>
  <c r="AO564" i="4"/>
  <c r="AQ564" i="4" s="1"/>
  <c r="AP564" i="4"/>
  <c r="AR564" i="4"/>
  <c r="AZ564" i="4" s="1"/>
  <c r="AS564" i="4"/>
  <c r="AT564" i="4"/>
  <c r="AU564" i="4"/>
  <c r="AV564" i="4"/>
  <c r="AW564" i="4"/>
  <c r="AX564" i="4"/>
  <c r="AO565" i="4"/>
  <c r="AQ565" i="4" s="1"/>
  <c r="AP565" i="4"/>
  <c r="AR565" i="4"/>
  <c r="AS565" i="4"/>
  <c r="AT565" i="4"/>
  <c r="AU565" i="4"/>
  <c r="AV565" i="4"/>
  <c r="AW565" i="4"/>
  <c r="AX565" i="4"/>
  <c r="AZ565" i="4"/>
  <c r="AO566" i="4"/>
  <c r="AP566" i="4"/>
  <c r="AQ566" i="4"/>
  <c r="AR566" i="4"/>
  <c r="AZ566" i="4" s="1"/>
  <c r="AS566" i="4"/>
  <c r="AT566" i="4"/>
  <c r="AU566" i="4"/>
  <c r="AV566" i="4"/>
  <c r="AW566" i="4"/>
  <c r="AX566" i="4"/>
  <c r="AO567" i="4"/>
  <c r="AQ567" i="4" s="1"/>
  <c r="AP567" i="4"/>
  <c r="AR567" i="4"/>
  <c r="AZ567" i="4" s="1"/>
  <c r="AS567" i="4"/>
  <c r="AT567" i="4"/>
  <c r="AU567" i="4"/>
  <c r="AV567" i="4"/>
  <c r="AW567" i="4"/>
  <c r="AX567" i="4"/>
  <c r="AO568" i="4"/>
  <c r="AQ568" i="4" s="1"/>
  <c r="AP568" i="4"/>
  <c r="AR568" i="4"/>
  <c r="AZ568" i="4" s="1"/>
  <c r="AS568" i="4"/>
  <c r="AT568" i="4"/>
  <c r="AU568" i="4"/>
  <c r="AV568" i="4"/>
  <c r="AW568" i="4"/>
  <c r="AX568" i="4"/>
  <c r="AO569" i="4"/>
  <c r="AQ569" i="4" s="1"/>
  <c r="AP569" i="4"/>
  <c r="AR569" i="4"/>
  <c r="AZ569" i="4" s="1"/>
  <c r="AS569" i="4"/>
  <c r="AT569" i="4"/>
  <c r="AU569" i="4"/>
  <c r="AV569" i="4"/>
  <c r="AW569" i="4"/>
  <c r="AX569" i="4"/>
  <c r="AO570" i="4"/>
  <c r="AQ570" i="4" s="1"/>
  <c r="AP570" i="4"/>
  <c r="AR570" i="4"/>
  <c r="AZ570" i="4" s="1"/>
  <c r="AS570" i="4"/>
  <c r="AT570" i="4"/>
  <c r="AU570" i="4"/>
  <c r="AV570" i="4"/>
  <c r="AW570" i="4"/>
  <c r="AX570" i="4"/>
  <c r="AO571" i="4"/>
  <c r="AQ571" i="4" s="1"/>
  <c r="AP571" i="4"/>
  <c r="AR571" i="4"/>
  <c r="AZ571" i="4" s="1"/>
  <c r="AS571" i="4"/>
  <c r="AT571" i="4"/>
  <c r="AU571" i="4"/>
  <c r="AV571" i="4"/>
  <c r="AW571" i="4"/>
  <c r="AX571" i="4"/>
  <c r="AO572" i="4"/>
  <c r="AQ572" i="4" s="1"/>
  <c r="AP572" i="4"/>
  <c r="AR572" i="4"/>
  <c r="AZ572" i="4" s="1"/>
  <c r="AS572" i="4"/>
  <c r="AT572" i="4"/>
  <c r="AU572" i="4"/>
  <c r="AV572" i="4"/>
  <c r="AW572" i="4"/>
  <c r="AX572" i="4"/>
  <c r="AO573" i="4"/>
  <c r="AQ573" i="4" s="1"/>
  <c r="AP573" i="4"/>
  <c r="AR573" i="4"/>
  <c r="AS573" i="4"/>
  <c r="AT573" i="4"/>
  <c r="AU573" i="4"/>
  <c r="AV573" i="4"/>
  <c r="AW573" i="4"/>
  <c r="AX573" i="4"/>
  <c r="AZ573" i="4"/>
  <c r="AO574" i="4"/>
  <c r="AP574" i="4"/>
  <c r="AQ574" i="4"/>
  <c r="AR574" i="4"/>
  <c r="AZ574" i="4" s="1"/>
  <c r="AS574" i="4"/>
  <c r="AT574" i="4"/>
  <c r="AU574" i="4"/>
  <c r="AV574" i="4"/>
  <c r="AW574" i="4"/>
  <c r="AX574" i="4"/>
  <c r="AO575" i="4"/>
  <c r="AQ575" i="4" s="1"/>
  <c r="AP575" i="4"/>
  <c r="AR575" i="4"/>
  <c r="AZ575" i="4" s="1"/>
  <c r="AS575" i="4"/>
  <c r="AT575" i="4"/>
  <c r="AU575" i="4"/>
  <c r="AV575" i="4"/>
  <c r="AW575" i="4"/>
  <c r="AX575" i="4"/>
  <c r="AO576" i="4"/>
  <c r="AQ576" i="4" s="1"/>
  <c r="AP576" i="4"/>
  <c r="AR576" i="4"/>
  <c r="AZ576" i="4" s="1"/>
  <c r="AS576" i="4"/>
  <c r="AT576" i="4"/>
  <c r="AU576" i="4"/>
  <c r="AV576" i="4"/>
  <c r="AW576" i="4"/>
  <c r="AX576" i="4"/>
  <c r="AO577" i="4"/>
  <c r="AQ577" i="4" s="1"/>
  <c r="AP577" i="4"/>
  <c r="AR577" i="4"/>
  <c r="AZ577" i="4" s="1"/>
  <c r="AS577" i="4"/>
  <c r="AT577" i="4"/>
  <c r="AU577" i="4"/>
  <c r="AV577" i="4"/>
  <c r="AW577" i="4"/>
  <c r="AX577" i="4"/>
  <c r="AO578" i="4"/>
  <c r="AP578" i="4"/>
  <c r="AQ578" i="4"/>
  <c r="AR578" i="4"/>
  <c r="AZ578" i="4" s="1"/>
  <c r="AS578" i="4"/>
  <c r="AT578" i="4"/>
  <c r="AU578" i="4"/>
  <c r="AV578" i="4"/>
  <c r="AW578" i="4"/>
  <c r="AX578" i="4"/>
  <c r="AO579" i="4"/>
  <c r="AQ579" i="4" s="1"/>
  <c r="AP579" i="4"/>
  <c r="AR579" i="4"/>
  <c r="AZ579" i="4" s="1"/>
  <c r="AS579" i="4"/>
  <c r="AT579" i="4"/>
  <c r="AU579" i="4"/>
  <c r="AV579" i="4"/>
  <c r="AW579" i="4"/>
  <c r="AX579" i="4"/>
  <c r="AO580" i="4"/>
  <c r="AQ580" i="4" s="1"/>
  <c r="AP580" i="4"/>
  <c r="AR580" i="4"/>
  <c r="AZ580" i="4" s="1"/>
  <c r="AS580" i="4"/>
  <c r="AT580" i="4"/>
  <c r="AU580" i="4"/>
  <c r="AV580" i="4"/>
  <c r="AW580" i="4"/>
  <c r="AX580" i="4"/>
  <c r="AO581" i="4"/>
  <c r="AQ581" i="4" s="1"/>
  <c r="AP581" i="4"/>
  <c r="AR581" i="4"/>
  <c r="AZ581" i="4" s="1"/>
  <c r="AS581" i="4"/>
  <c r="AT581" i="4"/>
  <c r="AU581" i="4"/>
  <c r="AV581" i="4"/>
  <c r="AW581" i="4"/>
  <c r="AX581" i="4"/>
  <c r="AO582" i="4"/>
  <c r="AQ582" i="4" s="1"/>
  <c r="AP582" i="4"/>
  <c r="AR582" i="4"/>
  <c r="AZ582" i="4" s="1"/>
  <c r="AS582" i="4"/>
  <c r="AT582" i="4"/>
  <c r="AU582" i="4"/>
  <c r="AV582" i="4"/>
  <c r="AW582" i="4"/>
  <c r="AX582" i="4"/>
  <c r="AO583" i="4"/>
  <c r="AQ583" i="4" s="1"/>
  <c r="AP583" i="4"/>
  <c r="AR583" i="4"/>
  <c r="AZ583" i="4" s="1"/>
  <c r="AS583" i="4"/>
  <c r="AT583" i="4"/>
  <c r="AU583" i="4"/>
  <c r="AV583" i="4"/>
  <c r="AW583" i="4"/>
  <c r="AX583" i="4"/>
  <c r="AO584" i="4"/>
  <c r="AQ584" i="4" s="1"/>
  <c r="AP584" i="4"/>
  <c r="AR584" i="4"/>
  <c r="AZ584" i="4" s="1"/>
  <c r="AS584" i="4"/>
  <c r="AT584" i="4"/>
  <c r="AU584" i="4"/>
  <c r="AV584" i="4"/>
  <c r="AW584" i="4"/>
  <c r="AX584" i="4"/>
  <c r="AO585" i="4"/>
  <c r="AQ585" i="4" s="1"/>
  <c r="AP585" i="4"/>
  <c r="AR585" i="4"/>
  <c r="AS585" i="4"/>
  <c r="AT585" i="4"/>
  <c r="AU585" i="4"/>
  <c r="AV585" i="4"/>
  <c r="AW585" i="4"/>
  <c r="AX585" i="4"/>
  <c r="AZ585" i="4"/>
  <c r="AO586" i="4"/>
  <c r="AP586" i="4"/>
  <c r="AQ586" i="4"/>
  <c r="AR586" i="4"/>
  <c r="AZ586" i="4" s="1"/>
  <c r="AS586" i="4"/>
  <c r="AT586" i="4"/>
  <c r="AU586" i="4"/>
  <c r="AV586" i="4"/>
  <c r="AW586" i="4"/>
  <c r="AX586" i="4"/>
  <c r="AO587" i="4"/>
  <c r="AQ587" i="4" s="1"/>
  <c r="AP587" i="4"/>
  <c r="AR587" i="4"/>
  <c r="AZ587" i="4" s="1"/>
  <c r="AS587" i="4"/>
  <c r="AT587" i="4"/>
  <c r="AU587" i="4"/>
  <c r="AV587" i="4"/>
  <c r="AW587" i="4"/>
  <c r="AX587" i="4"/>
  <c r="AO588" i="4"/>
  <c r="AQ588" i="4" s="1"/>
  <c r="AP588" i="4"/>
  <c r="AR588" i="4"/>
  <c r="AZ588" i="4" s="1"/>
  <c r="AS588" i="4"/>
  <c r="AT588" i="4"/>
  <c r="AU588" i="4"/>
  <c r="AV588" i="4"/>
  <c r="AW588" i="4"/>
  <c r="AX588" i="4"/>
  <c r="AO589" i="4"/>
  <c r="AQ589" i="4" s="1"/>
  <c r="AP589" i="4"/>
  <c r="AR589" i="4"/>
  <c r="AS589" i="4"/>
  <c r="AT589" i="4"/>
  <c r="AU589" i="4"/>
  <c r="AV589" i="4"/>
  <c r="AW589" i="4"/>
  <c r="AX589" i="4"/>
  <c r="AZ589" i="4"/>
  <c r="AO590" i="4"/>
  <c r="AQ590" i="4" s="1"/>
  <c r="AP590" i="4"/>
  <c r="AR590" i="4"/>
  <c r="AZ590" i="4" s="1"/>
  <c r="AS590" i="4"/>
  <c r="AT590" i="4"/>
  <c r="AU590" i="4"/>
  <c r="AV590" i="4"/>
  <c r="AW590" i="4"/>
  <c r="AX590" i="4"/>
  <c r="AO591" i="4"/>
  <c r="AQ591" i="4" s="1"/>
  <c r="AP591" i="4"/>
  <c r="AR591" i="4"/>
  <c r="AZ591" i="4" s="1"/>
  <c r="AS591" i="4"/>
  <c r="AT591" i="4"/>
  <c r="AU591" i="4"/>
  <c r="AV591" i="4"/>
  <c r="AW591" i="4"/>
  <c r="AX591" i="4"/>
  <c r="AO592" i="4"/>
  <c r="AQ592" i="4" s="1"/>
  <c r="AP592" i="4"/>
  <c r="AR592" i="4"/>
  <c r="AZ592" i="4" s="1"/>
  <c r="AS592" i="4"/>
  <c r="AT592" i="4"/>
  <c r="AU592" i="4"/>
  <c r="AV592" i="4"/>
  <c r="AW592" i="4"/>
  <c r="AX592" i="4"/>
  <c r="AO593" i="4"/>
  <c r="AQ593" i="4" s="1"/>
  <c r="AP593" i="4"/>
  <c r="AR593" i="4"/>
  <c r="AS593" i="4"/>
  <c r="AT593" i="4"/>
  <c r="AU593" i="4"/>
  <c r="AV593" i="4"/>
  <c r="AW593" i="4"/>
  <c r="AX593" i="4"/>
  <c r="AZ593" i="4"/>
  <c r="AO594" i="4"/>
  <c r="AP594" i="4"/>
  <c r="AQ594" i="4"/>
  <c r="AR594" i="4"/>
  <c r="AZ594" i="4" s="1"/>
  <c r="AS594" i="4"/>
  <c r="AT594" i="4"/>
  <c r="AU594" i="4"/>
  <c r="AV594" i="4"/>
  <c r="AW594" i="4"/>
  <c r="AX594" i="4"/>
  <c r="AO595" i="4"/>
  <c r="AQ595" i="4" s="1"/>
  <c r="AP595" i="4"/>
  <c r="AR595" i="4"/>
  <c r="AZ595" i="4" s="1"/>
  <c r="AS595" i="4"/>
  <c r="AT595" i="4"/>
  <c r="AU595" i="4"/>
  <c r="AV595" i="4"/>
  <c r="AW595" i="4"/>
  <c r="AX595" i="4"/>
  <c r="AO596" i="4"/>
  <c r="AQ596" i="4" s="1"/>
  <c r="AP596" i="4"/>
  <c r="AR596" i="4"/>
  <c r="AZ596" i="4" s="1"/>
  <c r="AS596" i="4"/>
  <c r="AT596" i="4"/>
  <c r="AU596" i="4"/>
  <c r="AV596" i="4"/>
  <c r="AW596" i="4"/>
  <c r="AX596" i="4"/>
  <c r="AO597" i="4"/>
  <c r="AQ597" i="4" s="1"/>
  <c r="AP597" i="4"/>
  <c r="AR597" i="4"/>
  <c r="AS597" i="4"/>
  <c r="AT597" i="4"/>
  <c r="AU597" i="4"/>
  <c r="AV597" i="4"/>
  <c r="AW597" i="4"/>
  <c r="AX597" i="4"/>
  <c r="AZ597" i="4"/>
  <c r="AO598" i="4"/>
  <c r="AQ598" i="4" s="1"/>
  <c r="AP598" i="4"/>
  <c r="AR598" i="4"/>
  <c r="AZ598" i="4" s="1"/>
  <c r="AS598" i="4"/>
  <c r="AT598" i="4"/>
  <c r="AU598" i="4"/>
  <c r="AV598" i="4"/>
  <c r="AW598" i="4"/>
  <c r="AX598" i="4"/>
  <c r="AO599" i="4"/>
  <c r="AQ599" i="4" s="1"/>
  <c r="AP599" i="4"/>
  <c r="AR599" i="4"/>
  <c r="AZ599" i="4" s="1"/>
  <c r="AS599" i="4"/>
  <c r="AT599" i="4"/>
  <c r="AU599" i="4"/>
  <c r="AV599" i="4"/>
  <c r="AW599" i="4"/>
  <c r="AX599" i="4"/>
  <c r="AO600" i="4"/>
  <c r="AQ600" i="4" s="1"/>
  <c r="AP600" i="4"/>
  <c r="AR600" i="4"/>
  <c r="AZ600" i="4" s="1"/>
  <c r="AS600" i="4"/>
  <c r="AT600" i="4"/>
  <c r="AU600" i="4"/>
  <c r="AV600" i="4"/>
  <c r="AW600" i="4"/>
  <c r="AX600" i="4"/>
  <c r="AO601" i="4"/>
  <c r="AQ601" i="4" s="1"/>
  <c r="AP601" i="4"/>
  <c r="AR601" i="4"/>
  <c r="AS601" i="4"/>
  <c r="AT601" i="4"/>
  <c r="AU601" i="4"/>
  <c r="AV601" i="4"/>
  <c r="AW601" i="4"/>
  <c r="AX601" i="4"/>
  <c r="AZ601" i="4"/>
  <c r="AO602" i="4"/>
  <c r="AP602" i="4"/>
  <c r="AQ602" i="4"/>
  <c r="AR602" i="4"/>
  <c r="AZ602" i="4" s="1"/>
  <c r="AS602" i="4"/>
  <c r="AT602" i="4"/>
  <c r="AU602" i="4"/>
  <c r="AV602" i="4"/>
  <c r="AW602" i="4"/>
  <c r="AX602" i="4"/>
  <c r="AO603" i="4"/>
  <c r="AQ603" i="4" s="1"/>
  <c r="AP603" i="4"/>
  <c r="AR603" i="4"/>
  <c r="AZ603" i="4" s="1"/>
  <c r="AS603" i="4"/>
  <c r="AT603" i="4"/>
  <c r="AU603" i="4"/>
  <c r="AV603" i="4"/>
  <c r="AW603" i="4"/>
  <c r="AX603" i="4"/>
  <c r="AO604" i="4"/>
  <c r="AQ604" i="4" s="1"/>
  <c r="AP604" i="4"/>
  <c r="AR604" i="4"/>
  <c r="AZ604" i="4" s="1"/>
  <c r="AS604" i="4"/>
  <c r="AT604" i="4"/>
  <c r="AU604" i="4"/>
  <c r="AV604" i="4"/>
  <c r="AW604" i="4"/>
  <c r="AX604" i="4"/>
  <c r="AO605" i="4"/>
  <c r="AQ605" i="4" s="1"/>
  <c r="AP605" i="4"/>
  <c r="AR605" i="4"/>
  <c r="AS605" i="4"/>
  <c r="AT605" i="4"/>
  <c r="AU605" i="4"/>
  <c r="AV605" i="4"/>
  <c r="AW605" i="4"/>
  <c r="AX605" i="4"/>
  <c r="AZ605" i="4"/>
  <c r="AO606" i="4"/>
  <c r="AQ606" i="4" s="1"/>
  <c r="AP606" i="4"/>
  <c r="AR606" i="4"/>
  <c r="AZ606" i="4" s="1"/>
  <c r="AS606" i="4"/>
  <c r="AT606" i="4"/>
  <c r="AU606" i="4"/>
  <c r="AV606" i="4"/>
  <c r="AW606" i="4"/>
  <c r="AX606" i="4"/>
  <c r="AO607" i="4"/>
  <c r="AQ607" i="4" s="1"/>
  <c r="AP607" i="4"/>
  <c r="AR607" i="4"/>
  <c r="AZ607" i="4" s="1"/>
  <c r="AS607" i="4"/>
  <c r="AT607" i="4"/>
  <c r="AU607" i="4"/>
  <c r="AV607" i="4"/>
  <c r="AW607" i="4"/>
  <c r="AX607" i="4"/>
  <c r="AO608" i="4"/>
  <c r="AQ608" i="4" s="1"/>
  <c r="AP608" i="4"/>
  <c r="AR608" i="4"/>
  <c r="AZ608" i="4" s="1"/>
  <c r="AS608" i="4"/>
  <c r="AT608" i="4"/>
  <c r="AU608" i="4"/>
  <c r="AV608" i="4"/>
  <c r="AW608" i="4"/>
  <c r="AX608" i="4"/>
  <c r="AO609" i="4"/>
  <c r="AQ609" i="4" s="1"/>
  <c r="AP609" i="4"/>
  <c r="AR609" i="4"/>
  <c r="AS609" i="4"/>
  <c r="AT609" i="4"/>
  <c r="AU609" i="4"/>
  <c r="AV609" i="4"/>
  <c r="AW609" i="4"/>
  <c r="AX609" i="4"/>
  <c r="AZ609" i="4"/>
  <c r="AO610" i="4"/>
  <c r="AP610" i="4"/>
  <c r="AQ610" i="4"/>
  <c r="AR610" i="4"/>
  <c r="AZ610" i="4" s="1"/>
  <c r="AS610" i="4"/>
  <c r="AT610" i="4"/>
  <c r="AU610" i="4"/>
  <c r="AV610" i="4"/>
  <c r="AW610" i="4"/>
  <c r="AX610" i="4"/>
  <c r="AO611" i="4"/>
  <c r="AQ611" i="4" s="1"/>
  <c r="AP611" i="4"/>
  <c r="AR611" i="4"/>
  <c r="AZ611" i="4" s="1"/>
  <c r="AS611" i="4"/>
  <c r="AT611" i="4"/>
  <c r="AU611" i="4"/>
  <c r="AV611" i="4"/>
  <c r="AW611" i="4"/>
  <c r="AX611" i="4"/>
  <c r="AO612" i="4"/>
  <c r="AQ612" i="4" s="1"/>
  <c r="AP612" i="4"/>
  <c r="AR612" i="4"/>
  <c r="AZ612" i="4" s="1"/>
  <c r="AS612" i="4"/>
  <c r="AT612" i="4"/>
  <c r="AU612" i="4"/>
  <c r="AV612" i="4"/>
  <c r="AW612" i="4"/>
  <c r="AX612" i="4"/>
  <c r="AO613" i="4"/>
  <c r="AQ613" i="4" s="1"/>
  <c r="AP613" i="4"/>
  <c r="AR613" i="4"/>
  <c r="AS613" i="4"/>
  <c r="AT613" i="4"/>
  <c r="AU613" i="4"/>
  <c r="AV613" i="4"/>
  <c r="AW613" i="4"/>
  <c r="AX613" i="4"/>
  <c r="AZ613" i="4"/>
  <c r="AO614" i="4"/>
  <c r="AQ614" i="4" s="1"/>
  <c r="AP614" i="4"/>
  <c r="AR614" i="4"/>
  <c r="AZ614" i="4" s="1"/>
  <c r="AS614" i="4"/>
  <c r="AT614" i="4"/>
  <c r="AU614" i="4"/>
  <c r="AV614" i="4"/>
  <c r="AW614" i="4"/>
  <c r="AX614" i="4"/>
  <c r="AO615" i="4"/>
  <c r="AQ615" i="4" s="1"/>
  <c r="AP615" i="4"/>
  <c r="AR615" i="4"/>
  <c r="AZ615" i="4" s="1"/>
  <c r="AS615" i="4"/>
  <c r="AT615" i="4"/>
  <c r="AU615" i="4"/>
  <c r="AV615" i="4"/>
  <c r="AW615" i="4"/>
  <c r="AX615" i="4"/>
  <c r="AO616" i="4"/>
  <c r="AQ616" i="4" s="1"/>
  <c r="AP616" i="4"/>
  <c r="AR616" i="4"/>
  <c r="AZ616" i="4" s="1"/>
  <c r="AS616" i="4"/>
  <c r="AT616" i="4"/>
  <c r="AU616" i="4"/>
  <c r="AV616" i="4"/>
  <c r="AW616" i="4"/>
  <c r="AX616" i="4"/>
  <c r="AO617" i="4"/>
  <c r="AQ617" i="4" s="1"/>
  <c r="AP617" i="4"/>
  <c r="AR617" i="4"/>
  <c r="AS617" i="4"/>
  <c r="AT617" i="4"/>
  <c r="AU617" i="4"/>
  <c r="AV617" i="4"/>
  <c r="AW617" i="4"/>
  <c r="AX617" i="4"/>
  <c r="AZ617" i="4"/>
  <c r="AO618" i="4"/>
  <c r="AP618" i="4"/>
  <c r="AQ618" i="4"/>
  <c r="AR618" i="4"/>
  <c r="AZ618" i="4" s="1"/>
  <c r="AS618" i="4"/>
  <c r="AT618" i="4"/>
  <c r="AU618" i="4"/>
  <c r="AV618" i="4"/>
  <c r="AW618" i="4"/>
  <c r="AX618" i="4"/>
  <c r="AO619" i="4"/>
  <c r="AQ619" i="4" s="1"/>
  <c r="AP619" i="4"/>
  <c r="AR619" i="4"/>
  <c r="AZ619" i="4" s="1"/>
  <c r="AS619" i="4"/>
  <c r="AT619" i="4"/>
  <c r="AU619" i="4"/>
  <c r="AV619" i="4"/>
  <c r="AW619" i="4"/>
  <c r="AX619" i="4"/>
  <c r="AO620" i="4"/>
  <c r="AQ620" i="4" s="1"/>
  <c r="AP620" i="4"/>
  <c r="AR620" i="4"/>
  <c r="AZ620" i="4" s="1"/>
  <c r="AS620" i="4"/>
  <c r="AT620" i="4"/>
  <c r="AU620" i="4"/>
  <c r="AV620" i="4"/>
  <c r="AW620" i="4"/>
  <c r="AX620" i="4"/>
  <c r="AO621" i="4"/>
  <c r="AQ621" i="4" s="1"/>
  <c r="AP621" i="4"/>
  <c r="AR621" i="4"/>
  <c r="AS621" i="4"/>
  <c r="AT621" i="4"/>
  <c r="AU621" i="4"/>
  <c r="AV621" i="4"/>
  <c r="AW621" i="4"/>
  <c r="AX621" i="4"/>
  <c r="AZ621" i="4"/>
  <c r="AO622" i="4"/>
  <c r="AQ622" i="4" s="1"/>
  <c r="AP622" i="4"/>
  <c r="AR622" i="4"/>
  <c r="AZ622" i="4" s="1"/>
  <c r="AS622" i="4"/>
  <c r="AT622" i="4"/>
  <c r="AU622" i="4"/>
  <c r="AV622" i="4"/>
  <c r="AW622" i="4"/>
  <c r="AX622" i="4"/>
  <c r="AO623" i="4"/>
  <c r="AQ623" i="4" s="1"/>
  <c r="AP623" i="4"/>
  <c r="AR623" i="4"/>
  <c r="AZ623" i="4" s="1"/>
  <c r="AS623" i="4"/>
  <c r="AT623" i="4"/>
  <c r="AU623" i="4"/>
  <c r="AV623" i="4"/>
  <c r="AW623" i="4"/>
  <c r="AX623" i="4"/>
  <c r="AO624" i="4"/>
  <c r="AQ624" i="4" s="1"/>
  <c r="AP624" i="4"/>
  <c r="AR624" i="4"/>
  <c r="AZ624" i="4" s="1"/>
  <c r="AS624" i="4"/>
  <c r="AT624" i="4"/>
  <c r="AU624" i="4"/>
  <c r="AV624" i="4"/>
  <c r="AW624" i="4"/>
  <c r="AX624" i="4"/>
  <c r="AO625" i="4"/>
  <c r="AQ625" i="4" s="1"/>
  <c r="AP625" i="4"/>
  <c r="AR625" i="4"/>
  <c r="AS625" i="4"/>
  <c r="AT625" i="4"/>
  <c r="AU625" i="4"/>
  <c r="AV625" i="4"/>
  <c r="AW625" i="4"/>
  <c r="AX625" i="4"/>
  <c r="AZ625" i="4"/>
  <c r="AO626" i="4"/>
  <c r="AP626" i="4"/>
  <c r="AQ626" i="4"/>
  <c r="AR626" i="4"/>
  <c r="AZ626" i="4" s="1"/>
  <c r="AS626" i="4"/>
  <c r="AT626" i="4"/>
  <c r="AU626" i="4"/>
  <c r="AV626" i="4"/>
  <c r="AW626" i="4"/>
  <c r="AX626" i="4"/>
  <c r="AO627" i="4"/>
  <c r="AQ627" i="4" s="1"/>
  <c r="AP627" i="4"/>
  <c r="AR627" i="4"/>
  <c r="AZ627" i="4" s="1"/>
  <c r="AS627" i="4"/>
  <c r="AT627" i="4"/>
  <c r="AU627" i="4"/>
  <c r="AV627" i="4"/>
  <c r="AW627" i="4"/>
  <c r="AX627" i="4"/>
  <c r="AO628" i="4"/>
  <c r="AQ628" i="4" s="1"/>
  <c r="AP628" i="4"/>
  <c r="AR628" i="4"/>
  <c r="AZ628" i="4" s="1"/>
  <c r="AS628" i="4"/>
  <c r="AT628" i="4"/>
  <c r="AU628" i="4"/>
  <c r="AV628" i="4"/>
  <c r="AW628" i="4"/>
  <c r="AX628" i="4"/>
  <c r="AO629" i="4"/>
  <c r="AQ629" i="4" s="1"/>
  <c r="AP629" i="4"/>
  <c r="AR629" i="4"/>
  <c r="AS629" i="4"/>
  <c r="AT629" i="4"/>
  <c r="AU629" i="4"/>
  <c r="AV629" i="4"/>
  <c r="AW629" i="4"/>
  <c r="AX629" i="4"/>
  <c r="AZ629" i="4"/>
  <c r="AO630" i="4"/>
  <c r="AQ630" i="4" s="1"/>
  <c r="AP630" i="4"/>
  <c r="AR630" i="4"/>
  <c r="AZ630" i="4" s="1"/>
  <c r="AS630" i="4"/>
  <c r="AT630" i="4"/>
  <c r="AU630" i="4"/>
  <c r="AV630" i="4"/>
  <c r="AW630" i="4"/>
  <c r="AX630" i="4"/>
  <c r="AO631" i="4"/>
  <c r="AQ631" i="4" s="1"/>
  <c r="AP631" i="4"/>
  <c r="AR631" i="4"/>
  <c r="AZ631" i="4" s="1"/>
  <c r="AS631" i="4"/>
  <c r="AT631" i="4"/>
  <c r="AU631" i="4"/>
  <c r="AV631" i="4"/>
  <c r="AW631" i="4"/>
  <c r="AX631" i="4"/>
  <c r="AO632" i="4"/>
  <c r="AQ632" i="4" s="1"/>
  <c r="AP632" i="4"/>
  <c r="AR632" i="4"/>
  <c r="AZ632" i="4" s="1"/>
  <c r="AS632" i="4"/>
  <c r="AT632" i="4"/>
  <c r="AU632" i="4"/>
  <c r="AV632" i="4"/>
  <c r="AW632" i="4"/>
  <c r="AX632" i="4"/>
  <c r="AO633" i="4"/>
  <c r="AQ633" i="4" s="1"/>
  <c r="AP633" i="4"/>
  <c r="AR633" i="4"/>
  <c r="AS633" i="4"/>
  <c r="AT633" i="4"/>
  <c r="AU633" i="4"/>
  <c r="AV633" i="4"/>
  <c r="AW633" i="4"/>
  <c r="AX633" i="4"/>
  <c r="AZ633" i="4"/>
  <c r="AO634" i="4"/>
  <c r="AP634" i="4"/>
  <c r="AQ634" i="4"/>
  <c r="AR634" i="4"/>
  <c r="AZ634" i="4" s="1"/>
  <c r="AS634" i="4"/>
  <c r="AT634" i="4"/>
  <c r="AU634" i="4"/>
  <c r="AV634" i="4"/>
  <c r="AW634" i="4"/>
  <c r="AX634" i="4"/>
  <c r="AO635" i="4"/>
  <c r="AQ635" i="4" s="1"/>
  <c r="AP635" i="4"/>
  <c r="AR635" i="4"/>
  <c r="AZ635" i="4" s="1"/>
  <c r="AS635" i="4"/>
  <c r="AT635" i="4"/>
  <c r="AU635" i="4"/>
  <c r="AV635" i="4"/>
  <c r="AW635" i="4"/>
  <c r="AX635" i="4"/>
  <c r="AO636" i="4"/>
  <c r="AQ636" i="4" s="1"/>
  <c r="AP636" i="4"/>
  <c r="AR636" i="4"/>
  <c r="AZ636" i="4" s="1"/>
  <c r="AS636" i="4"/>
  <c r="AT636" i="4"/>
  <c r="AU636" i="4"/>
  <c r="AV636" i="4"/>
  <c r="AW636" i="4"/>
  <c r="AX636" i="4"/>
  <c r="AO637" i="4"/>
  <c r="AQ637" i="4" s="1"/>
  <c r="AP637" i="4"/>
  <c r="AR637" i="4"/>
  <c r="AS637" i="4"/>
  <c r="AT637" i="4"/>
  <c r="AU637" i="4"/>
  <c r="AV637" i="4"/>
  <c r="AW637" i="4"/>
  <c r="AX637" i="4"/>
  <c r="AZ637" i="4"/>
  <c r="AO638" i="4"/>
  <c r="AQ638" i="4" s="1"/>
  <c r="AP638" i="4"/>
  <c r="AR638" i="4"/>
  <c r="AZ638" i="4" s="1"/>
  <c r="AS638" i="4"/>
  <c r="AT638" i="4"/>
  <c r="AU638" i="4"/>
  <c r="AV638" i="4"/>
  <c r="AW638" i="4"/>
  <c r="AX638" i="4"/>
  <c r="AO639" i="4"/>
  <c r="AQ639" i="4" s="1"/>
  <c r="AP639" i="4"/>
  <c r="AR639" i="4"/>
  <c r="AZ639" i="4" s="1"/>
  <c r="AS639" i="4"/>
  <c r="AT639" i="4"/>
  <c r="AU639" i="4"/>
  <c r="AV639" i="4"/>
  <c r="AW639" i="4"/>
  <c r="AX639" i="4"/>
  <c r="AO640" i="4"/>
  <c r="AQ640" i="4" s="1"/>
  <c r="AP640" i="4"/>
  <c r="AR640" i="4"/>
  <c r="AZ640" i="4" s="1"/>
  <c r="AS640" i="4"/>
  <c r="AT640" i="4"/>
  <c r="AU640" i="4"/>
  <c r="AV640" i="4"/>
  <c r="AW640" i="4"/>
  <c r="AX640" i="4"/>
  <c r="AO641" i="4"/>
  <c r="AQ641" i="4" s="1"/>
  <c r="AP641" i="4"/>
  <c r="AR641" i="4"/>
  <c r="AS641" i="4"/>
  <c r="AT641" i="4"/>
  <c r="AU641" i="4"/>
  <c r="AV641" i="4"/>
  <c r="AW641" i="4"/>
  <c r="AX641" i="4"/>
  <c r="AZ641" i="4"/>
  <c r="AO642" i="4"/>
  <c r="AP642" i="4"/>
  <c r="AQ642" i="4"/>
  <c r="AR642" i="4"/>
  <c r="AZ642" i="4" s="1"/>
  <c r="AS642" i="4"/>
  <c r="AT642" i="4"/>
  <c r="AU642" i="4"/>
  <c r="AV642" i="4"/>
  <c r="AW642" i="4"/>
  <c r="AX642" i="4"/>
  <c r="AO643" i="4"/>
  <c r="AQ643" i="4" s="1"/>
  <c r="AP643" i="4"/>
  <c r="AR643" i="4"/>
  <c r="AZ643" i="4" s="1"/>
  <c r="AS643" i="4"/>
  <c r="AT643" i="4"/>
  <c r="AU643" i="4"/>
  <c r="AV643" i="4"/>
  <c r="AW643" i="4"/>
  <c r="AX643" i="4"/>
  <c r="AO644" i="4"/>
  <c r="AQ644" i="4" s="1"/>
  <c r="AP644" i="4"/>
  <c r="AR644" i="4"/>
  <c r="AZ644" i="4" s="1"/>
  <c r="AS644" i="4"/>
  <c r="AT644" i="4"/>
  <c r="AU644" i="4"/>
  <c r="AV644" i="4"/>
  <c r="AW644" i="4"/>
  <c r="AX644" i="4"/>
  <c r="AO645" i="4"/>
  <c r="AQ645" i="4" s="1"/>
  <c r="AP645" i="4"/>
  <c r="AR645" i="4"/>
  <c r="AS645" i="4"/>
  <c r="AT645" i="4"/>
  <c r="AU645" i="4"/>
  <c r="AV645" i="4"/>
  <c r="AW645" i="4"/>
  <c r="AX645" i="4"/>
  <c r="AZ645" i="4"/>
  <c r="AO646" i="4"/>
  <c r="AQ646" i="4" s="1"/>
  <c r="AP646" i="4"/>
  <c r="AR646" i="4"/>
  <c r="AZ646" i="4" s="1"/>
  <c r="AS646" i="4"/>
  <c r="AT646" i="4"/>
  <c r="AU646" i="4"/>
  <c r="AV646" i="4"/>
  <c r="AW646" i="4"/>
  <c r="AX646" i="4"/>
  <c r="AO647" i="4"/>
  <c r="AQ647" i="4" s="1"/>
  <c r="AP647" i="4"/>
  <c r="AR647" i="4"/>
  <c r="AZ647" i="4" s="1"/>
  <c r="AS647" i="4"/>
  <c r="AT647" i="4"/>
  <c r="AU647" i="4"/>
  <c r="AV647" i="4"/>
  <c r="AW647" i="4"/>
  <c r="AX647" i="4"/>
  <c r="AO648" i="4"/>
  <c r="AQ648" i="4" s="1"/>
  <c r="AP648" i="4"/>
  <c r="AR648" i="4"/>
  <c r="AZ648" i="4" s="1"/>
  <c r="AS648" i="4"/>
  <c r="AT648" i="4"/>
  <c r="AU648" i="4"/>
  <c r="AV648" i="4"/>
  <c r="AW648" i="4"/>
  <c r="AX648" i="4"/>
  <c r="AO649" i="4"/>
  <c r="AQ649" i="4" s="1"/>
  <c r="AP649" i="4"/>
  <c r="AR649" i="4"/>
  <c r="AS649" i="4"/>
  <c r="AT649" i="4"/>
  <c r="AU649" i="4"/>
  <c r="AV649" i="4"/>
  <c r="AW649" i="4"/>
  <c r="AX649" i="4"/>
  <c r="AZ649" i="4"/>
  <c r="AO650" i="4"/>
  <c r="AP650" i="4"/>
  <c r="AQ650" i="4"/>
  <c r="AR650" i="4"/>
  <c r="AZ650" i="4" s="1"/>
  <c r="AS650" i="4"/>
  <c r="AT650" i="4"/>
  <c r="AU650" i="4"/>
  <c r="AV650" i="4"/>
  <c r="AW650" i="4"/>
  <c r="AX650" i="4"/>
  <c r="AO651" i="4"/>
  <c r="AQ651" i="4" s="1"/>
  <c r="AP651" i="4"/>
  <c r="AR651" i="4"/>
  <c r="AZ651" i="4" s="1"/>
  <c r="AS651" i="4"/>
  <c r="AT651" i="4"/>
  <c r="AU651" i="4"/>
  <c r="AV651" i="4"/>
  <c r="AW651" i="4"/>
  <c r="AX651" i="4"/>
  <c r="AO652" i="4"/>
  <c r="AQ652" i="4" s="1"/>
  <c r="AP652" i="4"/>
  <c r="AR652" i="4"/>
  <c r="AZ652" i="4" s="1"/>
  <c r="AS652" i="4"/>
  <c r="AT652" i="4"/>
  <c r="AU652" i="4"/>
  <c r="AV652" i="4"/>
  <c r="AW652" i="4"/>
  <c r="AX652" i="4"/>
  <c r="AO653" i="4"/>
  <c r="AQ653" i="4" s="1"/>
  <c r="AP653" i="4"/>
  <c r="AR653" i="4"/>
  <c r="AS653" i="4"/>
  <c r="AT653" i="4"/>
  <c r="AU653" i="4"/>
  <c r="AV653" i="4"/>
  <c r="AW653" i="4"/>
  <c r="AX653" i="4"/>
  <c r="AZ653" i="4"/>
  <c r="AO654" i="4"/>
  <c r="AQ654" i="4" s="1"/>
  <c r="AP654" i="4"/>
  <c r="AR654" i="4"/>
  <c r="AZ654" i="4" s="1"/>
  <c r="AS654" i="4"/>
  <c r="AT654" i="4"/>
  <c r="AU654" i="4"/>
  <c r="AV654" i="4"/>
  <c r="AW654" i="4"/>
  <c r="AX654" i="4"/>
  <c r="AO655" i="4"/>
  <c r="AQ655" i="4" s="1"/>
  <c r="AP655" i="4"/>
  <c r="AR655" i="4"/>
  <c r="AZ655" i="4" s="1"/>
  <c r="AS655" i="4"/>
  <c r="AT655" i="4"/>
  <c r="AU655" i="4"/>
  <c r="AV655" i="4"/>
  <c r="AW655" i="4"/>
  <c r="AX655" i="4"/>
  <c r="AO656" i="4"/>
  <c r="AQ656" i="4" s="1"/>
  <c r="AP656" i="4"/>
  <c r="AR656" i="4"/>
  <c r="AZ656" i="4" s="1"/>
  <c r="AS656" i="4"/>
  <c r="AT656" i="4"/>
  <c r="AU656" i="4"/>
  <c r="AV656" i="4"/>
  <c r="AW656" i="4"/>
  <c r="AX656" i="4"/>
  <c r="AO657" i="4"/>
  <c r="AQ657" i="4" s="1"/>
  <c r="AP657" i="4"/>
  <c r="AR657" i="4"/>
  <c r="AS657" i="4"/>
  <c r="AT657" i="4"/>
  <c r="AU657" i="4"/>
  <c r="AV657" i="4"/>
  <c r="AW657" i="4"/>
  <c r="AX657" i="4"/>
  <c r="AZ657" i="4"/>
  <c r="AO658" i="4"/>
  <c r="AP658" i="4"/>
  <c r="AQ658" i="4"/>
  <c r="AR658" i="4"/>
  <c r="AZ658" i="4" s="1"/>
  <c r="AS658" i="4"/>
  <c r="AT658" i="4"/>
  <c r="AU658" i="4"/>
  <c r="AV658" i="4"/>
  <c r="AW658" i="4"/>
  <c r="AX658" i="4"/>
  <c r="AO659" i="4"/>
  <c r="AQ659" i="4" s="1"/>
  <c r="AP659" i="4"/>
  <c r="AR659" i="4"/>
  <c r="AZ659" i="4" s="1"/>
  <c r="AS659" i="4"/>
  <c r="AT659" i="4"/>
  <c r="AU659" i="4"/>
  <c r="AV659" i="4"/>
  <c r="AW659" i="4"/>
  <c r="AX659" i="4"/>
  <c r="AO660" i="4"/>
  <c r="AQ660" i="4" s="1"/>
  <c r="AP660" i="4"/>
  <c r="AR660" i="4"/>
  <c r="AZ660" i="4" s="1"/>
  <c r="AS660" i="4"/>
  <c r="AT660" i="4"/>
  <c r="AU660" i="4"/>
  <c r="AV660" i="4"/>
  <c r="AW660" i="4"/>
  <c r="AX660" i="4"/>
  <c r="AO661" i="4"/>
  <c r="AQ661" i="4" s="1"/>
  <c r="AP661" i="4"/>
  <c r="AR661" i="4"/>
  <c r="AZ661" i="4" s="1"/>
  <c r="AS661" i="4"/>
  <c r="AT661" i="4"/>
  <c r="AU661" i="4"/>
  <c r="AV661" i="4"/>
  <c r="AW661" i="4"/>
  <c r="AX661" i="4"/>
  <c r="AO662" i="4"/>
  <c r="AQ662" i="4" s="1"/>
  <c r="AP662" i="4"/>
  <c r="AR662" i="4"/>
  <c r="AZ662" i="4" s="1"/>
  <c r="AS662" i="4"/>
  <c r="AT662" i="4"/>
  <c r="AU662" i="4"/>
  <c r="AV662" i="4"/>
  <c r="AW662" i="4"/>
  <c r="AX662" i="4"/>
  <c r="K2" i="32" l="1"/>
  <c r="B4" i="28" l="1"/>
  <c r="A22" i="31" l="1"/>
  <c r="B3" i="31"/>
  <c r="A22" i="28" l="1"/>
  <c r="D6" i="13" l="1"/>
  <c r="C6" i="13"/>
  <c r="AX2" i="7" l="1"/>
  <c r="AX21" i="7" s="1"/>
  <c r="AX20" i="7"/>
  <c r="AX19" i="7"/>
  <c r="AX18" i="7"/>
  <c r="AX17" i="7"/>
  <c r="AX16" i="7"/>
  <c r="AX15" i="7"/>
  <c r="AX14" i="7"/>
  <c r="AX13" i="7"/>
  <c r="AX12" i="7"/>
  <c r="AX11" i="7"/>
  <c r="AX81" i="7" l="1"/>
  <c r="AX172" i="7"/>
  <c r="AX168" i="7"/>
  <c r="AX164" i="7"/>
  <c r="AX155" i="7"/>
  <c r="AX151" i="7"/>
  <c r="AX147" i="7"/>
  <c r="AX143" i="7"/>
  <c r="AX139" i="7"/>
  <c r="AX135" i="7"/>
  <c r="AX131" i="7"/>
  <c r="AX127" i="7"/>
  <c r="AX123" i="7"/>
  <c r="AX119" i="7"/>
  <c r="AX113" i="7"/>
  <c r="AX171" i="7"/>
  <c r="AX167" i="7"/>
  <c r="AX163" i="7"/>
  <c r="AX154" i="7"/>
  <c r="AX150" i="7"/>
  <c r="AX146" i="7"/>
  <c r="AX142" i="7"/>
  <c r="AX138" i="7"/>
  <c r="AX134" i="7"/>
  <c r="AX130" i="7"/>
  <c r="AX126" i="7"/>
  <c r="AX122" i="7"/>
  <c r="AX118" i="7"/>
  <c r="AX170" i="7"/>
  <c r="AX166" i="7"/>
  <c r="AX162" i="7"/>
  <c r="AX153" i="7"/>
  <c r="AX149" i="7"/>
  <c r="AX145" i="7"/>
  <c r="AX141" i="7"/>
  <c r="AX137" i="7"/>
  <c r="AX133" i="7"/>
  <c r="AX129" i="7"/>
  <c r="AX125" i="7"/>
  <c r="AX121" i="7"/>
  <c r="AX116" i="7"/>
  <c r="AX169" i="7"/>
  <c r="AX165" i="7"/>
  <c r="AX156" i="7"/>
  <c r="AX152" i="7"/>
  <c r="AX148" i="7"/>
  <c r="AX144" i="7"/>
  <c r="AX140" i="7"/>
  <c r="AX136" i="7"/>
  <c r="AX132" i="7"/>
  <c r="AX128" i="7"/>
  <c r="AX124" i="7"/>
  <c r="AX120" i="7"/>
  <c r="AX114" i="7"/>
  <c r="AX112" i="7"/>
  <c r="AX110" i="7"/>
  <c r="AX106" i="7"/>
  <c r="AX83" i="7"/>
  <c r="AX8" i="7"/>
  <c r="AX5" i="7"/>
  <c r="AX111" i="7"/>
  <c r="AX104" i="7"/>
  <c r="AX7" i="7"/>
  <c r="AX107" i="7"/>
  <c r="AX10" i="7"/>
  <c r="AX109" i="7"/>
  <c r="AX105" i="7"/>
  <c r="AX22" i="7"/>
  <c r="AX9" i="7"/>
  <c r="AX3" i="7"/>
  <c r="AX108" i="7"/>
  <c r="AX4" i="7"/>
  <c r="AX84" i="7"/>
  <c r="AX6" i="7"/>
  <c r="AX82" i="7"/>
  <c r="G1" i="23" l="1"/>
  <c r="B4" i="30" l="1"/>
  <c r="A22" i="29"/>
  <c r="A22" i="30"/>
  <c r="B22" i="29" l="1"/>
  <c r="AT2" i="4" l="1"/>
  <c r="C32" i="13" l="1"/>
  <c r="BB116" i="7"/>
  <c r="AU116" i="7"/>
  <c r="AR116" i="7"/>
  <c r="AO116" i="7"/>
  <c r="AL116" i="7"/>
  <c r="AI116" i="7"/>
  <c r="AC116" i="7"/>
  <c r="Z116" i="7"/>
  <c r="W116" i="7"/>
  <c r="T116" i="7"/>
  <c r="Q116" i="7"/>
  <c r="N116" i="7"/>
  <c r="B116" i="7"/>
  <c r="BB22" i="7"/>
  <c r="AU22" i="7"/>
  <c r="AR22" i="7"/>
  <c r="AO22" i="7"/>
  <c r="AL22" i="7"/>
  <c r="AI22" i="7"/>
  <c r="AC22" i="7"/>
  <c r="Z22" i="7"/>
  <c r="W22" i="7"/>
  <c r="T22" i="7"/>
  <c r="Q22" i="7"/>
  <c r="N22" i="7"/>
  <c r="K22" i="7"/>
  <c r="B22" i="7"/>
  <c r="BB21" i="7"/>
  <c r="AU21" i="7"/>
  <c r="AR21" i="7"/>
  <c r="AO21" i="7"/>
  <c r="AL21" i="7"/>
  <c r="AI21" i="7"/>
  <c r="AC21" i="7"/>
  <c r="Z21" i="7"/>
  <c r="W21" i="7"/>
  <c r="T21" i="7"/>
  <c r="Q21" i="7"/>
  <c r="N21" i="7"/>
  <c r="K21" i="7"/>
  <c r="B21" i="7"/>
  <c r="AO2" i="4" l="1"/>
  <c r="AQ2" i="4" s="1"/>
  <c r="AP2" i="4"/>
  <c r="AR2" i="4"/>
  <c r="AS2" i="4"/>
  <c r="AU2" i="4"/>
  <c r="AV2" i="4"/>
  <c r="AW2" i="4"/>
  <c r="BJ171" i="7" l="1"/>
  <c r="BJ165" i="7"/>
  <c r="BJ162" i="7"/>
  <c r="BJ155" i="7"/>
  <c r="BJ153" i="7"/>
  <c r="BJ151" i="7"/>
  <c r="BJ149" i="7"/>
  <c r="BJ147" i="7"/>
  <c r="BJ145" i="7"/>
  <c r="BJ143" i="7"/>
  <c r="BJ141" i="7"/>
  <c r="BJ139" i="7"/>
  <c r="BJ137" i="7"/>
  <c r="BJ135" i="7"/>
  <c r="BJ133" i="7"/>
  <c r="BJ131" i="7"/>
  <c r="BJ129" i="7"/>
  <c r="BJ127" i="7"/>
  <c r="BJ125" i="7"/>
  <c r="BJ123" i="7"/>
  <c r="BJ121" i="7"/>
  <c r="BJ119" i="7"/>
  <c r="BJ117" i="7"/>
  <c r="BJ115" i="7"/>
  <c r="BJ113" i="7"/>
  <c r="BJ111" i="7"/>
  <c r="BJ109" i="7"/>
  <c r="BJ107" i="7"/>
  <c r="BJ105" i="7"/>
  <c r="BJ103" i="7"/>
  <c r="BJ101" i="7"/>
  <c r="BJ99" i="7"/>
  <c r="BJ97" i="7"/>
  <c r="BJ95" i="7"/>
  <c r="BJ93" i="7"/>
  <c r="BJ91" i="7"/>
  <c r="BJ89" i="7"/>
  <c r="BJ87" i="7"/>
  <c r="BJ85" i="7"/>
  <c r="BJ83" i="7"/>
  <c r="BJ81" i="7"/>
  <c r="BJ79" i="7"/>
  <c r="BJ77" i="7"/>
  <c r="BJ75" i="7"/>
  <c r="BJ73" i="7"/>
  <c r="BJ71" i="7"/>
  <c r="BJ69" i="7"/>
  <c r="BJ67" i="7"/>
  <c r="BJ65" i="7"/>
  <c r="BJ63" i="7"/>
  <c r="BJ61" i="7"/>
  <c r="BJ59" i="7"/>
  <c r="BJ57" i="7"/>
  <c r="BJ55" i="7"/>
  <c r="BJ53" i="7"/>
  <c r="BJ51" i="7"/>
  <c r="BJ49" i="7"/>
  <c r="BJ47" i="7"/>
  <c r="BJ45" i="7"/>
  <c r="BJ43" i="7"/>
  <c r="BJ41" i="7"/>
  <c r="BJ39" i="7"/>
  <c r="BJ37" i="7"/>
  <c r="BJ35" i="7"/>
  <c r="BJ33" i="7"/>
  <c r="BJ31" i="7"/>
  <c r="BJ29" i="7"/>
  <c r="BJ27" i="7"/>
  <c r="BJ25" i="7"/>
  <c r="BJ23" i="7"/>
  <c r="BJ21" i="7"/>
  <c r="BJ19" i="7"/>
  <c r="BJ17" i="7"/>
  <c r="BJ15" i="7"/>
  <c r="BJ13" i="7"/>
  <c r="BJ11" i="7"/>
  <c r="BJ9" i="7"/>
  <c r="BD171" i="7"/>
  <c r="BD165" i="7"/>
  <c r="BD162" i="7"/>
  <c r="BD155" i="7"/>
  <c r="BD153" i="7"/>
  <c r="BD151" i="7"/>
  <c r="BD149" i="7"/>
  <c r="BD147" i="7"/>
  <c r="BD145" i="7"/>
  <c r="BD143" i="7"/>
  <c r="BD141" i="7"/>
  <c r="BD139" i="7"/>
  <c r="BD137" i="7"/>
  <c r="BD135" i="7"/>
  <c r="BD133" i="7"/>
  <c r="BD131" i="7"/>
  <c r="BD129" i="7"/>
  <c r="BD127" i="7"/>
  <c r="BD125" i="7"/>
  <c r="BD123" i="7"/>
  <c r="BD121" i="7"/>
  <c r="BD119" i="7"/>
  <c r="BD117" i="7"/>
  <c r="BD115" i="7"/>
  <c r="BD113" i="7"/>
  <c r="BD111" i="7"/>
  <c r="BD109" i="7"/>
  <c r="BD107" i="7"/>
  <c r="BD105" i="7"/>
  <c r="BD103" i="7"/>
  <c r="BD101" i="7"/>
  <c r="BD99" i="7"/>
  <c r="BD97" i="7"/>
  <c r="BD95" i="7"/>
  <c r="BD93" i="7"/>
  <c r="BD91" i="7"/>
  <c r="BD89" i="7"/>
  <c r="BD87" i="7"/>
  <c r="BD85" i="7"/>
  <c r="BD83" i="7"/>
  <c r="BD81" i="7"/>
  <c r="BD79" i="7"/>
  <c r="BD77" i="7"/>
  <c r="BD75" i="7"/>
  <c r="BD73" i="7"/>
  <c r="BD71" i="7"/>
  <c r="BD69" i="7"/>
  <c r="BD67" i="7"/>
  <c r="BD65" i="7"/>
  <c r="BD63" i="7"/>
  <c r="BD61" i="7"/>
  <c r="BD59" i="7"/>
  <c r="BD57" i="7"/>
  <c r="BD55" i="7"/>
  <c r="BD53" i="7"/>
  <c r="BD51" i="7"/>
  <c r="BD49" i="7"/>
  <c r="BD47" i="7"/>
  <c r="BD45" i="7"/>
  <c r="BD43" i="7"/>
  <c r="BD41" i="7"/>
  <c r="BD39" i="7"/>
  <c r="BD37" i="7"/>
  <c r="BD35" i="7"/>
  <c r="BD33" i="7"/>
  <c r="BD31" i="7"/>
  <c r="BD29" i="7"/>
  <c r="BD27" i="7"/>
  <c r="BD25" i="7"/>
  <c r="BD23" i="7"/>
  <c r="BD21" i="7"/>
  <c r="BD19" i="7"/>
  <c r="BD17" i="7"/>
  <c r="BD15" i="7"/>
  <c r="BD13" i="7"/>
  <c r="BD11" i="7"/>
  <c r="BD9" i="7"/>
  <c r="BD7" i="7"/>
  <c r="BD5" i="7"/>
  <c r="BD3" i="7"/>
  <c r="BJ169" i="7"/>
  <c r="BD158" i="7"/>
  <c r="BJ30" i="7"/>
  <c r="BJ26" i="7"/>
  <c r="BJ22" i="7"/>
  <c r="BJ170" i="7"/>
  <c r="BJ163" i="7"/>
  <c r="BJ156" i="7"/>
  <c r="BJ154" i="7"/>
  <c r="BJ152" i="7"/>
  <c r="BJ150" i="7"/>
  <c r="BJ148" i="7"/>
  <c r="BJ146" i="7"/>
  <c r="BJ144" i="7"/>
  <c r="BJ142" i="7"/>
  <c r="BJ140" i="7"/>
  <c r="BJ138" i="7"/>
  <c r="BJ136" i="7"/>
  <c r="BJ134" i="7"/>
  <c r="BJ132" i="7"/>
  <c r="BJ130" i="7"/>
  <c r="BJ128" i="7"/>
  <c r="BJ126" i="7"/>
  <c r="BJ124" i="7"/>
  <c r="BJ122" i="7"/>
  <c r="BJ120" i="7"/>
  <c r="BJ118" i="7"/>
  <c r="BJ116" i="7"/>
  <c r="BJ114" i="7"/>
  <c r="BJ112" i="7"/>
  <c r="BJ110" i="7"/>
  <c r="BJ108" i="7"/>
  <c r="BJ106" i="7"/>
  <c r="BJ104" i="7"/>
  <c r="BJ102" i="7"/>
  <c r="BJ100" i="7"/>
  <c r="BJ98" i="7"/>
  <c r="BJ96" i="7"/>
  <c r="BJ94" i="7"/>
  <c r="BJ92" i="7"/>
  <c r="BJ90" i="7"/>
  <c r="BJ88" i="7"/>
  <c r="BJ86" i="7"/>
  <c r="BJ84" i="7"/>
  <c r="BJ82" i="7"/>
  <c r="BJ80" i="7"/>
  <c r="BJ78" i="7"/>
  <c r="BJ76" i="7"/>
  <c r="BJ74" i="7"/>
  <c r="BJ72" i="7"/>
  <c r="BJ70" i="7"/>
  <c r="BJ68" i="7"/>
  <c r="BJ66" i="7"/>
  <c r="BJ64" i="7"/>
  <c r="BJ62" i="7"/>
  <c r="BJ60" i="7"/>
  <c r="BJ58" i="7"/>
  <c r="BJ56" i="7"/>
  <c r="BJ54" i="7"/>
  <c r="BJ52" i="7"/>
  <c r="BJ50" i="7"/>
  <c r="BJ48" i="7"/>
  <c r="BJ46" i="7"/>
  <c r="BJ44" i="7"/>
  <c r="BJ42" i="7"/>
  <c r="BJ40" i="7"/>
  <c r="BJ38" i="7"/>
  <c r="BJ36" i="7"/>
  <c r="BJ34" i="7"/>
  <c r="BJ32" i="7"/>
  <c r="BJ28" i="7"/>
  <c r="BJ24" i="7"/>
  <c r="BJ20" i="7"/>
  <c r="BD170" i="7"/>
  <c r="BD163" i="7"/>
  <c r="BD156" i="7"/>
  <c r="BD154" i="7"/>
  <c r="BD152" i="7"/>
  <c r="BD150" i="7"/>
  <c r="BD148" i="7"/>
  <c r="BD146" i="7"/>
  <c r="BD144" i="7"/>
  <c r="BD142" i="7"/>
  <c r="BD140" i="7"/>
  <c r="BD138" i="7"/>
  <c r="BD136" i="7"/>
  <c r="BD134" i="7"/>
  <c r="BD132" i="7"/>
  <c r="BD130" i="7"/>
  <c r="BD128" i="7"/>
  <c r="BD126" i="7"/>
  <c r="BD124" i="7"/>
  <c r="BD122" i="7"/>
  <c r="BD120" i="7"/>
  <c r="BD118" i="7"/>
  <c r="BD116" i="7"/>
  <c r="BD114" i="7"/>
  <c r="BD112" i="7"/>
  <c r="BD110" i="7"/>
  <c r="BD108" i="7"/>
  <c r="BD106" i="7"/>
  <c r="BD104" i="7"/>
  <c r="BD102" i="7"/>
  <c r="BD100" i="7"/>
  <c r="BD98" i="7"/>
  <c r="BD96" i="7"/>
  <c r="BD94" i="7"/>
  <c r="BD92" i="7"/>
  <c r="BD90" i="7"/>
  <c r="BD88" i="7"/>
  <c r="BD86" i="7"/>
  <c r="BD84" i="7"/>
  <c r="BD82" i="7"/>
  <c r="BD80" i="7"/>
  <c r="BD78" i="7"/>
  <c r="BD76" i="7"/>
  <c r="BD74" i="7"/>
  <c r="BD72" i="7"/>
  <c r="BD70" i="7"/>
  <c r="BD68" i="7"/>
  <c r="BD66" i="7"/>
  <c r="BD64" i="7"/>
  <c r="BD62" i="7"/>
  <c r="BD60" i="7"/>
  <c r="BD58" i="7"/>
  <c r="BD56" i="7"/>
  <c r="BD54" i="7"/>
  <c r="BD52" i="7"/>
  <c r="BD50" i="7"/>
  <c r="BD48" i="7"/>
  <c r="BD46" i="7"/>
  <c r="BD44" i="7"/>
  <c r="BD42" i="7"/>
  <c r="BD40" i="7"/>
  <c r="BD38" i="7"/>
  <c r="BD36" i="7"/>
  <c r="BD34" i="7"/>
  <c r="BD32" i="7"/>
  <c r="BD30" i="7"/>
  <c r="BD28" i="7"/>
  <c r="BD26" i="7"/>
  <c r="BD24" i="7"/>
  <c r="BD22" i="7"/>
  <c r="BD20" i="7"/>
  <c r="BD18" i="7"/>
  <c r="BD16" i="7"/>
  <c r="BD14" i="7"/>
  <c r="BD12" i="7"/>
  <c r="BD10" i="7"/>
  <c r="BD8" i="7"/>
  <c r="BD6" i="7"/>
  <c r="BD4" i="7"/>
  <c r="BD164" i="7"/>
  <c r="BJ167" i="7"/>
  <c r="BJ159" i="7"/>
  <c r="BJ7" i="7"/>
  <c r="BJ18" i="7"/>
  <c r="BJ10" i="7"/>
  <c r="BJ4" i="7"/>
  <c r="BD166" i="7"/>
  <c r="BJ16" i="7"/>
  <c r="BJ8" i="7"/>
  <c r="BJ3" i="7"/>
  <c r="BJ157" i="7"/>
  <c r="BJ14" i="7"/>
  <c r="BJ6" i="7"/>
  <c r="BD172" i="7"/>
  <c r="BJ161" i="7"/>
  <c r="BJ12" i="7"/>
  <c r="BJ5" i="7"/>
  <c r="BD168" i="7"/>
  <c r="BD160" i="7"/>
  <c r="BJ158" i="7"/>
  <c r="BJ168" i="7"/>
  <c r="BD161" i="7"/>
  <c r="BJ160" i="7"/>
  <c r="BJ172" i="7"/>
  <c r="BD167" i="7"/>
  <c r="BJ164" i="7"/>
  <c r="BD157" i="7"/>
  <c r="BD169" i="7"/>
  <c r="BJ166" i="7"/>
  <c r="BD159" i="7"/>
  <c r="F6" i="13"/>
  <c r="E6" i="13"/>
  <c r="L6" i="13" s="1"/>
  <c r="F32" i="13"/>
  <c r="E32" i="13"/>
  <c r="C5" i="13"/>
  <c r="D5" i="13"/>
  <c r="BK22" i="7" l="1"/>
  <c r="BK116" i="7"/>
  <c r="D32" i="13"/>
  <c r="L32" i="13" s="1"/>
  <c r="BK21" i="7"/>
  <c r="BB112" i="7"/>
  <c r="AR112" i="7"/>
  <c r="AO112" i="7"/>
  <c r="AL112" i="7"/>
  <c r="AI112" i="7"/>
  <c r="AC112" i="7"/>
  <c r="Z112" i="7"/>
  <c r="W112" i="7"/>
  <c r="Q112" i="7"/>
  <c r="N112" i="7"/>
  <c r="B112" i="7"/>
  <c r="BB33" i="7" l="1"/>
  <c r="AU33" i="7"/>
  <c r="AR33" i="7"/>
  <c r="AO33" i="7"/>
  <c r="AL33" i="7"/>
  <c r="AI33" i="7"/>
  <c r="AC33" i="7"/>
  <c r="Z33" i="7"/>
  <c r="W33" i="7"/>
  <c r="T33" i="7"/>
  <c r="Q33" i="7"/>
  <c r="N33" i="7"/>
  <c r="B33" i="7"/>
  <c r="E2" i="26" l="1"/>
  <c r="F2" i="26"/>
  <c r="D2" i="26"/>
  <c r="I2" i="26"/>
  <c r="C3" i="25"/>
  <c r="C4" i="25"/>
  <c r="C5" i="25"/>
  <c r="C6" i="25"/>
  <c r="C7" i="25"/>
  <c r="C8" i="25"/>
  <c r="C9" i="25"/>
  <c r="C10" i="25"/>
  <c r="C2" i="25"/>
  <c r="D4" i="13" l="1"/>
  <c r="D7" i="13" l="1"/>
  <c r="E1" i="23" l="1"/>
  <c r="C1" i="23"/>
  <c r="F195" i="14" l="1"/>
  <c r="E195" i="14"/>
  <c r="F193" i="14"/>
  <c r="E193" i="14"/>
  <c r="F15" i="14"/>
  <c r="E15" i="14"/>
  <c r="F14" i="14"/>
  <c r="E14" i="14"/>
  <c r="F11" i="14"/>
  <c r="E11" i="14"/>
  <c r="F10" i="14"/>
  <c r="E10" i="14"/>
  <c r="BB110" i="7" l="1"/>
  <c r="AU110" i="7"/>
  <c r="AR110" i="7"/>
  <c r="AO110" i="7"/>
  <c r="AL110" i="7"/>
  <c r="AC110" i="7"/>
  <c r="Z110" i="7"/>
  <c r="W110" i="7"/>
  <c r="T110" i="7"/>
  <c r="Q110" i="7"/>
  <c r="N110" i="7"/>
  <c r="B110" i="7"/>
  <c r="AZ2" i="4" l="1"/>
  <c r="B3" i="33" s="1"/>
  <c r="D41" i="13"/>
  <c r="C41" i="13"/>
  <c r="C40" i="13"/>
  <c r="BB84" i="7"/>
  <c r="AU84" i="7"/>
  <c r="AR84" i="7"/>
  <c r="AO84" i="7"/>
  <c r="AL84" i="7"/>
  <c r="AI84" i="7"/>
  <c r="AF84" i="7"/>
  <c r="AC84" i="7"/>
  <c r="Z84" i="7"/>
  <c r="W84" i="7"/>
  <c r="T84" i="7"/>
  <c r="Q84" i="7"/>
  <c r="N84" i="7"/>
  <c r="B84" i="7"/>
  <c r="C43" i="13" l="1"/>
  <c r="C44" i="13"/>
  <c r="C45" i="13"/>
  <c r="D45" i="13"/>
  <c r="BB44" i="7" l="1"/>
  <c r="AU44" i="7"/>
  <c r="AR44" i="7"/>
  <c r="AO44" i="7"/>
  <c r="AL44" i="7"/>
  <c r="AI44" i="7"/>
  <c r="AF44" i="7"/>
  <c r="AC44" i="7"/>
  <c r="Z44" i="7"/>
  <c r="W44" i="7"/>
  <c r="T44" i="7"/>
  <c r="Q44" i="7"/>
  <c r="N44" i="7"/>
  <c r="K44" i="7"/>
  <c r="B44" i="7"/>
  <c r="BB43" i="7"/>
  <c r="AU43" i="7"/>
  <c r="AR43" i="7"/>
  <c r="AO43" i="7"/>
  <c r="AL43" i="7"/>
  <c r="AI43" i="7"/>
  <c r="AC43" i="7"/>
  <c r="Z43" i="7"/>
  <c r="W43" i="7"/>
  <c r="T43" i="7"/>
  <c r="Q43" i="7"/>
  <c r="N43" i="7"/>
  <c r="B43" i="7"/>
  <c r="E5" i="13" l="1"/>
  <c r="L5" i="13" s="1"/>
  <c r="F5" i="13"/>
  <c r="C3" i="22"/>
  <c r="E8" i="24"/>
  <c r="E7" i="24"/>
  <c r="E6" i="24"/>
  <c r="D3" i="24"/>
  <c r="E4" i="24"/>
  <c r="E3" i="24"/>
  <c r="E2" i="24"/>
  <c r="D7" i="24"/>
  <c r="D4" i="24"/>
  <c r="D5" i="24"/>
  <c r="D6" i="24"/>
  <c r="D8" i="24"/>
  <c r="D2" i="24"/>
  <c r="E5" i="24"/>
  <c r="F37" i="13"/>
  <c r="F20" i="13"/>
  <c r="F23" i="13"/>
  <c r="F11" i="13"/>
  <c r="F30" i="13"/>
  <c r="F14" i="13"/>
  <c r="F34" i="13"/>
  <c r="F17" i="13"/>
  <c r="F16" i="13"/>
  <c r="F27" i="13"/>
  <c r="F4" i="13"/>
  <c r="F33" i="13"/>
  <c r="F12" i="13"/>
  <c r="F15" i="13"/>
  <c r="F43" i="13"/>
  <c r="F26" i="13"/>
  <c r="F10" i="13"/>
  <c r="F29" i="13"/>
  <c r="F13" i="13"/>
  <c r="F8" i="13"/>
  <c r="F19" i="13"/>
  <c r="F45" i="13"/>
  <c r="F28" i="13"/>
  <c r="E2" i="13"/>
  <c r="F7" i="13"/>
  <c r="F39" i="13"/>
  <c r="F22" i="13"/>
  <c r="F42" i="13"/>
  <c r="F25" i="13"/>
  <c r="F9" i="13"/>
  <c r="F40" i="13"/>
  <c r="F3" i="13"/>
  <c r="F41" i="13"/>
  <c r="F24" i="13"/>
  <c r="F36" i="13"/>
  <c r="F44" i="13"/>
  <c r="F35" i="13"/>
  <c r="F18" i="13"/>
  <c r="F38" i="13"/>
  <c r="F21" i="13"/>
  <c r="F2" i="13"/>
  <c r="F31" i="13"/>
  <c r="C2" i="22"/>
  <c r="D3" i="22" s="1"/>
  <c r="C57" i="19"/>
  <c r="C56" i="19"/>
  <c r="C55" i="19"/>
  <c r="C53" i="19"/>
  <c r="C52" i="19"/>
  <c r="C51" i="19"/>
  <c r="C41" i="19"/>
  <c r="C40" i="19"/>
  <c r="C39" i="19"/>
  <c r="C37" i="19"/>
  <c r="C36" i="19"/>
  <c r="C35" i="19"/>
  <c r="C49" i="19"/>
  <c r="C48" i="19"/>
  <c r="C47" i="19"/>
  <c r="C45" i="19"/>
  <c r="C44" i="19"/>
  <c r="C43" i="19"/>
  <c r="C32" i="19"/>
  <c r="C31" i="19"/>
  <c r="C30" i="19"/>
  <c r="C28" i="19"/>
  <c r="C27" i="19"/>
  <c r="C26" i="19"/>
  <c r="C24" i="19"/>
  <c r="C23" i="19"/>
  <c r="C22" i="19"/>
  <c r="C19" i="19"/>
  <c r="C18" i="19"/>
  <c r="C17" i="19"/>
  <c r="A62" i="19"/>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21" i="19" s="1"/>
  <c r="A122" i="19" s="1"/>
  <c r="A123" i="19" s="1"/>
  <c r="A124" i="19" s="1"/>
  <c r="A125" i="19" s="1"/>
  <c r="A126" i="19" s="1"/>
  <c r="A127" i="19" s="1"/>
  <c r="A128" i="19" s="1"/>
  <c r="A129" i="19" s="1"/>
  <c r="A130" i="19" s="1"/>
  <c r="A131" i="19" s="1"/>
  <c r="A132" i="19" s="1"/>
  <c r="A133" i="19" s="1"/>
  <c r="A134" i="19" s="1"/>
  <c r="A135" i="19" s="1"/>
  <c r="A136" i="19" s="1"/>
  <c r="A137" i="19" s="1"/>
  <c r="A138" i="19" s="1"/>
  <c r="A139" i="19" s="1"/>
  <c r="A140" i="19" s="1"/>
  <c r="A141" i="19" s="1"/>
  <c r="A142" i="19" s="1"/>
  <c r="A143" i="19" s="1"/>
  <c r="A144" i="19" s="1"/>
  <c r="A145" i="19" s="1"/>
  <c r="A146" i="19" s="1"/>
  <c r="A147" i="19" s="1"/>
  <c r="A148" i="19" s="1"/>
  <c r="A149" i="19" s="1"/>
  <c r="A154" i="19" s="1"/>
  <c r="A155" i="19" s="1"/>
  <c r="A156" i="19" s="1"/>
  <c r="A157" i="19" s="1"/>
  <c r="A158" i="19" s="1"/>
  <c r="A159" i="19" s="1"/>
  <c r="A160" i="19" s="1"/>
  <c r="A161" i="19" s="1"/>
  <c r="A162" i="19" s="1"/>
  <c r="A163" i="19" s="1"/>
  <c r="A164" i="19" s="1"/>
  <c r="A165" i="19" s="1"/>
  <c r="A166" i="19" s="1"/>
  <c r="A167" i="19" s="1"/>
  <c r="A168" i="19" s="1"/>
  <c r="A169" i="19" s="1"/>
  <c r="A170" i="19" s="1"/>
  <c r="A171" i="19" s="1"/>
  <c r="A172" i="19" s="1"/>
  <c r="A173" i="19" s="1"/>
  <c r="A174" i="19" s="1"/>
  <c r="A175" i="19" s="1"/>
  <c r="A176" i="19" s="1"/>
  <c r="A177" i="19" s="1"/>
  <c r="A178" i="19" s="1"/>
  <c r="A179" i="19" s="1"/>
  <c r="A180" i="19" s="1"/>
  <c r="A181" i="19" s="1"/>
  <c r="A182" i="19" s="1"/>
  <c r="A183" i="19" s="1"/>
  <c r="A184" i="19" s="1"/>
  <c r="A185" i="19" s="1"/>
  <c r="A186" i="19" s="1"/>
  <c r="A187" i="19" s="1"/>
  <c r="BK112" i="7" l="1"/>
  <c r="D9" i="13"/>
  <c r="C5" i="22"/>
  <c r="D2" i="22"/>
  <c r="E2" i="22" s="1"/>
  <c r="BK33" i="7"/>
  <c r="BK110" i="7"/>
  <c r="I2" i="13"/>
  <c r="J2" i="13" s="1"/>
  <c r="E198" i="14"/>
  <c r="E13" i="14"/>
  <c r="E194" i="14"/>
  <c r="E62" i="14"/>
  <c r="D62" i="14"/>
  <c r="E197" i="14"/>
  <c r="E9" i="14"/>
  <c r="AU4" i="7"/>
  <c r="AU5" i="7"/>
  <c r="AU6" i="7"/>
  <c r="AU7" i="7"/>
  <c r="AU8" i="7"/>
  <c r="AU9" i="7"/>
  <c r="AU10" i="7"/>
  <c r="AU11" i="7"/>
  <c r="AU12" i="7"/>
  <c r="AU13" i="7"/>
  <c r="AU14" i="7"/>
  <c r="AU15" i="7"/>
  <c r="AU16" i="7"/>
  <c r="AU17" i="7"/>
  <c r="AU18" i="7"/>
  <c r="AU19" i="7"/>
  <c r="AU20" i="7"/>
  <c r="AU23" i="7"/>
  <c r="AU24" i="7"/>
  <c r="AU25" i="7"/>
  <c r="AU26" i="7"/>
  <c r="AU27" i="7"/>
  <c r="AU28" i="7"/>
  <c r="AU29" i="7"/>
  <c r="AU30" i="7"/>
  <c r="AU31" i="7"/>
  <c r="AU32" i="7"/>
  <c r="AU34" i="7"/>
  <c r="AU35" i="7"/>
  <c r="AU36" i="7"/>
  <c r="AU37" i="7"/>
  <c r="AU38" i="7"/>
  <c r="AU39" i="7"/>
  <c r="AU40" i="7"/>
  <c r="AU41" i="7"/>
  <c r="AU42" i="7"/>
  <c r="AU45" i="7"/>
  <c r="AU46" i="7"/>
  <c r="AU47" i="7"/>
  <c r="AU48" i="7"/>
  <c r="AU49" i="7"/>
  <c r="AU50" i="7"/>
  <c r="AU51" i="7"/>
  <c r="AU52" i="7"/>
  <c r="AU53" i="7"/>
  <c r="AU54" i="7"/>
  <c r="AU55" i="7"/>
  <c r="AU56" i="7"/>
  <c r="AU57" i="7"/>
  <c r="AU58" i="7"/>
  <c r="AU59" i="7"/>
  <c r="AU60" i="7"/>
  <c r="AU61" i="7"/>
  <c r="AU62" i="7"/>
  <c r="AU63" i="7"/>
  <c r="AU64" i="7"/>
  <c r="AU65" i="7"/>
  <c r="AU66" i="7"/>
  <c r="AU67" i="7"/>
  <c r="AU68" i="7"/>
  <c r="AU69" i="7"/>
  <c r="AU70" i="7"/>
  <c r="AU71" i="7"/>
  <c r="AU72" i="7"/>
  <c r="AU73" i="7"/>
  <c r="AU74" i="7"/>
  <c r="AU75" i="7"/>
  <c r="AU76" i="7"/>
  <c r="AU77" i="7"/>
  <c r="AU78" i="7"/>
  <c r="AU79" i="7"/>
  <c r="AU80" i="7"/>
  <c r="AU81" i="7"/>
  <c r="AU82" i="7"/>
  <c r="AU83" i="7"/>
  <c r="AU85" i="7"/>
  <c r="AU86" i="7"/>
  <c r="AU87" i="7"/>
  <c r="AU88" i="7"/>
  <c r="AU89" i="7"/>
  <c r="AU90" i="7"/>
  <c r="AU91" i="7"/>
  <c r="AU92" i="7"/>
  <c r="AU93" i="7"/>
  <c r="AU94" i="7"/>
  <c r="AU95" i="7"/>
  <c r="AU96" i="7"/>
  <c r="AU97" i="7"/>
  <c r="AU98" i="7"/>
  <c r="AU99" i="7"/>
  <c r="AU100" i="7"/>
  <c r="AU101" i="7"/>
  <c r="AU102" i="7"/>
  <c r="AU103" i="7"/>
  <c r="AU104" i="7"/>
  <c r="AU105" i="7"/>
  <c r="AU106" i="7"/>
  <c r="AU107" i="7"/>
  <c r="AU108" i="7"/>
  <c r="AU109" i="7"/>
  <c r="AU111" i="7"/>
  <c r="AU115" i="7"/>
  <c r="AU117" i="7"/>
  <c r="AU118" i="7"/>
  <c r="AU119" i="7"/>
  <c r="AU120" i="7"/>
  <c r="AU121" i="7"/>
  <c r="AU122" i="7"/>
  <c r="AU123" i="7"/>
  <c r="AU124" i="7"/>
  <c r="AU125" i="7"/>
  <c r="AU126" i="7"/>
  <c r="AU127" i="7"/>
  <c r="AU128" i="7"/>
  <c r="AU129" i="7"/>
  <c r="AU130" i="7"/>
  <c r="AU131" i="7"/>
  <c r="AU132" i="7"/>
  <c r="AU133" i="7"/>
  <c r="AU134" i="7"/>
  <c r="AU135" i="7"/>
  <c r="AU136" i="7"/>
  <c r="AU137" i="7"/>
  <c r="AU138" i="7"/>
  <c r="AU139" i="7"/>
  <c r="AU140" i="7"/>
  <c r="AU141" i="7"/>
  <c r="AU142" i="7"/>
  <c r="AU143" i="7"/>
  <c r="AU144" i="7"/>
  <c r="AU145" i="7"/>
  <c r="AU146" i="7"/>
  <c r="AU147" i="7"/>
  <c r="AU148" i="7"/>
  <c r="AU149" i="7"/>
  <c r="AU150" i="7"/>
  <c r="AU151" i="7"/>
  <c r="AU152" i="7"/>
  <c r="AU153" i="7"/>
  <c r="AU154" i="7"/>
  <c r="AU155" i="7"/>
  <c r="AU156" i="7"/>
  <c r="AU157" i="7"/>
  <c r="AU158" i="7"/>
  <c r="AU159" i="7"/>
  <c r="AU160" i="7"/>
  <c r="AU161" i="7"/>
  <c r="AU162" i="7"/>
  <c r="AU163" i="7"/>
  <c r="AU164" i="7"/>
  <c r="AU165" i="7"/>
  <c r="AU166" i="7"/>
  <c r="AU167" i="7"/>
  <c r="AU168" i="7"/>
  <c r="AU169" i="7"/>
  <c r="AU170" i="7"/>
  <c r="AU171" i="7"/>
  <c r="AU172" i="7"/>
  <c r="AU2" i="7"/>
  <c r="AX2" i="4"/>
  <c r="C37" i="13"/>
  <c r="BB114" i="7"/>
  <c r="AR114" i="7"/>
  <c r="AO114" i="7"/>
  <c r="AL114" i="7"/>
  <c r="AI114" i="7"/>
  <c r="AC114" i="7"/>
  <c r="Z114" i="7"/>
  <c r="W114" i="7"/>
  <c r="Q114" i="7"/>
  <c r="N114" i="7"/>
  <c r="B114" i="7"/>
  <c r="BB113" i="7"/>
  <c r="AR113" i="7"/>
  <c r="AO113" i="7"/>
  <c r="AL113" i="7"/>
  <c r="AI113" i="7"/>
  <c r="AC113" i="7"/>
  <c r="Z113" i="7"/>
  <c r="W113" i="7"/>
  <c r="Q113" i="7"/>
  <c r="N113" i="7"/>
  <c r="B113" i="7"/>
  <c r="BB111" i="7"/>
  <c r="AR111" i="7"/>
  <c r="AO111" i="7"/>
  <c r="AL111" i="7"/>
  <c r="AI111" i="7"/>
  <c r="AC111" i="7"/>
  <c r="Z111" i="7"/>
  <c r="W111" i="7"/>
  <c r="Q111" i="7"/>
  <c r="N111" i="7"/>
  <c r="B111" i="7"/>
  <c r="E33" i="14" l="1"/>
  <c r="B2" i="23" s="1"/>
  <c r="C2" i="23" s="1"/>
  <c r="AU113" i="7"/>
  <c r="AU112" i="7"/>
  <c r="D5" i="22"/>
  <c r="I3" i="13"/>
  <c r="J3" i="13" s="1"/>
  <c r="C74" i="17"/>
  <c r="AU114" i="7"/>
  <c r="I4" i="13" l="1"/>
  <c r="B136" i="7"/>
  <c r="B4" i="7"/>
  <c r="B5" i="7"/>
  <c r="B6" i="7"/>
  <c r="B7" i="7"/>
  <c r="B8" i="7"/>
  <c r="B9" i="7"/>
  <c r="B10" i="7"/>
  <c r="B11" i="7"/>
  <c r="B12" i="7"/>
  <c r="B13" i="7"/>
  <c r="B14" i="7"/>
  <c r="B15" i="7"/>
  <c r="B16" i="7"/>
  <c r="B17" i="7"/>
  <c r="B18" i="7"/>
  <c r="B19" i="7"/>
  <c r="B20" i="7"/>
  <c r="B23" i="7"/>
  <c r="B24" i="7"/>
  <c r="B25" i="7"/>
  <c r="B26" i="7"/>
  <c r="B27" i="7"/>
  <c r="B28" i="7"/>
  <c r="B29" i="7"/>
  <c r="B30" i="7"/>
  <c r="B31" i="7"/>
  <c r="B32" i="7"/>
  <c r="B34" i="7"/>
  <c r="B35" i="7"/>
  <c r="B36" i="7"/>
  <c r="B37" i="7"/>
  <c r="B38" i="7"/>
  <c r="B39" i="7"/>
  <c r="B40" i="7"/>
  <c r="B41" i="7"/>
  <c r="B42"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5" i="7"/>
  <c r="B86" i="7"/>
  <c r="B87" i="7"/>
  <c r="B88" i="7"/>
  <c r="B89" i="7"/>
  <c r="B90" i="7"/>
  <c r="B91" i="7"/>
  <c r="B92" i="7"/>
  <c r="B93" i="7"/>
  <c r="B94" i="7"/>
  <c r="B95" i="7"/>
  <c r="B96" i="7"/>
  <c r="B97" i="7"/>
  <c r="B98" i="7"/>
  <c r="B99" i="7"/>
  <c r="B100" i="7"/>
  <c r="B101" i="7"/>
  <c r="B102" i="7"/>
  <c r="B103" i="7"/>
  <c r="B104" i="7"/>
  <c r="B105" i="7"/>
  <c r="B106" i="7"/>
  <c r="B107" i="7"/>
  <c r="B108" i="7"/>
  <c r="B109" i="7"/>
  <c r="B115" i="7"/>
  <c r="B117" i="7"/>
  <c r="B118" i="7"/>
  <c r="B119" i="7"/>
  <c r="B120" i="7"/>
  <c r="B121" i="7"/>
  <c r="B122" i="7"/>
  <c r="B123" i="7"/>
  <c r="B124" i="7"/>
  <c r="B125" i="7"/>
  <c r="B126" i="7"/>
  <c r="B127" i="7"/>
  <c r="B128" i="7"/>
  <c r="B129" i="7"/>
  <c r="B130" i="7"/>
  <c r="B131" i="7"/>
  <c r="B132" i="7"/>
  <c r="B133" i="7"/>
  <c r="B134" i="7"/>
  <c r="B135"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3" i="7"/>
  <c r="I5" i="13" l="1"/>
  <c r="I6" i="13" s="1"/>
  <c r="J4" i="13"/>
  <c r="BB45" i="7"/>
  <c r="AR45" i="7"/>
  <c r="AO45" i="7"/>
  <c r="AI45" i="7"/>
  <c r="Z45" i="7"/>
  <c r="W45" i="7"/>
  <c r="T45" i="7"/>
  <c r="Q45" i="7"/>
  <c r="N45" i="7"/>
  <c r="K45" i="7"/>
  <c r="BB46" i="7"/>
  <c r="AR46" i="7"/>
  <c r="AO46" i="7"/>
  <c r="AI46" i="7"/>
  <c r="AC46" i="7"/>
  <c r="Z46" i="7"/>
  <c r="W46" i="7"/>
  <c r="T46" i="7"/>
  <c r="Q46" i="7"/>
  <c r="N46" i="7"/>
  <c r="K46" i="7"/>
  <c r="J6" i="13" l="1"/>
  <c r="I7" i="13"/>
  <c r="J5" i="13"/>
  <c r="AR172" i="7"/>
  <c r="AR171" i="7"/>
  <c r="AR170" i="7"/>
  <c r="AR169" i="7"/>
  <c r="AR168" i="7"/>
  <c r="AR167" i="7"/>
  <c r="AR166" i="7"/>
  <c r="AR165" i="7"/>
  <c r="AR164" i="7"/>
  <c r="AR163" i="7"/>
  <c r="AR162" i="7"/>
  <c r="AR161" i="7"/>
  <c r="AR160" i="7"/>
  <c r="AR159" i="7"/>
  <c r="AR158" i="7"/>
  <c r="AR157" i="7"/>
  <c r="AR156" i="7"/>
  <c r="AR155" i="7"/>
  <c r="AR154" i="7"/>
  <c r="AR153" i="7"/>
  <c r="AR152" i="7"/>
  <c r="AR151" i="7"/>
  <c r="AR150" i="7"/>
  <c r="AR149" i="7"/>
  <c r="AR148" i="7"/>
  <c r="AR147" i="7"/>
  <c r="AR146" i="7"/>
  <c r="AR145" i="7"/>
  <c r="AR144" i="7"/>
  <c r="AR143" i="7"/>
  <c r="AR142" i="7"/>
  <c r="AR141" i="7"/>
  <c r="AR140" i="7"/>
  <c r="AR139" i="7"/>
  <c r="AR138" i="7"/>
  <c r="AR137" i="7"/>
  <c r="AR136" i="7"/>
  <c r="AR135" i="7"/>
  <c r="AR134" i="7"/>
  <c r="AR133" i="7"/>
  <c r="AR132" i="7"/>
  <c r="AR131" i="7"/>
  <c r="AR130" i="7"/>
  <c r="AR129" i="7"/>
  <c r="AR128" i="7"/>
  <c r="AR127" i="7"/>
  <c r="AR126" i="7"/>
  <c r="AR125" i="7"/>
  <c r="AR124" i="7"/>
  <c r="AR123" i="7"/>
  <c r="AR122" i="7"/>
  <c r="AR121" i="7"/>
  <c r="AR120" i="7"/>
  <c r="AR119" i="7"/>
  <c r="AR118" i="7"/>
  <c r="AR117" i="7"/>
  <c r="AR115" i="7"/>
  <c r="AR109" i="7"/>
  <c r="AR108" i="7"/>
  <c r="AR107" i="7"/>
  <c r="AR106" i="7"/>
  <c r="AR105" i="7"/>
  <c r="AR104" i="7"/>
  <c r="AR103" i="7"/>
  <c r="AR102" i="7"/>
  <c r="AR101" i="7"/>
  <c r="AR100" i="7"/>
  <c r="AR99" i="7"/>
  <c r="AR98" i="7"/>
  <c r="AR97" i="7"/>
  <c r="AR96" i="7"/>
  <c r="AR95" i="7"/>
  <c r="AR94" i="7"/>
  <c r="AR93" i="7"/>
  <c r="AR92" i="7"/>
  <c r="AR91" i="7"/>
  <c r="AR90" i="7"/>
  <c r="AR89" i="7"/>
  <c r="AR88" i="7"/>
  <c r="AR87" i="7"/>
  <c r="AR86" i="7"/>
  <c r="AR85" i="7"/>
  <c r="AR83" i="7"/>
  <c r="AR82" i="7"/>
  <c r="AR81" i="7"/>
  <c r="AR80" i="7"/>
  <c r="AR79" i="7"/>
  <c r="AR78" i="7"/>
  <c r="AR77" i="7"/>
  <c r="AR76" i="7"/>
  <c r="AR75" i="7"/>
  <c r="AR74" i="7"/>
  <c r="AR73" i="7"/>
  <c r="AR72" i="7"/>
  <c r="AR71" i="7"/>
  <c r="AR70" i="7"/>
  <c r="AR69" i="7"/>
  <c r="AR68" i="7"/>
  <c r="AR67" i="7"/>
  <c r="AR66" i="7"/>
  <c r="AR65" i="7"/>
  <c r="AR64" i="7"/>
  <c r="AR63" i="7"/>
  <c r="AR62" i="7"/>
  <c r="AR61" i="7"/>
  <c r="AR60" i="7"/>
  <c r="AR59" i="7"/>
  <c r="AR58" i="7"/>
  <c r="AR57" i="7"/>
  <c r="AR56" i="7"/>
  <c r="AR55" i="7"/>
  <c r="AR54" i="7"/>
  <c r="AR53" i="7"/>
  <c r="AR52" i="7"/>
  <c r="AR51" i="7"/>
  <c r="AR50" i="7"/>
  <c r="AR49" i="7"/>
  <c r="AR48" i="7"/>
  <c r="AR47" i="7"/>
  <c r="AR42" i="7"/>
  <c r="AR41" i="7"/>
  <c r="AR40" i="7"/>
  <c r="AR39" i="7"/>
  <c r="AR36" i="7"/>
  <c r="AR35" i="7"/>
  <c r="AR34" i="7"/>
  <c r="AR32" i="7"/>
  <c r="AR31" i="7"/>
  <c r="AR30" i="7"/>
  <c r="AR29" i="7"/>
  <c r="AR28" i="7"/>
  <c r="AR27" i="7"/>
  <c r="AR26" i="7"/>
  <c r="AR23" i="7"/>
  <c r="AR20" i="7"/>
  <c r="AR19" i="7"/>
  <c r="AR18" i="7"/>
  <c r="AR17" i="7"/>
  <c r="AR16" i="7"/>
  <c r="AR15" i="7"/>
  <c r="AR14" i="7"/>
  <c r="AR13" i="7"/>
  <c r="AR12" i="7"/>
  <c r="AR11" i="7"/>
  <c r="AR10" i="7"/>
  <c r="AR9" i="7"/>
  <c r="AR8" i="7"/>
  <c r="AR7" i="7"/>
  <c r="AR6" i="7"/>
  <c r="AR5" i="7"/>
  <c r="AR4" i="7"/>
  <c r="AR2" i="7"/>
  <c r="AR38" i="7" s="1"/>
  <c r="I8" i="13" l="1"/>
  <c r="J7" i="13"/>
  <c r="AR24" i="7"/>
  <c r="AR37" i="7"/>
  <c r="AR25" i="7"/>
  <c r="J8" i="13" l="1"/>
  <c r="I9" i="13"/>
  <c r="BB151" i="7"/>
  <c r="AO151" i="7"/>
  <c r="AL151" i="7"/>
  <c r="AI151" i="7"/>
  <c r="AC151" i="7"/>
  <c r="Z151" i="7"/>
  <c r="W151" i="7"/>
  <c r="T151" i="7"/>
  <c r="N151" i="7"/>
  <c r="BB150" i="7"/>
  <c r="AO150" i="7"/>
  <c r="AL150" i="7"/>
  <c r="AI150" i="7"/>
  <c r="AC150" i="7"/>
  <c r="Z150" i="7"/>
  <c r="W150" i="7"/>
  <c r="T150" i="7"/>
  <c r="N150" i="7"/>
  <c r="BB148" i="7"/>
  <c r="AO148" i="7"/>
  <c r="AL148" i="7"/>
  <c r="AI148" i="7"/>
  <c r="AC148" i="7"/>
  <c r="Z148" i="7"/>
  <c r="W148" i="7"/>
  <c r="T148" i="7"/>
  <c r="Q148" i="7"/>
  <c r="N148" i="7"/>
  <c r="BB147" i="7"/>
  <c r="AO147" i="7"/>
  <c r="AL147" i="7"/>
  <c r="AI147" i="7"/>
  <c r="AC147" i="7"/>
  <c r="Z147" i="7"/>
  <c r="W147" i="7"/>
  <c r="T147" i="7"/>
  <c r="Q147" i="7"/>
  <c r="N147" i="7"/>
  <c r="BB146" i="7"/>
  <c r="AO146" i="7"/>
  <c r="AL146" i="7"/>
  <c r="AI146" i="7"/>
  <c r="AC146" i="7"/>
  <c r="Z146" i="7"/>
  <c r="W146" i="7"/>
  <c r="T146" i="7"/>
  <c r="Q146" i="7"/>
  <c r="N146" i="7"/>
  <c r="BB145" i="7"/>
  <c r="AO145" i="7"/>
  <c r="AL145" i="7"/>
  <c r="AI145" i="7"/>
  <c r="AC145" i="7"/>
  <c r="Z145" i="7"/>
  <c r="W145" i="7"/>
  <c r="T145" i="7"/>
  <c r="Q145" i="7"/>
  <c r="N145" i="7"/>
  <c r="BB144" i="7"/>
  <c r="AO144" i="7"/>
  <c r="AL144" i="7"/>
  <c r="AI144" i="7"/>
  <c r="AC144" i="7"/>
  <c r="Z144" i="7"/>
  <c r="W144" i="7"/>
  <c r="T144" i="7"/>
  <c r="Q144" i="7"/>
  <c r="N144" i="7"/>
  <c r="BB143" i="7"/>
  <c r="AO143" i="7"/>
  <c r="AL143" i="7"/>
  <c r="AI143" i="7"/>
  <c r="AC143" i="7"/>
  <c r="Z143" i="7"/>
  <c r="W143" i="7"/>
  <c r="T143" i="7"/>
  <c r="Q143" i="7"/>
  <c r="N143" i="7"/>
  <c r="BB138" i="7"/>
  <c r="AO138" i="7"/>
  <c r="AL138" i="7"/>
  <c r="AI138" i="7"/>
  <c r="AC138" i="7"/>
  <c r="Z138" i="7"/>
  <c r="W138" i="7"/>
  <c r="T138" i="7"/>
  <c r="N138" i="7"/>
  <c r="BB137" i="7"/>
  <c r="AO137" i="7"/>
  <c r="AL137" i="7"/>
  <c r="AI137" i="7"/>
  <c r="AC137" i="7"/>
  <c r="Z137" i="7"/>
  <c r="W137" i="7"/>
  <c r="T137" i="7"/>
  <c r="N137" i="7"/>
  <c r="BB135" i="7"/>
  <c r="AO135" i="7"/>
  <c r="AL135" i="7"/>
  <c r="AI135" i="7"/>
  <c r="AC135" i="7"/>
  <c r="Z135" i="7"/>
  <c r="W135" i="7"/>
  <c r="T135" i="7"/>
  <c r="Q135" i="7"/>
  <c r="N135" i="7"/>
  <c r="BB134" i="7"/>
  <c r="AO134" i="7"/>
  <c r="AL134" i="7"/>
  <c r="AI134" i="7"/>
  <c r="AC134" i="7"/>
  <c r="Z134" i="7"/>
  <c r="W134" i="7"/>
  <c r="T134" i="7"/>
  <c r="Q134" i="7"/>
  <c r="N134" i="7"/>
  <c r="BB133" i="7"/>
  <c r="AO133" i="7"/>
  <c r="AL133" i="7"/>
  <c r="AI133" i="7"/>
  <c r="AC133" i="7"/>
  <c r="Z133" i="7"/>
  <c r="W133" i="7"/>
  <c r="T133" i="7"/>
  <c r="Q133" i="7"/>
  <c r="N133" i="7"/>
  <c r="BB132" i="7"/>
  <c r="AO132" i="7"/>
  <c r="AL132" i="7"/>
  <c r="AI132" i="7"/>
  <c r="AC132" i="7"/>
  <c r="Z132" i="7"/>
  <c r="W132" i="7"/>
  <c r="T132" i="7"/>
  <c r="Q132" i="7"/>
  <c r="N132" i="7"/>
  <c r="BB121" i="7"/>
  <c r="AO121" i="7"/>
  <c r="AL121" i="7"/>
  <c r="AI121" i="7"/>
  <c r="Z121" i="7"/>
  <c r="W121" i="7"/>
  <c r="T121" i="7"/>
  <c r="Q121" i="7"/>
  <c r="N121" i="7"/>
  <c r="BB120" i="7"/>
  <c r="AO120" i="7"/>
  <c r="AL120" i="7"/>
  <c r="AI120" i="7"/>
  <c r="Z120" i="7"/>
  <c r="W120" i="7"/>
  <c r="T120" i="7"/>
  <c r="Q120" i="7"/>
  <c r="N120" i="7"/>
  <c r="BB109" i="7"/>
  <c r="AO109" i="7"/>
  <c r="AL109" i="7"/>
  <c r="AI109" i="7"/>
  <c r="AC109" i="7"/>
  <c r="Z109" i="7"/>
  <c r="W109" i="7"/>
  <c r="T109" i="7"/>
  <c r="Q109" i="7"/>
  <c r="N109" i="7"/>
  <c r="BB108" i="7"/>
  <c r="AO108" i="7"/>
  <c r="AL108" i="7"/>
  <c r="AI108" i="7"/>
  <c r="AC108" i="7"/>
  <c r="Z108" i="7"/>
  <c r="W108" i="7"/>
  <c r="T108" i="7"/>
  <c r="Q108" i="7"/>
  <c r="N108" i="7"/>
  <c r="BB107" i="7"/>
  <c r="AO107" i="7"/>
  <c r="AL107" i="7"/>
  <c r="AI107" i="7"/>
  <c r="AC107" i="7"/>
  <c r="Z107" i="7"/>
  <c r="W107" i="7"/>
  <c r="T107" i="7"/>
  <c r="Q107" i="7"/>
  <c r="N107" i="7"/>
  <c r="BB106" i="7"/>
  <c r="AO106" i="7"/>
  <c r="AL106" i="7"/>
  <c r="AI106" i="7"/>
  <c r="AC106" i="7"/>
  <c r="Z106" i="7"/>
  <c r="W106" i="7"/>
  <c r="T106" i="7"/>
  <c r="Q106" i="7"/>
  <c r="N106" i="7"/>
  <c r="BB105" i="7"/>
  <c r="AO105" i="7"/>
  <c r="AL105" i="7"/>
  <c r="AI105" i="7"/>
  <c r="AC105" i="7"/>
  <c r="Z105" i="7"/>
  <c r="W105" i="7"/>
  <c r="T105" i="7"/>
  <c r="Q105" i="7"/>
  <c r="N105" i="7"/>
  <c r="BB103" i="7"/>
  <c r="AO103" i="7"/>
  <c r="AL103" i="7"/>
  <c r="AI103" i="7"/>
  <c r="AC103" i="7"/>
  <c r="Z103" i="7"/>
  <c r="W103" i="7"/>
  <c r="T103" i="7"/>
  <c r="Q103" i="7"/>
  <c r="N103" i="7"/>
  <c r="BB102" i="7"/>
  <c r="AO102" i="7"/>
  <c r="AL102" i="7"/>
  <c r="AI102" i="7"/>
  <c r="AC102" i="7"/>
  <c r="Z102" i="7"/>
  <c r="W102" i="7"/>
  <c r="T102" i="7"/>
  <c r="Q102" i="7"/>
  <c r="N102" i="7"/>
  <c r="BB100" i="7"/>
  <c r="AO100" i="7"/>
  <c r="AL100" i="7"/>
  <c r="AI100" i="7"/>
  <c r="AC100" i="7"/>
  <c r="Z100" i="7"/>
  <c r="W100" i="7"/>
  <c r="T100" i="7"/>
  <c r="Q100" i="7"/>
  <c r="N100" i="7"/>
  <c r="BB101" i="7"/>
  <c r="AO101" i="7"/>
  <c r="AL101" i="7"/>
  <c r="AI101" i="7"/>
  <c r="AC101" i="7"/>
  <c r="Z101" i="7"/>
  <c r="W101" i="7"/>
  <c r="T101" i="7"/>
  <c r="Q101" i="7"/>
  <c r="N101" i="7"/>
  <c r="BB98" i="7"/>
  <c r="AO98" i="7"/>
  <c r="AL98" i="7"/>
  <c r="AI98" i="7"/>
  <c r="AC98" i="7"/>
  <c r="Z98" i="7"/>
  <c r="W98" i="7"/>
  <c r="T98" i="7"/>
  <c r="Q98" i="7"/>
  <c r="N98" i="7"/>
  <c r="BB99" i="7"/>
  <c r="AO99" i="7"/>
  <c r="AL99" i="7"/>
  <c r="AI99" i="7"/>
  <c r="AC99" i="7"/>
  <c r="Z99" i="7"/>
  <c r="W99" i="7"/>
  <c r="T99" i="7"/>
  <c r="Q99" i="7"/>
  <c r="N99" i="7"/>
  <c r="BB96" i="7"/>
  <c r="AO96" i="7"/>
  <c r="AI96" i="7"/>
  <c r="AC96" i="7"/>
  <c r="Z96" i="7"/>
  <c r="W96" i="7"/>
  <c r="T96" i="7"/>
  <c r="Q96" i="7"/>
  <c r="N96" i="7"/>
  <c r="BB90" i="7"/>
  <c r="AO90" i="7"/>
  <c r="AI90" i="7"/>
  <c r="AC90" i="7"/>
  <c r="Z90" i="7"/>
  <c r="W90" i="7"/>
  <c r="T90" i="7"/>
  <c r="Q90" i="7"/>
  <c r="N90" i="7"/>
  <c r="BB89" i="7"/>
  <c r="AO89" i="7"/>
  <c r="AI89" i="7"/>
  <c r="AC89" i="7"/>
  <c r="Z89" i="7"/>
  <c r="W89" i="7"/>
  <c r="T89" i="7"/>
  <c r="Q89" i="7"/>
  <c r="N89" i="7"/>
  <c r="BB82" i="7"/>
  <c r="AO82" i="7"/>
  <c r="AL82" i="7"/>
  <c r="AI82" i="7"/>
  <c r="AC82" i="7"/>
  <c r="Z82" i="7"/>
  <c r="W82" i="7"/>
  <c r="T82" i="7"/>
  <c r="Q82" i="7"/>
  <c r="N82" i="7"/>
  <c r="BB80" i="7"/>
  <c r="AO80" i="7"/>
  <c r="AL80" i="7"/>
  <c r="AI80" i="7"/>
  <c r="AC80" i="7"/>
  <c r="Z80" i="7"/>
  <c r="W80" i="7"/>
  <c r="T80" i="7"/>
  <c r="Q80" i="7"/>
  <c r="N80" i="7"/>
  <c r="BB78" i="7"/>
  <c r="AO78" i="7"/>
  <c r="AL78" i="7"/>
  <c r="AI78" i="7"/>
  <c r="AC78" i="7"/>
  <c r="Z78" i="7"/>
  <c r="W78" i="7"/>
  <c r="T78" i="7"/>
  <c r="Q78" i="7"/>
  <c r="N78" i="7"/>
  <c r="BB76" i="7"/>
  <c r="AO76" i="7"/>
  <c r="AL76" i="7"/>
  <c r="AI76" i="7"/>
  <c r="AC76" i="7"/>
  <c r="Z76" i="7"/>
  <c r="W76" i="7"/>
  <c r="T76" i="7"/>
  <c r="Q76" i="7"/>
  <c r="N76" i="7"/>
  <c r="BB74" i="7"/>
  <c r="AO74" i="7"/>
  <c r="AL74" i="7"/>
  <c r="AI74" i="7"/>
  <c r="AC74" i="7"/>
  <c r="Z74" i="7"/>
  <c r="W74" i="7"/>
  <c r="T74" i="7"/>
  <c r="Q74" i="7"/>
  <c r="N74" i="7"/>
  <c r="BB58" i="7"/>
  <c r="AO58" i="7"/>
  <c r="AL58" i="7"/>
  <c r="AI58" i="7"/>
  <c r="AC58" i="7"/>
  <c r="Z58" i="7"/>
  <c r="W58" i="7"/>
  <c r="T58" i="7"/>
  <c r="Q58" i="7"/>
  <c r="N58" i="7"/>
  <c r="BB70" i="7"/>
  <c r="AO70" i="7"/>
  <c r="AL70" i="7"/>
  <c r="AI70" i="7"/>
  <c r="AC70" i="7"/>
  <c r="Z70" i="7"/>
  <c r="W70" i="7"/>
  <c r="T70" i="7"/>
  <c r="Q70" i="7"/>
  <c r="N70" i="7"/>
  <c r="BB66" i="7"/>
  <c r="AO66" i="7"/>
  <c r="AL66" i="7"/>
  <c r="AI66" i="7"/>
  <c r="AC66" i="7"/>
  <c r="Z66" i="7"/>
  <c r="W66" i="7"/>
  <c r="T66" i="7"/>
  <c r="Q66" i="7"/>
  <c r="N66" i="7"/>
  <c r="BB62" i="7"/>
  <c r="AO62" i="7"/>
  <c r="AL62" i="7"/>
  <c r="AI62" i="7"/>
  <c r="AC62" i="7"/>
  <c r="Z62" i="7"/>
  <c r="W62" i="7"/>
  <c r="T62" i="7"/>
  <c r="Q62" i="7"/>
  <c r="N62" i="7"/>
  <c r="BB57" i="7"/>
  <c r="AO57" i="7"/>
  <c r="AL57" i="7"/>
  <c r="AI57" i="7"/>
  <c r="AC57" i="7"/>
  <c r="Z57" i="7"/>
  <c r="W57" i="7"/>
  <c r="T57" i="7"/>
  <c r="Q57" i="7"/>
  <c r="N57" i="7"/>
  <c r="BB69" i="7"/>
  <c r="AO69" i="7"/>
  <c r="AL69" i="7"/>
  <c r="AI69" i="7"/>
  <c r="AC69" i="7"/>
  <c r="Z69" i="7"/>
  <c r="W69" i="7"/>
  <c r="T69" i="7"/>
  <c r="Q69" i="7"/>
  <c r="N69" i="7"/>
  <c r="BB65" i="7"/>
  <c r="AO65" i="7"/>
  <c r="AL65" i="7"/>
  <c r="AI65" i="7"/>
  <c r="AC65" i="7"/>
  <c r="Z65" i="7"/>
  <c r="W65" i="7"/>
  <c r="T65" i="7"/>
  <c r="Q65" i="7"/>
  <c r="N65" i="7"/>
  <c r="BB61" i="7"/>
  <c r="AO61" i="7"/>
  <c r="AL61" i="7"/>
  <c r="AI61" i="7"/>
  <c r="AC61" i="7"/>
  <c r="Z61" i="7"/>
  <c r="W61" i="7"/>
  <c r="T61" i="7"/>
  <c r="Q61" i="7"/>
  <c r="N61" i="7"/>
  <c r="BB56" i="7"/>
  <c r="AO56" i="7"/>
  <c r="AL56" i="7"/>
  <c r="AI56" i="7"/>
  <c r="AC56" i="7"/>
  <c r="Z56" i="7"/>
  <c r="W56" i="7"/>
  <c r="T56" i="7"/>
  <c r="Q56" i="7"/>
  <c r="N56" i="7"/>
  <c r="BB68" i="7"/>
  <c r="AO68" i="7"/>
  <c r="AL68" i="7"/>
  <c r="AI68" i="7"/>
  <c r="AC68" i="7"/>
  <c r="Z68" i="7"/>
  <c r="W68" i="7"/>
  <c r="T68" i="7"/>
  <c r="Q68" i="7"/>
  <c r="N68" i="7"/>
  <c r="BB64" i="7"/>
  <c r="AO64" i="7"/>
  <c r="AL64" i="7"/>
  <c r="AI64" i="7"/>
  <c r="AC64" i="7"/>
  <c r="Z64" i="7"/>
  <c r="W64" i="7"/>
  <c r="T64" i="7"/>
  <c r="Q64" i="7"/>
  <c r="N64" i="7"/>
  <c r="BB60" i="7"/>
  <c r="AO60" i="7"/>
  <c r="AL60" i="7"/>
  <c r="AI60" i="7"/>
  <c r="AC60" i="7"/>
  <c r="Z60" i="7"/>
  <c r="W60" i="7"/>
  <c r="T60" i="7"/>
  <c r="Q60" i="7"/>
  <c r="N60" i="7"/>
  <c r="I10" i="13" l="1"/>
  <c r="J9" i="13"/>
  <c r="BB40" i="7"/>
  <c r="AO40" i="7"/>
  <c r="AL40" i="7"/>
  <c r="AC40" i="7"/>
  <c r="Z40" i="7"/>
  <c r="W40" i="7"/>
  <c r="T40" i="7"/>
  <c r="Q40" i="7"/>
  <c r="N40" i="7"/>
  <c r="BB38" i="7"/>
  <c r="AO38" i="7"/>
  <c r="AL38" i="7"/>
  <c r="AC38" i="7"/>
  <c r="Z38" i="7"/>
  <c r="W38" i="7"/>
  <c r="T38" i="7"/>
  <c r="Q38" i="7"/>
  <c r="N38" i="7"/>
  <c r="BB36" i="7"/>
  <c r="AO36" i="7"/>
  <c r="AL36" i="7"/>
  <c r="AI36" i="7"/>
  <c r="AC36" i="7"/>
  <c r="Z36" i="7"/>
  <c r="W36" i="7"/>
  <c r="T36" i="7"/>
  <c r="Q36" i="7"/>
  <c r="N36" i="7"/>
  <c r="BB35" i="7"/>
  <c r="AO35" i="7"/>
  <c r="AL35" i="7"/>
  <c r="AI35" i="7"/>
  <c r="AC35" i="7"/>
  <c r="Z35" i="7"/>
  <c r="W35" i="7"/>
  <c r="T35" i="7"/>
  <c r="Q35" i="7"/>
  <c r="N35" i="7"/>
  <c r="BB32" i="7"/>
  <c r="AO32" i="7"/>
  <c r="AL32" i="7"/>
  <c r="AI32" i="7"/>
  <c r="AC32" i="7"/>
  <c r="Z32" i="7"/>
  <c r="W32" i="7"/>
  <c r="T32" i="7"/>
  <c r="Q32" i="7"/>
  <c r="N32" i="7"/>
  <c r="BB31" i="7"/>
  <c r="AO31" i="7"/>
  <c r="AL31" i="7"/>
  <c r="AI31" i="7"/>
  <c r="AC31" i="7"/>
  <c r="Z31" i="7"/>
  <c r="W31" i="7"/>
  <c r="T31" i="7"/>
  <c r="Q31" i="7"/>
  <c r="N31" i="7"/>
  <c r="J10" i="13" l="1"/>
  <c r="I11" i="13"/>
  <c r="BB122" i="7"/>
  <c r="AO122" i="7"/>
  <c r="AL122" i="7"/>
  <c r="AI122" i="7"/>
  <c r="Z122" i="7"/>
  <c r="W122" i="7"/>
  <c r="T122" i="7"/>
  <c r="Q122" i="7"/>
  <c r="N122" i="7"/>
  <c r="I12" i="13" l="1"/>
  <c r="J11" i="13"/>
  <c r="Q3" i="7"/>
  <c r="Q4" i="7"/>
  <c r="Q5" i="7"/>
  <c r="Q6" i="7"/>
  <c r="Q7" i="7"/>
  <c r="Q8" i="7"/>
  <c r="Q9" i="7"/>
  <c r="Q10" i="7"/>
  <c r="Q11" i="7"/>
  <c r="Q12" i="7"/>
  <c r="Q13" i="7"/>
  <c r="Q14" i="7"/>
  <c r="Q15" i="7"/>
  <c r="Q16" i="7"/>
  <c r="Q17" i="7"/>
  <c r="Q18" i="7"/>
  <c r="Q19" i="7"/>
  <c r="Q20" i="7"/>
  <c r="Q23" i="7"/>
  <c r="Q24" i="7"/>
  <c r="Q25" i="7"/>
  <c r="Q26" i="7"/>
  <c r="Q27" i="7"/>
  <c r="Q28" i="7"/>
  <c r="Q29" i="7"/>
  <c r="Q30" i="7"/>
  <c r="Q34" i="7"/>
  <c r="Q37" i="7"/>
  <c r="Q39" i="7"/>
  <c r="Q41" i="7"/>
  <c r="Q42" i="7"/>
  <c r="Q47" i="7"/>
  <c r="Q48" i="7"/>
  <c r="Q49" i="7"/>
  <c r="Q50" i="7"/>
  <c r="Q51" i="7"/>
  <c r="Q52" i="7"/>
  <c r="Q53" i="7"/>
  <c r="Q54" i="7"/>
  <c r="Q59" i="7"/>
  <c r="Q63" i="7"/>
  <c r="Q67" i="7"/>
  <c r="Q55" i="7"/>
  <c r="Q71" i="7"/>
  <c r="Q72" i="7"/>
  <c r="Q73" i="7"/>
  <c r="Q75" i="7"/>
  <c r="Q77" i="7"/>
  <c r="Q79" i="7"/>
  <c r="Q81" i="7"/>
  <c r="Q83" i="7"/>
  <c r="Q85" i="7"/>
  <c r="Q86" i="7"/>
  <c r="Q87" i="7"/>
  <c r="Q88" i="7"/>
  <c r="Q91" i="7"/>
  <c r="Q92" i="7"/>
  <c r="Q93" i="7"/>
  <c r="Q94" i="7"/>
  <c r="Q95" i="7"/>
  <c r="Q97" i="7"/>
  <c r="Q104" i="7"/>
  <c r="Q115" i="7"/>
  <c r="Q117" i="7"/>
  <c r="Q118" i="7"/>
  <c r="Q119" i="7"/>
  <c r="Q123" i="7"/>
  <c r="Q124" i="7"/>
  <c r="Q125" i="7"/>
  <c r="Q126" i="7"/>
  <c r="Q127" i="7"/>
  <c r="Q128" i="7"/>
  <c r="Q129" i="7"/>
  <c r="Q130" i="7"/>
  <c r="Q131" i="7"/>
  <c r="Q140" i="7"/>
  <c r="Q141" i="7"/>
  <c r="Q142" i="7"/>
  <c r="Q154" i="7"/>
  <c r="Q155" i="7"/>
  <c r="Q156" i="7"/>
  <c r="Q157" i="7"/>
  <c r="Q158" i="7"/>
  <c r="Q159" i="7"/>
  <c r="Q160" i="7"/>
  <c r="Q161" i="7"/>
  <c r="Q162" i="7"/>
  <c r="Q163" i="7"/>
  <c r="Q164" i="7"/>
  <c r="Q165" i="7"/>
  <c r="Q166" i="7"/>
  <c r="Q167" i="7"/>
  <c r="Q168" i="7"/>
  <c r="Q169" i="7"/>
  <c r="Q170" i="7"/>
  <c r="Q171" i="7"/>
  <c r="Q172" i="7"/>
  <c r="BB119" i="7"/>
  <c r="AO119" i="7"/>
  <c r="AL119" i="7"/>
  <c r="AI119" i="7"/>
  <c r="Z119" i="7"/>
  <c r="W119" i="7"/>
  <c r="T119" i="7"/>
  <c r="N119" i="7"/>
  <c r="BB118" i="7"/>
  <c r="AO118" i="7"/>
  <c r="AL118" i="7"/>
  <c r="AI118" i="7"/>
  <c r="Z118" i="7"/>
  <c r="W118" i="7"/>
  <c r="T118" i="7"/>
  <c r="N118" i="7"/>
  <c r="J12" i="13" l="1"/>
  <c r="I13" i="13"/>
  <c r="D194" i="19"/>
  <c r="D195" i="14"/>
  <c r="D192" i="19"/>
  <c r="D193" i="14"/>
  <c r="BB172" i="7"/>
  <c r="AL172" i="7"/>
  <c r="AI172" i="7"/>
  <c r="AC172" i="7"/>
  <c r="Z172" i="7"/>
  <c r="W172" i="7"/>
  <c r="T172" i="7"/>
  <c r="N172" i="7"/>
  <c r="BB171" i="7"/>
  <c r="AL171" i="7"/>
  <c r="AI171" i="7"/>
  <c r="AC171" i="7"/>
  <c r="Z171" i="7"/>
  <c r="W171" i="7"/>
  <c r="T171" i="7"/>
  <c r="N171" i="7"/>
  <c r="BB170" i="7"/>
  <c r="AL170" i="7"/>
  <c r="AI170" i="7"/>
  <c r="AC170" i="7"/>
  <c r="Z170" i="7"/>
  <c r="W170" i="7"/>
  <c r="T170" i="7"/>
  <c r="N170" i="7"/>
  <c r="BB169" i="7"/>
  <c r="AL169" i="7"/>
  <c r="AI169" i="7"/>
  <c r="AC169" i="7"/>
  <c r="Z169" i="7"/>
  <c r="W169" i="7"/>
  <c r="T169" i="7"/>
  <c r="N169" i="7"/>
  <c r="BB168" i="7"/>
  <c r="AL168" i="7"/>
  <c r="AI168" i="7"/>
  <c r="AC168" i="7"/>
  <c r="Z168" i="7"/>
  <c r="W168" i="7"/>
  <c r="T168" i="7"/>
  <c r="N168" i="7"/>
  <c r="BB167" i="7"/>
  <c r="AL167" i="7"/>
  <c r="AI167" i="7"/>
  <c r="AC167" i="7"/>
  <c r="Z167" i="7"/>
  <c r="W167" i="7"/>
  <c r="T167" i="7"/>
  <c r="N167" i="7"/>
  <c r="BB166" i="7"/>
  <c r="AL166" i="7"/>
  <c r="AI166" i="7"/>
  <c r="AC166" i="7"/>
  <c r="Z166" i="7"/>
  <c r="W166" i="7"/>
  <c r="T166" i="7"/>
  <c r="N166" i="7"/>
  <c r="BB165" i="7"/>
  <c r="AL165" i="7"/>
  <c r="AI165" i="7"/>
  <c r="AC165" i="7"/>
  <c r="Z165" i="7"/>
  <c r="W165" i="7"/>
  <c r="T165" i="7"/>
  <c r="N165" i="7"/>
  <c r="BB164" i="7"/>
  <c r="AL164" i="7"/>
  <c r="AI164" i="7"/>
  <c r="AC164" i="7"/>
  <c r="Z164" i="7"/>
  <c r="W164" i="7"/>
  <c r="T164" i="7"/>
  <c r="N164" i="7"/>
  <c r="BB163" i="7"/>
  <c r="AL163" i="7"/>
  <c r="AI163" i="7"/>
  <c r="AC163" i="7"/>
  <c r="Z163" i="7"/>
  <c r="W163" i="7"/>
  <c r="T163" i="7"/>
  <c r="N163" i="7"/>
  <c r="BB162" i="7"/>
  <c r="AL162" i="7"/>
  <c r="AI162" i="7"/>
  <c r="AC162" i="7"/>
  <c r="Z162" i="7"/>
  <c r="W162" i="7"/>
  <c r="T162" i="7"/>
  <c r="N162" i="7"/>
  <c r="D15" i="13"/>
  <c r="D20" i="13"/>
  <c r="D29" i="13"/>
  <c r="D35" i="13"/>
  <c r="D36" i="13"/>
  <c r="BB161" i="7"/>
  <c r="AI161" i="7"/>
  <c r="AC161" i="7"/>
  <c r="Z161" i="7"/>
  <c r="W161" i="7"/>
  <c r="T161" i="7"/>
  <c r="N161" i="7"/>
  <c r="BB160" i="7"/>
  <c r="AI160" i="7"/>
  <c r="AC160" i="7"/>
  <c r="Z160" i="7"/>
  <c r="W160" i="7"/>
  <c r="T160" i="7"/>
  <c r="N160" i="7"/>
  <c r="BB159" i="7"/>
  <c r="AI159" i="7"/>
  <c r="AC159" i="7"/>
  <c r="Z159" i="7"/>
  <c r="W159" i="7"/>
  <c r="T159" i="7"/>
  <c r="N159" i="7"/>
  <c r="BB158" i="7"/>
  <c r="AI158" i="7"/>
  <c r="AC158" i="7"/>
  <c r="Z158" i="7"/>
  <c r="W158" i="7"/>
  <c r="T158" i="7"/>
  <c r="N158" i="7"/>
  <c r="BB157" i="7"/>
  <c r="AI157" i="7"/>
  <c r="AC157" i="7"/>
  <c r="Z157" i="7"/>
  <c r="W157" i="7"/>
  <c r="T157" i="7"/>
  <c r="N157" i="7"/>
  <c r="AO4" i="7"/>
  <c r="AO5" i="7"/>
  <c r="AO6" i="7"/>
  <c r="AO7" i="7"/>
  <c r="AO8" i="7"/>
  <c r="AO9" i="7"/>
  <c r="AO10" i="7"/>
  <c r="AO11" i="7"/>
  <c r="AO12" i="7"/>
  <c r="AO13" i="7"/>
  <c r="AO14" i="7"/>
  <c r="AO15" i="7"/>
  <c r="AO16" i="7"/>
  <c r="AO17" i="7"/>
  <c r="AO18" i="7"/>
  <c r="AO19" i="7"/>
  <c r="AO20" i="7"/>
  <c r="AO23" i="7"/>
  <c r="AO24" i="7"/>
  <c r="AO25" i="7"/>
  <c r="AO26" i="7"/>
  <c r="AO27" i="7"/>
  <c r="AO28" i="7"/>
  <c r="AO29" i="7"/>
  <c r="AO30" i="7"/>
  <c r="AO34" i="7"/>
  <c r="AO37" i="7"/>
  <c r="AO39" i="7"/>
  <c r="AO41" i="7"/>
  <c r="AO42" i="7"/>
  <c r="AO47" i="7"/>
  <c r="AO48" i="7"/>
  <c r="AO49" i="7"/>
  <c r="AO50" i="7"/>
  <c r="AO51" i="7"/>
  <c r="AO52" i="7"/>
  <c r="AO53" i="7"/>
  <c r="AO54" i="7"/>
  <c r="AO59" i="7"/>
  <c r="AO63" i="7"/>
  <c r="AO67" i="7"/>
  <c r="AO55" i="7"/>
  <c r="AO71" i="7"/>
  <c r="AO72" i="7"/>
  <c r="AO73" i="7"/>
  <c r="AO75" i="7"/>
  <c r="AO77" i="7"/>
  <c r="AO79" i="7"/>
  <c r="AO81" i="7"/>
  <c r="AO83" i="7"/>
  <c r="AO85" i="7"/>
  <c r="AO86" i="7"/>
  <c r="AO87" i="7"/>
  <c r="AO88" i="7"/>
  <c r="AO91" i="7"/>
  <c r="AO92" i="7"/>
  <c r="AO93" i="7"/>
  <c r="AO94" i="7"/>
  <c r="AO95" i="7"/>
  <c r="AO97" i="7"/>
  <c r="AO104" i="7"/>
  <c r="AO115" i="7"/>
  <c r="AO117" i="7"/>
  <c r="AO123" i="7"/>
  <c r="AO124" i="7"/>
  <c r="AO125" i="7"/>
  <c r="AO126" i="7"/>
  <c r="AO127" i="7"/>
  <c r="AO128" i="7"/>
  <c r="AO129" i="7"/>
  <c r="AO130" i="7"/>
  <c r="AO131" i="7"/>
  <c r="AO136" i="7"/>
  <c r="AO139" i="7"/>
  <c r="AO140" i="7"/>
  <c r="AO141" i="7"/>
  <c r="AO142" i="7"/>
  <c r="AO149" i="7"/>
  <c r="AO152" i="7"/>
  <c r="AO153" i="7"/>
  <c r="AO154" i="7"/>
  <c r="AO155" i="7"/>
  <c r="AO156" i="7"/>
  <c r="AO3" i="7"/>
  <c r="AO2" i="7"/>
  <c r="AO158" i="7" s="1"/>
  <c r="I14" i="13" l="1"/>
  <c r="J13" i="13"/>
  <c r="C192" i="19"/>
  <c r="C205" i="17"/>
  <c r="E205" i="17" s="1"/>
  <c r="C194" i="19"/>
  <c r="C207" i="17"/>
  <c r="E207" i="17" s="1"/>
  <c r="AO162" i="7"/>
  <c r="AO166" i="7"/>
  <c r="AO170" i="7"/>
  <c r="AO165" i="7"/>
  <c r="AO169" i="7"/>
  <c r="AO164" i="7"/>
  <c r="AO168" i="7"/>
  <c r="AO172" i="7"/>
  <c r="AO163" i="7"/>
  <c r="AO167" i="7"/>
  <c r="AO171" i="7"/>
  <c r="AO157" i="7"/>
  <c r="AO161" i="7"/>
  <c r="AO160" i="7"/>
  <c r="AO159" i="7"/>
  <c r="C70" i="17"/>
  <c r="E70" i="17" s="1"/>
  <c r="C69" i="17"/>
  <c r="E69" i="17" s="1"/>
  <c r="C68" i="17"/>
  <c r="E68" i="17" s="1"/>
  <c r="C66" i="17"/>
  <c r="E66" i="17" s="1"/>
  <c r="C65" i="17"/>
  <c r="E65" i="17" s="1"/>
  <c r="C64" i="17"/>
  <c r="E64" i="17" s="1"/>
  <c r="C62" i="17"/>
  <c r="E62" i="17" s="1"/>
  <c r="C61" i="17"/>
  <c r="E61" i="17" s="1"/>
  <c r="C60" i="17"/>
  <c r="E60" i="17" s="1"/>
  <c r="C58" i="17"/>
  <c r="E58" i="17" s="1"/>
  <c r="C57" i="17"/>
  <c r="E57" i="17" s="1"/>
  <c r="C56" i="17"/>
  <c r="E56" i="17" s="1"/>
  <c r="C54" i="17"/>
  <c r="E54" i="17" s="1"/>
  <c r="C53" i="17"/>
  <c r="E53" i="17" s="1"/>
  <c r="C52" i="17"/>
  <c r="E52" i="17" s="1"/>
  <c r="C50" i="17"/>
  <c r="E50" i="17" s="1"/>
  <c r="C49" i="17"/>
  <c r="E49" i="17" s="1"/>
  <c r="C48" i="17"/>
  <c r="E48" i="17" s="1"/>
  <c r="C45" i="17"/>
  <c r="E45" i="17" s="1"/>
  <c r="C44" i="17"/>
  <c r="E44" i="17" s="1"/>
  <c r="C43" i="17"/>
  <c r="E43" i="17" s="1"/>
  <c r="C41" i="17"/>
  <c r="E41" i="17" s="1"/>
  <c r="C40" i="17"/>
  <c r="E40" i="17" s="1"/>
  <c r="C39" i="17"/>
  <c r="E39" i="17" s="1"/>
  <c r="C37" i="17"/>
  <c r="E37" i="17" s="1"/>
  <c r="C36" i="17"/>
  <c r="E36" i="17" s="1"/>
  <c r="C35" i="17"/>
  <c r="E35" i="17" s="1"/>
  <c r="C31" i="17"/>
  <c r="E31" i="17" s="1"/>
  <c r="C32" i="17"/>
  <c r="E32" i="17" s="1"/>
  <c r="C30" i="17"/>
  <c r="E30" i="17" s="1"/>
  <c r="E7" i="17"/>
  <c r="E8" i="17"/>
  <c r="E9" i="17"/>
  <c r="A75" i="17"/>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J14" i="13" l="1"/>
  <c r="I15" i="13"/>
  <c r="C10" i="17"/>
  <c r="E10" i="17"/>
  <c r="I16" i="13" l="1"/>
  <c r="J15" i="13"/>
  <c r="BB14" i="7"/>
  <c r="BB15" i="7"/>
  <c r="BB16" i="7"/>
  <c r="BB17" i="7"/>
  <c r="BB18" i="7"/>
  <c r="BB19" i="7"/>
  <c r="BB20" i="7"/>
  <c r="BB23" i="7"/>
  <c r="BB24" i="7"/>
  <c r="BB25" i="7"/>
  <c r="BB26" i="7"/>
  <c r="BB27" i="7"/>
  <c r="BB28" i="7"/>
  <c r="BB29" i="7"/>
  <c r="BB30" i="7"/>
  <c r="BB34" i="7"/>
  <c r="BB37" i="7"/>
  <c r="BB39" i="7"/>
  <c r="BB41" i="7"/>
  <c r="BB42" i="7"/>
  <c r="BB47" i="7"/>
  <c r="BB48" i="7"/>
  <c r="BB49" i="7"/>
  <c r="BB50" i="7"/>
  <c r="BB51" i="7"/>
  <c r="BB52" i="7"/>
  <c r="BB53" i="7"/>
  <c r="BB54" i="7"/>
  <c r="BB59" i="7"/>
  <c r="BB63" i="7"/>
  <c r="BB67" i="7"/>
  <c r="BB55" i="7"/>
  <c r="BB71" i="7"/>
  <c r="BB72" i="7"/>
  <c r="BB73" i="7"/>
  <c r="BB75" i="7"/>
  <c r="BB77" i="7"/>
  <c r="BB79" i="7"/>
  <c r="BB81" i="7"/>
  <c r="BB83" i="7"/>
  <c r="BB85" i="7"/>
  <c r="BB86" i="7"/>
  <c r="BB87" i="7"/>
  <c r="BB88" i="7"/>
  <c r="BB91" i="7"/>
  <c r="BB92" i="7"/>
  <c r="BB93" i="7"/>
  <c r="BB94" i="7"/>
  <c r="BB95" i="7"/>
  <c r="BB97" i="7"/>
  <c r="BB104" i="7"/>
  <c r="BB115" i="7"/>
  <c r="BB117" i="7"/>
  <c r="BB123" i="7"/>
  <c r="BB124" i="7"/>
  <c r="BB125" i="7"/>
  <c r="BB126" i="7"/>
  <c r="BB127" i="7"/>
  <c r="BB128" i="7"/>
  <c r="BB129" i="7"/>
  <c r="BB130" i="7"/>
  <c r="BB131" i="7"/>
  <c r="BB136" i="7"/>
  <c r="BB139" i="7"/>
  <c r="BB140" i="7"/>
  <c r="BB141" i="7"/>
  <c r="BB142" i="7"/>
  <c r="BB149" i="7"/>
  <c r="BB152" i="7"/>
  <c r="BB153" i="7"/>
  <c r="BB154" i="7"/>
  <c r="BB155" i="7"/>
  <c r="BB156" i="7"/>
  <c r="BB8" i="7"/>
  <c r="BB9" i="7"/>
  <c r="BB10" i="7"/>
  <c r="BB11" i="7"/>
  <c r="BB12" i="7"/>
  <c r="BB13" i="7"/>
  <c r="BB4" i="7"/>
  <c r="BB5" i="7"/>
  <c r="BB6" i="7"/>
  <c r="BB7" i="7"/>
  <c r="BB3" i="7"/>
  <c r="J16" i="13" l="1"/>
  <c r="I17" i="13"/>
  <c r="C3" i="13"/>
  <c r="C4"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3" i="13"/>
  <c r="C34" i="13"/>
  <c r="C35" i="13"/>
  <c r="C36" i="13"/>
  <c r="C38" i="13"/>
  <c r="C39" i="13"/>
  <c r="C42" i="13"/>
  <c r="C2" i="13"/>
  <c r="I18" i="13" l="1"/>
  <c r="J17" i="13"/>
  <c r="AL123" i="7"/>
  <c r="AI123" i="7"/>
  <c r="Z123" i="7"/>
  <c r="W123" i="7"/>
  <c r="T123" i="7"/>
  <c r="N123" i="7"/>
  <c r="J18" i="13" l="1"/>
  <c r="I19" i="13"/>
  <c r="D15" i="14"/>
  <c r="D14" i="14"/>
  <c r="D11" i="14"/>
  <c r="D10" i="14"/>
  <c r="BG2" i="7"/>
  <c r="BG116" i="7" s="1"/>
  <c r="B63" i="14"/>
  <c r="I20" i="13" l="1"/>
  <c r="J20" i="13" s="1"/>
  <c r="J19" i="13"/>
  <c r="BG112" i="7"/>
  <c r="BG22" i="7"/>
  <c r="BG21" i="7"/>
  <c r="E63" i="14"/>
  <c r="D63" i="14"/>
  <c r="B64" i="14"/>
  <c r="B65" i="14" s="1"/>
  <c r="BG110" i="7"/>
  <c r="BG33" i="7"/>
  <c r="BG44" i="7"/>
  <c r="BG84" i="7"/>
  <c r="BG114" i="7"/>
  <c r="BG43" i="7"/>
  <c r="C23" i="17"/>
  <c r="E23" i="17" s="1"/>
  <c r="C10" i="19"/>
  <c r="C24" i="17"/>
  <c r="E24" i="17" s="1"/>
  <c r="C11" i="19"/>
  <c r="C27" i="17"/>
  <c r="E27" i="17" s="1"/>
  <c r="C14" i="19"/>
  <c r="C28" i="17"/>
  <c r="E28" i="17" s="1"/>
  <c r="C15" i="19"/>
  <c r="BG111" i="7"/>
  <c r="BG113" i="7"/>
  <c r="BG46" i="7"/>
  <c r="BG45" i="7"/>
  <c r="BG150" i="7"/>
  <c r="BG151" i="7"/>
  <c r="BG148" i="7"/>
  <c r="BG147" i="7"/>
  <c r="BG146" i="7"/>
  <c r="BG137" i="7"/>
  <c r="BG138" i="7"/>
  <c r="BG145" i="7"/>
  <c r="BG144" i="7"/>
  <c r="BG143" i="7"/>
  <c r="BG135" i="7"/>
  <c r="BG134" i="7"/>
  <c r="BG133" i="7"/>
  <c r="BG132" i="7"/>
  <c r="BG109" i="7"/>
  <c r="BG121" i="7"/>
  <c r="BG120" i="7"/>
  <c r="BG106" i="7"/>
  <c r="BG108" i="7"/>
  <c r="BG107" i="7"/>
  <c r="BG103" i="7"/>
  <c r="BG105" i="7"/>
  <c r="BG100" i="7"/>
  <c r="BG102" i="7"/>
  <c r="BG98" i="7"/>
  <c r="BG101" i="7"/>
  <c r="BG90" i="7"/>
  <c r="BG96" i="7"/>
  <c r="BG99" i="7"/>
  <c r="BG82" i="7"/>
  <c r="BG89" i="7"/>
  <c r="BG78" i="7"/>
  <c r="BG80" i="7"/>
  <c r="BG74" i="7"/>
  <c r="BG76" i="7"/>
  <c r="BG58" i="7"/>
  <c r="BG70" i="7"/>
  <c r="BG66" i="7"/>
  <c r="BG62" i="7"/>
  <c r="BG57" i="7"/>
  <c r="BG69" i="7"/>
  <c r="BG65" i="7"/>
  <c r="BG61" i="7"/>
  <c r="BG56" i="7"/>
  <c r="BG68" i="7"/>
  <c r="BG64" i="7"/>
  <c r="BG60" i="7"/>
  <c r="BG38" i="7"/>
  <c r="BG40" i="7"/>
  <c r="BG32" i="7"/>
  <c r="BG36" i="7"/>
  <c r="BG35" i="7"/>
  <c r="BG122" i="7"/>
  <c r="BG31" i="7"/>
  <c r="BG118" i="7"/>
  <c r="BG119" i="7"/>
  <c r="BG169" i="7"/>
  <c r="BG165" i="7"/>
  <c r="BG172" i="7"/>
  <c r="BG168" i="7"/>
  <c r="BG164" i="7"/>
  <c r="BG171" i="7"/>
  <c r="BG167" i="7"/>
  <c r="BG163" i="7"/>
  <c r="BG170" i="7"/>
  <c r="BG166" i="7"/>
  <c r="BG162" i="7"/>
  <c r="BG160" i="7"/>
  <c r="BG161" i="7"/>
  <c r="BG157" i="7"/>
  <c r="BG158" i="7"/>
  <c r="BG159" i="7"/>
  <c r="BG156" i="7"/>
  <c r="BG123" i="7"/>
  <c r="BG6" i="7"/>
  <c r="BG10" i="7"/>
  <c r="BG14" i="7"/>
  <c r="BG18" i="7"/>
  <c r="BG24" i="7"/>
  <c r="BG28" i="7"/>
  <c r="BG37" i="7"/>
  <c r="BG47" i="7"/>
  <c r="BG51" i="7"/>
  <c r="BG59" i="7"/>
  <c r="BG71" i="7"/>
  <c r="BG77" i="7"/>
  <c r="BG85" i="7"/>
  <c r="BG91" i="7"/>
  <c r="BG95" i="7"/>
  <c r="BG117" i="7"/>
  <c r="BG127" i="7"/>
  <c r="BG131" i="7"/>
  <c r="BG141" i="7"/>
  <c r="BG153" i="7"/>
  <c r="BG3" i="7"/>
  <c r="BG7" i="7"/>
  <c r="BG11" i="7"/>
  <c r="BG15" i="7"/>
  <c r="BG19" i="7"/>
  <c r="BG25" i="7"/>
  <c r="BG29" i="7"/>
  <c r="BG39" i="7"/>
  <c r="BG48" i="7"/>
  <c r="BG52" i="7"/>
  <c r="BG63" i="7"/>
  <c r="BG72" i="7"/>
  <c r="BG79" i="7"/>
  <c r="BG86" i="7"/>
  <c r="BG92" i="7"/>
  <c r="BG97" i="7"/>
  <c r="BG124" i="7"/>
  <c r="BG128" i="7"/>
  <c r="BG136" i="7"/>
  <c r="BG142" i="7"/>
  <c r="BG154" i="7"/>
  <c r="BG4" i="7"/>
  <c r="BG8" i="7"/>
  <c r="BG12" i="7"/>
  <c r="BG16" i="7"/>
  <c r="BG20" i="7"/>
  <c r="BG26" i="7"/>
  <c r="BG30" i="7"/>
  <c r="BG41" i="7"/>
  <c r="BG49" i="7"/>
  <c r="BG53" i="7"/>
  <c r="BG67" i="7"/>
  <c r="BG73" i="7"/>
  <c r="BG81" i="7"/>
  <c r="BG87" i="7"/>
  <c r="BG93" i="7"/>
  <c r="BG104" i="7"/>
  <c r="BG125" i="7"/>
  <c r="BG129" i="7"/>
  <c r="BG139" i="7"/>
  <c r="BG149" i="7"/>
  <c r="BG155" i="7"/>
  <c r="BG5" i="7"/>
  <c r="BG9" i="7"/>
  <c r="BG13" i="7"/>
  <c r="BG17" i="7"/>
  <c r="BG23" i="7"/>
  <c r="BG27" i="7"/>
  <c r="BG34" i="7"/>
  <c r="BG42" i="7"/>
  <c r="BG50" i="7"/>
  <c r="BG54" i="7"/>
  <c r="BG55" i="7"/>
  <c r="BG75" i="7"/>
  <c r="BG83" i="7"/>
  <c r="BG88" i="7"/>
  <c r="BG94" i="7"/>
  <c r="BG115" i="7"/>
  <c r="BG126" i="7"/>
  <c r="BG130" i="7"/>
  <c r="BG140" i="7"/>
  <c r="BG152" i="7"/>
  <c r="F64" i="14" l="1"/>
  <c r="D64" i="14"/>
  <c r="E64" i="14"/>
  <c r="D63" i="19" s="1"/>
  <c r="D65" i="14"/>
  <c r="C77" i="17" s="1"/>
  <c r="F65" i="14"/>
  <c r="E65" i="14"/>
  <c r="C75" i="17"/>
  <c r="B66" i="14"/>
  <c r="AL104" i="7"/>
  <c r="AI104" i="7"/>
  <c r="AC104" i="7"/>
  <c r="Z104" i="7"/>
  <c r="W104" i="7"/>
  <c r="T104" i="7"/>
  <c r="N104" i="7"/>
  <c r="AL83" i="7"/>
  <c r="AI83" i="7"/>
  <c r="AF83" i="7"/>
  <c r="AC83" i="7"/>
  <c r="Z83" i="7"/>
  <c r="W83" i="7"/>
  <c r="T83" i="7"/>
  <c r="N83" i="7"/>
  <c r="AL81" i="7"/>
  <c r="AI81" i="7"/>
  <c r="AC81" i="7"/>
  <c r="Z81" i="7"/>
  <c r="W81" i="7"/>
  <c r="T81" i="7"/>
  <c r="N81" i="7"/>
  <c r="AL115" i="7"/>
  <c r="AI115" i="7"/>
  <c r="AF115" i="7"/>
  <c r="AC115" i="7"/>
  <c r="Z115" i="7"/>
  <c r="W115" i="7"/>
  <c r="T115" i="7"/>
  <c r="N115" i="7"/>
  <c r="K115" i="7"/>
  <c r="AL55" i="7"/>
  <c r="AI55" i="7"/>
  <c r="AC55" i="7"/>
  <c r="Z55" i="7"/>
  <c r="W55" i="7"/>
  <c r="T55" i="7"/>
  <c r="N55" i="7"/>
  <c r="AL67" i="7"/>
  <c r="AI67" i="7"/>
  <c r="AC67" i="7"/>
  <c r="Z67" i="7"/>
  <c r="W67" i="7"/>
  <c r="T67" i="7"/>
  <c r="N67" i="7"/>
  <c r="AL63" i="7"/>
  <c r="AI63" i="7"/>
  <c r="AC63" i="7"/>
  <c r="Z63" i="7"/>
  <c r="W63" i="7"/>
  <c r="T63" i="7"/>
  <c r="N63" i="7"/>
  <c r="AL59" i="7"/>
  <c r="AI59" i="7"/>
  <c r="AC59" i="7"/>
  <c r="Z59" i="7"/>
  <c r="W59" i="7"/>
  <c r="T59" i="7"/>
  <c r="N59" i="7"/>
  <c r="AL79" i="7"/>
  <c r="AI79" i="7"/>
  <c r="AC79" i="7"/>
  <c r="Z79" i="7"/>
  <c r="W79" i="7"/>
  <c r="T79" i="7"/>
  <c r="N79" i="7"/>
  <c r="AL77" i="7"/>
  <c r="AI77" i="7"/>
  <c r="AC77" i="7"/>
  <c r="Z77" i="7"/>
  <c r="W77" i="7"/>
  <c r="T77" i="7"/>
  <c r="N77" i="7"/>
  <c r="AL75" i="7"/>
  <c r="AI75" i="7"/>
  <c r="AC75" i="7"/>
  <c r="Z75" i="7"/>
  <c r="W75" i="7"/>
  <c r="T75" i="7"/>
  <c r="N75" i="7"/>
  <c r="AL73" i="7"/>
  <c r="AI73" i="7"/>
  <c r="AC73" i="7"/>
  <c r="Z73" i="7"/>
  <c r="W73" i="7"/>
  <c r="T73" i="7"/>
  <c r="N73" i="7"/>
  <c r="AL97" i="7"/>
  <c r="AI97" i="7"/>
  <c r="AC97" i="7"/>
  <c r="Z97" i="7"/>
  <c r="W97" i="7"/>
  <c r="T97" i="7"/>
  <c r="N97" i="7"/>
  <c r="AI95" i="7"/>
  <c r="AC95" i="7"/>
  <c r="Z95" i="7"/>
  <c r="W95" i="7"/>
  <c r="T95" i="7"/>
  <c r="N95" i="7"/>
  <c r="AI94" i="7"/>
  <c r="AC94" i="7"/>
  <c r="Z94" i="7"/>
  <c r="W94" i="7"/>
  <c r="T94" i="7"/>
  <c r="N94" i="7"/>
  <c r="AI93" i="7"/>
  <c r="AC93" i="7"/>
  <c r="Z93" i="7"/>
  <c r="W93" i="7"/>
  <c r="T93" i="7"/>
  <c r="N93" i="7"/>
  <c r="AI92" i="7"/>
  <c r="AC92" i="7"/>
  <c r="Z92" i="7"/>
  <c r="W92" i="7"/>
  <c r="T92" i="7"/>
  <c r="N92" i="7"/>
  <c r="AI91" i="7"/>
  <c r="AC91" i="7"/>
  <c r="Z91" i="7"/>
  <c r="W91" i="7"/>
  <c r="T91" i="7"/>
  <c r="N91" i="7"/>
  <c r="AI88" i="7"/>
  <c r="AC88" i="7"/>
  <c r="Z88" i="7"/>
  <c r="W88" i="7"/>
  <c r="T88" i="7"/>
  <c r="N88" i="7"/>
  <c r="AI87" i="7"/>
  <c r="AC87" i="7"/>
  <c r="Z87" i="7"/>
  <c r="W87" i="7"/>
  <c r="T87" i="7"/>
  <c r="N87" i="7"/>
  <c r="AI86" i="7"/>
  <c r="AC86" i="7"/>
  <c r="Z86" i="7"/>
  <c r="W86" i="7"/>
  <c r="T86" i="7"/>
  <c r="N86" i="7"/>
  <c r="AI85" i="7"/>
  <c r="AC85" i="7"/>
  <c r="Z85" i="7"/>
  <c r="W85" i="7"/>
  <c r="T85" i="7"/>
  <c r="N85" i="7"/>
  <c r="AL72" i="7"/>
  <c r="AI72" i="7"/>
  <c r="AC72" i="7"/>
  <c r="Z72" i="7"/>
  <c r="W72" i="7"/>
  <c r="T72" i="7"/>
  <c r="N72" i="7"/>
  <c r="AL71" i="7"/>
  <c r="AI71" i="7"/>
  <c r="AC71" i="7"/>
  <c r="Z71" i="7"/>
  <c r="W71" i="7"/>
  <c r="T71" i="7"/>
  <c r="N71" i="7"/>
  <c r="AI54" i="7"/>
  <c r="AC54" i="7"/>
  <c r="Z54" i="7"/>
  <c r="W54" i="7"/>
  <c r="T54" i="7"/>
  <c r="N54" i="7"/>
  <c r="AI53" i="7"/>
  <c r="AC53" i="7"/>
  <c r="Z53" i="7"/>
  <c r="W53" i="7"/>
  <c r="T53" i="7"/>
  <c r="N53" i="7"/>
  <c r="AI52" i="7"/>
  <c r="AC52" i="7"/>
  <c r="Z52" i="7"/>
  <c r="W52" i="7"/>
  <c r="T52" i="7"/>
  <c r="N52" i="7"/>
  <c r="AI51" i="7"/>
  <c r="AC51" i="7"/>
  <c r="Z51" i="7"/>
  <c r="W51" i="7"/>
  <c r="T51" i="7"/>
  <c r="N51" i="7"/>
  <c r="AI50" i="7"/>
  <c r="AC50" i="7"/>
  <c r="Z50" i="7"/>
  <c r="W50" i="7"/>
  <c r="T50" i="7"/>
  <c r="N50" i="7"/>
  <c r="AI49" i="7"/>
  <c r="AC49" i="7"/>
  <c r="Z49" i="7"/>
  <c r="W49" i="7"/>
  <c r="T49" i="7"/>
  <c r="N49" i="7"/>
  <c r="AI48" i="7"/>
  <c r="AC48" i="7"/>
  <c r="Z48" i="7"/>
  <c r="W48" i="7"/>
  <c r="T48" i="7"/>
  <c r="N48" i="7"/>
  <c r="AI47" i="7"/>
  <c r="AC47" i="7"/>
  <c r="Z47" i="7"/>
  <c r="W47" i="7"/>
  <c r="T47" i="7"/>
  <c r="N47" i="7"/>
  <c r="AL42" i="7"/>
  <c r="AI42" i="7"/>
  <c r="AC42" i="7"/>
  <c r="Z42" i="7"/>
  <c r="W42" i="7"/>
  <c r="T42" i="7"/>
  <c r="N42" i="7"/>
  <c r="AL41" i="7"/>
  <c r="AI41" i="7"/>
  <c r="AC41" i="7"/>
  <c r="Z41" i="7"/>
  <c r="W41" i="7"/>
  <c r="T41" i="7"/>
  <c r="N41" i="7"/>
  <c r="AL39" i="7"/>
  <c r="AC39" i="7"/>
  <c r="Z39" i="7"/>
  <c r="W39" i="7"/>
  <c r="T39" i="7"/>
  <c r="N39" i="7"/>
  <c r="AL37" i="7"/>
  <c r="AC37" i="7"/>
  <c r="Z37" i="7"/>
  <c r="W37" i="7"/>
  <c r="T37" i="7"/>
  <c r="N37" i="7"/>
  <c r="AL34" i="7"/>
  <c r="AI34" i="7"/>
  <c r="AC34" i="7"/>
  <c r="Z34" i="7"/>
  <c r="W34" i="7"/>
  <c r="T34" i="7"/>
  <c r="N34" i="7"/>
  <c r="N30" i="7"/>
  <c r="T30" i="7"/>
  <c r="W30" i="7"/>
  <c r="Z30" i="7"/>
  <c r="AC30" i="7"/>
  <c r="AI30" i="7"/>
  <c r="AL30" i="7"/>
  <c r="AL29" i="7"/>
  <c r="AI29" i="7"/>
  <c r="AC29" i="7"/>
  <c r="Z29" i="7"/>
  <c r="W29" i="7"/>
  <c r="T29" i="7"/>
  <c r="N29" i="7"/>
  <c r="AL28" i="7"/>
  <c r="AI28" i="7"/>
  <c r="AC28" i="7"/>
  <c r="Z28" i="7"/>
  <c r="W28" i="7"/>
  <c r="T28" i="7"/>
  <c r="N28" i="7"/>
  <c r="AL27" i="7"/>
  <c r="AI27" i="7"/>
  <c r="AC27" i="7"/>
  <c r="Z27" i="7"/>
  <c r="W27" i="7"/>
  <c r="T27" i="7"/>
  <c r="N27" i="7"/>
  <c r="AL26" i="7"/>
  <c r="AI26" i="7"/>
  <c r="AC26" i="7"/>
  <c r="Z26" i="7"/>
  <c r="W26" i="7"/>
  <c r="T26" i="7"/>
  <c r="N26" i="7"/>
  <c r="AL25" i="7"/>
  <c r="AC25" i="7"/>
  <c r="Z25" i="7"/>
  <c r="W25" i="7"/>
  <c r="T25" i="7"/>
  <c r="N25" i="7"/>
  <c r="AL24" i="7"/>
  <c r="AC24" i="7"/>
  <c r="Z24" i="7"/>
  <c r="W24" i="7"/>
  <c r="T24" i="7"/>
  <c r="N24" i="7"/>
  <c r="AL23" i="7"/>
  <c r="AI23" i="7"/>
  <c r="AF23" i="7"/>
  <c r="AC23" i="7"/>
  <c r="Z23" i="7"/>
  <c r="W23" i="7"/>
  <c r="T23" i="7"/>
  <c r="N23" i="7"/>
  <c r="K23" i="7"/>
  <c r="AL20" i="7"/>
  <c r="AI20" i="7"/>
  <c r="AC20" i="7"/>
  <c r="Z20" i="7"/>
  <c r="W20" i="7"/>
  <c r="T20" i="7"/>
  <c r="N20" i="7"/>
  <c r="K20" i="7"/>
  <c r="AL19" i="7"/>
  <c r="AI19" i="7"/>
  <c r="AC19" i="7"/>
  <c r="Z19" i="7"/>
  <c r="W19" i="7"/>
  <c r="T19" i="7"/>
  <c r="N19" i="7"/>
  <c r="K19" i="7"/>
  <c r="AI18" i="7"/>
  <c r="AC18" i="7"/>
  <c r="Z18" i="7"/>
  <c r="W18" i="7"/>
  <c r="T18" i="7"/>
  <c r="N18" i="7"/>
  <c r="K18" i="7"/>
  <c r="AI17" i="7"/>
  <c r="AC17" i="7"/>
  <c r="Z17" i="7"/>
  <c r="W17" i="7"/>
  <c r="T17" i="7"/>
  <c r="N17" i="7"/>
  <c r="K17" i="7"/>
  <c r="AI14" i="7"/>
  <c r="AC14" i="7"/>
  <c r="Z14" i="7"/>
  <c r="W14" i="7"/>
  <c r="T14" i="7"/>
  <c r="N14" i="7"/>
  <c r="K14" i="7"/>
  <c r="AI13" i="7"/>
  <c r="AC13" i="7"/>
  <c r="Z13" i="7"/>
  <c r="W13" i="7"/>
  <c r="T13" i="7"/>
  <c r="N13" i="7"/>
  <c r="K13" i="7"/>
  <c r="AI16" i="7"/>
  <c r="AC16" i="7"/>
  <c r="Z16" i="7"/>
  <c r="W16" i="7"/>
  <c r="T16" i="7"/>
  <c r="N16" i="7"/>
  <c r="K16" i="7"/>
  <c r="AI15" i="7"/>
  <c r="AC15" i="7"/>
  <c r="Z15" i="7"/>
  <c r="W15" i="7"/>
  <c r="T15" i="7"/>
  <c r="N15" i="7"/>
  <c r="K15" i="7"/>
  <c r="AI12" i="7"/>
  <c r="AC12" i="7"/>
  <c r="Z12" i="7"/>
  <c r="W12" i="7"/>
  <c r="T12" i="7"/>
  <c r="N12" i="7"/>
  <c r="K12" i="7"/>
  <c r="AL149" i="7"/>
  <c r="AL139" i="7"/>
  <c r="AL156" i="7"/>
  <c r="AL155" i="7"/>
  <c r="AL154" i="7"/>
  <c r="AL153" i="7"/>
  <c r="AL152" i="7"/>
  <c r="AL117" i="7"/>
  <c r="AL142" i="7"/>
  <c r="AL141" i="7"/>
  <c r="AL140" i="7"/>
  <c r="AL131" i="7"/>
  <c r="AL130" i="7"/>
  <c r="AL129" i="7"/>
  <c r="AL128" i="7"/>
  <c r="AL127" i="7"/>
  <c r="AL126" i="7"/>
  <c r="AL125" i="7"/>
  <c r="AL124" i="7"/>
  <c r="AL10" i="7"/>
  <c r="AL9" i="7"/>
  <c r="AL8" i="7"/>
  <c r="AL7" i="7"/>
  <c r="AL6" i="7"/>
  <c r="AL5" i="7"/>
  <c r="AL136" i="7"/>
  <c r="AL4" i="7"/>
  <c r="AL3" i="7"/>
  <c r="AL2" i="7"/>
  <c r="AL45" i="7" s="1"/>
  <c r="AI11" i="7"/>
  <c r="AC11" i="7"/>
  <c r="Z11" i="7"/>
  <c r="W11" i="7"/>
  <c r="T11" i="7"/>
  <c r="N11" i="7"/>
  <c r="AI149" i="7"/>
  <c r="AC149" i="7"/>
  <c r="Z149" i="7"/>
  <c r="W149" i="7"/>
  <c r="T149" i="7"/>
  <c r="N149" i="7"/>
  <c r="AI139" i="7"/>
  <c r="AC139" i="7"/>
  <c r="Z139" i="7"/>
  <c r="W139" i="7"/>
  <c r="T139" i="7"/>
  <c r="N139" i="7"/>
  <c r="AI156" i="7"/>
  <c r="AF156" i="7"/>
  <c r="AC156" i="7"/>
  <c r="Z156" i="7"/>
  <c r="W156" i="7"/>
  <c r="T156" i="7"/>
  <c r="N156" i="7"/>
  <c r="AI155" i="7"/>
  <c r="AF155" i="7"/>
  <c r="Z155" i="7"/>
  <c r="N155" i="7"/>
  <c r="AI154" i="7"/>
  <c r="AF154" i="7"/>
  <c r="Z154" i="7"/>
  <c r="N154" i="7"/>
  <c r="AI153" i="7"/>
  <c r="AF153" i="7"/>
  <c r="Z153" i="7"/>
  <c r="W153" i="7"/>
  <c r="N153" i="7"/>
  <c r="AI152" i="7"/>
  <c r="AF152" i="7"/>
  <c r="Z152" i="7"/>
  <c r="W152" i="7"/>
  <c r="N152" i="7"/>
  <c r="AI136" i="7"/>
  <c r="AF136" i="7"/>
  <c r="Z136" i="7"/>
  <c r="N136" i="7"/>
  <c r="C64" i="19" l="1"/>
  <c r="F66" i="14"/>
  <c r="D66" i="14"/>
  <c r="C78" i="17" s="1"/>
  <c r="E66" i="14"/>
  <c r="D65" i="19" s="1"/>
  <c r="C76" i="17"/>
  <c r="E76" i="17" s="1"/>
  <c r="C63" i="19"/>
  <c r="D64" i="19"/>
  <c r="AL96" i="7"/>
  <c r="AL46" i="7"/>
  <c r="AL89" i="7"/>
  <c r="AL90" i="7"/>
  <c r="E77" i="17"/>
  <c r="AL12" i="7"/>
  <c r="AL161" i="7"/>
  <c r="AL158" i="7"/>
  <c r="AL157" i="7"/>
  <c r="AL159" i="7"/>
  <c r="AL160" i="7"/>
  <c r="B67" i="14"/>
  <c r="AL50" i="7"/>
  <c r="AL48" i="7"/>
  <c r="AL85" i="7"/>
  <c r="AL53" i="7"/>
  <c r="AL47" i="7"/>
  <c r="AL52" i="7"/>
  <c r="AL49" i="7"/>
  <c r="AL51" i="7"/>
  <c r="AL54" i="7"/>
  <c r="AL86" i="7"/>
  <c r="AL88" i="7"/>
  <c r="AL93" i="7"/>
  <c r="AL95" i="7"/>
  <c r="AL92" i="7"/>
  <c r="AL87" i="7"/>
  <c r="AL91" i="7"/>
  <c r="AL94" i="7"/>
  <c r="AL11" i="7"/>
  <c r="AL14" i="7"/>
  <c r="AL16" i="7"/>
  <c r="AL17" i="7"/>
  <c r="AL15" i="7"/>
  <c r="AL13" i="7"/>
  <c r="AL18" i="7"/>
  <c r="AI117" i="7"/>
  <c r="AC117" i="7"/>
  <c r="Z117" i="7"/>
  <c r="W117" i="7"/>
  <c r="T117" i="7"/>
  <c r="N117" i="7"/>
  <c r="AI142" i="7"/>
  <c r="AC142" i="7"/>
  <c r="Z142" i="7"/>
  <c r="W142" i="7"/>
  <c r="T142" i="7"/>
  <c r="N142" i="7"/>
  <c r="AI141" i="7"/>
  <c r="AC141" i="7"/>
  <c r="Z141" i="7"/>
  <c r="W141" i="7"/>
  <c r="T141" i="7"/>
  <c r="N141" i="7"/>
  <c r="AI140" i="7"/>
  <c r="AC140" i="7"/>
  <c r="Z140" i="7"/>
  <c r="W140" i="7"/>
  <c r="T140" i="7"/>
  <c r="N140" i="7"/>
  <c r="AI131" i="7"/>
  <c r="AI130" i="7"/>
  <c r="AI129" i="7"/>
  <c r="AI128" i="7"/>
  <c r="AI127" i="7"/>
  <c r="AI126" i="7"/>
  <c r="AI125" i="7"/>
  <c r="AI124" i="7"/>
  <c r="AI10" i="7"/>
  <c r="AI9" i="7"/>
  <c r="AI8" i="7"/>
  <c r="AI7" i="7"/>
  <c r="AI6" i="7"/>
  <c r="AI5" i="7"/>
  <c r="AI4" i="7"/>
  <c r="AI3" i="7"/>
  <c r="AI2" i="7"/>
  <c r="AI110" i="7" s="1"/>
  <c r="AC131" i="7"/>
  <c r="Z131" i="7"/>
  <c r="W131" i="7"/>
  <c r="T131" i="7"/>
  <c r="N131" i="7"/>
  <c r="AC130" i="7"/>
  <c r="Z130" i="7"/>
  <c r="W130" i="7"/>
  <c r="T130" i="7"/>
  <c r="N130" i="7"/>
  <c r="AC129" i="7"/>
  <c r="Z129" i="7"/>
  <c r="W129" i="7"/>
  <c r="T129" i="7"/>
  <c r="N129" i="7"/>
  <c r="AC128" i="7"/>
  <c r="Z128" i="7"/>
  <c r="W128" i="7"/>
  <c r="T128" i="7"/>
  <c r="N128" i="7"/>
  <c r="AC127" i="7"/>
  <c r="Z127" i="7"/>
  <c r="W127" i="7"/>
  <c r="T127" i="7"/>
  <c r="N127" i="7"/>
  <c r="AC126" i="7"/>
  <c r="Z126" i="7"/>
  <c r="W126" i="7"/>
  <c r="T126" i="7"/>
  <c r="N126" i="7"/>
  <c r="AC125" i="7"/>
  <c r="Z125" i="7"/>
  <c r="W125" i="7"/>
  <c r="T125" i="7"/>
  <c r="N125" i="7"/>
  <c r="AF2" i="7"/>
  <c r="AF116" i="7" s="1"/>
  <c r="AF3" i="7"/>
  <c r="AF5" i="7"/>
  <c r="AF6" i="7"/>
  <c r="AF7" i="7"/>
  <c r="AF8" i="7"/>
  <c r="AF9" i="7"/>
  <c r="AF10" i="7"/>
  <c r="AF112" i="7" l="1"/>
  <c r="AF21" i="7"/>
  <c r="AF22" i="7"/>
  <c r="C65" i="19"/>
  <c r="F67" i="14"/>
  <c r="E67" i="14"/>
  <c r="D66" i="19" s="1"/>
  <c r="D67" i="14"/>
  <c r="C79" i="17" s="1"/>
  <c r="AF110" i="7"/>
  <c r="AF33" i="7"/>
  <c r="AF114" i="7"/>
  <c r="AF43" i="7"/>
  <c r="AF111" i="7"/>
  <c r="AF113" i="7"/>
  <c r="AF46" i="7"/>
  <c r="AF45" i="7"/>
  <c r="AF109" i="7"/>
  <c r="AF108" i="7"/>
  <c r="AF107" i="7"/>
  <c r="AF106" i="7"/>
  <c r="AF105" i="7"/>
  <c r="AF104" i="7"/>
  <c r="AF150" i="7"/>
  <c r="AF151" i="7"/>
  <c r="AF148" i="7"/>
  <c r="AF147" i="7"/>
  <c r="AF146" i="7"/>
  <c r="AF137" i="7"/>
  <c r="AF145" i="7"/>
  <c r="AF144" i="7"/>
  <c r="AF143" i="7"/>
  <c r="AF138" i="7"/>
  <c r="AF135" i="7"/>
  <c r="AF134" i="7"/>
  <c r="AF133" i="7"/>
  <c r="AF132" i="7"/>
  <c r="AF103" i="7"/>
  <c r="AF121" i="7"/>
  <c r="AF120" i="7"/>
  <c r="AF102" i="7"/>
  <c r="AF100" i="7"/>
  <c r="AF98" i="7"/>
  <c r="AF101" i="7"/>
  <c r="AF90" i="7"/>
  <c r="AF99" i="7"/>
  <c r="AF96" i="7"/>
  <c r="AF89" i="7"/>
  <c r="AF82" i="7"/>
  <c r="AF78" i="7"/>
  <c r="AF80" i="7"/>
  <c r="AF74" i="7"/>
  <c r="AF76" i="7"/>
  <c r="AF58" i="7"/>
  <c r="AF70" i="7"/>
  <c r="AF66" i="7"/>
  <c r="AF62" i="7"/>
  <c r="AF57" i="7"/>
  <c r="AF69" i="7"/>
  <c r="AF65" i="7"/>
  <c r="AF61" i="7"/>
  <c r="AF56" i="7"/>
  <c r="AF68" i="7"/>
  <c r="AF64" i="7"/>
  <c r="AF60" i="7"/>
  <c r="AF38" i="7"/>
  <c r="AF40" i="7"/>
  <c r="AI38" i="7"/>
  <c r="AI40" i="7"/>
  <c r="AF32" i="7"/>
  <c r="AF35" i="7"/>
  <c r="AF36" i="7"/>
  <c r="AF122" i="7"/>
  <c r="AF31" i="7"/>
  <c r="E78" i="17"/>
  <c r="AF118" i="7"/>
  <c r="AF119" i="7"/>
  <c r="AF171" i="7"/>
  <c r="AF167" i="7"/>
  <c r="AF163" i="7"/>
  <c r="AF170" i="7"/>
  <c r="AF166" i="7"/>
  <c r="AF162" i="7"/>
  <c r="AF169" i="7"/>
  <c r="AF165" i="7"/>
  <c r="AF172" i="7"/>
  <c r="AF168" i="7"/>
  <c r="AF164" i="7"/>
  <c r="AF123" i="7"/>
  <c r="AF159" i="7"/>
  <c r="AF160" i="7"/>
  <c r="AF158" i="7"/>
  <c r="AF161" i="7"/>
  <c r="AF157" i="7"/>
  <c r="B68" i="14"/>
  <c r="AF63" i="7"/>
  <c r="AF67" i="7"/>
  <c r="AF81" i="7"/>
  <c r="AF55" i="7"/>
  <c r="AF59" i="7"/>
  <c r="AF77" i="7"/>
  <c r="AF73" i="7"/>
  <c r="AF95" i="7"/>
  <c r="AF93" i="7"/>
  <c r="AF88" i="7"/>
  <c r="AF86" i="7"/>
  <c r="AF72" i="7"/>
  <c r="AF54" i="7"/>
  <c r="AF51" i="7"/>
  <c r="AF52" i="7"/>
  <c r="AF79" i="7"/>
  <c r="AF75" i="7"/>
  <c r="AF97" i="7"/>
  <c r="AF94" i="7"/>
  <c r="AF91" i="7"/>
  <c r="AF87" i="7"/>
  <c r="AF85" i="7"/>
  <c r="AF71" i="7"/>
  <c r="AF53" i="7"/>
  <c r="AF50" i="7"/>
  <c r="AF48" i="7"/>
  <c r="AF49" i="7"/>
  <c r="AF92" i="7"/>
  <c r="AF11" i="7"/>
  <c r="AF30" i="7"/>
  <c r="AF29" i="7"/>
  <c r="AF27" i="7"/>
  <c r="AF25" i="7"/>
  <c r="AF14" i="7"/>
  <c r="AF18" i="7"/>
  <c r="AF47" i="7"/>
  <c r="AF41" i="7"/>
  <c r="AF37" i="7"/>
  <c r="AF19" i="7"/>
  <c r="AF17" i="7"/>
  <c r="AF16" i="7"/>
  <c r="AF12" i="7"/>
  <c r="AF24" i="7"/>
  <c r="AF13" i="7"/>
  <c r="AF15" i="7"/>
  <c r="AF28" i="7"/>
  <c r="AF26" i="7"/>
  <c r="AF42" i="7"/>
  <c r="AF39" i="7"/>
  <c r="AF34" i="7"/>
  <c r="AF20" i="7"/>
  <c r="AI37" i="7"/>
  <c r="AI39" i="7"/>
  <c r="AI24" i="7"/>
  <c r="AI25" i="7"/>
  <c r="AF4" i="7"/>
  <c r="AF149" i="7"/>
  <c r="AF139" i="7"/>
  <c r="AF117" i="7"/>
  <c r="AF126" i="7"/>
  <c r="AF142" i="7"/>
  <c r="AF140" i="7"/>
  <c r="AF141" i="7"/>
  <c r="AF127" i="7"/>
  <c r="AF125" i="7"/>
  <c r="AF128" i="7"/>
  <c r="AF129" i="7"/>
  <c r="AF130" i="7"/>
  <c r="AF131" i="7"/>
  <c r="AF124" i="7"/>
  <c r="AC124" i="7"/>
  <c r="Z124" i="7"/>
  <c r="W124" i="7"/>
  <c r="T124" i="7"/>
  <c r="N124" i="7"/>
  <c r="AC10" i="7"/>
  <c r="AC9" i="7"/>
  <c r="AC8" i="7"/>
  <c r="AC7" i="7"/>
  <c r="AC6" i="7"/>
  <c r="AC5" i="7"/>
  <c r="AC3" i="7"/>
  <c r="AC2" i="7"/>
  <c r="K10" i="7"/>
  <c r="K9" i="7"/>
  <c r="K8" i="7"/>
  <c r="K7" i="7"/>
  <c r="K6" i="7"/>
  <c r="K5" i="7"/>
  <c r="Z2" i="7"/>
  <c r="Z3" i="7" s="1"/>
  <c r="W2" i="7"/>
  <c r="T2" i="7"/>
  <c r="C66" i="19" l="1"/>
  <c r="F68" i="14"/>
  <c r="E68" i="14"/>
  <c r="D67" i="19" s="1"/>
  <c r="D68" i="14"/>
  <c r="C67" i="19" s="1"/>
  <c r="T114" i="7"/>
  <c r="T112" i="7"/>
  <c r="AC118" i="7"/>
  <c r="AC121" i="7"/>
  <c r="AC120" i="7"/>
  <c r="AC122" i="7"/>
  <c r="AC119" i="7"/>
  <c r="AC123" i="7"/>
  <c r="AC155" i="7"/>
  <c r="AC136" i="7"/>
  <c r="AC154" i="7"/>
  <c r="AC152" i="7"/>
  <c r="AC153" i="7"/>
  <c r="T111" i="7"/>
  <c r="T113" i="7"/>
  <c r="AC4" i="7"/>
  <c r="AC45" i="7"/>
  <c r="E79" i="17"/>
  <c r="B69" i="14"/>
  <c r="W155" i="7"/>
  <c r="W154" i="7"/>
  <c r="T155" i="7"/>
  <c r="T154" i="7"/>
  <c r="T153" i="7"/>
  <c r="T152" i="7"/>
  <c r="W4" i="7"/>
  <c r="W136" i="7"/>
  <c r="T4" i="7"/>
  <c r="T136" i="7"/>
  <c r="Z5" i="7"/>
  <c r="Z7" i="7"/>
  <c r="Z9" i="7"/>
  <c r="Z6" i="7"/>
  <c r="Z10" i="7"/>
  <c r="Z8" i="7"/>
  <c r="W8" i="7"/>
  <c r="W10" i="7"/>
  <c r="T5" i="7"/>
  <c r="T7" i="7"/>
  <c r="T9" i="7"/>
  <c r="W7" i="7"/>
  <c r="W5" i="7"/>
  <c r="W9" i="7"/>
  <c r="T6" i="7"/>
  <c r="T8" i="7"/>
  <c r="T10" i="7"/>
  <c r="W6" i="7"/>
  <c r="Z4" i="7"/>
  <c r="W3" i="7"/>
  <c r="T3" i="7"/>
  <c r="C80" i="17" l="1"/>
  <c r="E80" i="17" s="1"/>
  <c r="D69" i="14"/>
  <c r="C81" i="17" s="1"/>
  <c r="F69" i="14"/>
  <c r="E69" i="14"/>
  <c r="D68" i="19" s="1"/>
  <c r="B70" i="14"/>
  <c r="Q2" i="7"/>
  <c r="N2" i="7"/>
  <c r="N4" i="7" s="1"/>
  <c r="K2" i="7"/>
  <c r="K116" i="7" s="1"/>
  <c r="C68" i="19" l="1"/>
  <c r="F70" i="14"/>
  <c r="D70" i="14"/>
  <c r="C82" i="17" s="1"/>
  <c r="E70" i="14"/>
  <c r="D69" i="19" s="1"/>
  <c r="K33" i="7"/>
  <c r="K112" i="7"/>
  <c r="K84" i="7"/>
  <c r="K110" i="7"/>
  <c r="K114" i="7"/>
  <c r="K43" i="7"/>
  <c r="Q152" i="7"/>
  <c r="Q153" i="7"/>
  <c r="K111" i="7"/>
  <c r="K113" i="7"/>
  <c r="K150" i="7"/>
  <c r="K151" i="7"/>
  <c r="Q150" i="7"/>
  <c r="Q151" i="7"/>
  <c r="K148" i="7"/>
  <c r="K147" i="7"/>
  <c r="K146" i="7"/>
  <c r="K137" i="7"/>
  <c r="K145" i="7"/>
  <c r="K144" i="7"/>
  <c r="K143" i="7"/>
  <c r="K138" i="7"/>
  <c r="Q137" i="7"/>
  <c r="Q138" i="7"/>
  <c r="K135" i="7"/>
  <c r="K134" i="7"/>
  <c r="K133" i="7"/>
  <c r="K132" i="7"/>
  <c r="K109" i="7"/>
  <c r="K121" i="7"/>
  <c r="K120" i="7"/>
  <c r="K106" i="7"/>
  <c r="K108" i="7"/>
  <c r="K107" i="7"/>
  <c r="K103" i="7"/>
  <c r="K105" i="7"/>
  <c r="K102" i="7"/>
  <c r="K100" i="7"/>
  <c r="K98" i="7"/>
  <c r="K101" i="7"/>
  <c r="K90" i="7"/>
  <c r="K99" i="7"/>
  <c r="K96" i="7"/>
  <c r="K89" i="7"/>
  <c r="K82" i="7"/>
  <c r="K78" i="7"/>
  <c r="K80" i="7"/>
  <c r="K74" i="7"/>
  <c r="K76" i="7"/>
  <c r="K58" i="7"/>
  <c r="K70" i="7"/>
  <c r="K66" i="7"/>
  <c r="K62" i="7"/>
  <c r="K57" i="7"/>
  <c r="K69" i="7"/>
  <c r="K65" i="7"/>
  <c r="K61" i="7"/>
  <c r="K60" i="7"/>
  <c r="K56" i="7"/>
  <c r="K64" i="7"/>
  <c r="K68" i="7"/>
  <c r="K38" i="7"/>
  <c r="K40" i="7"/>
  <c r="K32" i="7"/>
  <c r="K36" i="7"/>
  <c r="K35" i="7"/>
  <c r="K122" i="7"/>
  <c r="K31" i="7"/>
  <c r="E81" i="17"/>
  <c r="Q139" i="7"/>
  <c r="Q149" i="7"/>
  <c r="Q136" i="7"/>
  <c r="K118" i="7"/>
  <c r="K119" i="7"/>
  <c r="K170" i="7"/>
  <c r="K166" i="7"/>
  <c r="K162" i="7"/>
  <c r="K169" i="7"/>
  <c r="K165" i="7"/>
  <c r="K172" i="7"/>
  <c r="K168" i="7"/>
  <c r="K164" i="7"/>
  <c r="K171" i="7"/>
  <c r="K167" i="7"/>
  <c r="K163" i="7"/>
  <c r="K123" i="7"/>
  <c r="K160" i="7"/>
  <c r="K161" i="7"/>
  <c r="K157" i="7"/>
  <c r="K158" i="7"/>
  <c r="K159" i="7"/>
  <c r="B71" i="14"/>
  <c r="K83" i="7"/>
  <c r="K67" i="7"/>
  <c r="K104" i="7"/>
  <c r="K81" i="7"/>
  <c r="K55" i="7"/>
  <c r="K59" i="7"/>
  <c r="K63" i="7"/>
  <c r="K52" i="7"/>
  <c r="K79" i="7"/>
  <c r="K75" i="7"/>
  <c r="K97" i="7"/>
  <c r="K94" i="7"/>
  <c r="K91" i="7"/>
  <c r="K87" i="7"/>
  <c r="K85" i="7"/>
  <c r="K71" i="7"/>
  <c r="K53" i="7"/>
  <c r="K50" i="7"/>
  <c r="K48" i="7"/>
  <c r="K92" i="7"/>
  <c r="K77" i="7"/>
  <c r="K73" i="7"/>
  <c r="K95" i="7"/>
  <c r="K93" i="7"/>
  <c r="K88" i="7"/>
  <c r="K86" i="7"/>
  <c r="K72" i="7"/>
  <c r="K54" i="7"/>
  <c r="K51" i="7"/>
  <c r="K49" i="7"/>
  <c r="K11" i="7"/>
  <c r="K47" i="7"/>
  <c r="K41" i="7"/>
  <c r="K37" i="7"/>
  <c r="K27" i="7"/>
  <c r="K25" i="7"/>
  <c r="K30" i="7"/>
  <c r="K28" i="7"/>
  <c r="K26" i="7"/>
  <c r="K42" i="7"/>
  <c r="K39" i="7"/>
  <c r="K34" i="7"/>
  <c r="K24" i="7"/>
  <c r="K29" i="7"/>
  <c r="K149" i="7"/>
  <c r="K139" i="7"/>
  <c r="K154" i="7"/>
  <c r="K156" i="7"/>
  <c r="K155" i="7"/>
  <c r="K153" i="7"/>
  <c r="K152" i="7"/>
  <c r="K136" i="7"/>
  <c r="K117" i="7"/>
  <c r="K140" i="7"/>
  <c r="K142" i="7"/>
  <c r="K141" i="7"/>
  <c r="K131" i="7"/>
  <c r="K127" i="7"/>
  <c r="K130" i="7"/>
  <c r="K129" i="7"/>
  <c r="K128" i="7"/>
  <c r="K126" i="7"/>
  <c r="K125" i="7"/>
  <c r="K124" i="7"/>
  <c r="N9" i="7"/>
  <c r="N7" i="7"/>
  <c r="N5" i="7"/>
  <c r="N10" i="7"/>
  <c r="N8" i="7"/>
  <c r="N6" i="7"/>
  <c r="N3" i="7"/>
  <c r="K3" i="7"/>
  <c r="K4" i="7"/>
  <c r="H2" i="7"/>
  <c r="H116" i="7" s="1"/>
  <c r="E4" i="13"/>
  <c r="L4" i="13" s="1"/>
  <c r="BC116" i="7" l="1"/>
  <c r="BI116" i="7" s="1"/>
  <c r="H112" i="7"/>
  <c r="H21" i="7"/>
  <c r="H22" i="7"/>
  <c r="C69" i="19"/>
  <c r="B72" i="14"/>
  <c r="E71" i="14"/>
  <c r="D70" i="19" s="1"/>
  <c r="D71" i="14"/>
  <c r="C83" i="17" s="1"/>
  <c r="H110" i="7"/>
  <c r="H33" i="7"/>
  <c r="H44" i="7"/>
  <c r="H84" i="7"/>
  <c r="BK151" i="7"/>
  <c r="BK143" i="7"/>
  <c r="BK135" i="7"/>
  <c r="BK114" i="7"/>
  <c r="BK108" i="7"/>
  <c r="BK76" i="7"/>
  <c r="BK56" i="7"/>
  <c r="BK107" i="7"/>
  <c r="BK132" i="7"/>
  <c r="BK32" i="7"/>
  <c r="E41" i="13"/>
  <c r="L41" i="13" s="1"/>
  <c r="E40" i="13"/>
  <c r="BK147" i="7"/>
  <c r="D31" i="13"/>
  <c r="E43" i="13"/>
  <c r="E44" i="13"/>
  <c r="E45" i="13"/>
  <c r="L45" i="13" s="1"/>
  <c r="H114" i="7"/>
  <c r="H43" i="7"/>
  <c r="D39" i="13"/>
  <c r="D11" i="13"/>
  <c r="D30" i="13"/>
  <c r="E37" i="13"/>
  <c r="H111" i="7"/>
  <c r="BC111" i="7" s="1"/>
  <c r="H113" i="7"/>
  <c r="BC113" i="7" s="1"/>
  <c r="H46" i="7"/>
  <c r="BC46" i="7" s="1"/>
  <c r="H45" i="7"/>
  <c r="BC45" i="7" s="1"/>
  <c r="D2" i="13"/>
  <c r="L2" i="13" s="1"/>
  <c r="BK148" i="7"/>
  <c r="H150" i="7"/>
  <c r="BC150" i="7" s="1"/>
  <c r="H151" i="7"/>
  <c r="BC151" i="7" s="1"/>
  <c r="H148" i="7"/>
  <c r="BC148" i="7" s="1"/>
  <c r="H147" i="7"/>
  <c r="BC147" i="7" s="1"/>
  <c r="H146" i="7"/>
  <c r="BC146" i="7" s="1"/>
  <c r="H137" i="7"/>
  <c r="BC137" i="7" s="1"/>
  <c r="H145" i="7"/>
  <c r="BC145" i="7" s="1"/>
  <c r="H144" i="7"/>
  <c r="BC144" i="7" s="1"/>
  <c r="H143" i="7"/>
  <c r="BC143" i="7" s="1"/>
  <c r="H138" i="7"/>
  <c r="BC138" i="7" s="1"/>
  <c r="H135" i="7"/>
  <c r="BC135" i="7" s="1"/>
  <c r="H134" i="7"/>
  <c r="BC134" i="7" s="1"/>
  <c r="H133" i="7"/>
  <c r="BC133" i="7" s="1"/>
  <c r="H132" i="7"/>
  <c r="BC132" i="7" s="1"/>
  <c r="H109" i="7"/>
  <c r="BC109" i="7" s="1"/>
  <c r="H121" i="7"/>
  <c r="BC121" i="7" s="1"/>
  <c r="H120" i="7"/>
  <c r="BC120" i="7" s="1"/>
  <c r="H106" i="7"/>
  <c r="BC106" i="7" s="1"/>
  <c r="H108" i="7"/>
  <c r="BC108" i="7" s="1"/>
  <c r="H107" i="7"/>
  <c r="BC107" i="7" s="1"/>
  <c r="H103" i="7"/>
  <c r="BC103" i="7" s="1"/>
  <c r="H105" i="7"/>
  <c r="BC105" i="7" s="1"/>
  <c r="H102" i="7"/>
  <c r="BC102" i="7" s="1"/>
  <c r="H100" i="7"/>
  <c r="BC100" i="7" s="1"/>
  <c r="H98" i="7"/>
  <c r="BC98" i="7" s="1"/>
  <c r="H101" i="7"/>
  <c r="BC101" i="7" s="1"/>
  <c r="H90" i="7"/>
  <c r="BC90" i="7" s="1"/>
  <c r="H99" i="7"/>
  <c r="BC99" i="7" s="1"/>
  <c r="H96" i="7"/>
  <c r="BC96" i="7" s="1"/>
  <c r="H89" i="7"/>
  <c r="BC89" i="7" s="1"/>
  <c r="H82" i="7"/>
  <c r="BC82" i="7" s="1"/>
  <c r="H78" i="7"/>
  <c r="BC78" i="7" s="1"/>
  <c r="H80" i="7"/>
  <c r="BC80" i="7" s="1"/>
  <c r="H74" i="7"/>
  <c r="BC74" i="7" s="1"/>
  <c r="H76" i="7"/>
  <c r="BC76" i="7" s="1"/>
  <c r="H58" i="7"/>
  <c r="BC58" i="7" s="1"/>
  <c r="H70" i="7"/>
  <c r="BC70" i="7" s="1"/>
  <c r="H66" i="7"/>
  <c r="BC66" i="7" s="1"/>
  <c r="H62" i="7"/>
  <c r="BC62" i="7" s="1"/>
  <c r="H57" i="7"/>
  <c r="BC57" i="7" s="1"/>
  <c r="H69" i="7"/>
  <c r="BC69" i="7" s="1"/>
  <c r="H65" i="7"/>
  <c r="BC65" i="7" s="1"/>
  <c r="H61" i="7"/>
  <c r="BC61" i="7" s="1"/>
  <c r="H56" i="7"/>
  <c r="BC56" i="7" s="1"/>
  <c r="H68" i="7"/>
  <c r="BC68" i="7" s="1"/>
  <c r="H64" i="7"/>
  <c r="BC64" i="7" s="1"/>
  <c r="H60" i="7"/>
  <c r="BC60" i="7" s="1"/>
  <c r="H38" i="7"/>
  <c r="BC38" i="7" s="1"/>
  <c r="H40" i="7"/>
  <c r="BC40" i="7" s="1"/>
  <c r="H32" i="7"/>
  <c r="BC32" i="7" s="1"/>
  <c r="H35" i="7"/>
  <c r="BC35" i="7" s="1"/>
  <c r="H36" i="7"/>
  <c r="BC36" i="7" s="1"/>
  <c r="H122" i="7"/>
  <c r="BC122" i="7" s="1"/>
  <c r="H31" i="7"/>
  <c r="BC31" i="7" s="1"/>
  <c r="E82" i="17"/>
  <c r="H118" i="7"/>
  <c r="BC118" i="7" s="1"/>
  <c r="H119" i="7"/>
  <c r="BC119" i="7" s="1"/>
  <c r="E3" i="16"/>
  <c r="F4" i="16"/>
  <c r="G5" i="16"/>
  <c r="E7" i="16"/>
  <c r="F24" i="16"/>
  <c r="G25" i="16"/>
  <c r="E27" i="16"/>
  <c r="F28" i="16"/>
  <c r="G29" i="16"/>
  <c r="E18" i="16"/>
  <c r="F19" i="16"/>
  <c r="G20" i="16"/>
  <c r="E22" i="16"/>
  <c r="F23" i="16"/>
  <c r="G8" i="16"/>
  <c r="E10" i="16"/>
  <c r="F11" i="16"/>
  <c r="G12" i="16"/>
  <c r="E14" i="16"/>
  <c r="F15" i="16"/>
  <c r="G16" i="16"/>
  <c r="E85" i="16"/>
  <c r="F86" i="16"/>
  <c r="G87" i="16"/>
  <c r="E89" i="16"/>
  <c r="F90" i="16"/>
  <c r="G91" i="16"/>
  <c r="E75" i="16"/>
  <c r="F76" i="16"/>
  <c r="G77" i="16"/>
  <c r="E79" i="16"/>
  <c r="F80" i="16"/>
  <c r="G81" i="16"/>
  <c r="E83" i="16"/>
  <c r="F84" i="16"/>
  <c r="G65" i="16"/>
  <c r="E67" i="16"/>
  <c r="F68" i="16"/>
  <c r="G69" i="16"/>
  <c r="E71" i="16"/>
  <c r="F72" i="16"/>
  <c r="G73" i="16"/>
  <c r="E35" i="16"/>
  <c r="F36" i="16"/>
  <c r="G37" i="16"/>
  <c r="E39" i="16"/>
  <c r="F40" i="16"/>
  <c r="G41" i="16"/>
  <c r="E31" i="16"/>
  <c r="F32" i="16"/>
  <c r="G33" i="16"/>
  <c r="E43" i="16"/>
  <c r="F54" i="16"/>
  <c r="G58" i="16"/>
  <c r="E60" i="16"/>
  <c r="F61" i="16"/>
  <c r="G62" i="16"/>
  <c r="E64" i="16"/>
  <c r="F44" i="16"/>
  <c r="G45" i="16"/>
  <c r="E47" i="16"/>
  <c r="F48" i="16"/>
  <c r="G49" i="16"/>
  <c r="E51" i="16"/>
  <c r="F52" i="16"/>
  <c r="G53" i="16"/>
  <c r="E56" i="16"/>
  <c r="F57" i="16"/>
  <c r="G96" i="16"/>
  <c r="E113" i="16"/>
  <c r="F114" i="16"/>
  <c r="G115" i="16"/>
  <c r="E117" i="16"/>
  <c r="F118" i="16"/>
  <c r="G119" i="16"/>
  <c r="E98" i="16"/>
  <c r="F99" i="16"/>
  <c r="G100" i="16"/>
  <c r="E102" i="16"/>
  <c r="F103" i="16"/>
  <c r="G104" i="16"/>
  <c r="E106" i="16"/>
  <c r="F108" i="16"/>
  <c r="G109" i="16"/>
  <c r="E111" i="16"/>
  <c r="F3" i="16"/>
  <c r="G4" i="16"/>
  <c r="E6" i="16"/>
  <c r="F7" i="16"/>
  <c r="G24" i="16"/>
  <c r="E26" i="16"/>
  <c r="F27" i="16"/>
  <c r="G28" i="16"/>
  <c r="E17" i="16"/>
  <c r="F18" i="16"/>
  <c r="G19" i="16"/>
  <c r="E21" i="16"/>
  <c r="F22" i="16"/>
  <c r="G23" i="16"/>
  <c r="E9" i="16"/>
  <c r="F10" i="16"/>
  <c r="G11" i="16"/>
  <c r="E13" i="16"/>
  <c r="F14" i="16"/>
  <c r="G15" i="16"/>
  <c r="E74" i="16"/>
  <c r="F85" i="16"/>
  <c r="G86" i="16"/>
  <c r="E88" i="16"/>
  <c r="F89" i="16"/>
  <c r="G90" i="16"/>
  <c r="E92" i="16"/>
  <c r="F75" i="16"/>
  <c r="G76" i="16"/>
  <c r="E78" i="16"/>
  <c r="F79" i="16"/>
  <c r="G80" i="16"/>
  <c r="E82" i="16"/>
  <c r="F83" i="16"/>
  <c r="G84" i="16"/>
  <c r="E66" i="16"/>
  <c r="F67" i="16"/>
  <c r="G68" i="16"/>
  <c r="E70" i="16"/>
  <c r="F71" i="16"/>
  <c r="G72" i="16"/>
  <c r="E30" i="16"/>
  <c r="F35" i="16"/>
  <c r="G36" i="16"/>
  <c r="E38" i="16"/>
  <c r="F39" i="16"/>
  <c r="G40" i="16"/>
  <c r="E42" i="16"/>
  <c r="F31" i="16"/>
  <c r="G32" i="16"/>
  <c r="E34" i="16"/>
  <c r="F43" i="16"/>
  <c r="G54" i="16"/>
  <c r="E59" i="16"/>
  <c r="F60" i="16"/>
  <c r="G61" i="16"/>
  <c r="E63" i="16"/>
  <c r="F64" i="16"/>
  <c r="G44" i="16"/>
  <c r="E46" i="16"/>
  <c r="F47" i="16"/>
  <c r="G48" i="16"/>
  <c r="E50" i="16"/>
  <c r="F51" i="16"/>
  <c r="G52" i="16"/>
  <c r="E55" i="16"/>
  <c r="F56" i="16"/>
  <c r="G57" i="16"/>
  <c r="E107" i="16"/>
  <c r="F113" i="16"/>
  <c r="G114" i="16"/>
  <c r="E116" i="16"/>
  <c r="F117" i="16"/>
  <c r="G118" i="16"/>
  <c r="E97" i="16"/>
  <c r="F98" i="16"/>
  <c r="G99" i="16"/>
  <c r="E101" i="16"/>
  <c r="F102" i="16"/>
  <c r="G103" i="16"/>
  <c r="E105" i="16"/>
  <c r="F106" i="16"/>
  <c r="G108" i="16"/>
  <c r="G3" i="16"/>
  <c r="E5" i="16"/>
  <c r="F6" i="16"/>
  <c r="G7" i="16"/>
  <c r="E25" i="16"/>
  <c r="F26" i="16"/>
  <c r="G27" i="16"/>
  <c r="E29" i="16"/>
  <c r="F17" i="16"/>
  <c r="G18" i="16"/>
  <c r="E20" i="16"/>
  <c r="F21" i="16"/>
  <c r="G22" i="16"/>
  <c r="E8" i="16"/>
  <c r="F9" i="16"/>
  <c r="G10" i="16"/>
  <c r="E12" i="16"/>
  <c r="F13" i="16"/>
  <c r="G14" i="16"/>
  <c r="E16" i="16"/>
  <c r="F74" i="16"/>
  <c r="G85" i="16"/>
  <c r="E87" i="16"/>
  <c r="F88" i="16"/>
  <c r="G89" i="16"/>
  <c r="E91" i="16"/>
  <c r="F92" i="16"/>
  <c r="G75" i="16"/>
  <c r="E77" i="16"/>
  <c r="F78" i="16"/>
  <c r="G79" i="16"/>
  <c r="E81" i="16"/>
  <c r="F82" i="16"/>
  <c r="G83" i="16"/>
  <c r="E65" i="16"/>
  <c r="F66" i="16"/>
  <c r="G67" i="16"/>
  <c r="E69" i="16"/>
  <c r="F70" i="16"/>
  <c r="G71" i="16"/>
  <c r="E73" i="16"/>
  <c r="F30" i="16"/>
  <c r="G35" i="16"/>
  <c r="E37" i="16"/>
  <c r="F38" i="16"/>
  <c r="G39" i="16"/>
  <c r="E41" i="16"/>
  <c r="F42" i="16"/>
  <c r="G31" i="16"/>
  <c r="E33" i="16"/>
  <c r="F34" i="16"/>
  <c r="G43" i="16"/>
  <c r="E58" i="16"/>
  <c r="F59" i="16"/>
  <c r="G60" i="16"/>
  <c r="E62" i="16"/>
  <c r="F63" i="16"/>
  <c r="G64" i="16"/>
  <c r="E45" i="16"/>
  <c r="F46" i="16"/>
  <c r="G47" i="16"/>
  <c r="E49" i="16"/>
  <c r="F50" i="16"/>
  <c r="G51" i="16"/>
  <c r="E53" i="16"/>
  <c r="F55" i="16"/>
  <c r="G56" i="16"/>
  <c r="E96" i="16"/>
  <c r="F107" i="16"/>
  <c r="G113" i="16"/>
  <c r="E115" i="16"/>
  <c r="F116" i="16"/>
  <c r="G117" i="16"/>
  <c r="E119" i="16"/>
  <c r="F97" i="16"/>
  <c r="G98" i="16"/>
  <c r="E100" i="16"/>
  <c r="F101" i="16"/>
  <c r="G102" i="16"/>
  <c r="E104" i="16"/>
  <c r="E4" i="16"/>
  <c r="F5" i="16"/>
  <c r="G6" i="16"/>
  <c r="E24" i="16"/>
  <c r="F25" i="16"/>
  <c r="G26" i="16"/>
  <c r="E28" i="16"/>
  <c r="F29" i="16"/>
  <c r="G17" i="16"/>
  <c r="E19" i="16"/>
  <c r="F20" i="16"/>
  <c r="G21" i="16"/>
  <c r="E23" i="16"/>
  <c r="F8" i="16"/>
  <c r="G9" i="16"/>
  <c r="E11" i="16"/>
  <c r="F12" i="16"/>
  <c r="G13" i="16"/>
  <c r="E15" i="16"/>
  <c r="F16" i="16"/>
  <c r="G74" i="16"/>
  <c r="E86" i="16"/>
  <c r="F87" i="16"/>
  <c r="G88" i="16"/>
  <c r="E90" i="16"/>
  <c r="F91" i="16"/>
  <c r="G92" i="16"/>
  <c r="E76" i="16"/>
  <c r="F77" i="16"/>
  <c r="G78" i="16"/>
  <c r="E80" i="16"/>
  <c r="F81" i="16"/>
  <c r="G82" i="16"/>
  <c r="E84" i="16"/>
  <c r="F65" i="16"/>
  <c r="G66" i="16"/>
  <c r="E68" i="16"/>
  <c r="F69" i="16"/>
  <c r="G70" i="16"/>
  <c r="E72" i="16"/>
  <c r="F73" i="16"/>
  <c r="G30" i="16"/>
  <c r="E36" i="16"/>
  <c r="F37" i="16"/>
  <c r="G38" i="16"/>
  <c r="E40" i="16"/>
  <c r="F41" i="16"/>
  <c r="G42" i="16"/>
  <c r="E32" i="16"/>
  <c r="F33" i="16"/>
  <c r="G34" i="16"/>
  <c r="E54" i="16"/>
  <c r="F58" i="16"/>
  <c r="G59" i="16"/>
  <c r="E61" i="16"/>
  <c r="F62" i="16"/>
  <c r="G63" i="16"/>
  <c r="E44" i="16"/>
  <c r="F45" i="16"/>
  <c r="G46" i="16"/>
  <c r="E48" i="16"/>
  <c r="F49" i="16"/>
  <c r="G50" i="16"/>
  <c r="E52" i="16"/>
  <c r="F53" i="16"/>
  <c r="G55" i="16"/>
  <c r="E57" i="16"/>
  <c r="F96" i="16"/>
  <c r="G107" i="16"/>
  <c r="E114" i="16"/>
  <c r="F115" i="16"/>
  <c r="G116" i="16"/>
  <c r="E118" i="16"/>
  <c r="F119" i="16"/>
  <c r="G97" i="16"/>
  <c r="E99" i="16"/>
  <c r="F100" i="16"/>
  <c r="G101" i="16"/>
  <c r="E103" i="16"/>
  <c r="F104" i="16"/>
  <c r="G105" i="16"/>
  <c r="E108" i="16"/>
  <c r="F109" i="16"/>
  <c r="F105" i="16"/>
  <c r="G110" i="16"/>
  <c r="E95" i="16"/>
  <c r="G112" i="16"/>
  <c r="G106" i="16"/>
  <c r="G93" i="16"/>
  <c r="E2" i="16"/>
  <c r="E109" i="16"/>
  <c r="F111" i="16"/>
  <c r="E94" i="16"/>
  <c r="E110" i="16"/>
  <c r="G111" i="16"/>
  <c r="E93" i="16"/>
  <c r="F94" i="16"/>
  <c r="G95" i="16"/>
  <c r="F110" i="16"/>
  <c r="E112" i="16"/>
  <c r="F93" i="16"/>
  <c r="G94" i="16"/>
  <c r="G2" i="16"/>
  <c r="F112" i="16"/>
  <c r="F2" i="16"/>
  <c r="F95" i="16"/>
  <c r="H171" i="7"/>
  <c r="BC171" i="7" s="1"/>
  <c r="H167" i="7"/>
  <c r="BC167" i="7" s="1"/>
  <c r="H163" i="7"/>
  <c r="BC163" i="7" s="1"/>
  <c r="H170" i="7"/>
  <c r="BC170" i="7" s="1"/>
  <c r="H166" i="7"/>
  <c r="BC166" i="7" s="1"/>
  <c r="H162" i="7"/>
  <c r="BC162" i="7" s="1"/>
  <c r="H169" i="7"/>
  <c r="BC169" i="7" s="1"/>
  <c r="H165" i="7"/>
  <c r="BC165" i="7" s="1"/>
  <c r="H172" i="7"/>
  <c r="BC172" i="7" s="1"/>
  <c r="H168" i="7"/>
  <c r="BC168" i="7" s="1"/>
  <c r="H164" i="7"/>
  <c r="BC164" i="7" s="1"/>
  <c r="H123" i="7"/>
  <c r="BC123" i="7" s="1"/>
  <c r="H159" i="7"/>
  <c r="BC159" i="7" s="1"/>
  <c r="H160" i="7"/>
  <c r="BC160" i="7" s="1"/>
  <c r="H161" i="7"/>
  <c r="BC161" i="7" s="1"/>
  <c r="H157" i="7"/>
  <c r="BC157" i="7" s="1"/>
  <c r="H158" i="7"/>
  <c r="BC158" i="7" s="1"/>
  <c r="B73" i="14"/>
  <c r="E3" i="13"/>
  <c r="H63" i="7"/>
  <c r="BC63" i="7" s="1"/>
  <c r="H83" i="7"/>
  <c r="BC83" i="7" s="1"/>
  <c r="H115" i="7"/>
  <c r="BC115" i="7" s="1"/>
  <c r="H67" i="7"/>
  <c r="BC67" i="7" s="1"/>
  <c r="H104" i="7"/>
  <c r="BC104" i="7" s="1"/>
  <c r="H81" i="7"/>
  <c r="BC81" i="7" s="1"/>
  <c r="H55" i="7"/>
  <c r="BC55" i="7" s="1"/>
  <c r="H59" i="7"/>
  <c r="BC59" i="7" s="1"/>
  <c r="E39" i="13"/>
  <c r="E42" i="13"/>
  <c r="E38" i="13"/>
  <c r="E23" i="13"/>
  <c r="E22" i="13"/>
  <c r="E9" i="13"/>
  <c r="L9" i="13" s="1"/>
  <c r="E13" i="13"/>
  <c r="E17" i="13"/>
  <c r="E21" i="13"/>
  <c r="E25" i="13"/>
  <c r="E29" i="13"/>
  <c r="L29" i="13" s="1"/>
  <c r="E34" i="13"/>
  <c r="E10" i="13"/>
  <c r="E14" i="13"/>
  <c r="E18" i="13"/>
  <c r="E26" i="13"/>
  <c r="E30" i="13"/>
  <c r="E35" i="13"/>
  <c r="L35" i="13" s="1"/>
  <c r="E7" i="13"/>
  <c r="L7" i="13" s="1"/>
  <c r="E11" i="13"/>
  <c r="E15" i="13"/>
  <c r="L15" i="13" s="1"/>
  <c r="E19" i="13"/>
  <c r="E27" i="13"/>
  <c r="E31" i="13"/>
  <c r="E36" i="13"/>
  <c r="L36" i="13" s="1"/>
  <c r="E8" i="13"/>
  <c r="E12" i="13"/>
  <c r="E16" i="13"/>
  <c r="E20" i="13"/>
  <c r="L20" i="13" s="1"/>
  <c r="E24" i="13"/>
  <c r="E28" i="13"/>
  <c r="E33" i="13"/>
  <c r="H77" i="7"/>
  <c r="BC77" i="7" s="1"/>
  <c r="H73" i="7"/>
  <c r="BC73" i="7" s="1"/>
  <c r="H95" i="7"/>
  <c r="BC95" i="7" s="1"/>
  <c r="H93" i="7"/>
  <c r="BC93" i="7" s="1"/>
  <c r="H88" i="7"/>
  <c r="BC88" i="7" s="1"/>
  <c r="H86" i="7"/>
  <c r="BC86" i="7" s="1"/>
  <c r="H72" i="7"/>
  <c r="BC72" i="7" s="1"/>
  <c r="H54" i="7"/>
  <c r="BC54" i="7" s="1"/>
  <c r="H51" i="7"/>
  <c r="BC51" i="7" s="1"/>
  <c r="H52" i="7"/>
  <c r="BC52" i="7" s="1"/>
  <c r="H79" i="7"/>
  <c r="BC79" i="7" s="1"/>
  <c r="H75" i="7"/>
  <c r="BC75" i="7" s="1"/>
  <c r="H97" i="7"/>
  <c r="BC97" i="7" s="1"/>
  <c r="H94" i="7"/>
  <c r="BC94" i="7" s="1"/>
  <c r="H91" i="7"/>
  <c r="BC91" i="7" s="1"/>
  <c r="H87" i="7"/>
  <c r="BC87" i="7" s="1"/>
  <c r="H85" i="7"/>
  <c r="BC85" i="7" s="1"/>
  <c r="H71" i="7"/>
  <c r="BC71" i="7" s="1"/>
  <c r="H53" i="7"/>
  <c r="BC53" i="7" s="1"/>
  <c r="H50" i="7"/>
  <c r="BC50" i="7" s="1"/>
  <c r="H48" i="7"/>
  <c r="BC48" i="7" s="1"/>
  <c r="H92" i="7"/>
  <c r="BC92" i="7" s="1"/>
  <c r="H49" i="7"/>
  <c r="BC49" i="7" s="1"/>
  <c r="H11" i="7"/>
  <c r="BC11" i="7" s="1"/>
  <c r="H30" i="7"/>
  <c r="BC30" i="7" s="1"/>
  <c r="H29" i="7"/>
  <c r="BC29" i="7" s="1"/>
  <c r="H27" i="7"/>
  <c r="BC27" i="7" s="1"/>
  <c r="H25" i="7"/>
  <c r="BC25" i="7" s="1"/>
  <c r="H14" i="7"/>
  <c r="BC14" i="7" s="1"/>
  <c r="H34" i="7"/>
  <c r="BC34" i="7" s="1"/>
  <c r="H24" i="7"/>
  <c r="BC24" i="7" s="1"/>
  <c r="H20" i="7"/>
  <c r="BC20" i="7" s="1"/>
  <c r="H18" i="7"/>
  <c r="BC18" i="7" s="1"/>
  <c r="H47" i="7"/>
  <c r="BC47" i="7" s="1"/>
  <c r="H41" i="7"/>
  <c r="BC41" i="7" s="1"/>
  <c r="H37" i="7"/>
  <c r="BC37" i="7" s="1"/>
  <c r="H23" i="7"/>
  <c r="BC23" i="7" s="1"/>
  <c r="H19" i="7"/>
  <c r="BC19" i="7" s="1"/>
  <c r="H17" i="7"/>
  <c r="BC17" i="7" s="1"/>
  <c r="H16" i="7"/>
  <c r="BC16" i="7" s="1"/>
  <c r="H12" i="7"/>
  <c r="BC12" i="7" s="1"/>
  <c r="H15" i="7"/>
  <c r="BC15" i="7" s="1"/>
  <c r="H28" i="7"/>
  <c r="BC28" i="7" s="1"/>
  <c r="H26" i="7"/>
  <c r="BC26" i="7" s="1"/>
  <c r="H42" i="7"/>
  <c r="BC42" i="7" s="1"/>
  <c r="H39" i="7"/>
  <c r="BC39" i="7" s="1"/>
  <c r="H13" i="7"/>
  <c r="BC13" i="7" s="1"/>
  <c r="BI11" i="7"/>
  <c r="H139" i="7"/>
  <c r="BC139" i="7" s="1"/>
  <c r="H149" i="7"/>
  <c r="BC149" i="7" s="1"/>
  <c r="H155" i="7"/>
  <c r="BC155" i="7" s="1"/>
  <c r="H156" i="7"/>
  <c r="BC156" i="7" s="1"/>
  <c r="H154" i="7"/>
  <c r="BC154" i="7" s="1"/>
  <c r="H153" i="7"/>
  <c r="BC153" i="7" s="1"/>
  <c r="H152" i="7"/>
  <c r="BC152" i="7" s="1"/>
  <c r="H136" i="7"/>
  <c r="BC136" i="7" s="1"/>
  <c r="H117" i="7"/>
  <c r="BC117" i="7" s="1"/>
  <c r="H141" i="7"/>
  <c r="BC141" i="7" s="1"/>
  <c r="H140" i="7"/>
  <c r="BC140" i="7" s="1"/>
  <c r="H142" i="7"/>
  <c r="BC142" i="7" s="1"/>
  <c r="H125" i="7"/>
  <c r="BC125" i="7" s="1"/>
  <c r="H131" i="7"/>
  <c r="BC131" i="7" s="1"/>
  <c r="H126" i="7"/>
  <c r="BC126" i="7" s="1"/>
  <c r="H127" i="7"/>
  <c r="BC127" i="7" s="1"/>
  <c r="H130" i="7"/>
  <c r="BC130" i="7" s="1"/>
  <c r="H129" i="7"/>
  <c r="BC129" i="7" s="1"/>
  <c r="H128" i="7"/>
  <c r="BC128" i="7" s="1"/>
  <c r="H124" i="7"/>
  <c r="BC124" i="7" s="1"/>
  <c r="H10" i="7"/>
  <c r="BC10" i="7" s="1"/>
  <c r="H8" i="7"/>
  <c r="BC8" i="7" s="1"/>
  <c r="H6" i="7"/>
  <c r="BC6" i="7" s="1"/>
  <c r="H9" i="7"/>
  <c r="BC9" i="7" s="1"/>
  <c r="H7" i="7"/>
  <c r="BC7" i="7" s="1"/>
  <c r="H5" i="7"/>
  <c r="BC5" i="7" s="1"/>
  <c r="H4" i="7"/>
  <c r="BC4" i="7" s="1"/>
  <c r="H3" i="7"/>
  <c r="BC3" i="7" s="1"/>
  <c r="L11" i="13" l="1"/>
  <c r="BC43" i="7"/>
  <c r="BI43" i="7" s="1"/>
  <c r="BC44" i="7"/>
  <c r="BI44" i="7" s="1"/>
  <c r="BC114" i="7"/>
  <c r="BI114" i="7" s="1"/>
  <c r="BC33" i="7"/>
  <c r="BI33" i="7" s="1"/>
  <c r="BC112" i="7"/>
  <c r="BI112" i="7" s="1"/>
  <c r="BC110" i="7"/>
  <c r="BI110" i="7" s="1"/>
  <c r="BC84" i="7"/>
  <c r="BI84" i="7" s="1"/>
  <c r="BC22" i="7"/>
  <c r="BI22" i="7" s="1"/>
  <c r="BC21" i="7"/>
  <c r="BI21" i="7" s="1"/>
  <c r="L39" i="13"/>
  <c r="L30" i="13"/>
  <c r="L31" i="13"/>
  <c r="B74" i="14"/>
  <c r="E73" i="14"/>
  <c r="D72" i="19" s="1"/>
  <c r="D73" i="14"/>
  <c r="C85" i="17" s="1"/>
  <c r="F72" i="14"/>
  <c r="E72" i="14"/>
  <c r="D71" i="19" s="1"/>
  <c r="D72" i="14"/>
  <c r="BK38" i="7"/>
  <c r="BK102" i="7"/>
  <c r="D40" i="13"/>
  <c r="L40" i="13" s="1"/>
  <c r="BK84" i="7"/>
  <c r="D44" i="13"/>
  <c r="L44" i="13" s="1"/>
  <c r="BK44" i="7"/>
  <c r="D43" i="13"/>
  <c r="L43" i="13" s="1"/>
  <c r="BK43" i="7"/>
  <c r="BI113" i="7"/>
  <c r="BI111" i="7"/>
  <c r="BI165" i="7"/>
  <c r="BI45" i="7"/>
  <c r="BI46" i="7"/>
  <c r="D37" i="13"/>
  <c r="L37" i="13" s="1"/>
  <c r="BK35" i="7"/>
  <c r="BK45" i="7"/>
  <c r="BK61" i="7"/>
  <c r="BK69" i="7"/>
  <c r="BK121" i="7"/>
  <c r="BK113" i="7"/>
  <c r="BK111" i="7"/>
  <c r="BK46" i="7"/>
  <c r="BK78" i="7"/>
  <c r="BK133" i="7"/>
  <c r="BK40" i="7"/>
  <c r="BK66" i="7"/>
  <c r="BK74" i="7"/>
  <c r="BK137" i="7"/>
  <c r="BK145" i="7"/>
  <c r="BK60" i="7"/>
  <c r="BK68" i="7"/>
  <c r="BK109" i="7"/>
  <c r="BK58" i="7"/>
  <c r="BI160" i="7"/>
  <c r="BI164" i="7"/>
  <c r="BI169" i="7"/>
  <c r="BI163" i="7"/>
  <c r="BI118" i="7"/>
  <c r="BI31" i="7"/>
  <c r="BI32" i="7"/>
  <c r="BI64" i="7"/>
  <c r="BI65" i="7"/>
  <c r="BI66" i="7"/>
  <c r="BI74" i="7"/>
  <c r="BI89" i="7"/>
  <c r="BI101" i="7"/>
  <c r="BI105" i="7"/>
  <c r="BI106" i="7"/>
  <c r="BI132" i="7"/>
  <c r="BI138" i="7"/>
  <c r="BI137" i="7"/>
  <c r="BI151" i="7"/>
  <c r="BI158" i="7"/>
  <c r="BI159" i="7"/>
  <c r="BI168" i="7"/>
  <c r="BI162" i="7"/>
  <c r="BI167" i="7"/>
  <c r="BI122" i="7"/>
  <c r="BI40" i="7"/>
  <c r="BI68" i="7"/>
  <c r="BI69" i="7"/>
  <c r="BI70" i="7"/>
  <c r="BI80" i="7"/>
  <c r="BI96" i="7"/>
  <c r="BI98" i="7"/>
  <c r="BI103" i="7"/>
  <c r="BI120" i="7"/>
  <c r="BI133" i="7"/>
  <c r="BI143" i="7"/>
  <c r="BI146" i="7"/>
  <c r="BI150" i="7"/>
  <c r="BI157" i="7"/>
  <c r="BI123" i="7"/>
  <c r="BI172" i="7"/>
  <c r="BI166" i="7"/>
  <c r="BI171" i="7"/>
  <c r="BI36" i="7"/>
  <c r="BI38" i="7"/>
  <c r="BI56" i="7"/>
  <c r="BI57" i="7"/>
  <c r="BI58" i="7"/>
  <c r="BI78" i="7"/>
  <c r="BI99" i="7"/>
  <c r="BI100" i="7"/>
  <c r="BI107" i="7"/>
  <c r="BI121" i="7"/>
  <c r="BI134" i="7"/>
  <c r="BI144" i="7"/>
  <c r="BI147" i="7"/>
  <c r="BI161" i="7"/>
  <c r="BI170" i="7"/>
  <c r="BI119" i="7"/>
  <c r="BI35" i="7"/>
  <c r="BI60" i="7"/>
  <c r="BI61" i="7"/>
  <c r="BI62" i="7"/>
  <c r="BI76" i="7"/>
  <c r="BI82" i="7"/>
  <c r="BI90" i="7"/>
  <c r="BI102" i="7"/>
  <c r="BI108" i="7"/>
  <c r="BI109" i="7"/>
  <c r="BI135" i="7"/>
  <c r="BI145" i="7"/>
  <c r="BI148" i="7"/>
  <c r="BK31" i="7"/>
  <c r="BK100" i="7"/>
  <c r="BK138" i="7"/>
  <c r="BK146" i="7"/>
  <c r="D23" i="13"/>
  <c r="L23" i="13" s="1"/>
  <c r="BK62" i="7"/>
  <c r="BK99" i="7"/>
  <c r="BK36" i="7"/>
  <c r="BK101" i="7"/>
  <c r="BK47" i="7"/>
  <c r="BK96" i="7"/>
  <c r="BK134" i="7"/>
  <c r="BK150" i="7"/>
  <c r="BK82" i="7"/>
  <c r="BK103" i="7"/>
  <c r="BK70" i="7"/>
  <c r="BK80" i="7"/>
  <c r="BK89" i="7"/>
  <c r="BK105" i="7"/>
  <c r="BK64" i="7"/>
  <c r="BK57" i="7"/>
  <c r="BK65" i="7"/>
  <c r="BK90" i="7"/>
  <c r="BK98" i="7"/>
  <c r="BK106" i="7"/>
  <c r="BK144" i="7"/>
  <c r="BK5" i="7"/>
  <c r="D26" i="13"/>
  <c r="L26" i="13" s="1"/>
  <c r="D42" i="13"/>
  <c r="L42" i="13" s="1"/>
  <c r="BK120" i="7"/>
  <c r="D17" i="13"/>
  <c r="L17" i="13" s="1"/>
  <c r="BK117" i="7"/>
  <c r="BK10" i="7"/>
  <c r="BK18" i="7"/>
  <c r="BK59" i="7"/>
  <c r="BK91" i="7"/>
  <c r="BK142" i="7"/>
  <c r="BK158" i="7"/>
  <c r="BK166" i="7"/>
  <c r="BK169" i="7"/>
  <c r="BK30" i="7"/>
  <c r="BK20" i="7"/>
  <c r="BK49" i="7"/>
  <c r="BK81" i="7"/>
  <c r="BK93" i="7"/>
  <c r="BK119" i="7"/>
  <c r="BK130" i="7"/>
  <c r="BK152" i="7"/>
  <c r="BK160" i="7"/>
  <c r="BK168" i="7"/>
  <c r="BK39" i="7"/>
  <c r="BK125" i="7"/>
  <c r="BK67" i="7"/>
  <c r="D3" i="13"/>
  <c r="L3" i="13" s="1"/>
  <c r="BK164" i="7"/>
  <c r="BK8" i="7"/>
  <c r="BK7" i="7"/>
  <c r="BK140" i="7"/>
  <c r="BK172" i="7"/>
  <c r="BK118" i="7"/>
  <c r="BK159" i="7"/>
  <c r="BK167" i="7"/>
  <c r="D38" i="13"/>
  <c r="L38" i="13" s="1"/>
  <c r="BK27" i="7"/>
  <c r="BK75" i="7"/>
  <c r="BK88" i="7"/>
  <c r="BK141" i="7"/>
  <c r="BK15" i="7"/>
  <c r="BK52" i="7"/>
  <c r="BK72" i="7"/>
  <c r="BK86" i="7"/>
  <c r="BK139" i="7"/>
  <c r="BK155" i="7"/>
  <c r="BK163" i="7"/>
  <c r="BK171" i="7"/>
  <c r="BK122" i="7"/>
  <c r="BK17" i="7"/>
  <c r="BK42" i="7"/>
  <c r="BK54" i="7"/>
  <c r="BK157" i="7"/>
  <c r="BK165" i="7"/>
  <c r="BK51" i="7"/>
  <c r="BK71" i="7"/>
  <c r="BK85" i="7"/>
  <c r="BK95" i="7"/>
  <c r="BK162" i="7"/>
  <c r="BK170" i="7"/>
  <c r="D34" i="13"/>
  <c r="L34" i="13" s="1"/>
  <c r="BK13" i="7"/>
  <c r="BK34" i="7"/>
  <c r="BK153" i="7"/>
  <c r="BK161" i="7"/>
  <c r="BK50" i="7"/>
  <c r="BK55" i="7"/>
  <c r="BK94" i="7"/>
  <c r="BK131" i="7"/>
  <c r="H99" i="16"/>
  <c r="H52" i="16"/>
  <c r="H54" i="16"/>
  <c r="H72" i="16"/>
  <c r="H76" i="16"/>
  <c r="H11" i="16"/>
  <c r="H24" i="16"/>
  <c r="H118" i="16"/>
  <c r="H48" i="16"/>
  <c r="H32" i="16"/>
  <c r="H68" i="16"/>
  <c r="H90" i="16"/>
  <c r="H23" i="16"/>
  <c r="H4" i="16"/>
  <c r="H108" i="16"/>
  <c r="H114" i="16"/>
  <c r="H44" i="16"/>
  <c r="H40" i="16"/>
  <c r="H84" i="16"/>
  <c r="H86" i="16"/>
  <c r="H19" i="16"/>
  <c r="H109" i="16"/>
  <c r="H103" i="16"/>
  <c r="H57" i="16"/>
  <c r="H61" i="16"/>
  <c r="H36" i="16"/>
  <c r="H80" i="16"/>
  <c r="H15" i="16"/>
  <c r="H28" i="16"/>
  <c r="D28" i="13"/>
  <c r="L28" i="13" s="1"/>
  <c r="BK14" i="7"/>
  <c r="BK37" i="7"/>
  <c r="BK28" i="7"/>
  <c r="BK6" i="7"/>
  <c r="BK77" i="7"/>
  <c r="D196" i="19"/>
  <c r="D197" i="19"/>
  <c r="H112" i="16"/>
  <c r="H93" i="16"/>
  <c r="H104" i="16"/>
  <c r="H96" i="16"/>
  <c r="H62" i="16"/>
  <c r="H37" i="16"/>
  <c r="H81" i="16"/>
  <c r="H16" i="16"/>
  <c r="H29" i="16"/>
  <c r="H97" i="16"/>
  <c r="H50" i="16"/>
  <c r="H34" i="16"/>
  <c r="H70" i="16"/>
  <c r="H92" i="16"/>
  <c r="H9" i="16"/>
  <c r="H6" i="16"/>
  <c r="H98" i="16"/>
  <c r="H51" i="16"/>
  <c r="H43" i="16"/>
  <c r="H71" i="16"/>
  <c r="H75" i="16"/>
  <c r="H10" i="16"/>
  <c r="H7" i="16"/>
  <c r="H115" i="16"/>
  <c r="H45" i="16"/>
  <c r="H41" i="16"/>
  <c r="H65" i="16"/>
  <c r="H87" i="16"/>
  <c r="H20" i="16"/>
  <c r="H101" i="16"/>
  <c r="H55" i="16"/>
  <c r="H59" i="16"/>
  <c r="H30" i="16"/>
  <c r="H78" i="16"/>
  <c r="H13" i="16"/>
  <c r="H26" i="16"/>
  <c r="H102" i="16"/>
  <c r="H56" i="16"/>
  <c r="H60" i="16"/>
  <c r="H35" i="16"/>
  <c r="H79" i="16"/>
  <c r="H14" i="16"/>
  <c r="H27" i="16"/>
  <c r="H110" i="16"/>
  <c r="H2" i="16"/>
  <c r="H95" i="16"/>
  <c r="H119" i="16"/>
  <c r="H49" i="16"/>
  <c r="H33" i="16"/>
  <c r="H69" i="16"/>
  <c r="H91" i="16"/>
  <c r="H8" i="16"/>
  <c r="H5" i="16"/>
  <c r="H105" i="16"/>
  <c r="H107" i="16"/>
  <c r="H63" i="16"/>
  <c r="H38" i="16"/>
  <c r="H82" i="16"/>
  <c r="H74" i="16"/>
  <c r="H17" i="16"/>
  <c r="H106" i="16"/>
  <c r="H113" i="16"/>
  <c r="H64" i="16"/>
  <c r="H39" i="16"/>
  <c r="H83" i="16"/>
  <c r="H85" i="16"/>
  <c r="H18" i="16"/>
  <c r="H94" i="16"/>
  <c r="H100" i="16"/>
  <c r="H53" i="16"/>
  <c r="H58" i="16"/>
  <c r="H73" i="16"/>
  <c r="H77" i="16"/>
  <c r="H12" i="16"/>
  <c r="H25" i="16"/>
  <c r="H116" i="16"/>
  <c r="H46" i="16"/>
  <c r="H42" i="16"/>
  <c r="H66" i="16"/>
  <c r="H88" i="16"/>
  <c r="H21" i="16"/>
  <c r="H111" i="16"/>
  <c r="H117" i="16"/>
  <c r="H47" i="16"/>
  <c r="H31" i="16"/>
  <c r="H67" i="16"/>
  <c r="H89" i="16"/>
  <c r="H22" i="16"/>
  <c r="H3" i="16"/>
  <c r="D193" i="19"/>
  <c r="D10" i="13"/>
  <c r="L10" i="13" s="1"/>
  <c r="D8" i="13"/>
  <c r="L8" i="13" s="1"/>
  <c r="D27" i="13"/>
  <c r="L27" i="13" s="1"/>
  <c r="D24" i="13"/>
  <c r="L24" i="13" s="1"/>
  <c r="D16" i="13"/>
  <c r="L16" i="13" s="1"/>
  <c r="D33" i="13"/>
  <c r="L33" i="13" s="1"/>
  <c r="D14" i="13"/>
  <c r="L14" i="13" s="1"/>
  <c r="BK126" i="7"/>
  <c r="BK25" i="7"/>
  <c r="BK97" i="7"/>
  <c r="D19" i="13"/>
  <c r="L19" i="13" s="1"/>
  <c r="D12" i="13"/>
  <c r="L12" i="13" s="1"/>
  <c r="D25" i="13"/>
  <c r="L25" i="13" s="1"/>
  <c r="D18" i="13"/>
  <c r="L18" i="13" s="1"/>
  <c r="BK24" i="7"/>
  <c r="D22" i="13"/>
  <c r="L22" i="13" s="1"/>
  <c r="D21" i="13"/>
  <c r="L21" i="13" s="1"/>
  <c r="D13" i="13"/>
  <c r="L13" i="13" s="1"/>
  <c r="BK9" i="7"/>
  <c r="BK115" i="7"/>
  <c r="BK127" i="7"/>
  <c r="BK128" i="7"/>
  <c r="BK16" i="7"/>
  <c r="BK41" i="7"/>
  <c r="BK53" i="7"/>
  <c r="BK73" i="7"/>
  <c r="BK87" i="7"/>
  <c r="BK129" i="7"/>
  <c r="BK4" i="7"/>
  <c r="BK11" i="7"/>
  <c r="BK19" i="7"/>
  <c r="BK29" i="7"/>
  <c r="BK48" i="7"/>
  <c r="BK63" i="7"/>
  <c r="BK79" i="7"/>
  <c r="BK92" i="7"/>
  <c r="BK124" i="7"/>
  <c r="BK154" i="7"/>
  <c r="BK26" i="7"/>
  <c r="BK104" i="7"/>
  <c r="BK149" i="7"/>
  <c r="BK136" i="7"/>
  <c r="BK23" i="7"/>
  <c r="BK83" i="7"/>
  <c r="BK156" i="7"/>
  <c r="BK123" i="7"/>
  <c r="D13" i="14"/>
  <c r="D62" i="19"/>
  <c r="BK3" i="7"/>
  <c r="D9" i="14"/>
  <c r="D61" i="19"/>
  <c r="BK12" i="7"/>
  <c r="BI8" i="7"/>
  <c r="BI124" i="7"/>
  <c r="BI48" i="7"/>
  <c r="BI85" i="7"/>
  <c r="BI97" i="7"/>
  <c r="BI54" i="7"/>
  <c r="BI93" i="7"/>
  <c r="BI59" i="7"/>
  <c r="BI67" i="7"/>
  <c r="BI72" i="7"/>
  <c r="BI95" i="7"/>
  <c r="BI55" i="7"/>
  <c r="BI115" i="7"/>
  <c r="BI81" i="7"/>
  <c r="BI83" i="7"/>
  <c r="BI3" i="7"/>
  <c r="BI104" i="7"/>
  <c r="BI63" i="7"/>
  <c r="BI49" i="7"/>
  <c r="BI53" i="7"/>
  <c r="BI91" i="7"/>
  <c r="BI79" i="7"/>
  <c r="BI7" i="7"/>
  <c r="BI51" i="7"/>
  <c r="BI88" i="7"/>
  <c r="BI77" i="7"/>
  <c r="BI5" i="7"/>
  <c r="BI125" i="7"/>
  <c r="BI129" i="7"/>
  <c r="BI117" i="7"/>
  <c r="BI50" i="7"/>
  <c r="BI87" i="7"/>
  <c r="BI75" i="7"/>
  <c r="BI92" i="7"/>
  <c r="BI86" i="7"/>
  <c r="BI73" i="7"/>
  <c r="BI71" i="7"/>
  <c r="BI94" i="7"/>
  <c r="BI52" i="7"/>
  <c r="BI4" i="7"/>
  <c r="BI128" i="7"/>
  <c r="BI142" i="7"/>
  <c r="BI152" i="7"/>
  <c r="BI10" i="7"/>
  <c r="BI130" i="7"/>
  <c r="BI154" i="7"/>
  <c r="BI139" i="7"/>
  <c r="BI20" i="7"/>
  <c r="BI28" i="7"/>
  <c r="BI18" i="7"/>
  <c r="BI26" i="7"/>
  <c r="BI24" i="7"/>
  <c r="BI17" i="7"/>
  <c r="BI41" i="7"/>
  <c r="BI27" i="7"/>
  <c r="BI9" i="7"/>
  <c r="BI156" i="7"/>
  <c r="BI34" i="7"/>
  <c r="BI19" i="7"/>
  <c r="BI47" i="7"/>
  <c r="BI29" i="7"/>
  <c r="BI39" i="7"/>
  <c r="BI15" i="7"/>
  <c r="BI12" i="7"/>
  <c r="BI23" i="7"/>
  <c r="BI14" i="7"/>
  <c r="BI30" i="7"/>
  <c r="BI126" i="7"/>
  <c r="BI140" i="7"/>
  <c r="BI136" i="7"/>
  <c r="BI6" i="7"/>
  <c r="BI127" i="7"/>
  <c r="BI131" i="7"/>
  <c r="BI141" i="7"/>
  <c r="BI153" i="7"/>
  <c r="BI155" i="7"/>
  <c r="BI149" i="7"/>
  <c r="BI42" i="7"/>
  <c r="BI13" i="7"/>
  <c r="BI16" i="7"/>
  <c r="BI37" i="7"/>
  <c r="BI25" i="7"/>
  <c r="B2" i="33" l="1"/>
  <c r="C84" i="17"/>
  <c r="E84" i="17" s="1"/>
  <c r="C71" i="19"/>
  <c r="B75" i="14"/>
  <c r="F75" i="14" s="1"/>
  <c r="E74" i="14"/>
  <c r="D73" i="19" s="1"/>
  <c r="D74" i="14"/>
  <c r="C86" i="17" s="1"/>
  <c r="F74" i="14"/>
  <c r="F198" i="14"/>
  <c r="F194" i="14"/>
  <c r="F197" i="14"/>
  <c r="F73" i="14"/>
  <c r="F62" i="14"/>
  <c r="F63" i="14"/>
  <c r="F13" i="14"/>
  <c r="C70" i="19"/>
  <c r="F71" i="14"/>
  <c r="C9" i="19"/>
  <c r="D33" i="14"/>
  <c r="F2" i="23" s="1"/>
  <c r="G2" i="23" s="1"/>
  <c r="F9" i="14"/>
  <c r="C26" i="17"/>
  <c r="E26" i="17" s="1"/>
  <c r="C13" i="19"/>
  <c r="D198" i="14"/>
  <c r="C210" i="17" s="1"/>
  <c r="D197" i="14"/>
  <c r="C209" i="17" s="1"/>
  <c r="D194" i="14"/>
  <c r="C206" i="17" s="1"/>
  <c r="E83" i="17"/>
  <c r="C62" i="19"/>
  <c r="C72" i="19"/>
  <c r="C6" i="17"/>
  <c r="E6" i="17" s="1"/>
  <c r="E11" i="17" s="1"/>
  <c r="C22" i="17"/>
  <c r="E22" i="17" s="1"/>
  <c r="C73" i="19" l="1"/>
  <c r="B76" i="14"/>
  <c r="E75" i="14"/>
  <c r="D74" i="19" s="1"/>
  <c r="D75" i="14"/>
  <c r="C87" i="17" s="1"/>
  <c r="E87" i="17" s="1"/>
  <c r="F33" i="14"/>
  <c r="D2" i="23" s="1"/>
  <c r="E2" i="23" s="1"/>
  <c r="E209" i="17"/>
  <c r="C196" i="19"/>
  <c r="E74" i="17"/>
  <c r="C61" i="19"/>
  <c r="E210" i="17"/>
  <c r="C197" i="19"/>
  <c r="E206" i="17"/>
  <c r="C193" i="19"/>
  <c r="E75" i="17"/>
  <c r="E86" i="17"/>
  <c r="E85" i="17"/>
  <c r="C74" i="19" l="1"/>
  <c r="B77" i="14"/>
  <c r="D76" i="14"/>
  <c r="E76" i="14"/>
  <c r="D75" i="19" s="1"/>
  <c r="F76" i="14"/>
  <c r="C88" i="17" l="1"/>
  <c r="E88" i="17" s="1"/>
  <c r="C75" i="19"/>
  <c r="B78" i="14"/>
  <c r="E77" i="14"/>
  <c r="D76" i="19" s="1"/>
  <c r="D77" i="14"/>
  <c r="F77" i="14"/>
  <c r="B79" i="14" l="1"/>
  <c r="D78" i="14"/>
  <c r="E78" i="14"/>
  <c r="D77" i="19" s="1"/>
  <c r="F78" i="14"/>
  <c r="C89" i="17"/>
  <c r="E89" i="17" s="1"/>
  <c r="C76" i="19"/>
  <c r="C90" i="17" l="1"/>
  <c r="E90" i="17" s="1"/>
  <c r="C77" i="19"/>
  <c r="B80" i="14"/>
  <c r="E79" i="14"/>
  <c r="D78" i="19" s="1"/>
  <c r="D79" i="14"/>
  <c r="F79" i="14"/>
  <c r="B81" i="14" l="1"/>
  <c r="E80" i="14"/>
  <c r="D79" i="19" s="1"/>
  <c r="D80" i="14"/>
  <c r="F80" i="14"/>
  <c r="C91" i="17"/>
  <c r="E91" i="17" s="1"/>
  <c r="C78" i="19"/>
  <c r="C92" i="17" l="1"/>
  <c r="E92" i="17" s="1"/>
  <c r="C79" i="19"/>
  <c r="F81" i="14"/>
  <c r="E81" i="14"/>
  <c r="D80" i="19" s="1"/>
  <c r="D81" i="14"/>
  <c r="B82" i="14"/>
  <c r="D82" i="14" l="1"/>
  <c r="F82" i="14"/>
  <c r="E82" i="14"/>
  <c r="D81" i="19" s="1"/>
  <c r="B83" i="14"/>
  <c r="C93" i="17"/>
  <c r="E93" i="17" s="1"/>
  <c r="C80" i="19"/>
  <c r="F83" i="14" l="1"/>
  <c r="D83" i="14"/>
  <c r="E83" i="14"/>
  <c r="D82" i="19" s="1"/>
  <c r="B84" i="14"/>
  <c r="C94" i="17"/>
  <c r="E94" i="17" s="1"/>
  <c r="C81" i="19"/>
  <c r="C95" i="17" l="1"/>
  <c r="E95" i="17" s="1"/>
  <c r="C82" i="19"/>
  <c r="F84" i="14"/>
  <c r="E84" i="14"/>
  <c r="D83" i="19" s="1"/>
  <c r="D84" i="14"/>
  <c r="B85" i="14"/>
  <c r="E85" i="14" l="1"/>
  <c r="D84" i="19" s="1"/>
  <c r="D85" i="14"/>
  <c r="F85" i="14"/>
  <c r="B86" i="14"/>
  <c r="C96" i="17"/>
  <c r="E96" i="17" s="1"/>
  <c r="C83" i="19"/>
  <c r="F86" i="14" l="1"/>
  <c r="E86" i="14"/>
  <c r="D85" i="19" s="1"/>
  <c r="D86" i="14"/>
  <c r="B87" i="14"/>
  <c r="C97" i="17"/>
  <c r="E97" i="17" s="1"/>
  <c r="C84" i="19"/>
  <c r="D87" i="14" l="1"/>
  <c r="F87" i="14"/>
  <c r="E87" i="14"/>
  <c r="D86" i="19" s="1"/>
  <c r="B88" i="14"/>
  <c r="C98" i="17"/>
  <c r="E98" i="17" s="1"/>
  <c r="C85" i="19"/>
  <c r="C99" i="17" l="1"/>
  <c r="E99" i="17" s="1"/>
  <c r="C86" i="19"/>
  <c r="F88" i="14"/>
  <c r="D88" i="14"/>
  <c r="E88" i="14"/>
  <c r="D87" i="19" s="1"/>
  <c r="B89" i="14"/>
  <c r="C100" i="17" l="1"/>
  <c r="E100" i="17" s="1"/>
  <c r="C87" i="19"/>
  <c r="F89" i="14"/>
  <c r="E89" i="14"/>
  <c r="D88" i="19" s="1"/>
  <c r="D89" i="14"/>
  <c r="B90" i="14"/>
  <c r="C101" i="17" l="1"/>
  <c r="E101" i="17" s="1"/>
  <c r="C88" i="19"/>
  <c r="F90" i="14"/>
  <c r="D90" i="14"/>
  <c r="E90" i="14"/>
  <c r="D89" i="19" s="1"/>
  <c r="B91" i="14"/>
  <c r="C102" i="17" l="1"/>
  <c r="E102" i="17" s="1"/>
  <c r="C89" i="19"/>
  <c r="D91" i="14"/>
  <c r="E91" i="14"/>
  <c r="D90" i="19" s="1"/>
  <c r="F91" i="14"/>
  <c r="B92" i="14"/>
  <c r="C103" i="17" l="1"/>
  <c r="E103" i="17" s="1"/>
  <c r="C90" i="19"/>
  <c r="D92" i="14"/>
  <c r="F92" i="14"/>
  <c r="E92" i="14"/>
  <c r="D91" i="19" s="1"/>
  <c r="B93" i="14"/>
  <c r="C104" i="17" l="1"/>
  <c r="E104" i="17" s="1"/>
  <c r="C91" i="19"/>
  <c r="F93" i="14"/>
  <c r="D93" i="14"/>
  <c r="E93" i="14"/>
  <c r="D92" i="19" s="1"/>
  <c r="B94" i="14"/>
  <c r="C105" i="17" l="1"/>
  <c r="E105" i="17" s="1"/>
  <c r="C92" i="19"/>
  <c r="F94" i="14"/>
  <c r="E94" i="14"/>
  <c r="D93" i="19" s="1"/>
  <c r="D94" i="14"/>
  <c r="B95" i="14"/>
  <c r="F95" i="14" l="1"/>
  <c r="E95" i="14"/>
  <c r="D94" i="19" s="1"/>
  <c r="D95" i="14"/>
  <c r="B96" i="14"/>
  <c r="C106" i="17"/>
  <c r="E106" i="17" s="1"/>
  <c r="C93" i="19"/>
  <c r="D96" i="14" l="1"/>
  <c r="E96" i="14"/>
  <c r="D95" i="19" s="1"/>
  <c r="F96" i="14"/>
  <c r="B97" i="14"/>
  <c r="C107" i="17"/>
  <c r="E107" i="17" s="1"/>
  <c r="C94" i="19"/>
  <c r="D97" i="14" l="1"/>
  <c r="F97" i="14"/>
  <c r="E97" i="14"/>
  <c r="D96" i="19" s="1"/>
  <c r="B98" i="14"/>
  <c r="C108" i="17"/>
  <c r="E108" i="17" s="1"/>
  <c r="C95" i="19"/>
  <c r="D98" i="14" l="1"/>
  <c r="E98" i="14"/>
  <c r="D97" i="19" s="1"/>
  <c r="F98" i="14"/>
  <c r="B99" i="14"/>
  <c r="C109" i="17"/>
  <c r="E109" i="17" s="1"/>
  <c r="C96" i="19"/>
  <c r="D99" i="14" l="1"/>
  <c r="E99" i="14"/>
  <c r="D98" i="19" s="1"/>
  <c r="F99" i="14"/>
  <c r="B100" i="14"/>
  <c r="C110" i="17"/>
  <c r="E110" i="17" s="1"/>
  <c r="C97" i="19"/>
  <c r="F100" i="14" l="1"/>
  <c r="D100" i="14"/>
  <c r="E100" i="14"/>
  <c r="D99" i="19" s="1"/>
  <c r="B101" i="14"/>
  <c r="C111" i="17"/>
  <c r="E111" i="17" s="1"/>
  <c r="C98" i="19"/>
  <c r="D101" i="14" l="1"/>
  <c r="E101" i="14"/>
  <c r="D100" i="19" s="1"/>
  <c r="F101" i="14"/>
  <c r="B102" i="14"/>
  <c r="C112" i="17"/>
  <c r="E112" i="17" s="1"/>
  <c r="C99" i="19"/>
  <c r="E102" i="14" l="1"/>
  <c r="D101" i="19" s="1"/>
  <c r="D102" i="14"/>
  <c r="F102" i="14"/>
  <c r="B103" i="14"/>
  <c r="C113" i="17"/>
  <c r="E113" i="17" s="1"/>
  <c r="C100" i="19"/>
  <c r="D103" i="14" l="1"/>
  <c r="E103" i="14"/>
  <c r="D102" i="19" s="1"/>
  <c r="F103" i="14"/>
  <c r="B104" i="14"/>
  <c r="C114" i="17"/>
  <c r="E114" i="17" s="1"/>
  <c r="C101" i="19"/>
  <c r="E104" i="14" l="1"/>
  <c r="D103" i="19" s="1"/>
  <c r="D104" i="14"/>
  <c r="F104" i="14"/>
  <c r="B105" i="14"/>
  <c r="C115" i="17"/>
  <c r="E115" i="17" s="1"/>
  <c r="C102" i="19"/>
  <c r="D105" i="14" l="1"/>
  <c r="E105" i="14"/>
  <c r="D104" i="19" s="1"/>
  <c r="F105" i="14"/>
  <c r="B106" i="14"/>
  <c r="C116" i="17"/>
  <c r="E116" i="17" s="1"/>
  <c r="C103" i="19"/>
  <c r="E106" i="14" l="1"/>
  <c r="D105" i="19" s="1"/>
  <c r="D106" i="14"/>
  <c r="F106" i="14"/>
  <c r="B107" i="14"/>
  <c r="C117" i="17"/>
  <c r="E117" i="17" s="1"/>
  <c r="C104" i="19"/>
  <c r="D107" i="14" l="1"/>
  <c r="E107" i="14"/>
  <c r="D106" i="19" s="1"/>
  <c r="F107" i="14"/>
  <c r="B108" i="14"/>
  <c r="C118" i="17"/>
  <c r="E118" i="17" s="1"/>
  <c r="C105" i="19"/>
  <c r="F108" i="14" l="1"/>
  <c r="E108" i="14"/>
  <c r="D107" i="19" s="1"/>
  <c r="D108" i="14"/>
  <c r="B109" i="14"/>
  <c r="C119" i="17"/>
  <c r="E119" i="17" s="1"/>
  <c r="C106" i="19"/>
  <c r="D109" i="14" l="1"/>
  <c r="E109" i="14"/>
  <c r="D108" i="19" s="1"/>
  <c r="F109" i="14"/>
  <c r="B110" i="14"/>
  <c r="C120" i="17"/>
  <c r="E120" i="17" s="1"/>
  <c r="C107" i="19"/>
  <c r="F110" i="14" l="1"/>
  <c r="E110" i="14"/>
  <c r="D109" i="19" s="1"/>
  <c r="D110" i="14"/>
  <c r="B111" i="14"/>
  <c r="C121" i="17"/>
  <c r="E121" i="17" s="1"/>
  <c r="C108" i="19"/>
  <c r="D111" i="14" l="1"/>
  <c r="F111" i="14"/>
  <c r="E111" i="14"/>
  <c r="D110" i="19" s="1"/>
  <c r="B112" i="14"/>
  <c r="C122" i="17"/>
  <c r="E122" i="17" s="1"/>
  <c r="C109" i="19"/>
  <c r="F112" i="14" l="1"/>
  <c r="D112" i="14"/>
  <c r="E112" i="14"/>
  <c r="D111" i="19" s="1"/>
  <c r="B113" i="14"/>
  <c r="C123" i="17"/>
  <c r="E123" i="17" s="1"/>
  <c r="C110" i="19"/>
  <c r="F113" i="14" l="1"/>
  <c r="E113" i="14"/>
  <c r="D112" i="19" s="1"/>
  <c r="D113" i="14"/>
  <c r="B114" i="14"/>
  <c r="C124" i="17"/>
  <c r="E124" i="17" s="1"/>
  <c r="C111" i="19"/>
  <c r="F114" i="14" l="1"/>
  <c r="D114" i="14"/>
  <c r="E114" i="14"/>
  <c r="D113" i="19" s="1"/>
  <c r="B115" i="14"/>
  <c r="C125" i="17"/>
  <c r="E125" i="17" s="1"/>
  <c r="C112" i="19"/>
  <c r="D115" i="14" l="1"/>
  <c r="F115" i="14"/>
  <c r="E115" i="14"/>
  <c r="D114" i="19" s="1"/>
  <c r="B116" i="14"/>
  <c r="C126" i="17"/>
  <c r="E126" i="17" s="1"/>
  <c r="C113" i="19"/>
  <c r="F116" i="14" l="1"/>
  <c r="D116" i="14"/>
  <c r="E116" i="14"/>
  <c r="D115" i="19" s="1"/>
  <c r="B117" i="14"/>
  <c r="C127" i="17"/>
  <c r="E127" i="17" s="1"/>
  <c r="C114" i="19"/>
  <c r="F117" i="14" l="1"/>
  <c r="E117" i="14"/>
  <c r="D116" i="19" s="1"/>
  <c r="D117" i="14"/>
  <c r="B118" i="14"/>
  <c r="C128" i="17"/>
  <c r="E128" i="17" s="1"/>
  <c r="C115" i="19"/>
  <c r="F118" i="14" l="1"/>
  <c r="E118" i="14"/>
  <c r="D117" i="19" s="1"/>
  <c r="D118" i="14"/>
  <c r="B119" i="14"/>
  <c r="C129" i="17"/>
  <c r="E129" i="17" s="1"/>
  <c r="C116" i="19"/>
  <c r="D119" i="14" l="1"/>
  <c r="F119" i="14"/>
  <c r="E119" i="14"/>
  <c r="D118" i="19" s="1"/>
  <c r="B120" i="14"/>
  <c r="C130" i="17"/>
  <c r="E130" i="17" s="1"/>
  <c r="C117" i="19"/>
  <c r="F120" i="14" l="1"/>
  <c r="D120" i="14"/>
  <c r="E120" i="14"/>
  <c r="D119" i="19" s="1"/>
  <c r="B121" i="14"/>
  <c r="C131" i="17"/>
  <c r="E131" i="17" s="1"/>
  <c r="C118" i="19"/>
  <c r="F121" i="14" l="1"/>
  <c r="E121" i="14"/>
  <c r="D120" i="19" s="1"/>
  <c r="D121" i="14"/>
  <c r="B122" i="14"/>
  <c r="C132" i="17"/>
  <c r="E132" i="17" s="1"/>
  <c r="C119" i="19"/>
  <c r="F122" i="14" l="1"/>
  <c r="E122" i="14"/>
  <c r="D121" i="19" s="1"/>
  <c r="D122" i="14"/>
  <c r="B123" i="14"/>
  <c r="C133" i="17"/>
  <c r="E133" i="17" s="1"/>
  <c r="C120" i="19"/>
  <c r="D123" i="14" l="1"/>
  <c r="F123" i="14"/>
  <c r="E123" i="14"/>
  <c r="D122" i="19" s="1"/>
  <c r="B124" i="14"/>
  <c r="C134" i="17"/>
  <c r="C121" i="19"/>
  <c r="F124" i="14" l="1"/>
  <c r="D124" i="14"/>
  <c r="E124" i="14"/>
  <c r="D123" i="19" s="1"/>
  <c r="B125" i="14"/>
  <c r="C135" i="17"/>
  <c r="E135" i="17" s="1"/>
  <c r="C122" i="19"/>
  <c r="F125" i="14" l="1"/>
  <c r="E125" i="14"/>
  <c r="D124" i="19" s="1"/>
  <c r="D125" i="14"/>
  <c r="B126" i="14"/>
  <c r="C136" i="17"/>
  <c r="E136" i="17" s="1"/>
  <c r="C123" i="19"/>
  <c r="F126" i="14" l="1"/>
  <c r="D126" i="14"/>
  <c r="E126" i="14"/>
  <c r="D125" i="19" s="1"/>
  <c r="B127" i="14"/>
  <c r="C137" i="17"/>
  <c r="E137" i="17" s="1"/>
  <c r="C124" i="19"/>
  <c r="E127" i="14" l="1"/>
  <c r="D126" i="19" s="1"/>
  <c r="D127" i="14"/>
  <c r="F127" i="14"/>
  <c r="B128" i="14"/>
  <c r="C138" i="17"/>
  <c r="C125" i="19"/>
  <c r="D128" i="14" l="1"/>
  <c r="F128" i="14"/>
  <c r="E128" i="14"/>
  <c r="D127" i="19" s="1"/>
  <c r="B129" i="14"/>
  <c r="C139" i="17"/>
  <c r="E139" i="17" s="1"/>
  <c r="C126" i="19"/>
  <c r="F129" i="14" l="1"/>
  <c r="D129" i="14"/>
  <c r="E129" i="14"/>
  <c r="D128" i="19" s="1"/>
  <c r="B130" i="14"/>
  <c r="C140" i="17"/>
  <c r="E140" i="17" s="1"/>
  <c r="C127" i="19"/>
  <c r="D130" i="14" l="1"/>
  <c r="E130" i="14"/>
  <c r="D129" i="19" s="1"/>
  <c r="F130" i="14"/>
  <c r="B131" i="14"/>
  <c r="C141" i="17"/>
  <c r="C128" i="19"/>
  <c r="F131" i="14" l="1"/>
  <c r="E131" i="14"/>
  <c r="D130" i="19" s="1"/>
  <c r="D131" i="14"/>
  <c r="B132" i="14"/>
  <c r="C142" i="17"/>
  <c r="E142" i="17" s="1"/>
  <c r="C129" i="19"/>
  <c r="F132" i="14" l="1"/>
  <c r="E132" i="14"/>
  <c r="D131" i="19" s="1"/>
  <c r="D132" i="14"/>
  <c r="B133" i="14"/>
  <c r="C143" i="17"/>
  <c r="C130" i="19"/>
  <c r="D133" i="14" l="1"/>
  <c r="F133" i="14"/>
  <c r="E133" i="14"/>
  <c r="D132" i="19" s="1"/>
  <c r="B134" i="14"/>
  <c r="C144" i="17"/>
  <c r="E144" i="17" s="1"/>
  <c r="C131" i="19"/>
  <c r="F134" i="14" l="1"/>
  <c r="D134" i="14"/>
  <c r="E134" i="14"/>
  <c r="D133" i="19" s="1"/>
  <c r="B135" i="14"/>
  <c r="C145" i="17"/>
  <c r="E145" i="17" s="1"/>
  <c r="C132" i="19"/>
  <c r="F135" i="14" l="1"/>
  <c r="E135" i="14"/>
  <c r="D134" i="19" s="1"/>
  <c r="D135" i="14"/>
  <c r="B136" i="14"/>
  <c r="C146" i="17"/>
  <c r="E146" i="17" s="1"/>
  <c r="C133" i="19"/>
  <c r="F136" i="14" l="1"/>
  <c r="E136" i="14"/>
  <c r="D135" i="19" s="1"/>
  <c r="D136" i="14"/>
  <c r="B137" i="14"/>
  <c r="C147" i="17"/>
  <c r="E147" i="17" s="1"/>
  <c r="C134" i="19"/>
  <c r="D137" i="14" l="1"/>
  <c r="F137" i="14"/>
  <c r="E137" i="14"/>
  <c r="D136" i="19" s="1"/>
  <c r="B138" i="14"/>
  <c r="C148" i="17"/>
  <c r="E148" i="17" s="1"/>
  <c r="C135" i="19"/>
  <c r="F138" i="14" l="1"/>
  <c r="D138" i="14"/>
  <c r="E138" i="14"/>
  <c r="D137" i="19" s="1"/>
  <c r="B139" i="14"/>
  <c r="C149" i="17"/>
  <c r="E149" i="17" s="1"/>
  <c r="C136" i="19"/>
  <c r="F139" i="14" l="1"/>
  <c r="E139" i="14"/>
  <c r="D138" i="19" s="1"/>
  <c r="D139" i="14"/>
  <c r="B140" i="14"/>
  <c r="C150" i="17"/>
  <c r="E150" i="17" s="1"/>
  <c r="C137" i="19"/>
  <c r="F140" i="14" l="1"/>
  <c r="E140" i="14"/>
  <c r="D139" i="19" s="1"/>
  <c r="D140" i="14"/>
  <c r="B141" i="14"/>
  <c r="C151" i="17"/>
  <c r="E151" i="17" s="1"/>
  <c r="C138" i="19"/>
  <c r="D141" i="14" l="1"/>
  <c r="F141" i="14"/>
  <c r="E141" i="14"/>
  <c r="D140" i="19" s="1"/>
  <c r="B142" i="14"/>
  <c r="C152" i="17"/>
  <c r="E152" i="17" s="1"/>
  <c r="C139" i="19"/>
  <c r="F142" i="14" l="1"/>
  <c r="D142" i="14"/>
  <c r="E142" i="14"/>
  <c r="D141" i="19" s="1"/>
  <c r="B143" i="14"/>
  <c r="C153" i="17"/>
  <c r="E153" i="17" s="1"/>
  <c r="C140" i="19"/>
  <c r="F143" i="14" l="1"/>
  <c r="E143" i="14"/>
  <c r="D142" i="19" s="1"/>
  <c r="D143" i="14"/>
  <c r="B144" i="14"/>
  <c r="C154" i="17"/>
  <c r="E154" i="17" s="1"/>
  <c r="C141" i="19"/>
  <c r="F144" i="14" l="1"/>
  <c r="D144" i="14"/>
  <c r="E144" i="14"/>
  <c r="D143" i="19" s="1"/>
  <c r="B145" i="14"/>
  <c r="C155" i="17"/>
  <c r="E155" i="17" s="1"/>
  <c r="C142" i="19"/>
  <c r="D145" i="14" l="1"/>
  <c r="F145" i="14"/>
  <c r="E145" i="14"/>
  <c r="D144" i="19" s="1"/>
  <c r="B146" i="14"/>
  <c r="C156" i="17"/>
  <c r="E156" i="17" s="1"/>
  <c r="C143" i="19"/>
  <c r="F146" i="14" l="1"/>
  <c r="D146" i="14"/>
  <c r="E146" i="14"/>
  <c r="D145" i="19" s="1"/>
  <c r="B147" i="14"/>
  <c r="C157" i="17"/>
  <c r="E157" i="17" s="1"/>
  <c r="C144" i="19"/>
  <c r="F147" i="14" l="1"/>
  <c r="E147" i="14"/>
  <c r="D146" i="19" s="1"/>
  <c r="D147" i="14"/>
  <c r="B148" i="14"/>
  <c r="C158" i="17"/>
  <c r="E158" i="17" s="1"/>
  <c r="C145" i="19"/>
  <c r="F148" i="14" l="1"/>
  <c r="E148" i="14"/>
  <c r="D147" i="19" s="1"/>
  <c r="D148" i="14"/>
  <c r="B149" i="14"/>
  <c r="C159" i="17"/>
  <c r="E159" i="17" s="1"/>
  <c r="C146" i="19"/>
  <c r="E149" i="14" l="1"/>
  <c r="D148" i="19" s="1"/>
  <c r="D149" i="14"/>
  <c r="F149" i="14"/>
  <c r="B150" i="14"/>
  <c r="C160" i="17"/>
  <c r="E160" i="17" s="1"/>
  <c r="C147" i="19"/>
  <c r="D150" i="14" l="1"/>
  <c r="F150" i="14"/>
  <c r="F151" i="14" s="1"/>
  <c r="D3" i="23" s="1"/>
  <c r="E3" i="23" s="1"/>
  <c r="E150" i="14"/>
  <c r="B155" i="14"/>
  <c r="C161" i="17"/>
  <c r="E161" i="17" s="1"/>
  <c r="C148" i="19"/>
  <c r="E155" i="14" l="1"/>
  <c r="D155" i="14"/>
  <c r="F155" i="14"/>
  <c r="B156" i="14"/>
  <c r="E151" i="14"/>
  <c r="B3" i="23" s="1"/>
  <c r="C3" i="23" s="1"/>
  <c r="D149" i="19"/>
  <c r="C162" i="17"/>
  <c r="E162" i="17" s="1"/>
  <c r="E163" i="17" s="1"/>
  <c r="E12" i="17" s="1"/>
  <c r="D151" i="14"/>
  <c r="F3" i="23" s="1"/>
  <c r="G3" i="23" s="1"/>
  <c r="C149" i="19"/>
  <c r="D156" i="14" l="1"/>
  <c r="E156" i="14"/>
  <c r="D155" i="19" s="1"/>
  <c r="F156" i="14"/>
  <c r="B157" i="14"/>
  <c r="C167" i="17"/>
  <c r="E167" i="17" s="1"/>
  <c r="C154" i="19"/>
  <c r="D154" i="19"/>
  <c r="C168" i="17" l="1"/>
  <c r="E168" i="17" s="1"/>
  <c r="C155" i="19"/>
  <c r="E157" i="14"/>
  <c r="D156" i="19" s="1"/>
  <c r="D157" i="14"/>
  <c r="F157" i="14"/>
  <c r="B158" i="14"/>
  <c r="C169" i="17" l="1"/>
  <c r="E169" i="17" s="1"/>
  <c r="C156" i="19"/>
  <c r="D158" i="14"/>
  <c r="E158" i="14"/>
  <c r="D157" i="19" s="1"/>
  <c r="F158" i="14"/>
  <c r="B159" i="14"/>
  <c r="D159" i="14" l="1"/>
  <c r="E159" i="14"/>
  <c r="D158" i="19" s="1"/>
  <c r="F159" i="14"/>
  <c r="B160" i="14"/>
  <c r="C170" i="17"/>
  <c r="E170" i="17" s="1"/>
  <c r="C157" i="19"/>
  <c r="C171" i="17" l="1"/>
  <c r="E171" i="17" s="1"/>
  <c r="C158" i="19"/>
  <c r="D160" i="14"/>
  <c r="E160" i="14"/>
  <c r="D159" i="19" s="1"/>
  <c r="F160" i="14"/>
  <c r="B161" i="14"/>
  <c r="C172" i="17" l="1"/>
  <c r="C159" i="19"/>
  <c r="D161" i="14"/>
  <c r="E161" i="14"/>
  <c r="D160" i="19" s="1"/>
  <c r="F161" i="14"/>
  <c r="B162" i="14"/>
  <c r="C173" i="17" l="1"/>
  <c r="E173" i="17" s="1"/>
  <c r="C160" i="19"/>
  <c r="D162" i="14"/>
  <c r="E162" i="14"/>
  <c r="D161" i="19" s="1"/>
  <c r="F162" i="14"/>
  <c r="B163" i="14"/>
  <c r="C174" i="17" l="1"/>
  <c r="E174" i="17" s="1"/>
  <c r="C161" i="19"/>
  <c r="D163" i="14"/>
  <c r="E163" i="14"/>
  <c r="D162" i="19" s="1"/>
  <c r="F163" i="14"/>
  <c r="B164" i="14"/>
  <c r="C175" i="17" l="1"/>
  <c r="E175" i="17" s="1"/>
  <c r="C162" i="19"/>
  <c r="D164" i="14"/>
  <c r="E164" i="14"/>
  <c r="D163" i="19" s="1"/>
  <c r="F164" i="14"/>
  <c r="B165" i="14"/>
  <c r="C176" i="17" l="1"/>
  <c r="E176" i="17" s="1"/>
  <c r="C163" i="19"/>
  <c r="F165" i="14"/>
  <c r="D165" i="14"/>
  <c r="E165" i="14"/>
  <c r="D164" i="19" s="1"/>
  <c r="B166" i="14"/>
  <c r="C177" i="17" l="1"/>
  <c r="E177" i="17" s="1"/>
  <c r="C164" i="19"/>
  <c r="F166" i="14"/>
  <c r="E166" i="14"/>
  <c r="D165" i="19" s="1"/>
  <c r="D166" i="14"/>
  <c r="B167" i="14"/>
  <c r="F167" i="14" l="1"/>
  <c r="E167" i="14"/>
  <c r="D166" i="19" s="1"/>
  <c r="D167" i="14"/>
  <c r="B168" i="14"/>
  <c r="C178" i="17"/>
  <c r="E178" i="17" s="1"/>
  <c r="C165" i="19"/>
  <c r="D168" i="14" l="1"/>
  <c r="F168" i="14"/>
  <c r="E168" i="14"/>
  <c r="D167" i="19" s="1"/>
  <c r="B169" i="14"/>
  <c r="C179" i="17"/>
  <c r="E179" i="17" s="1"/>
  <c r="C166" i="19"/>
  <c r="F169" i="14" l="1"/>
  <c r="D169" i="14"/>
  <c r="E169" i="14"/>
  <c r="D168" i="19" s="1"/>
  <c r="B170" i="14"/>
  <c r="C180" i="17"/>
  <c r="E180" i="17" s="1"/>
  <c r="C167" i="19"/>
  <c r="F170" i="14" l="1"/>
  <c r="E170" i="14"/>
  <c r="D169" i="19" s="1"/>
  <c r="D170" i="14"/>
  <c r="B171" i="14"/>
  <c r="C181" i="17"/>
  <c r="E181" i="17" s="1"/>
  <c r="C168" i="19"/>
  <c r="F171" i="14" l="1"/>
  <c r="D171" i="14"/>
  <c r="E171" i="14"/>
  <c r="D170" i="19" s="1"/>
  <c r="B172" i="14"/>
  <c r="C182" i="17"/>
  <c r="E182" i="17" s="1"/>
  <c r="C169" i="19"/>
  <c r="D172" i="14" l="1"/>
  <c r="F172" i="14"/>
  <c r="E172" i="14"/>
  <c r="D171" i="19" s="1"/>
  <c r="B173" i="14"/>
  <c r="C183" i="17"/>
  <c r="E183" i="17" s="1"/>
  <c r="C170" i="19"/>
  <c r="F173" i="14" l="1"/>
  <c r="D173" i="14"/>
  <c r="E173" i="14"/>
  <c r="D172" i="19" s="1"/>
  <c r="B174" i="14"/>
  <c r="C184" i="17"/>
  <c r="E184" i="17" s="1"/>
  <c r="C171" i="19"/>
  <c r="F174" i="14" l="1"/>
  <c r="E174" i="14"/>
  <c r="D173" i="19" s="1"/>
  <c r="D174" i="14"/>
  <c r="B175" i="14"/>
  <c r="C185" i="17"/>
  <c r="E185" i="17" s="1"/>
  <c r="C172" i="19"/>
  <c r="F175" i="14" l="1"/>
  <c r="E175" i="14"/>
  <c r="D174" i="19" s="1"/>
  <c r="D175" i="14"/>
  <c r="B176" i="14"/>
  <c r="C186" i="17"/>
  <c r="E186" i="17" s="1"/>
  <c r="C173" i="19"/>
  <c r="D176" i="14" l="1"/>
  <c r="F176" i="14"/>
  <c r="E176" i="14"/>
  <c r="D175" i="19" s="1"/>
  <c r="B177" i="14"/>
  <c r="C187" i="17"/>
  <c r="E187" i="17" s="1"/>
  <c r="C174" i="19"/>
  <c r="F177" i="14" l="1"/>
  <c r="D177" i="14"/>
  <c r="E177" i="14"/>
  <c r="D176" i="19" s="1"/>
  <c r="B178" i="14"/>
  <c r="C188" i="17"/>
  <c r="E188" i="17" s="1"/>
  <c r="C175" i="19"/>
  <c r="F178" i="14" l="1"/>
  <c r="E178" i="14"/>
  <c r="D177" i="19" s="1"/>
  <c r="D178" i="14"/>
  <c r="B179" i="14"/>
  <c r="C189" i="17"/>
  <c r="E189" i="17" s="1"/>
  <c r="C176" i="19"/>
  <c r="F179" i="14" l="1"/>
  <c r="E179" i="14"/>
  <c r="D178" i="19" s="1"/>
  <c r="D179" i="14"/>
  <c r="B180" i="14"/>
  <c r="C190" i="17"/>
  <c r="E190" i="17" s="1"/>
  <c r="C177" i="19"/>
  <c r="D180" i="14" l="1"/>
  <c r="F180" i="14"/>
  <c r="E180" i="14"/>
  <c r="D179" i="19" s="1"/>
  <c r="B181" i="14"/>
  <c r="C191" i="17"/>
  <c r="E191" i="17" s="1"/>
  <c r="C178" i="19"/>
  <c r="F181" i="14" l="1"/>
  <c r="D181" i="14"/>
  <c r="E181" i="14"/>
  <c r="D180" i="19" s="1"/>
  <c r="B182" i="14"/>
  <c r="C192" i="17"/>
  <c r="E192" i="17" s="1"/>
  <c r="C179" i="19"/>
  <c r="F182" i="14" l="1"/>
  <c r="E182" i="14"/>
  <c r="D181" i="19" s="1"/>
  <c r="D182" i="14"/>
  <c r="B183" i="14"/>
  <c r="C193" i="17"/>
  <c r="E193" i="17" s="1"/>
  <c r="C180" i="19"/>
  <c r="F183" i="14" l="1"/>
  <c r="E183" i="14"/>
  <c r="D182" i="19" s="1"/>
  <c r="D183" i="14"/>
  <c r="B184" i="14"/>
  <c r="C194" i="17"/>
  <c r="E194" i="17" s="1"/>
  <c r="C181" i="19"/>
  <c r="C195" i="17" l="1"/>
  <c r="E195" i="17" s="1"/>
  <c r="C182" i="19"/>
  <c r="D184" i="14"/>
  <c r="F184" i="14"/>
  <c r="E184" i="14"/>
  <c r="D183" i="19" s="1"/>
  <c r="B185" i="14"/>
  <c r="C196" i="17" l="1"/>
  <c r="E196" i="17" s="1"/>
  <c r="C183" i="19"/>
  <c r="F185" i="14"/>
  <c r="D185" i="14"/>
  <c r="E185" i="14"/>
  <c r="D184" i="19" s="1"/>
  <c r="B186" i="14"/>
  <c r="F186" i="14" l="1"/>
  <c r="E186" i="14"/>
  <c r="D185" i="19" s="1"/>
  <c r="D186" i="14"/>
  <c r="B187" i="14"/>
  <c r="C197" i="17"/>
  <c r="E197" i="17" s="1"/>
  <c r="C184" i="19"/>
  <c r="F187" i="14" l="1"/>
  <c r="D187" i="14"/>
  <c r="E187" i="14"/>
  <c r="D186" i="19" s="1"/>
  <c r="B188" i="14"/>
  <c r="C198" i="17"/>
  <c r="E198" i="17" s="1"/>
  <c r="C185" i="19"/>
  <c r="D188" i="14" l="1"/>
  <c r="E188" i="14"/>
  <c r="F188" i="14"/>
  <c r="F189" i="14" s="1"/>
  <c r="D4" i="23" s="1"/>
  <c r="E4" i="23" s="1"/>
  <c r="E6" i="23" s="1"/>
  <c r="C199" i="17"/>
  <c r="E199" i="17" s="1"/>
  <c r="C186" i="19"/>
  <c r="E189" i="14" l="1"/>
  <c r="B4" i="23" s="1"/>
  <c r="C4" i="23" s="1"/>
  <c r="C6" i="23" s="1"/>
  <c r="D187" i="19"/>
  <c r="C200" i="17"/>
  <c r="E200" i="17" s="1"/>
  <c r="E201" i="17" s="1"/>
  <c r="E13" i="17" s="1"/>
  <c r="E15" i="17" s="1"/>
  <c r="E16" i="17" s="1"/>
  <c r="D189" i="14"/>
  <c r="F4" i="23" s="1"/>
  <c r="G4" i="23" s="1"/>
  <c r="G6" i="23" s="1"/>
  <c r="C187" i="19"/>
  <c r="G7" i="23" l="1"/>
  <c r="F2" i="32"/>
</calcChain>
</file>

<file path=xl/comments1.xml><?xml version="1.0" encoding="utf-8"?>
<comments xmlns="http://schemas.openxmlformats.org/spreadsheetml/2006/main">
  <authors>
    <author>FANG, XIANG</author>
  </authors>
  <commentList>
    <comment ref="G10" authorId="0">
      <text>
        <r>
          <rPr>
            <b/>
            <sz val="9"/>
            <color indexed="81"/>
            <rFont val="Tahoma"/>
            <family val="2"/>
          </rPr>
          <t>FANG, XIANG:</t>
        </r>
        <r>
          <rPr>
            <sz val="9"/>
            <color indexed="81"/>
            <rFont val="Tahoma"/>
            <family val="2"/>
          </rPr>
          <t xml:space="preserve">
The IO8 records that are HQLA and Treasury Control as Y, will not be recorded in LCR inflow, since they are double reported in IA1 as HQLA as well</t>
        </r>
      </text>
    </comment>
  </commentList>
</comments>
</file>

<file path=xl/sharedStrings.xml><?xml version="1.0" encoding="utf-8"?>
<sst xmlns="http://schemas.openxmlformats.org/spreadsheetml/2006/main" count="14000" uniqueCount="1067">
  <si>
    <t>AGG_FR2052aID</t>
  </si>
  <si>
    <t>PID</t>
  </si>
  <si>
    <t>Product</t>
  </si>
  <si>
    <t>ReportType</t>
  </si>
  <si>
    <t>ReportScope</t>
  </si>
  <si>
    <t>Internal</t>
  </si>
  <si>
    <t>ForwardStartBucket</t>
  </si>
  <si>
    <t>MaturityBucket</t>
  </si>
  <si>
    <t>EffectiveMaturityBucket</t>
  </si>
  <si>
    <t>Currency</t>
  </si>
  <si>
    <t>Converted</t>
  </si>
  <si>
    <t>LendableValue</t>
  </si>
  <si>
    <t>MarketValue</t>
  </si>
  <si>
    <t>MaturityValue</t>
  </si>
  <si>
    <t>ForwardStartValue</t>
  </si>
  <si>
    <t>ForwardStart</t>
  </si>
  <si>
    <t>ForwardEnd</t>
  </si>
  <si>
    <t>MaturityStart</t>
  </si>
  <si>
    <t>MaturityEnd</t>
  </si>
  <si>
    <t>EffectiveMaturityStart</t>
  </si>
  <si>
    <t>EffectiveMaturityEnd</t>
  </si>
  <si>
    <t>TreasuryControl</t>
  </si>
  <si>
    <t>CollateralClass</t>
  </si>
  <si>
    <t>CollateralValue</t>
  </si>
  <si>
    <t>CollateralCurrency</t>
  </si>
  <si>
    <t>CounterPartySector</t>
  </si>
  <si>
    <t>Insured</t>
  </si>
  <si>
    <t>InternalCounterParty</t>
  </si>
  <si>
    <t>Rehypothecated</t>
  </si>
  <si>
    <t>trigger</t>
  </si>
  <si>
    <t>PrimeBrokerage</t>
  </si>
  <si>
    <t>SettlementMechanism</t>
  </si>
  <si>
    <t>Unencumbered</t>
  </si>
  <si>
    <t>CID</t>
  </si>
  <si>
    <t>SID</t>
  </si>
  <si>
    <t>SID2</t>
  </si>
  <si>
    <t>SubProduct</t>
  </si>
  <si>
    <t>Subproduct2</t>
  </si>
  <si>
    <t>AsofDate</t>
  </si>
  <si>
    <t>CreationDate</t>
  </si>
  <si>
    <t>MATBUCKET START</t>
  </si>
  <si>
    <t>MATBUCKET END</t>
  </si>
  <si>
    <t>IN 30D OR NOT</t>
  </si>
  <si>
    <t>PID IOS</t>
  </si>
  <si>
    <t>4</t>
  </si>
  <si>
    <t>Restricted Reserve Balances</t>
  </si>
  <si>
    <t>Inflows-Assets</t>
  </si>
  <si>
    <t>Bank of China - Combined US Branches and Agencies</t>
  </si>
  <si>
    <t>P0D - P0D</t>
  </si>
  <si>
    <t>USD</t>
  </si>
  <si>
    <t>False</t>
  </si>
  <si>
    <t xml:space="preserve">P0D </t>
  </si>
  <si>
    <t xml:space="preserve"> P0D</t>
  </si>
  <si>
    <t>True</t>
  </si>
  <si>
    <t>A-0-Q</t>
  </si>
  <si>
    <t>Federal Reserve Bank</t>
  </si>
  <si>
    <t>3</t>
  </si>
  <si>
    <t>Unrestricted Reserve Balances</t>
  </si>
  <si>
    <t>1</t>
  </si>
  <si>
    <t>Unencumbered Assets</t>
  </si>
  <si>
    <t>A-1-Q</t>
  </si>
  <si>
    <t>A-3</t>
  </si>
  <si>
    <t>G-2</t>
  </si>
  <si>
    <t>IG-1</t>
  </si>
  <si>
    <t>Z-1</t>
  </si>
  <si>
    <t>Onshore Placements</t>
  </si>
  <si>
    <t>Inflows-Unsecured</t>
  </si>
  <si>
    <t>P121D-P150D</t>
  </si>
  <si>
    <t>P121D</t>
  </si>
  <si>
    <t>P150D</t>
  </si>
  <si>
    <t xml:space="preserve">Bank </t>
  </si>
  <si>
    <t>2</t>
  </si>
  <si>
    <t>Offshore Placements</t>
  </si>
  <si>
    <t>P151D-P180D</t>
  </si>
  <si>
    <t>P151D</t>
  </si>
  <si>
    <t>P180D</t>
  </si>
  <si>
    <t>BOC - Other Americas (Ex US)</t>
  </si>
  <si>
    <t>P1827D</t>
  </si>
  <si>
    <t>BOC - China</t>
  </si>
  <si>
    <t>P271D-P365D</t>
  </si>
  <si>
    <t>P271D</t>
  </si>
  <si>
    <t>P365D</t>
  </si>
  <si>
    <t>5</t>
  </si>
  <si>
    <t>Outstanding Draws on Revolving Credit Facilities</t>
  </si>
  <si>
    <t>Non-Financial Corporate</t>
  </si>
  <si>
    <t>P14D-P14D</t>
  </si>
  <si>
    <t>P14D</t>
  </si>
  <si>
    <t>P181D-P270D</t>
  </si>
  <si>
    <t>P181D</t>
  </si>
  <si>
    <t>P270D</t>
  </si>
  <si>
    <t>P42D-P42D</t>
  </si>
  <si>
    <t>P42D</t>
  </si>
  <si>
    <t>P56D-P56D</t>
  </si>
  <si>
    <t>P56D</t>
  </si>
  <si>
    <t>P61D-P67D</t>
  </si>
  <si>
    <t>P61D</t>
  </si>
  <si>
    <t>P67D</t>
  </si>
  <si>
    <t>P68D-P74D</t>
  </si>
  <si>
    <t>P68D</t>
  </si>
  <si>
    <t>P74D</t>
  </si>
  <si>
    <t>P75D-P82D</t>
  </si>
  <si>
    <t>P75D</t>
  </si>
  <si>
    <t>P82D</t>
  </si>
  <si>
    <t>P7D-P7D</t>
  </si>
  <si>
    <t>P7D</t>
  </si>
  <si>
    <t>P83D-P90D</t>
  </si>
  <si>
    <t>P83D</t>
  </si>
  <si>
    <t>P90D</t>
  </si>
  <si>
    <t>P91D-P120D</t>
  </si>
  <si>
    <t>P91D</t>
  </si>
  <si>
    <t>P120D</t>
  </si>
  <si>
    <t>6</t>
  </si>
  <si>
    <t>Other Loans</t>
  </si>
  <si>
    <t>Required Nostro Accounts</t>
  </si>
  <si>
    <t>BOC - APAC (ex China)</t>
  </si>
  <si>
    <t>BOC - EMEA</t>
  </si>
  <si>
    <t>Supervised Non-Bank Financial Entity</t>
  </si>
  <si>
    <t>Excess Nostro Accounts</t>
  </si>
  <si>
    <t>7</t>
  </si>
  <si>
    <t>Other Secured Loans - Non-Rehypothecatable</t>
  </si>
  <si>
    <t>Inflows-Secured</t>
  </si>
  <si>
    <t>Bilateral</t>
  </si>
  <si>
    <t>Retail</t>
  </si>
  <si>
    <t>8</t>
  </si>
  <si>
    <t>Principal Payments Receivable on Unencumbered Investment Securities</t>
  </si>
  <si>
    <t>Inflows-Other</t>
  </si>
  <si>
    <t>Derivative Receivables</t>
  </si>
  <si>
    <t>Interest and Dividends Receivable</t>
  </si>
  <si>
    <t>Net 30-Day Derivative Receivables</t>
  </si>
  <si>
    <t>9</t>
  </si>
  <si>
    <t>Other Cash Inflows</t>
  </si>
  <si>
    <t>P366D-P730D</t>
  </si>
  <si>
    <t>P366D</t>
  </si>
  <si>
    <t>P730D</t>
  </si>
  <si>
    <t>Firm Shorts</t>
  </si>
  <si>
    <t>Outflows-Secured</t>
  </si>
  <si>
    <t>Other</t>
  </si>
  <si>
    <t>11</t>
  </si>
  <si>
    <t>Unstructured Long Term Debt</t>
  </si>
  <si>
    <t>Outflows-Wholesale</t>
  </si>
  <si>
    <t>19</t>
  </si>
  <si>
    <t>Other Unsecured Financing</t>
  </si>
  <si>
    <t>10</t>
  </si>
  <si>
    <t>Offshore Borrowing</t>
  </si>
  <si>
    <t>Credit Facilities</t>
  </si>
  <si>
    <t>Outflows-Other</t>
  </si>
  <si>
    <t>Liquidity Facilities</t>
  </si>
  <si>
    <t>Interest and Dividends Payable</t>
  </si>
  <si>
    <t>Trade Finance Instruments</t>
  </si>
  <si>
    <t>20</t>
  </si>
  <si>
    <t>Net 30-Day Derivative Payables</t>
  </si>
  <si>
    <t>Derivative Payables</t>
  </si>
  <si>
    <t>Transactional Accounts</t>
  </si>
  <si>
    <t>Outflows-Deposits</t>
  </si>
  <si>
    <t>FDIC</t>
  </si>
  <si>
    <t>Small Business</t>
  </si>
  <si>
    <t>Uninsured</t>
  </si>
  <si>
    <t>Other Product Sweep Accounts</t>
  </si>
  <si>
    <t>Central Bank</t>
  </si>
  <si>
    <t>Non-Transactional Relationship Accounts</t>
  </si>
  <si>
    <t>Non-Transactional Non-Relationship Accounts</t>
  </si>
  <si>
    <t>Operational Accounts</t>
  </si>
  <si>
    <t>Sovereign</t>
  </si>
  <si>
    <t>Bank of China - All Other US Operations</t>
  </si>
  <si>
    <t>Non-Operational Accounts</t>
  </si>
  <si>
    <t>Mortgage Escrow Accounts</t>
  </si>
  <si>
    <t>Non-Reciprocal Brokered Accounts</t>
  </si>
  <si>
    <t>Non-Affiliated Sweep Accounts</t>
  </si>
  <si>
    <t>Reciprocal Accounts</t>
  </si>
  <si>
    <t>I.A.</t>
  </si>
  <si>
    <t>I.U.</t>
  </si>
  <si>
    <t>I.S.</t>
  </si>
  <si>
    <t>I.O.</t>
  </si>
  <si>
    <t>O.S.</t>
  </si>
  <si>
    <t>O.W.</t>
  </si>
  <si>
    <t>O.O.</t>
  </si>
  <si>
    <t>O.D.</t>
  </si>
  <si>
    <t>S.I.</t>
  </si>
  <si>
    <t>Supplemental-Foreign Exchange</t>
  </si>
  <si>
    <t>S.FX.</t>
  </si>
  <si>
    <t>US LCR Calculation</t>
  </si>
  <si>
    <t>FR2052a Appendix VI Mapping ID</t>
  </si>
  <si>
    <t>Description</t>
  </si>
  <si>
    <t>Exposure</t>
  </si>
  <si>
    <t>Weight</t>
  </si>
  <si>
    <t>Weighted Value</t>
  </si>
  <si>
    <t>LCR Summary</t>
  </si>
  <si>
    <t>HQLA</t>
  </si>
  <si>
    <t>CB Reserve Balances</t>
  </si>
  <si>
    <t>Level 1 Securities</t>
  </si>
  <si>
    <t>Level 2a Securities</t>
  </si>
  <si>
    <t>Level 2b Securities</t>
  </si>
  <si>
    <t>Total HQLA Subtractive Values</t>
  </si>
  <si>
    <t>Total HQLA</t>
  </si>
  <si>
    <t>Total Outflows</t>
  </si>
  <si>
    <t>Total Inflows</t>
  </si>
  <si>
    <t>Maturity Mismatch Add On</t>
  </si>
  <si>
    <t>Total Net Outflows With Add On</t>
  </si>
  <si>
    <t>LCR - With Add On</t>
  </si>
  <si>
    <t>HQLA Additive Values</t>
  </si>
  <si>
    <t>High-Quality Liquid Assets (Subpart C, §.20-.22)</t>
  </si>
  <si>
    <t>Level 1</t>
  </si>
  <si>
    <t>Level 2a</t>
  </si>
  <si>
    <t>Level 2b</t>
  </si>
  <si>
    <t>Rehypothecatable Collateral (Subpart C, §.20-.22)</t>
  </si>
  <si>
    <t>HQLA Subtractive Values</t>
  </si>
  <si>
    <t>Excluded Sub HQLA (§.22(b)(3)and(4))</t>
  </si>
  <si>
    <t>Early Hedge Termination Outflows (§.22(a)(3))</t>
  </si>
  <si>
    <t>Excess Collateral (§.22(b)(5))</t>
  </si>
  <si>
    <t>Unwind Transactions</t>
  </si>
  <si>
    <t>Secured Lending Unwind (Subpart C, §.21)</t>
  </si>
  <si>
    <t>Level 1 Maturity Amount</t>
  </si>
  <si>
    <t>Level 2a Maturity Amount</t>
  </si>
  <si>
    <t>Level 2b Maturity Amount</t>
  </si>
  <si>
    <t>Level 1 Collateral Value</t>
  </si>
  <si>
    <t>Level 2a Collateral Value</t>
  </si>
  <si>
    <t>Level 2b Collateral Value</t>
  </si>
  <si>
    <t>Secured Funding Unwind (Subpart C, §.21)</t>
  </si>
  <si>
    <t>Asset Exchange Unwind (Subpart C, §.21)</t>
  </si>
  <si>
    <t>Level 1 Collateral Value Received</t>
  </si>
  <si>
    <t>Level 2a Collateral Value Received</t>
  </si>
  <si>
    <t>Level 2b Collateral Value Received</t>
  </si>
  <si>
    <t>Level 1 Collateral Value Pledged</t>
  </si>
  <si>
    <t>Level 2a Collateral Value Pledged</t>
  </si>
  <si>
    <t>Level 2b Collateral Value Pledged</t>
  </si>
  <si>
    <t>Outflows</t>
  </si>
  <si>
    <t>Stable Retail Deposits (§.32(a)(1))</t>
  </si>
  <si>
    <t>Other Retail Deposits (§.32(a)(2))</t>
  </si>
  <si>
    <t>Insured Placed Retail Deposits (§.32(a)(3))</t>
  </si>
  <si>
    <t>Non-Insured Placed Retail Deposits  (§.32(a)(4))</t>
  </si>
  <si>
    <t>Other Retail Funding (§.32(a)(5))</t>
  </si>
  <si>
    <t>Structured Transaction Outflow Amount (§.32(b))</t>
  </si>
  <si>
    <t>Net Derivatives Cash Outflow Amount (§.32(c ))</t>
  </si>
  <si>
    <t>Mortgage Commitment Outflow Amount (§.32(d))</t>
  </si>
  <si>
    <t>Affiliated DI Commitments (§.32(e )(1)(i))</t>
  </si>
  <si>
    <t>Retail Commitments (§.32(e )(1)(ii))</t>
  </si>
  <si>
    <t>Non-Financial Coporate Credit Facilities (§.32(e )(1)(iii))</t>
  </si>
  <si>
    <t>Non-Financial Coporate Liquidity Facilities (§.32(e )(1)(iv))</t>
  </si>
  <si>
    <t>Bank Commitments (§.32(e )(1)(v))</t>
  </si>
  <si>
    <t>Non-Bank and Non-SPE Financial Sector Entity Credit Facilities (§.32(e )(1)(vi))</t>
  </si>
  <si>
    <t>Non-Bank and Non-SPE Financial Sector Entity Liquidity Facilities (§.32(e )(1)(vii))</t>
  </si>
  <si>
    <t>Debt Issuing SPE Commitments (§.32(e )(1)(viii))</t>
  </si>
  <si>
    <t>Other Commitments  (§.32(e )(1)(ix))</t>
  </si>
  <si>
    <t>Changes in Financial Condition  (§.32(f)(1))</t>
  </si>
  <si>
    <t>Derivative Collateral Potential Valuation Changes (§.32(f)(2))</t>
  </si>
  <si>
    <t>Potential Derivative Valuation Change (§.32(f)(3))</t>
  </si>
  <si>
    <t>Collateral Deliverables (§.32(f)(3) and (5))</t>
  </si>
  <si>
    <t>Collateral Substitution (§.32(f)(6))</t>
  </si>
  <si>
    <t>Other Brokered Retail Deposits Maturing within 30 days (§.32(g)(1))</t>
  </si>
  <si>
    <t>Other Brokered Retail Deposits Maturing later than 30 days (§.32(g)(2))</t>
  </si>
  <si>
    <t>Insured Other Brokered Retail Deposits with No Maturity (§.32(g)(3))</t>
  </si>
  <si>
    <t>Not Fully Insured Other Brokered Retail Deposits with No Maturity (§.32(g)(4))</t>
  </si>
  <si>
    <t>Insured Reciprocal (§.32(g)(5))</t>
  </si>
  <si>
    <t>Not Fully Insured Reciprocal (§.32(g)(6))</t>
  </si>
  <si>
    <t>Insured Affiliated Sweeps (§.32(g)(7))</t>
  </si>
  <si>
    <t>Insured Non-Affiliated Sweeps (§.32(g)(8))</t>
  </si>
  <si>
    <t>Sweeps that are not Fully Insured (§.32(g)(9))</t>
  </si>
  <si>
    <t>Insured Unsecured Wholesale Non-Operational Non-Financial (§.32(h)(1)(i))</t>
  </si>
  <si>
    <t>Not Fully Insured Unsecured Wholesale Non-Operational Non-Financial (§.32(h)(1)(ii)(A))</t>
  </si>
  <si>
    <t>Unsecured Wholesale Brokered Deposit Non-Operational Non-Financial (§.32(h)(1)(ii)(B))</t>
  </si>
  <si>
    <t>Financial Non-Operational (§.32(h)(2))</t>
  </si>
  <si>
    <t>Issued Debt Securities Maturing within 30 days (§.32(h)(2))</t>
  </si>
  <si>
    <t>Insured Operational Deposits (§.32(h)(3))</t>
  </si>
  <si>
    <t>Not Fully Insured Operational Deposits (§.32(h)(4))</t>
  </si>
  <si>
    <t>Other Unsecured Wholesale (§.32(h)(5))</t>
  </si>
  <si>
    <t>Issued Not Structured Debt Securities Maturing Outside 30 Days when Primary Market Maker (§.32(i)(1))</t>
  </si>
  <si>
    <t>Issued Structured Debt Securities Maturing Outside 30 Days when Primary Market Maker (§.32(i)(2))</t>
  </si>
  <si>
    <t>Secured Funding L1 (§.32(j)(1)(i))</t>
  </si>
  <si>
    <t>Secured Funding L2A (§.32(j)(1)(ii))</t>
  </si>
  <si>
    <t>Secured Funding from Governmental Entities not L1 or L2A (§.32(j)(1)(iii))</t>
  </si>
  <si>
    <t>Secured Funding L2B (§.32(j)(1)(iv))</t>
  </si>
  <si>
    <t>Customer Shorts Funded by Non-HQLA Customer Longs (§.32(j)(1)(v))</t>
  </si>
  <si>
    <t>Secured Funding Non-HQLA (§.32(j)(1)(vi))</t>
  </si>
  <si>
    <t>Secured but Lower Unsecured Rate (§.32(j)(2))1</t>
  </si>
  <si>
    <t>20% / 40%</t>
  </si>
  <si>
    <t>Secured but Lower Unsecured Rate (§.32(j)(2))</t>
  </si>
  <si>
    <t>5% / 25%</t>
  </si>
  <si>
    <t>Asset Exchange Post L1 Receive L1 (§.32(j)(3)(i))</t>
  </si>
  <si>
    <t>Asset Exchange Post L1 Receive L2A (§.32(j)(3)(ii))</t>
  </si>
  <si>
    <t>Asset Exchange Post L1 Receive L2B (§.32(j)(3)(iii))</t>
  </si>
  <si>
    <t>Asset Exchange Post L1 Receive Non-HQLA (§.32(j)(3)(iv))</t>
  </si>
  <si>
    <t>Asset Exchange Post L2A Receive L1 or L2A (§.32(j)(3)(v))</t>
  </si>
  <si>
    <t>Asset Exchange Post L2A Receive L2B (§.32(j)(3)(vi))</t>
  </si>
  <si>
    <t>Asset Exchange Post L2A Receive Non-HQLA (§.32(j)(3)(vii))</t>
  </si>
  <si>
    <t>Asset Exchange Post L2B Receive L1, L2A or L2B (§.32(j)(3)(viii))</t>
  </si>
  <si>
    <t>Asset Exchange Post L2B Receive Non-HQLA (§.32(j)(3)(ix))</t>
  </si>
  <si>
    <t>Asset Exchange Post Rehypothecated Assets &gt;30 days Receive L1 (§.32(j)(3)(x))</t>
  </si>
  <si>
    <t>Asset Exchange Post Rehypothecated Assets &gt;30 days Receive L2A (§.32(j)(3)(xi))</t>
  </si>
  <si>
    <t>Asset Exchange Post Rehypothecated Assets &gt;30 days Receive L2B (§.32(j)(3)(xii))</t>
  </si>
  <si>
    <t>Asset Exchange Post Rehypothecated Assets &gt;30 days Receive Non-HQLA (§.32(j)(3)(xiii))</t>
  </si>
  <si>
    <t>Foreign Central Bank Borrowing (§.32(k))</t>
  </si>
  <si>
    <t>Other Contractual Outflows (§.32(l))</t>
  </si>
  <si>
    <t>Inflows</t>
  </si>
  <si>
    <t>Net Derivative Cash Inflow Amount (§.33(b))</t>
  </si>
  <si>
    <t>Retail Cash Inflow Amount (§.33(c ))</t>
  </si>
  <si>
    <t>Financial and Central Bank Cash Inflow Amount (§.33(d)(1))</t>
  </si>
  <si>
    <t>Non-Financial Wholesale Cash Inflow Amount (§.33(d)(2))</t>
  </si>
  <si>
    <t>Securities Cash Inflow Amount (§.33(e ))</t>
  </si>
  <si>
    <t>Secured Lending when Asset Rehypothecated not returned withing 30 days (§.33(f)(1)(i))</t>
  </si>
  <si>
    <t>Secured Lending when Asset Available for Return (§.33(f)(1)(ii))</t>
  </si>
  <si>
    <t>Secured Lending with L1 HQLA (§.33(f)(1)(iii))</t>
  </si>
  <si>
    <t>Secured Lending with L2A HQLA (§.33(f)(1)(iv))</t>
  </si>
  <si>
    <t>Secured Lending with L2B HQLA (§.33(f)(1)(v))</t>
  </si>
  <si>
    <t>Secured Lending with Non-HQLA (§.33(f)(1)(vi))</t>
  </si>
  <si>
    <t>Margin Loans for Non-HQLA (§.33(f)(1)(vii))</t>
  </si>
  <si>
    <t>Asset Exchange Collateral Rehypothecated and Not Returning within 30 days (§.33(f)(2)(i))</t>
  </si>
  <si>
    <t>Asset Exchange Post L1 Receive L1 (§.33(f)(2)(ii))</t>
  </si>
  <si>
    <t>Asset Exchange Post L2A Receive L1 (§.33(f)(2)(iii))</t>
  </si>
  <si>
    <t>Asset Exchange Post L2B Receive L1 (§.33(f)(2)(iv))</t>
  </si>
  <si>
    <t>Asset Exchange Post Non-HQLA Receive L1 (§.33(f)(2)(v))</t>
  </si>
  <si>
    <t>Asset Exchange Post L2A Receive L2A (§.33(f)(2)(vi))</t>
  </si>
  <si>
    <t>Asset Exchange Post L2B Receive L2A (§.33(f)(2)(vii))</t>
  </si>
  <si>
    <t>Asset Exchange Post Non-HQLA Receive L2A (§.33(f)(2)(viii))</t>
  </si>
  <si>
    <t>Asset Exchange Post L2B Receive L2B (§.33(f)(2)(ix))</t>
  </si>
  <si>
    <t>Asset Exchange Post Non-HQLA Receive L2B (§.33(f)(2)(x))</t>
  </si>
  <si>
    <t>Broker-Dealer Segregated Account Inflow Amount (§.33(g))</t>
  </si>
  <si>
    <t>Other Cash Inflow Amount (§.33(h))</t>
  </si>
  <si>
    <t>Undercollateralized Borrowing - Non-Financial (include in Mapping ID 48)</t>
  </si>
  <si>
    <t>Undercollaterlized Borrowing - Mapping ID 54</t>
  </si>
  <si>
    <t>Undercollateralized Borrowing - Financial (include in Mapping ID 56)</t>
  </si>
  <si>
    <t>Undercollateralized Lending - Financial (include in Mapping ID 102)</t>
  </si>
  <si>
    <t>Undercollateralized Lending - Non-Financial (include in Mapping ID 105)</t>
  </si>
  <si>
    <t>Notes</t>
  </si>
  <si>
    <t>1.) IDs 77 &amp; 79: Outflow rate will depend on whether or not the balance is fully insured. Fully insured balances receive lower of two listed outflow rates.</t>
  </si>
  <si>
    <t xml:space="preserve">2.) All items in Additional section should also be included in the specified Appendix VI Mapping ID above. </t>
  </si>
  <si>
    <t>FIND COLUMN</t>
  </si>
  <si>
    <t>SUM COLUMN</t>
  </si>
  <si>
    <t>COMBINED FORMULA</t>
  </si>
  <si>
    <t>RESULT</t>
  </si>
  <si>
    <t>O.D.5</t>
  </si>
  <si>
    <t>Operation</t>
  </si>
  <si>
    <t>is</t>
  </si>
  <si>
    <t>not</t>
  </si>
  <si>
    <t>O.D.6</t>
  </si>
  <si>
    <t>O.D.7</t>
  </si>
  <si>
    <t>O.D.8</t>
  </si>
  <si>
    <t>Name</t>
  </si>
  <si>
    <t>I.A.1</t>
  </si>
  <si>
    <t>Other Cash</t>
  </si>
  <si>
    <t>HQLAorNot</t>
  </si>
  <si>
    <t>A‐2‐Q</t>
  </si>
  <si>
    <t>A‐3‐Q</t>
  </si>
  <si>
    <t xml:space="preserve">A‐4‐Q </t>
  </si>
  <si>
    <t>A‐5‐Q</t>
  </si>
  <si>
    <t>S‐1‐Q</t>
  </si>
  <si>
    <t>S‐2‐Q</t>
  </si>
  <si>
    <t>S‐3‐Q</t>
  </si>
  <si>
    <t>S‐4‐Q</t>
  </si>
  <si>
    <t>G‐1‐Q</t>
  </si>
  <si>
    <t>G‐2‐Q</t>
  </si>
  <si>
    <t>G‐3‐Q</t>
  </si>
  <si>
    <t>S‐5‐Q</t>
  </si>
  <si>
    <t>S‐6‐Q</t>
  </si>
  <si>
    <t xml:space="preserve">S‐7‐Q </t>
  </si>
  <si>
    <t xml:space="preserve">E‐1‐Q </t>
  </si>
  <si>
    <t xml:space="preserve">E‐2‐Q </t>
  </si>
  <si>
    <t>IG‐1‐Q</t>
  </si>
  <si>
    <t>IG-2-Q</t>
  </si>
  <si>
    <t>LEVEL</t>
  </si>
  <si>
    <t>2a</t>
  </si>
  <si>
    <t>2b</t>
  </si>
  <si>
    <t>I.A.3</t>
  </si>
  <si>
    <t>HQLAorNOT</t>
  </si>
  <si>
    <t>I.S.1</t>
  </si>
  <si>
    <t>I.S.2</t>
  </si>
  <si>
    <t>I.S.3</t>
  </si>
  <si>
    <t>I.S.4</t>
  </si>
  <si>
    <t>I.S.5</t>
  </si>
  <si>
    <t>I.S.6</t>
  </si>
  <si>
    <t>Unencumbered01</t>
  </si>
  <si>
    <t>Internal01</t>
  </si>
  <si>
    <t>TreaControl01</t>
  </si>
  <si>
    <t>I.S.7</t>
  </si>
  <si>
    <t>SUMIFSFORMULA</t>
  </si>
  <si>
    <t>Which Value</t>
  </si>
  <si>
    <t>I.U.6</t>
  </si>
  <si>
    <t>I.U.2</t>
  </si>
  <si>
    <t>I.U.1</t>
  </si>
  <si>
    <t>I.U.4</t>
  </si>
  <si>
    <t>I.O.7</t>
  </si>
  <si>
    <t>I.O.6</t>
  </si>
  <si>
    <t>I.O.8</t>
  </si>
  <si>
    <t>I.O.9</t>
  </si>
  <si>
    <t>NOTE</t>
  </si>
  <si>
    <t>O.D.1</t>
  </si>
  <si>
    <t>O.D.2</t>
  </si>
  <si>
    <t>O.D.3</t>
  </si>
  <si>
    <t>O.O.20</t>
  </si>
  <si>
    <t>O.O.4</t>
  </si>
  <si>
    <t>note</t>
  </si>
  <si>
    <t>1 and 103</t>
  </si>
  <si>
    <t>O.O.5</t>
  </si>
  <si>
    <t>ONLY OO4 HAS BANK</t>
  </si>
  <si>
    <t>O.D.4</t>
  </si>
  <si>
    <t>I.A.4</t>
  </si>
  <si>
    <t>I.U.5</t>
  </si>
  <si>
    <t>I.U.3</t>
  </si>
  <si>
    <t>I.O.1</t>
  </si>
  <si>
    <t>O.S.8</t>
  </si>
  <si>
    <t>O.W.11</t>
  </si>
  <si>
    <t>O.W.19</t>
  </si>
  <si>
    <t>O.W.10</t>
  </si>
  <si>
    <t>O.O.19</t>
  </si>
  <si>
    <t>O.O.7</t>
  </si>
  <si>
    <t>O.O.1</t>
  </si>
  <si>
    <t>O.D.10</t>
  </si>
  <si>
    <t>O.D.9</t>
  </si>
  <si>
    <t>O.D.11</t>
  </si>
  <si>
    <t>INTERNAL</t>
  </si>
  <si>
    <t>EXTERNAL</t>
  </si>
  <si>
    <t>Market Value</t>
  </si>
  <si>
    <r>
      <t>Additional</t>
    </r>
    <r>
      <rPr>
        <b/>
        <vertAlign val="superscript"/>
        <sz val="16"/>
        <color theme="1"/>
        <rFont val="Calibri"/>
        <family val="2"/>
        <scheme val="minor"/>
      </rPr>
      <t>2</t>
    </r>
  </si>
  <si>
    <r>
      <t>Secured but Lower Unsecured Rate (§.32(j)(2))</t>
    </r>
    <r>
      <rPr>
        <vertAlign val="superscript"/>
        <sz val="10"/>
        <rFont val="Arial"/>
        <family val="2"/>
      </rPr>
      <t>1</t>
    </r>
  </si>
  <si>
    <t>9.2.2b</t>
  </si>
  <si>
    <t>9.2.2a</t>
  </si>
  <si>
    <t>9.2.1</t>
  </si>
  <si>
    <t>9.1.2b</t>
  </si>
  <si>
    <t>9.1.2a</t>
  </si>
  <si>
    <t>9.1.1</t>
  </si>
  <si>
    <t>8.2.2b</t>
  </si>
  <si>
    <t>8.2.2a</t>
  </si>
  <si>
    <t>8.2.1</t>
  </si>
  <si>
    <t>8.1.2b</t>
  </si>
  <si>
    <t>8.1.2a</t>
  </si>
  <si>
    <t>8.1.1</t>
  </si>
  <si>
    <t>6.2b</t>
  </si>
  <si>
    <t>6.2a</t>
  </si>
  <si>
    <t>6.1</t>
  </si>
  <si>
    <t>5.2b</t>
  </si>
  <si>
    <t>5.2a</t>
  </si>
  <si>
    <t>5.1</t>
  </si>
  <si>
    <t>4.2b</t>
  </si>
  <si>
    <t>4.2a</t>
  </si>
  <si>
    <t>4.1</t>
  </si>
  <si>
    <t>3.2b</t>
  </si>
  <si>
    <t>3.2a</t>
  </si>
  <si>
    <t>3.1</t>
  </si>
  <si>
    <t>2.2b</t>
  </si>
  <si>
    <t>2.2a</t>
  </si>
  <si>
    <t>2.1</t>
  </si>
  <si>
    <t>1.2b</t>
  </si>
  <si>
    <t>1.2a</t>
  </si>
  <si>
    <t>1.1</t>
  </si>
  <si>
    <t>Non- LCR Firms</t>
  </si>
  <si>
    <t>High-Quality Liquid Assets (Subpart C, §.20-.22)Level 1</t>
  </si>
  <si>
    <t>High-Quality Liquid Assets (Subpart C, §.20-.22)Level 2a</t>
  </si>
  <si>
    <t>High-Quality Liquid Assets (Subpart C, §.20-.22)Level 2b</t>
  </si>
  <si>
    <t>Rehypothecatable Collateral (Subpart C, §.20-.22)Level 1</t>
  </si>
  <si>
    <t>Rehypothecatable Collateral (Subpart C, §.20-.22)Level 2a</t>
  </si>
  <si>
    <t>Rehypothecatable Collateral (Subpart C, §.20-.22)Level 2b</t>
  </si>
  <si>
    <t>Excluded Sub HQLA (§.22(b)(3)and(4))Level 1</t>
  </si>
  <si>
    <t>Excluded Sub HQLA (§.22(b)(3)and(4))Level 2a</t>
  </si>
  <si>
    <t>Excluded Sub HQLA (§.22(b)(3)and(4))Level 2b</t>
  </si>
  <si>
    <t>Early Hedge Termination Outflows (§.22(a)(3))Level 1</t>
  </si>
  <si>
    <t>Early Hedge Termination Outflows (§.22(a)(3))Level 2a</t>
  </si>
  <si>
    <t>Early Hedge Termination Outflows (§.22(a)(3))Level 2b</t>
  </si>
  <si>
    <t>Excess Collateral (§.22(b)(5))Level 1</t>
  </si>
  <si>
    <t>Excess Collateral (§.22(b)(5))Level 2a</t>
  </si>
  <si>
    <t>Excess Collateral (§.22(b)(5))Level 2b</t>
  </si>
  <si>
    <t>Secured Lending Unwind (Subpart C, §.21)Level 1 Maturity Amount</t>
  </si>
  <si>
    <t>Secured Lending Unwind (Subpart C, §.21)Level 2a Maturity Amount</t>
  </si>
  <si>
    <t>Secured Lending Unwind (Subpart C, §.21)Level 2b Maturity Amount</t>
  </si>
  <si>
    <t>Secured Lending Unwind (Subpart C, §.21)Level 1 Collateral Value</t>
  </si>
  <si>
    <t>Secured Lending Unwind (Subpart C, §.21)Level 2a Collateral Value</t>
  </si>
  <si>
    <t>Secured Lending Unwind (Subpart C, §.21)Level 2b Collateral Value</t>
  </si>
  <si>
    <t>Secured Funding Unwind (Subpart C, §.21)Level 1 Maturity Amount</t>
  </si>
  <si>
    <t>Secured Funding Unwind (Subpart C, §.21)Level 2a Maturity Amount</t>
  </si>
  <si>
    <t>Secured Funding Unwind (Subpart C, §.21)Level 2b Maturity Amount</t>
  </si>
  <si>
    <t>Secured Funding Unwind (Subpart C, §.21)Level 1 Collateral Value</t>
  </si>
  <si>
    <t>Secured Funding Unwind (Subpart C, §.21)Level 2a Collateral Value</t>
  </si>
  <si>
    <t>Secured Funding Unwind (Subpart C, §.21)Level 2b Collateral Value</t>
  </si>
  <si>
    <t>Asset Exchange Unwind (Subpart C, §.21)Level 1 Collateral Value Received</t>
  </si>
  <si>
    <t>Asset Exchange Unwind (Subpart C, §.21)Level 2a Collateral Value Received</t>
  </si>
  <si>
    <t>Asset Exchange Unwind (Subpart C, §.21)Level 2b Collateral Value Received</t>
  </si>
  <si>
    <t>Asset Exchange Unwind (Subpart C, §.21)Level 1 Collateral Value Pledged</t>
  </si>
  <si>
    <t>Asset Exchange Unwind (Subpart C, §.21)Level 2a Collateral Value Pledged</t>
  </si>
  <si>
    <t>Asset Exchange Unwind (Subpart C, §.21)Level 2b Collateral Value Pledged</t>
  </si>
  <si>
    <t>EXPLAINATION</t>
  </si>
  <si>
    <t>LCR INDEX</t>
  </si>
  <si>
    <t>7.2.1</t>
  </si>
  <si>
    <t>7.2.2a</t>
  </si>
  <si>
    <t>7.2.2b</t>
  </si>
  <si>
    <t>7.1.1</t>
  </si>
  <si>
    <t>7.1.2a</t>
  </si>
  <si>
    <t>7.1.2b</t>
  </si>
  <si>
    <t>LCR Type</t>
  </si>
  <si>
    <t>LCR EXPLANATION</t>
  </si>
  <si>
    <t>Refers to assets that are purchased outright that are (i) free of legal, regulatory, contractual, or other restrictions on the ability of the reporting entity to monetize the assets; and (ii) not pledged, explicitly or implicitly, to secure or to provide credit enhancement to any transaction. Exclude all unencumbered assets that are pledged to a central bank or a U.S. government-sponsored enterprise that meet the specifications of, and should be reported under, product I.A.2: Capacity. Exclude transactions involving the purchase of securities that have been executed, but not yet settled as those transactions should be reported in lines I.A.5: Unsettled Asset Purchases or I.A.6: Forward Asset Purchases, depending on the timing of settlement. If unencumbered assets have associated hedges (e.g., interest rate hedges), report the amounts payable by or receivable to the reporting institution if the hedge were to be terminated by close of business on the as-of date (T) in lines S.I.21: Unencumbered Asset Hedges – Early Termination Outflows or S.I.22: Unencumbered Asset Hedges – Early Termination Inflows, respectively. Any amounts due to the reporting institution with respect to the associated hedges should not be added or subtracted from the fair value of the asset. Include unencumbered loans held as available-for-sale or for trading purposes, even though these loans must also be reported under the appropriate Inflows-Unsecured products. Do not exclude assets that are owned outright at a subsidiary of the reporting entity, but have been pledged to secure a transaction with another subsidiary of the reporting entity; to the extent these assets remain unencumbered.</t>
  </si>
  <si>
    <t>Refers to the available credit extended by central banks or GSEs that is secured by acceptable collateral, where (i) potential credit secured by the assets is not currently extended to the reporting entity or its consolidated subsidiaries; and (ii) the pledged assets are not required to support access to the payment services of a central bank. The amount of available capacity should be reported net of any advances that have already been drawn upon or other forms of encumbrance (e.g., FHLB LOCs). The [Market Value] field should indicate the market value of collateral pledged, while the [Lendable Value] field should indicate the residual capacity available to draw against this collateral. For the purpose of reporting available capacity and encumbrance, under circumstances where draws are not assessed against specific individual assets, but rather the entire pool of collateral generally, assume that the lowest quality assets are encumbered first followed by higher quality assets (quality in terms of high-quality liquid asset categories under the LCR Rule). Include unencumbered loans, even though these loans must also be reported under the appropriate Inflows-Unsecured products.</t>
  </si>
  <si>
    <t>Refers to reserve bank balances maintained at a Federal Reserve Bank, less the reserve balance requirement as defined in section 204.5(a)(1) of Regulation D (12 CFR 204.5(a)(1)), foreign withdrawable reserves maintained at other central banks, and Federal Reserve term deposits that are not held to satisfy reserve requirements.
Reserve Bank balances has the meaning set forth in the LCR Rule. For those accounts that explicitly and contractually permit withdrawal upon demand prior to the expiration of the term or that may be pledged as collateral for term or automatically renewing overnight advances from the Federal Reserve Bank, report the [Maturity Bucket] value as “Open”. For other accounts, report the [Maturity Bucket] value that corresponds with the contractual maturity.
Foreign withdrawable reserves have the meaning set forth in the LCR Rule.</t>
  </si>
  <si>
    <t>Refers to balances held at central banks that are not immediately withdrawable and currency and banknotes, including the reserve balances and term deposits that are held to satisfy reserve requirements.</t>
  </si>
  <si>
    <t>Refers to transactions involving the purchase of securities that have been executed, but have not yet settled; and for which the settlement contractually occurs within the period of time (after the trade date) generally established by regulations or conventions in the marketplace or exchange in which the transaction is being executed (i.e., regular-way security trades). Use the Forward Start Amount and Forward Start Bucket fields to indicate the settlement amount and settlement date of the securities purchased.</t>
  </si>
  <si>
    <t>Refers to transactions involving the purchase of securities that have been executed, but not yet settled; and for which the settlement contractually occurs outside the period of time (after the trade date) generally established by regulations or conventions in the marketplace or exchange in which the transaction is being executed (i.e., not a regular-way security trade). Use the Forward Start Amount and Forward Start Bucket fields to indicate the settlement amount and settlement date of the securities purchased. These transactions must also be included in the calculation of products I.O.7: Net 30-day Derivative Receivables and O.O.20: Net 30-day Derivative Payables.</t>
  </si>
  <si>
    <t>Refers to unsecured placements of the domestic currency between eligible domestic institutions made in the wholesale inter-bank or inter-dealer broker market. (e.g., fed funds10 sold, domestic sterling sold, domestic euro, domestic yen).</t>
  </si>
  <si>
    <t>Refers to unsecured placements of the domestic currency outside of the onshore market, but still placed through the wholesale inter-bank or inter-dealer broker market (e.g., Eurodollars, EuroSterling, EuroYen, EuroEuro).</t>
  </si>
  <si>
    <t>Refers to the minimum balances held at other financial counterparties necessary to maintain ongoing operational activities, such as clearing and settlement.</t>
  </si>
  <si>
    <t>Refers to balances placed at other financial counterparties in excess of what is necessary to maintain ongoing operational activities. If a reporting entity cannot reasonably identify excess balances, do not report any balance as excess and report the entire balance in I.U.3: Required Nostro Balances.</t>
  </si>
  <si>
    <t>Refers to the existing loan arising from the drawn portion of a revolving facility (e.g., a general working capital facility) extended by the reporting entity.</t>
  </si>
  <si>
    <t>Refers to all other loans. Include any subordinated lending to affiliates that do not fall within the reporting entity’s scope of consolidation.</t>
  </si>
  <si>
    <t>Refers to all reverse repurchase agreements (including under Master Repurchase Agreement or Global Master Repurchase Agreements).</t>
  </si>
  <si>
    <t>Refers to all securities borrowing transactions (including under Master Securities Loan Agreements).</t>
  </si>
  <si>
    <t>Refers to transactions using “To Be Announced” (TBA) contracts with the intent of providing financing for a specific security or pool of collateral. Report transactions where the reporting entity has agreed to buy the TBA contract and sell it back at a later date.
I.S.</t>
  </si>
  <si>
    <t>Refers to transactions where non-cash assets are exchanged (e.g., collateral upgrade/downgrade trades) at the inception11 of the transaction, or a non-cash asset is borrowed and no collateral is posted (i.e., an unsecured borrowing of collateral), and the assets will be returned at a future date.
For collateral swaps where there is an exchange of non-cash assets, split the collateral swap into two separate borrowing and lending transactions and report in both the Inflows-Secured and Outflows-Secured tables. I.S.4 should reflect the borrowing leg of the transaction. Report the [Collateral Class] according to the assets received. Report the fair value under GAAP of the assets received in the [Collateral Value] field. Report the fair value under GAAP of the assets pledged in the [Maturity Amount] field. Use the [Sub-Product] field to identify the type of collateral pledged based on the asset categories defined in the LCR Rule.
For collateral swaps where there is an exchange of non-cash assets, split the collateral swap into two separate borrowing and lending transactions and report in both the Inflows-Secured and Outflows-Secured tables. I.S.4 should reflect the borrowing leg of the transaction. Report the [Collateral Class] according to the assets received. Report the fair value under GAAP of the assets received in the [Collateral Value] field. Report the fair value under GAAP of the assets pledged in the [Maturity Amount] field. Use the [Sub-Product] field to identify the type of collateral pledged based on the asset categories defined in the LCR Rule:</t>
  </si>
  <si>
    <t>Refers to credit provided to a client to fund a trading position, collateralized by the client’s cash or security holdings. Report margin loans on a gross basis; do not net client debits and credits.</t>
  </si>
  <si>
    <t>Refers to all other secured lending that does not otherwise meet the definitions of the Inflows-Secured products listed above, for which the collateral received is contractually rehypothecatable.</t>
  </si>
  <si>
    <t>Refers to all other secured lending that does not otherwise meet the definitions of the Inflows-Secured products listed above, for which the collateral received is not contractually rehypothecatable.</t>
  </si>
  <si>
    <t>Refers to the maturing incoming cash flows related to uncollateralized derivatives (e.g., interest rate, equity, commodity, and option premiums). Report contractually known receivables for fixed and floating rate payables. If a floating rate has not been set, report the undiscounted anticipated cash flow by maturity. Do not include brokerage commission fees, exchange fees, or cash flows from unexercised in-the-money options. Netting receivables and payables by counterparty and maturity date is allowed if a valid netting agreement is in place, allowing for the net settlement of contractual flows. Do not include receivables related to the exchange of principal amounts for foreign exchange transactions, as these should be reported in the Supplemental-Foreign Exchange table under products S.FX.1 through S.FX.3.</t>
  </si>
  <si>
    <t>Refers to the fair value under GAAP of collateral due to the reporting entity as of date T (the collateral flow). This product does not represent the entire stock of collateral held, which should be reported in S.I.2: Initial Margin Received or S.I.4: Variation Margin Received. Collateral calls should be related to outstanding collateralized contracts which include but are not limited to derivative transactions with bilateral counterparties, central counterparties, or exchanges. Use the Maturity Bucket field to identify the expected settlement date. For collateral calls with same-day settlement (i.e., the collateral is both called and received on date T), report using the “Open” value in the Maturity Bucket field. If the settlement date or [Maturity Bucket] is unknown, then exclude the transaction from the data collection. If the [Currency] or [Collateral Class] is unknown then default to [Currency] =”USD” and [Collateral Class] = “Z‐1” (i.e., the asset category for “all other assets”).</t>
  </si>
  <si>
    <t>Refers to all sales of TBA contracts for market making or liquidity providing. Do not include TBA sales which are part of a Dollar Roll, as defined under products I.S.3 or O.S.3.</t>
  </si>
  <si>
    <t>Refers to legally binding agreements that provide the reporting entity with the ability to draw funds at a future date. Report only facilities that are committed, as defined in the LCR Rule.</t>
  </si>
  <si>
    <t>Refers to inflows related to broker-dealer segregated accounts, as set forth in the LCR Rule. The I.O.[Maturity Bucket] value must reflect the date of the next scheduled calculation of the amount required under applicable legal requirements for the protection of customer assets with respect to each broker-dealer segregated account, in accordance with the reporting entity’s normal frequency of recalculating such requirements.</t>
  </si>
  <si>
    <t>Refers to contractual interest and dividend payments receivable on securities owned by the reporting entity, except for amortizing products for which the principal and interest amounts cannot be readily separated. Do not include receivables related to unsecured derivative transactions, which should be reported under product I.O.1: Derivatives Receivables and included in the calculation of I.O.7: Net 30-day Derivative Receivables. Do not include interest receivable on loans, which should be aggregated and reported under the appropriate I.U or I.S product. Use the [Treasury Control] field to identify payments receivable related to securities that are similarly flagged in the Inflows-Assets table. For all interest and dividend payments reported, indicate the corresponding collateral class in the [Collateral Class] field. Under circumstances where the interest and dividend payments receivable are uncertain (e.g. an indexed floating rate payment has not yet been set), forecast receivables for a minimum of 30 calendar days beyond the as-of date (T).</t>
  </si>
  <si>
    <t>Refers to the net derivative cash inflow amount, as set forth in the LCR Rule.</t>
  </si>
  <si>
    <t>Refers to contractual principal payments receivable on reporting entity-owned investment securities. For amortizing products for which the principal and interest amounts cannot be readily separated, report aggregated principal and interest cash inflows, and do not report the interest under I.O.6: Interest and Dividends Receivable. For other products, report the contractual principal cash payment to be received, excluding interest payments, which should be reported under product I.O.6: Interest and Dividends Receivable. Do not include principal payments receivable on loans held as investments, which should be reported separately under the appropriate product in the Inflows-Unsecured table. Do not include principal payments receivable on securities that are currently encumbered. Use the [Treasury Control] field to identify payments receivable related to securities that are similarly flagged in the Inflows-Assets table. For all principal payments reported, indicate the corresponding collateral class in the [Collateral Class] field. Under circumstances where the principal payments receivable are uncertain (e.g. an index-linked structured note, where the payout has not yet been determined), forecast receivables for a minimum of 30 calendar days beyond the as-of date (T).</t>
  </si>
  <si>
    <t>Refers to other contractual cash inflows that do not adhere to the definitions of the products outlined above. Contact the supervisory team to determine if the associated cash flow should be reported.</t>
  </si>
  <si>
    <t>O.W.1 - O.W.6: the products that typically make use of conduits or SPVs to be reported in the Outflows-Wholesale table. If the reporting entity issues a new product that makes use of a conduit which is not defined below, please notify the supervisory team and report the balances as O.W.7.</t>
  </si>
  <si>
    <t>Refers to (i) all other asset-backed financing arrangements that make use of conduits; and (ii) all other issuances backed by a lien on an underlying asset or pool of collateral where rights of rehypothecation over the collateral are not conferred to the investor or counterparty.</t>
  </si>
  <si>
    <t>Unsecured products to be reported in the Outflows-Wholesale table:</t>
  </si>
  <si>
    <t>Refers to unsecured borrowing of the domestic currency between eligible domestic institutions made in the wholesale inter-bank or inter-dealer broker market. (e.g., fed funds12 purchased, domestic sterling purchased, domestic euro, domestic yen).
Onshore borrowing must satisfy the following criteria: (1) the currency denomination of the transaction is matched with the jurisdiction in which the transaction is booked; and (2) the transacting entities (i.e., the legal entities party to the transaction) are both domiciled in the same jurisdiction.
Use the O.W.[Counterparty] field to further identify the type of lender according to the following choices:
• Non-Financial Corporate
• Sovereign
• Central Bank
• GSE
• PSE
• MDB
• Other Supranational
• Bank
• Supervised Non-Bank Financial Entity
• Debt Issuing SPE
• Other Financial Entity
• Other</t>
  </si>
  <si>
    <t>Refers to unsecured borrowing of the domestic currency outside of the onshore market, but still placed through the inter-bank or inter-dealer broker market (e.g., Eurodollars, EuroSterling, EuroYen, EuroEuro).
Use the O.W.[Counterparty] field to further identify the type of lender according to the following choices:
• Non-Financial Corporate
• Sovereign
• Central Bank
• GSE
• PSE
• MDB
• Other Supranational
• Bank
• Supervised Non-Bank Financial Entity
• Debt Issuing SPE
• Other Financial Entity
• Other</t>
  </si>
  <si>
    <t>Refers to debt issuances with original maturity greater than one year, including plain vanilla floating rate notes linked to indexes like LIBOR or Fed Funds Effective and plain vanilla benchmark issuances with standard embedded options (i.e., call/put). Include instruments classified as long-term debt under GAAP. Include subordinated debt issued to affiliates that fall outside the reporting entity’s scope of consolidation. Do not include perpetual preferred</t>
  </si>
  <si>
    <t>Refers to debt instruments with original maturity greater than one year whose principal or interest payments are linked to an underlying asset (e.g., commodity linked notes, equity linked notes, reverse convertible notes, currency linked notes). Include instruments classified as long term debt under GAAP accounting rules that also meet the structured description set forth in this product. Do not include perpetual preferred stock.</t>
  </si>
  <si>
    <t>Refers to debt issuances with an explicit guarantee from a sovereign entity or central bank (e.g., TLGP).</t>
  </si>
  <si>
    <t>Refers to issuances of unsecured debt with original maturities less than a year, including promissory notes and bank notes, but excluding the other forms of unsecured financing defined elsewhere, and excluding all deposits as defined in the Outflows-Deposits section.</t>
  </si>
  <si>
    <t>Refers to debt instruments with original maturity less than one year whose principal or interest payments are linked to an underlying asset (e.g., commodity linked notes, equity linked notes, reverse convertible notes, currency linked notes).</t>
  </si>
  <si>
    <t>Refers to certificates of deposits greater than $250,000 issued to counterparties that are not Retail or Small Business where the certificate of deposits are tradable, negotiable, and typically settle at DTCC.</t>
  </si>
  <si>
    <t>Refers to the outstanding amount of funds borrowed or drawn from a committed facility provided by another institution.</t>
  </si>
  <si>
    <t>Refers to liabilities of a broker or dealer to customers, excluding payables related to customer short positions. Do not net against Lock-up Balances.</t>
  </si>
  <si>
    <t>Refers to other forms of unsecured financing that are not captured above. Notify the supervisory team of products reported in this category.</t>
  </si>
  <si>
    <t>Refers to all repurchase agreements (including under Master Repurchase Agreements or Global Master Repurchase Agreements).</t>
  </si>
  <si>
    <t>Refers to all securities lending transactions (including under Master Securities Loan Agreements).</t>
  </si>
  <si>
    <t>Refers to transactions using TBA contracts with the intent of financing a security or pool of collateral. Report transactions where the reporting entity has agreed to sell the TBA contract and buy it back at a later date</t>
  </si>
  <si>
    <t>Refers to transactions where non-cash assets are exchanged (e.g., collateral upgrade/downgrade trades) at the inception13 of the transaction, or a non-cash asset is lent and no collateral is received (i.e., an unsecured loan of collateral), and the assets will be returned at a future date.
For collateral swaps where non-cash assets are exchanged, split the collateral swap into two separate lending and borrowing transactions and report in both the Outflows-Secured.
Inflows-Secured tables. O.S.4 should be reported based on the collateral pledged. Report the [Collateral Class] according to the assets pledged. Report the fair value of these assets pledged in the [Collateral Value] field. Report the fair value of assets received in the [Maturity Amount] field. Use the [Sub-Product] field to identify the type of collateral received based on the asset categories defined in the LCR Rule:
• Level 1 Received
• Level 2a Received
• Level 2b Received
• Non-HQLA Received
For collateral swaps where a non-cash asset is lent, report the [Collateral Class] according to the assets pledged and report the fair value of these assets pledged in the [Collateral Value] field.</t>
  </si>
  <si>
    <t>Refers to outstanding secured funding sourced from the FHLBs. The amount borrowed and the fair value of collateral pledged to secure the borrowing should not be included under product I.A.2: Capacity.</t>
  </si>
  <si>
    <t>Refers to outstanding secured funding from central banks for exceptional central bank operations. Do not include transactions related to normal open market operations, which should be reported based on the transaction type (e.g., O.S.1: Repo) with the [Counterparty] field set to “Central Bank”. The amount borrowed and the fair value of collateral pledged to secure the borrowing should not be included under product I.A.2: Capacity.
Use the O.S.[Sub-Product] field to further identify the specific source of secured funding provided according to the following groupings:
• FRB (Federal Reserve Bank)
• SNB (Swiss National Bank)
• BOE (Bank of England)
• ECB (European Central Bank)
• BOJ (Bank of Japan)
• RBA (Reserve Bank of Australia)
• BOC (Bank of Canada)
• OCB (Other Central Bank)</t>
  </si>
  <si>
    <t>Refers to a transaction where the reporting entity’s customer sells a security it does not own, and the entity subsequently obtains the same security from an internal or external source to make delivery into the sale. External refers to a transaction with a counterparty that falls outside the scope of consolidation for the reporting entity. Internal refers to securities sourced from within the scope of consolidation of the reporting entity.</t>
  </si>
  <si>
    <t>Refers to a transaction where the reporting entity sells a security it does not own, and the entity subsequently obtains the same security from an internal or external source to make delivery into the sale. External refers to a transaction with a counterparty that falls outside the scope of consolidation for the reporting entity. Internal refers to securities sourced from within the scope of consolidation of the reporting entity.</t>
  </si>
  <si>
    <t>Refers to all other secured financing transactions that do not otherwise meet the definitions of Outflows-Secured products listed above, and for which rehypothecation rights over the collateral pledged are conferred to the reporting entity’s counterparty.</t>
  </si>
  <si>
    <t>For purposes of this report, the term "Transactional Accounts" has the same meaning as Transaction Accounts under Regulation D 12 CFR 204 (Reserve Requirements of Depository Institutions); however this product only includes deposits placed by Retail and Small Business customers.</t>
  </si>
  <si>
    <t>Refers to Retail and Small Business deposits in accounts that are not transactional accounts under O.D.1, but where the underlying depositors have other established relationships with the reporting entity such as another deposit account, a loan, bill payment services, or any similar service or product provided to the depositor that the reporting entity has demonstrated to the satisfaction of the supervisory team would make deposit withdrawal highly unlikely during a liquidity stress event. Do not report brokered, sweep or reciprocal deposits using this product, as they should be reported using products O.D.7 through O.D.12.</t>
  </si>
  <si>
    <t>Refers to Retail and Small Business deposits in accounts that are not transactional accounts under O.D.1 where the underlying depositors do not have other established relationships with the reporting entity that would otherwise make deposit withdrawal highly unlikely. Do not report brokered, sweep or reciprocal deposits using this product, as they should be reported using products O.D.7 through O.D.12.</t>
  </si>
  <si>
    <t>Refers to deposits from counterparties that are not Retail or Small Business customers that are operational deposits as defined in the LCR Rule, except operational escrow deposits reported under product O.D.6: Operational Escrow Accounts.</t>
  </si>
  <si>
    <t>Refers to all deposits balances from wholesale customers which do not meet the criteria for operational deposits.</t>
  </si>
  <si>
    <t>Refers to deposits from counterparties that are operational deposits as defined in the LCR Rule in the form of operational escrow deposits. 
Operational escrow deposits refers to an account that a designated third party (e.g., a servicer) establishes or controls on behalf of another party to process transactions such as the payment of taxes, insurance premiums (including flood insurance), or other charges with respect to a loan or transaction, including charges that the borrower and servicer have voluntarily agreed that the servicer should collect and pay. 
The definition encompasses any account established for this purpose, including a "trust account", "reserve account", "impound account", or other term in different localities.
With respect to, e.g., mortgage escrow accounts, an "escrow account" includes any arrangement where the servicer adds a portion of the borrower's payments to principal and subsequently deducts from principal the disbursements for escrow account items. For purposes of this section, the term "escrow account" excludes any account that is under the borrower's total control.</t>
  </si>
  <si>
    <t>Refers to any deposit held at the reporting entity that is obtained, directly or indirectly, from or through the mediation or assistance of a deposit broker as that term is defined in section 29 of the Federal Deposit Insurance Act (12 U.S.C. 1831f(g)), not including a reciprocal brokered deposit or a sweep account. This definition does not include wholesale negotiable CDs (see O.W.16), listing service deposits, where the only function of a deposit listing service is to provide information on the availability and terms of accounts, unless they were obtained from a deposit broker.</t>
  </si>
  <si>
    <t>Refers to a deposit held at the reporting entity by a customer or counterparty through a contractual feature that automatically transfers to the reporting entity from an affiliated financial company at the close of each business day amounts identified under the agreement governing the account from which the amount is being transferred. Note: This includes sweep balances that fall under a primary purpose exemption and are not reported as brokered for Call Report purposes.</t>
  </si>
  <si>
    <t>Refers to a deposit held at the reporting entity by a customer or counterparty through a contractual feature that automatically transfers to the reporting entity from an unaffiliated financial company at the close of each business day amounts identified under the agreement governing the account from which the amount is being transferred. These accounts involve ongoing activity, rather than one deposit transaction.</t>
  </si>
  <si>
    <t>Refers to balances swept from deposit accounts into other products (e.g., CP, Fed Funds, Repo), including other deposit products at the same reporting entity. These balances should also be reported under the product that corresponds with the reporting entity’s close‐of‐business liability.</t>
  </si>
  <si>
    <t>Refers to any deposit held at the reporting entity that is obtained, directly or indirectly, from or through the mediation or assistance of a deposit broker as that term is defined in section 29 of the Federal Deposit Insurance Act (12 U.S.C. 1831f(g)), where the deposits are received through a deposit placement network on a reciprocal basis, such that: (1) for any deposit received, the reporting entity (as agent for depositors) places the same amount with other insured depository institutions through the network; and (2) each member of the network sets the interest rate to be paid on the entire amount of funds it places with other network members.</t>
  </si>
  <si>
    <t>Refers to deposit accounts that are placed by a third party on behalf of counterparties that do not otherwise meet the definitions of O.D.7 through O.D.11.</t>
  </si>
  <si>
    <t>Refers to other deposit accounts that do not meet any of the definitions outlined above. Notify the supervisory team of any balance reported in this category.</t>
  </si>
  <si>
    <t>Refers to the maturing outgoing cash flows related to uncollateralized derivatives (e.g., interest rate, equity, commodity, and option premiums). Report contractually known payables for fixed and floating rate payables. If a floating rate has not been set, report the undiscounted anticipated cash flow by maturity. Do not include brokerage commission fees, exchange fees, or cash flows from unexercised in the money options. Netting receivables and payables by counterparty and maturity date is allowed if a valid netting agreement is in place, allowing for the net settlement of contractual flows. Do not include payables related to the exchange of principal amounts for foreign exchange transactions, as these should be reported in the Supplemental-Foreign Exchange table under products S.FX.1 through S.FX.3.</t>
  </si>
  <si>
    <t>Refers to the fair value of collateral due to the reporting entity’s counterparties that has been called as of date T (i.e., the collateral flow). This product does not represent the entire stock of collateral posted, which should be reported in S.I.1: Initial Margin Posted or S.I.3: Variation Margin Posted. Collateral called for delivery should be related to the outstanding collateralized contracts which include, but are not limited to, derivative transactions with bilateral counterparties, central counterparties, or exchanges. Use the Maturity Bucket field to identify the expected settlement date. For collateral calls with same-day settlement (i.e., the collateral is both called and received on the as-of date T), report using the “Open” value in the Maturity Bucket field.</t>
  </si>
  <si>
    <t>Refers to all purchases of TBA contracts for market making or liquidity providing. Do not include TBA purchases which are part of a Dollar Roll, as defined under products I.S.3 or O.S.3.</t>
  </si>
  <si>
    <t>Refers to committed credit facilities, as defined in the LCR Rule. Do not include committed liquidity facilities, as defined in the LCR Rule, which should be reported using product O.O.5: Liquidity Facility or O.O.18: Unfunded Term Margin. Do not include excess margin, which should be reported using product O.O.17: Excess Margin, or retail mortgage commitments, which should be reported using product O.O.6: Retail Mortgage Commitments.
Use the O.O.[Maturity Bucket] field to indicate the earliest date the commitment could be drawn.
Use the O.O.[Counterparty] field to distinguish between facilities to different counterparties.</t>
  </si>
  <si>
    <t>Refers to committed liquidity facilities, as defined in the LCR Rule; however, exclude unfunded term margin, which should be reported under O.O.18: Unfunded Term Margin.
If facilities have aspects of both credit and liquidity facilities, the facility must be classified as a liquidity facility.
Use the O.O.[Maturity Bucket] field to indicate the earliest date the commitment could be drawn.
Use the O.O.[Counterparty] field to distinguish between facilities to different counterparties.</t>
  </si>
  <si>
    <t>Refers to contractual commitments made by the reporting entity to originate retail mortgages. Use the O.O.[Maturity Bucket] field to indicate the earliest date the commitment could be drawn.</t>
  </si>
  <si>
    <t>Refers to documentary trade letters of credit, documentary and clean collection, import bills and export bills, and guarantees directly related to trade finance obligations, such as shipping guarantees.
Lending commitments, such as direct import or export financing for non-financial firms, should be included in O.O.4: Credit Facilities and O.O.5: Liquidity Facilities, as appropriate</t>
  </si>
  <si>
    <t>Refers to the absolute value of the largest 30-consecutive calendar day cumulative net mark-to-market collateral outflow or inflow realized during the preceding 24 months resulting from derivative transaction valuation changes, as set forth in the LCR Rule. The cumulative collateral outflow or inflow should be measured on a portfolio basis, which should include both 3rd party and affiliated transactions (for subsidiary reporting entities) that are external to the reporting entity’s scope of consolidation. However, as this product should be measured on a portfolio basis, the [Internal] and [Internal Counterparty] flags should not be used. The absolute amount should be determined across all currencies and reported in USD.</t>
  </si>
  <si>
    <t>Refers to the total fair value of the collateral over which the reporting entity would lose rehypothecation rights due to a 1 notch credit rating downgrade.</t>
  </si>
  <si>
    <t>Refers to the total fair value of the collateral over which the reporting entity would lose rehypothecation rights due to a 2 notch credit rating downgrade.</t>
  </si>
  <si>
    <t>Refers to the total fair value of the collateral over which the reporting entity would lose rehypothecation rights due to a 3 notch credit rating downgrade.</t>
  </si>
  <si>
    <t>Refers to the total fair value of the collateral over which the reporting entity would lose rehypothecation rights due to a change in financial condition.</t>
  </si>
  <si>
    <t>Refers to the total cumulative fair value of additional collateral the reporting entity’s counterparties will require the reporting entity to post as a result of a 1- notch credit rating downgrade. Report figures based on contractual commitments. Collateral required includes, but is not limited to, collateral called from OTC derivative transactions and exchanges. Include outflows due to additional termination events. Do not double count balances reported in O.O.9.</t>
  </si>
  <si>
    <t>Refers to the total cumulative fair value of additional collateral the reporting entity’s counterparties will require the reporting entity to post as a result of a 2- notch credit rating downgrade. Report figures based on contractual commitments. Collateral required includes, but is not limited to, collateral called from OTC derivative transactions and exchanges. Include outflows due to additional termination events. Do not double count balances reported in O.O.10.</t>
  </si>
  <si>
    <t>Refers to the total cumulative fair value of additional collateral the reporting entity’s counterparties will require the reporting entity to post as a result of a 3- notch credit rating downgrade. Report figures based on contractual commitments. Collateral required includes, but is not limited to, collateral called from OTC derivative transactions and exchanges. Include outflows due to additional termination events. Do not double count balances reported in O.O.11</t>
  </si>
  <si>
    <t>Refers to the total cumulative fair value of additional collateral the reporting entity’s counterparties will require the reporting entity to post as a result of a change in the reporting entity’s financial condition. Report figures based on contractual commitments. Collateral required includes, but is not limited to, collateral called from OTC derivative transactions and exchanges. Include outflows due to additional termination events. Do not double count balances reported in O.O.12.</t>
  </si>
  <si>
    <t>Refers to the total capacity of the reporting entity’s customer to generate funding for additional purchases or short sales of securities (i.e., the reporting entity’s obligation to fund client positions) for the following day based on the net equity in the customer’s margin account. This capacity can generally be revoked or reduced on demand (i.e., uncommitted).</t>
  </si>
  <si>
    <t>Refers to any unfunded contractual commitment to lend to a brokerage customer on margin for a specified duration greater than one day. Report the minimum contractually committed term that would be in effect upon a customer draw from the margin facility using the O.O.[Maturity Bucket] field.</t>
  </si>
  <si>
    <t>Refers to interest and dividends contractually payable on the reporting entity’s liabilities and equity. Do not include payables related to unsecured derivative transactions, which should be reported under product O.O.1: Derivatives Payables and which should be included in the calculation of O.O.20: Net 30-day Derivative Payables. Under circumstances where the interest and dividend payments receivable are uncertain (e.g. an indexed floating rate payment has not yet been set), forecast payables for a minimum of 30 calendar days beyond the as-of date (T).</t>
  </si>
  <si>
    <t>Refers to the net derivative cash outflow amount, as set forth in the LCR Rule.</t>
  </si>
  <si>
    <t>Refers to any incremental potential outflows under 32(b) of the LCR Rule related to structured transactions sponsored but not consolidated by the reporting entity that are not otherwise reported in O.O.4 or O.O.5.</t>
  </si>
  <si>
    <t>Refers to any other material cash outflows not reported in any other line that can impact the liquidity of the reporting entity. Do not report ‘business as usual’ expenses such as rents, salaries, utilities and other similar payments. Include cash needs that arise out of an extra-ordinary situation (e.g., a significant cash flow needed to address a legal suit settlement or pending transaction).</t>
  </si>
  <si>
    <t>Refers to the fair value of collateral that the reporting entity has posted (total stock by applicable [Collateral Class]) to its counterparties as initial margin on its own proprietary derivatives positions.</t>
  </si>
  <si>
    <t>Refers to the fair value of collateral that the reporting entity has posted (total stock by applicable [Collateral Class]) to its counterparties as initial margin on behalf of customers, where the reporting entity is acting as a principal, or where the reporting entity is acting as agent, but guarantees the return of customer margin posted.</t>
  </si>
  <si>
    <t>Refers to the fair value of collateral that the reporting entity has received (total stock by applicable [Collateral Class]) from its counterparties as initial margin against both house and customer positions. In cases where IM collected at the inception of a transaction is returned to a client to offset the reporting entity’s requirement to post VM, the firm should still report the initial value in S.I.3: Initial Margin Received; however, in the case of non‐cash collateral, the Sub Product flag should reflect the fact that the collateral has been rehypothecated.</t>
  </si>
  <si>
    <t>Refers to the fair value of collateral that the reporting entity has posted (total stock by applicable [Collateral Class]) to its counterparties as variation margin on its own proprietary derivatives positions.</t>
  </si>
  <si>
    <t>Refers to the fair value of collateral that the reporting entity has posted (total stock by applicable [Collateral Class]) to its counterparties as variation margin on behalf of customers, where the reporting entity is acting as a principal, or where the reporting entity is acting as agent, but guarantees the return of customer margin posted.</t>
  </si>
  <si>
    <t>Refers to the fair value of collateral that the reporting entity has received (total stock by applicable [Collateral Class]) from its counterparties as variation margin against both house and customer positions.</t>
  </si>
  <si>
    <t>Refers to the fair value of collateral called by the reporting entity’s counterparties that the reporting entity has yet to deliver due to a dispute. Disputes include, but are not limited to, valuation of derivative contracts. If the total amount that would have been reported related to distinct disputes over the previous year for products S.I.7 and S.I.8 is less than $500 million, the reporting firm need not report this product.</t>
  </si>
  <si>
    <t>Refers to the fair value of collateral that the reporting entity has called from its counterparties, but has not yet received due to a dispute. Disputes include, but are not limited to, valuation of derivative contracts. If the total amount that would have been reported related to distinct disputes over the previous year for products S.I.7 and S.I.8 is less than $500 million, the reporting firm need not report this product.</t>
  </si>
  <si>
    <t>Refers to (1) the fair value of unsegregated collateral that the reporting entity may be required by contract to return to a counterparty because the collateral currently held by the reporting entity exceeds the counterparty’s current collateral requirements under the governing contract; and (2) the fair value of collateral that the reporting entity is contractually obligated to post to a counterparty, but has not yet posted as it has not yet been called by the reporting entity’s counterparty.</t>
  </si>
  <si>
    <t>Refers to the fair value of collateral that the reporting entity could call for or otherwise reclaim under legal documentation, but has not yet been called. U.S. firms with less than $700 billion in total consolidated assets and less than $10 trillion in assets under custody and FBOs with less than $250 billion in U.S. assets have the option of not reporting this product.</t>
  </si>
  <si>
    <t>Refers to the potential funding risk arising from the reporting entity’s derivative counterparties having the contractual ability to substitute collateral with higher liquidity value currently held by the reporting entity with collateral of lower liquidity value or collateral that the reporting entity cannot monetize either due to liquidity or operational constraints. Report only a single value in USD per reporting entity, representing the difference between the fair value of the collateral held and the fair value of collateral that could be received, after applying the haircut factors prescribed in the LCR Rule.</t>
  </si>
  <si>
    <t>Refers to the potential funding capacity arising from the reporting entity’s contractual ability to substitute collateral with higher liquidity value currently posted to a derivatives counterparty with collateral of lower liquidity value. Report only a single value in USD per reporting entity, representing the difference between the fair value of the collateral held and the fair value of the collateral that could be posted, after applying the haircut factors prescribed in the LCR Rule. U.S. firms with less than $700 billion in total consolidated assets and less than $10 trillion in assets under custody and FBOs with less than $250 billion in U.S. assets have the option of not reporting this product.</t>
  </si>
  <si>
    <t>Refers to the potential funding risk arising from the reporting entity’s counterparties of non-derivative transactions having the contractual ability to substitute collateral with higher liquidity value currently held by the reporting entity with collateral of lower liquidity value or collateral that the reporting entity cannot monetize either due to liquidity or operational constraints. Report only a single value in USD per reporting entity, representing the difference between the fair value of the collateral held and the fair value of collateral that could be received, after applying the haircut factors prescribed in the LCR Rule.</t>
  </si>
  <si>
    <t>Refers to the potential funding capacity arising from the reporting entity’s contractual ability to substitute collateral with higher liquidity value currently posted to a counterparty of a non-derivative transaction with collateral of lower liquidity value. Report only a single value in USD per reporting entity, representing the difference between the fair value of the collateral held and the fair value of the collateral that could be posted, after applying the haircut factors prescribed in the LCR Rule. U.S. firms with less than $700 billion in total consolidated assets and less than $10 trillion in assets under custody and FBOs with less than $250 billion in U.S. assets have the option of not reporting this product.</t>
  </si>
  <si>
    <t>Refers to the fair value of clients’ long positions in margin accounts held at the reporting entity. This product must only be reported when a firm has a broker-dealer that is a material entity (i.e. is a reporting entity).</t>
  </si>
  <si>
    <t>Refers to the fair value of clients’ short positions in margin accounts held at the reporting entity. This product must only be reported when a firm has a broker-dealer that is a material entity (i.e. is a reporting entity).</t>
  </si>
  <si>
    <t>Refers to all wires received into Prime Brokerage client accounts occurring on day T. This product must only be reported when a firm has a broker-dealer that is a material entity (i.e. is a reporting entity).</t>
  </si>
  <si>
    <t>Refers to all wires paid from Prime Brokerage client accounts occurring on day T. This product must only be reported when a firm has a broker-dealer that is a material entity (i.e. is a reporting entity).</t>
  </si>
  <si>
    <t>Refers to an amount of assets of each reporting entity’s consolidated subsidiaries that is in excess of the net outflows, calculated pursuant to the LCR Rule, of that consolidated subsidiary that is not freely transferrable to affiliates due to statutory, regulatory, contractual, or supervisory restrictions (including sections 23A and 23B of the Federal Reserve Act and Regulation W)
Use the “Internal Counterparty” (S.I.[Internal Counterparty]) field to indicate the subsidiary entity from which the assets cannot be transferred; however do not flag this product as [Internal] = “Y”.</t>
  </si>
  <si>
    <t>Report the entity’s FRB 23A eligible capacity available. Section 23A of the Federal Reserve Act limits the aggregate amount of covered transactions between an insured depository institution and any single affiliate to no more than 10 percent of the insured depository institution’s capital stock and surplus, and the aggregate amount of covered transactions with all affiliates to no more than 20 percent of the insured depository institution’s capital stock and surplus.
Bank Entities: For reporting entities that are banks, FRB 23A capacity should reflect the bank’s capacity to engage in covered transactions with Section 23A affiliates.
Non-bank Entities: For non-bank reporting entities, FRB 23A capacity should reflect the ability to engage in covered transactions with each affiliated depository institution. Use the S.I.[Internal Counterparty] field to indicate the relevant affiliated depository institution entity.</t>
  </si>
  <si>
    <t>Refers to all cash outflows that would arise from the early termination of a hedge associated with eligible HQLA, as defined in the LCR Rule, reported in the Inflows-Assets table. Use the Collateral Class field to indicate the type of unencumbered asset associated with the hedge.</t>
  </si>
  <si>
    <t>Refers to all cash inflows that would arise from the early termination of a hedge associated with eligible HQLA, as defined in the LCR Rule, reported in the Inflows-Assets table. Use the Collateral Class field to indicate the type of unencumbered asset associated with the hedge.</t>
  </si>
  <si>
    <t>Refers to the debt security buyback outflow amount set forth in the LCR Rule for the reporting entity’s non-structured debt issuances.</t>
  </si>
  <si>
    <t>Refers to the debt security buyback outflow amount set forth in the LCR Rule for the reporting entity’s structured debt issuances.</t>
  </si>
  <si>
    <t>Refers to single outright transaction involving the exchange of one currency for another at an agreed upon rate with immediate delivery according to local market convention (usually two business days). Report both the receivable and payable sides of the transaction.</t>
  </si>
  <si>
    <t>Refers to transactions involving the physical exchange of two currencies at a rate agreed upon on the date of the contract for delivery at least two business days in the future or later. Refers to both forward outright transactions (e.g., bespoke bilateral contracts) and standardized futures contracts (i.e., exchange traded).</t>
  </si>
  <si>
    <t>Refers to transactions involving the exchange of two currencies on a specific date at a rate agreed at the time of the conclusion of the contract (e.g., the “near” leg), and a reverse exchange of the same two currencies at a date further in the future at a rate (generally different from the rate applied to the near leg) agreed at the time of the contract (e.g., the “far” leg). This product includes but is not limited to both FX forward swaps that involve only the exchange of notional currency values at the near leg and far leg settlement dates, and cross-currency swaps that involve both the exchange of notional currency values and periodic payments of interest over the life of the swap transaction.
Use the “Near” fields (i.e., S.FX.[Forward Start Amount Currency 1], S.FX.[Forward Start Amount Currency 2] and S.FX.[Forward Start Maturity Bucket]) to report the near leg of the transaction, and the “Maturity Amount” fields (i.e., S.FX.[Maturity Amount Currency 1], S.FX.[Maturity Amount Currency 2] and S.FX.[Maturity Bucket]) to report the far leg of the transaction.
When reporting transactions for which the near leg has already settled, do not report a value in the S.FX.[Forward Start Maturity Bucket] field, but continue to report the original currency settlement values for the short leg in the “Near Amount” fields.
For swaptions where the final maturity date is dependent on the exercise date (e.g., American-style or Bermuda-style), indicate the earliest possible exercise date in the S.FX.[Forward Start Maturity Bucket] field, and report the final maturity in the S.FX.[Maturity Bucket] field assuming the option is exercised at the earliest possible date.</t>
  </si>
  <si>
    <t>I.A.2</t>
  </si>
  <si>
    <t>Capacity</t>
  </si>
  <si>
    <t>I.A.5</t>
  </si>
  <si>
    <t>Unsettled Asset Purchases</t>
  </si>
  <si>
    <t>I.A.6</t>
  </si>
  <si>
    <t>Forward Asset Purchases</t>
  </si>
  <si>
    <t>Reverse Repo</t>
  </si>
  <si>
    <t>Securities Borrowing</t>
  </si>
  <si>
    <t>Dollar Rolls</t>
  </si>
  <si>
    <t>Collateral Swaps</t>
  </si>
  <si>
    <t>Margin Loans</t>
  </si>
  <si>
    <t>I.O.2</t>
  </si>
  <si>
    <t>Collateral Called for Receipt</t>
  </si>
  <si>
    <t>I.O.3</t>
  </si>
  <si>
    <t>TBA Sales</t>
  </si>
  <si>
    <t>I.O.4</t>
  </si>
  <si>
    <t>Undrawn Committed Facilities Purchased</t>
  </si>
  <si>
    <t>I.O.5</t>
  </si>
  <si>
    <t>Lock-up Balance</t>
  </si>
  <si>
    <t>O.W.1</t>
  </si>
  <si>
    <t>O.W.2</t>
  </si>
  <si>
    <t>O.W.3</t>
  </si>
  <si>
    <t>O.W.4</t>
  </si>
  <si>
    <t>O.W.5</t>
  </si>
  <si>
    <t>Covered Bonds</t>
  </si>
  <si>
    <t>O.W.6</t>
  </si>
  <si>
    <t>Tender Option Bonds</t>
  </si>
  <si>
    <t>O.W.7</t>
  </si>
  <si>
    <t>Other Asset-Backed Financing</t>
  </si>
  <si>
    <t>O.W.8</t>
  </si>
  <si>
    <t>Commercial Paper</t>
  </si>
  <si>
    <t>O.W.9</t>
  </si>
  <si>
    <t>Onshore Borrowing</t>
  </si>
  <si>
    <t>O.W.12</t>
  </si>
  <si>
    <t>Structured Long Term Debt</t>
  </si>
  <si>
    <t>O.W.13</t>
  </si>
  <si>
    <t>Government Supported Debt</t>
  </si>
  <si>
    <t>O.W.14</t>
  </si>
  <si>
    <t>Unsecured Notes</t>
  </si>
  <si>
    <t>O.W.15</t>
  </si>
  <si>
    <t>Structured Notes</t>
  </si>
  <si>
    <t>O.W.16</t>
  </si>
  <si>
    <t>Wholesale CDs</t>
  </si>
  <si>
    <t>O.W.17</t>
  </si>
  <si>
    <t>Draws on Committed Lines</t>
  </si>
  <si>
    <t>O.W.18</t>
  </si>
  <si>
    <t>Free Credits</t>
  </si>
  <si>
    <t>O.S.1</t>
  </si>
  <si>
    <t>Repo</t>
  </si>
  <si>
    <t>O.S.2</t>
  </si>
  <si>
    <t>Securities Lending</t>
  </si>
  <si>
    <t>O.S.3</t>
  </si>
  <si>
    <t>O.S.4</t>
  </si>
  <si>
    <t>O.S.5</t>
  </si>
  <si>
    <t>O.S.6</t>
  </si>
  <si>
    <t>Exceptional Central Bank Operations</t>
  </si>
  <si>
    <t>O.S.7</t>
  </si>
  <si>
    <t>Customer Shorts</t>
  </si>
  <si>
    <t>O.S.9</t>
  </si>
  <si>
    <t>Other Secured Financing Transactions</t>
  </si>
  <si>
    <t>Affiliated Sweep Accounts</t>
  </si>
  <si>
    <t>O.D.12</t>
  </si>
  <si>
    <t>Other Third-Party Deposits</t>
  </si>
  <si>
    <t>O.D.13</t>
  </si>
  <si>
    <t>Other Accounts</t>
  </si>
  <si>
    <t>O.O.2</t>
  </si>
  <si>
    <t>Collateral Called for Delivery</t>
  </si>
  <si>
    <t>O.O.3</t>
  </si>
  <si>
    <t>TBA Purchases</t>
  </si>
  <si>
    <t>O.O.6</t>
  </si>
  <si>
    <t>Retail Mortgage Commitments</t>
  </si>
  <si>
    <t>O.O.8</t>
  </si>
  <si>
    <t>MTM Impact on Derivative Positions</t>
  </si>
  <si>
    <t>O.O.9</t>
  </si>
  <si>
    <t>Loss of Rehypothecation Rights Due to a 1 Notch Downgrade</t>
  </si>
  <si>
    <t>O.O.10</t>
  </si>
  <si>
    <t>Loss of Rehypothecation Rights Due to a 2 Notch Downgrade</t>
  </si>
  <si>
    <t>O.O.11</t>
  </si>
  <si>
    <t>Loss of Rehypothecation Rights Due to a 3 Notch Downgrade</t>
  </si>
  <si>
    <t>O.O.12</t>
  </si>
  <si>
    <t>O.O.13</t>
  </si>
  <si>
    <t>Total Collateral Required Due to a 1 Notch Downgrade</t>
  </si>
  <si>
    <t>O.O.14</t>
  </si>
  <si>
    <t>Total Collateral Required Due to a 2 Notch Downgrade</t>
  </si>
  <si>
    <t>O.O.15</t>
  </si>
  <si>
    <t>Total Collateral Required Due to a 3 Notch Downgrade</t>
  </si>
  <si>
    <t>O.O.16</t>
  </si>
  <si>
    <t>Total Collateral Required Due to a Change in Financial Condition</t>
  </si>
  <si>
    <t>O.O.17</t>
  </si>
  <si>
    <t>Excess Margin</t>
  </si>
  <si>
    <t>O.O.18</t>
  </si>
  <si>
    <t>Unfunded Term Margin</t>
  </si>
  <si>
    <t>O.O.21</t>
  </si>
  <si>
    <t>Other Outflows Related to Structured Transactions</t>
  </si>
  <si>
    <t>O.O.22</t>
  </si>
  <si>
    <t>Other Cash Outflows</t>
  </si>
  <si>
    <t>S.I.1</t>
  </si>
  <si>
    <t>Initial Margin Posted - House</t>
  </si>
  <si>
    <t>S.I.2</t>
  </si>
  <si>
    <t>Initial Margin Posted - Customer</t>
  </si>
  <si>
    <t>S.I.3</t>
  </si>
  <si>
    <t>Initial Margin Received</t>
  </si>
  <si>
    <t>S.I.4</t>
  </si>
  <si>
    <t>Variation Margin Posted - House</t>
  </si>
  <si>
    <t>S.I.5</t>
  </si>
  <si>
    <t>Variation Margin Posted - Customer</t>
  </si>
  <si>
    <t>S.I.6</t>
  </si>
  <si>
    <t>Variation Margin Received</t>
  </si>
  <si>
    <t>S.I.7</t>
  </si>
  <si>
    <t>Collateral Disputes Deliverables</t>
  </si>
  <si>
    <t>S.I.8</t>
  </si>
  <si>
    <t>Collateral Disputes Receivables</t>
  </si>
  <si>
    <t>S.I.9</t>
  </si>
  <si>
    <t>Sleeper Collateral Deliverables</t>
  </si>
  <si>
    <t>S.I.10</t>
  </si>
  <si>
    <t>Sleeper Collateral Receivables</t>
  </si>
  <si>
    <t>S.I.11</t>
  </si>
  <si>
    <t>Derivative Collateral Substitution Risk</t>
  </si>
  <si>
    <t>S.I.12</t>
  </si>
  <si>
    <t>Derivative Collateral Substitution Capacity</t>
  </si>
  <si>
    <t>S.I.13</t>
  </si>
  <si>
    <t>Other Collateral Substitution Risk</t>
  </si>
  <si>
    <t>S.I.14</t>
  </si>
  <si>
    <t>Other Collateral Substitution Capacity</t>
  </si>
  <si>
    <t>S.I.15</t>
  </si>
  <si>
    <t>Long Market Value Client Assets</t>
  </si>
  <si>
    <t>S.I.16</t>
  </si>
  <si>
    <t>Short Market Value Client Assets</t>
  </si>
  <si>
    <t>S.I.17</t>
  </si>
  <si>
    <t>Gross Client Wires Received</t>
  </si>
  <si>
    <t>S.I.18</t>
  </si>
  <si>
    <t>Gross Client Wires Paid</t>
  </si>
  <si>
    <t>S.I.19</t>
  </si>
  <si>
    <t>Subsidiary Liquidity That Cannot be Transferred</t>
  </si>
  <si>
    <t>S.I.20</t>
  </si>
  <si>
    <t>FRB 23A Capacity</t>
  </si>
  <si>
    <t>S.I.21</t>
  </si>
  <si>
    <t>S.I.22</t>
  </si>
  <si>
    <t>S.I.23</t>
  </si>
  <si>
    <t>S.I.24</t>
  </si>
  <si>
    <t>S.FX.1</t>
  </si>
  <si>
    <t>Spot</t>
  </si>
  <si>
    <t>S.FX.2</t>
  </si>
  <si>
    <t>Forwards and Futures</t>
  </si>
  <si>
    <t>S.FX.3</t>
  </si>
  <si>
    <t>Swaps</t>
  </si>
  <si>
    <t>NAME</t>
  </si>
  <si>
    <t>EXPLAIN</t>
  </si>
  <si>
    <t>Ignore 30D restriction</t>
  </si>
  <si>
    <t>Undercollateralized01</t>
  </si>
  <si>
    <t>add or not</t>
  </si>
  <si>
    <t>FR2052A MAT</t>
  </si>
  <si>
    <t>FR2052A MKT</t>
  </si>
  <si>
    <t>FR2052A COLLATERAL</t>
  </si>
  <si>
    <t>HAVE BALANCE OR NOT</t>
  </si>
  <si>
    <t>Not found in any LCR category</t>
  </si>
  <si>
    <t>Report only HQLA part with treasury control as True</t>
  </si>
  <si>
    <t>Balance from FR2052a UAT</t>
  </si>
  <si>
    <t>Note</t>
  </si>
  <si>
    <t>Bank</t>
  </si>
  <si>
    <t>Balance from LCR Formula Generator</t>
  </si>
  <si>
    <t>Rehypothecated01</t>
  </si>
  <si>
    <t/>
  </si>
  <si>
    <t>Fed Balance, included in both (1) and (103)</t>
  </si>
  <si>
    <t>Not reported since no collateral class</t>
  </si>
  <si>
    <t>0</t>
  </si>
  <si>
    <t>Supplemental-Informational</t>
  </si>
  <si>
    <t>FR 2052a Appendix III: Asset Category Table</t>
  </si>
  <si>
    <t>Asset Category</t>
  </si>
  <si>
    <t>Asset Category Description</t>
  </si>
  <si>
    <t>HQLA Level 1</t>
  </si>
  <si>
    <t>A‐0‐Q</t>
  </si>
  <si>
    <t>Cash</t>
  </si>
  <si>
    <t>A‐1‐Q</t>
  </si>
  <si>
    <t>Debt issued by the US Treasury</t>
  </si>
  <si>
    <t>US Government Agency‐issued debt (excluding the US Treasury) with a US Government guarantee</t>
  </si>
  <si>
    <t>Vanilla debt (including pass‐through MBS) guaranteed by a US Government Agency, where the US Government Agency has a full US Government guarantee</t>
  </si>
  <si>
    <t>Structured debt (excluding pass‐through MBS) guaranteed by a US Government Agency, where the US Government Agency has a full US Government guarantee</t>
  </si>
  <si>
    <t>Other debt with a US Government guarantee</t>
  </si>
  <si>
    <t>Debt issued by Non‐US Sovereigns with a 0% RW</t>
  </si>
  <si>
    <t>Debt issued by multilateral development banks or other supranational with a 0% RW</t>
  </si>
  <si>
    <t>Debt with a non‐US sovereign or multilateral development bank or other supranational, guarantee, where guaranteeing entity has a 0% RW</t>
  </si>
  <si>
    <t>Debt issued or guaranteed by a Non‐US Sovereign that does not have a 0% RW, but supports outflows that are in the same jurisdiction of the sovereign and are denominated in the same currency as the debt</t>
  </si>
  <si>
    <t>HQLA Level 2a</t>
  </si>
  <si>
    <t>Senior to preferred debt issued by a US Government Sponsored Entity (GSE)</t>
  </si>
  <si>
    <t>Vanilla debt (including pass‐through MBS) guaranteed by a US GSE</t>
  </si>
  <si>
    <t>Structured debt (excluding pass‐through MBS) guaranteed by a US GSE</t>
  </si>
  <si>
    <t>Debt issued by Non‐US Sovereigns with a 20% RW, not otherwise included</t>
  </si>
  <si>
    <t>Debt issued by multilateral development banks or other supranationals with a 20% RW, not otherwise included</t>
  </si>
  <si>
    <t>Debt with a non‐US sovereign or multilateral development bank or other supranational guarantee, where guaranteeing entity has a 20% RW, not otherwise included</t>
  </si>
  <si>
    <t>HQLA Level 2b</t>
  </si>
  <si>
    <t>US equities ‐ Russell 1000</t>
  </si>
  <si>
    <t>Non‐US Equities listed on a foreign index designated to by the local supervisor as qualifying for the LCR, and denominated in USD or the currency of outflows that the foreign entity is supporting</t>
  </si>
  <si>
    <t>Investment grade corporate debt</t>
  </si>
  <si>
    <t>Investment grade general obligation US municipal securities</t>
  </si>
  <si>
    <t>Non‐HQLA Assets that do not meet the asset‐specific tests detailed in section 20 of Regulation WW</t>
  </si>
  <si>
    <t>A‐0</t>
  </si>
  <si>
    <t>A‐1</t>
  </si>
  <si>
    <t>A‐2</t>
  </si>
  <si>
    <t>A‐3</t>
  </si>
  <si>
    <t xml:space="preserve">A‐4 </t>
  </si>
  <si>
    <t>A‐5</t>
  </si>
  <si>
    <t>S‐1</t>
  </si>
  <si>
    <t>S‐2</t>
  </si>
  <si>
    <t>Debt issued by multilateral development banks or other supranationals with a 0% RW</t>
  </si>
  <si>
    <t>S‐3</t>
  </si>
  <si>
    <t>S‐4</t>
  </si>
  <si>
    <t>G‐1</t>
  </si>
  <si>
    <t>G‐2</t>
  </si>
  <si>
    <t>G‐3</t>
  </si>
  <si>
    <t>S‐5</t>
  </si>
  <si>
    <t>S‐6</t>
  </si>
  <si>
    <t xml:space="preserve">S‐7 </t>
  </si>
  <si>
    <t xml:space="preserve">E‐1 </t>
  </si>
  <si>
    <t xml:space="preserve">E‐2 </t>
  </si>
  <si>
    <t xml:space="preserve">IG‐1 </t>
  </si>
  <si>
    <t>IG-2</t>
  </si>
  <si>
    <t>Investment grade debt issued or guaranteed by municipal/public sector entities (PSEs)</t>
  </si>
  <si>
    <t>Non‐HQLA Assets other</t>
  </si>
  <si>
    <t>S‐8</t>
  </si>
  <si>
    <t>All other debt issued by sovereigns and supranational entities, not otherwise included</t>
  </si>
  <si>
    <t>G‐4</t>
  </si>
  <si>
    <t>Debt, other than senior or preferred, issued by a US GSE</t>
  </si>
  <si>
    <t>E‐3</t>
  </si>
  <si>
    <t>All other US equities, including ETFs and preferred stock</t>
  </si>
  <si>
    <t>E‐4</t>
  </si>
  <si>
    <t>All other non‐US equities, including ETFs and preferred stock</t>
  </si>
  <si>
    <t>IG‐3</t>
  </si>
  <si>
    <t>Investment grade Vanilla ABS</t>
  </si>
  <si>
    <t>IG‐4</t>
  </si>
  <si>
    <t>Investment grade Structured ABS</t>
  </si>
  <si>
    <t>IG‐5</t>
  </si>
  <si>
    <t>Investment grade Private label Pass‐thru CMBS/RMBS</t>
  </si>
  <si>
    <t>IG‐6</t>
  </si>
  <si>
    <t>Investment grade Private label Structured CMBS/RMBS</t>
  </si>
  <si>
    <t>IG‐7</t>
  </si>
  <si>
    <t>Investment grade covered bonds</t>
  </si>
  <si>
    <t>N‐1</t>
  </si>
  <si>
    <t>Non‐investment grade debt issued by municipals/PSEs</t>
  </si>
  <si>
    <t>N‐2</t>
  </si>
  <si>
    <t>Non‐investment grade corporate debt</t>
  </si>
  <si>
    <t>N‐3</t>
  </si>
  <si>
    <t>Non‐investment grade Vanilla ABS</t>
  </si>
  <si>
    <t>N‐4</t>
  </si>
  <si>
    <t>Non‐investment grade structured ABS</t>
  </si>
  <si>
    <t>N‐5</t>
  </si>
  <si>
    <t>Non‐investment grade Private label Pass‐thru CMBS/RMBS</t>
  </si>
  <si>
    <t>N‐6</t>
  </si>
  <si>
    <t>Non‐investment grade Private label Structured CMBS/RMBS</t>
  </si>
  <si>
    <t>N‐7</t>
  </si>
  <si>
    <t>Non‐investment grade covered bonds</t>
  </si>
  <si>
    <t>L‐1</t>
  </si>
  <si>
    <t>GSE‐eligible conforming residential mortgages</t>
  </si>
  <si>
    <t>L‐2</t>
  </si>
  <si>
    <t>Other GSE‐eligible loans</t>
  </si>
  <si>
    <t>L‐3</t>
  </si>
  <si>
    <t>Other 1‐4 family residential mortgages</t>
  </si>
  <si>
    <t>L‐4</t>
  </si>
  <si>
    <t>Other multi family residential mortgages</t>
  </si>
  <si>
    <t>L‐5</t>
  </si>
  <si>
    <t>Home equity loans</t>
  </si>
  <si>
    <t>L‐6</t>
  </si>
  <si>
    <t>Credit card loans</t>
  </si>
  <si>
    <t>L‐7</t>
  </si>
  <si>
    <t>Auto loans and leases</t>
  </si>
  <si>
    <t>L‐8</t>
  </si>
  <si>
    <t>Other consumer loans and leases</t>
  </si>
  <si>
    <t>L‐9</t>
  </si>
  <si>
    <t>Commercial real estate loans</t>
  </si>
  <si>
    <t>L‐10</t>
  </si>
  <si>
    <t>Commercial and industrial loans</t>
  </si>
  <si>
    <t>L‐11</t>
  </si>
  <si>
    <t>All other loans</t>
  </si>
  <si>
    <t>Y‐1</t>
  </si>
  <si>
    <t>Debt issued by reporting firm ‐ parent</t>
  </si>
  <si>
    <t>Y‐2</t>
  </si>
  <si>
    <t>Debt issued by reporting firm ‐ bank</t>
  </si>
  <si>
    <t>Y‐3</t>
  </si>
  <si>
    <t>Debt issued by reporting firm ‐ all other (incl. conduits)</t>
  </si>
  <si>
    <t>C‐1</t>
  </si>
  <si>
    <t>Commodities</t>
  </si>
  <si>
    <t>Z‐1</t>
  </si>
  <si>
    <t>All other assets</t>
  </si>
  <si>
    <t>FALSE</t>
  </si>
  <si>
    <t>TOTAL</t>
  </si>
  <si>
    <t>BRANCH COMB</t>
  </si>
  <si>
    <t>BRANCH RESULT</t>
  </si>
  <si>
    <t>ALL OTHER RESULT</t>
  </si>
  <si>
    <t>total inflow</t>
  </si>
  <si>
    <t>total HQLA</t>
  </si>
  <si>
    <t>total outflow</t>
  </si>
  <si>
    <t>Comment</t>
  </si>
  <si>
    <t>INDEX</t>
  </si>
  <si>
    <t>Row</t>
  </si>
  <si>
    <t>PID not include</t>
  </si>
  <si>
    <t xml:space="preserve"> </t>
  </si>
  <si>
    <t>Not belongs to (107) and (108)</t>
  </si>
  <si>
    <t>ALL LCR IN GE</t>
  </si>
  <si>
    <t>ERROR CHECK</t>
  </si>
  <si>
    <t>NOT RELATED</t>
  </si>
  <si>
    <t>Total in FR2052a (Include &gt;30D)</t>
  </si>
  <si>
    <t>Collateral 1 for under, -1 for over, 0 for no</t>
  </si>
  <si>
    <t>Comments Factor</t>
  </si>
  <si>
    <t>Value Factor</t>
  </si>
  <si>
    <t>Public Sector Entity</t>
  </si>
  <si>
    <t>5G</t>
  </si>
  <si>
    <t>EPS</t>
  </si>
  <si>
    <t>Balance with Fed (include Reserve balance)</t>
  </si>
  <si>
    <t>FRB Reserve</t>
  </si>
  <si>
    <t>Unpledged HQLA Securities Aftre Haircut</t>
  </si>
  <si>
    <t>Unpledged HQLA Securities Haircut</t>
  </si>
  <si>
    <t>Last Month Data</t>
  </si>
  <si>
    <t>DATE</t>
  </si>
  <si>
    <t xml:space="preserve">CHANGE </t>
  </si>
  <si>
    <t>Preparer</t>
  </si>
  <si>
    <t>Reviewer</t>
  </si>
  <si>
    <t>First test production with 2017 April and June data.</t>
  </si>
  <si>
    <t>Xiang Fang</t>
  </si>
  <si>
    <t>Kexiang Xiang</t>
  </si>
  <si>
    <t>Add feature to toggle unit between Dollar and Million Dollar</t>
  </si>
  <si>
    <t>To List</t>
  </si>
  <si>
    <t>CC List</t>
  </si>
  <si>
    <t>Subject</t>
  </si>
  <si>
    <t>Context</t>
  </si>
  <si>
    <t>Have attachment?</t>
  </si>
  <si>
    <t>Y</t>
  </si>
  <si>
    <t>Choose Mannually?</t>
  </si>
  <si>
    <t>Attachment File Default File</t>
  </si>
  <si>
    <t>Check Email before send?</t>
  </si>
  <si>
    <t>Automatically exclude sender from cc/to list?</t>
  </si>
  <si>
    <t>Voting Options (Leave blank if don’t need)</t>
  </si>
  <si>
    <t>Yes;No</t>
  </si>
  <si>
    <t>KENXIANG@BOCUSA.COM</t>
  </si>
  <si>
    <t>RJLI@BOCUSA.COM</t>
  </si>
  <si>
    <t>NonLCR calculation and comments</t>
  </si>
  <si>
    <t>J:\Asset and Liability management team\5-Work Files\FR2052a Related\LCR Report Master</t>
  </si>
  <si>
    <t>Attachment File Number</t>
  </si>
  <si>
    <t>Attachment File Default Folder (1 or more)</t>
  </si>
  <si>
    <t>J:\Asset and Liability management team\5-Work Files\FR2052a Related\LCR Report Master\Comment</t>
  </si>
  <si>
    <t>ZJWANG@BOCUSA.COM</t>
  </si>
  <si>
    <t>MINLI@BOCUSA.COM</t>
  </si>
  <si>
    <t>QPENG@BOCUSA.COM</t>
  </si>
  <si>
    <t>MXLI@BOCUSA.COM</t>
  </si>
  <si>
    <t>YYU@BOCUSA.COM</t>
  </si>
  <si>
    <t>Non-LCR template comment file</t>
  </si>
  <si>
    <t xml:space="preserve"> LI, RENJIE (RJLI@BOCUSA.COM)</t>
  </si>
  <si>
    <t>(</t>
  </si>
  <si>
    <t>XIANGFANG@BOCUSA.COM</t>
  </si>
  <si>
    <t>Hi Ken,
Please check the attachment for Non-LCR data production and comments file.</t>
  </si>
  <si>
    <t>EMAIL GENERATOR</t>
  </si>
  <si>
    <t>&lt;</t>
  </si>
  <si>
    <t>LI, MIN &lt;MINLI@BOCUSA.COM&gt;</t>
  </si>
  <si>
    <t>SYLU@BOCUSA.COM</t>
  </si>
  <si>
    <t xml:space="preserve">Bank of China - All Reporting Entities </t>
  </si>
  <si>
    <t>SNLIU@BOCUSA.COM</t>
  </si>
  <si>
    <t>Forward Start Contract would be excluded</t>
  </si>
  <si>
    <t>BOC</t>
  </si>
  <si>
    <t>XSSE</t>
  </si>
  <si>
    <t>P28D-P28D</t>
  </si>
  <si>
    <t>P28D</t>
  </si>
  <si>
    <t>NEED COUNTER PARTY</t>
  </si>
  <si>
    <t>Structured Debt Maturing in Greater than 30-days - Primary Market Maker</t>
  </si>
  <si>
    <t>Non-Structured Debt Maturing in Greater than 30-days - Primary Market Maker</t>
  </si>
  <si>
    <t>Unencumbered Asset Hedges - Early Termination Inflows</t>
  </si>
  <si>
    <t>Unencumbered Asset Hedges - Early Termination Outflows</t>
  </si>
  <si>
    <t>ABS</t>
  </si>
  <si>
    <t>Collateralized CP</t>
  </si>
  <si>
    <t>ABCP Multi-Seller</t>
  </si>
  <si>
    <t>ABCP Single-Seller</t>
  </si>
  <si>
    <t>Federal Home Loan Bank Advances</t>
  </si>
  <si>
    <t>Loss of Rehypothecation Rights Due to a Change in Financial Condition</t>
  </si>
  <si>
    <t>Other Secured Loans - Rehypothecatable</t>
  </si>
  <si>
    <t>EMAIL QUOTING</t>
  </si>
  <si>
    <t>ADCOPR@ADC.BOCUSA.COM</t>
  </si>
  <si>
    <t xml:space="preserve"> LI, RENJIE &lt;RJLI@BOCUSA.COM&gt;</t>
  </si>
  <si>
    <t>BIAOLI@ADC.BOCUSA.COM</t>
  </si>
  <si>
    <t>LSONG@ADC.BOCUSA.COM</t>
  </si>
  <si>
    <t>SONG, LI PING &lt;LSONG@ADC.BOCUSA.COM&gt;</t>
  </si>
  <si>
    <t xml:space="preserve">Hi ADC,
Please find attached Comment file for the testing so that FMD can request ADCOPR to upload it.
Thanks.
</t>
  </si>
  <si>
    <t>FMD-FR2052a@BOCUSA.COM</t>
  </si>
  <si>
    <t>TABLES</t>
  </si>
  <si>
    <t>P35D-P35D</t>
  </si>
  <si>
    <t>P35D</t>
  </si>
  <si>
    <t>Comment_id</t>
  </si>
  <si>
    <t>Type</t>
  </si>
  <si>
    <t>Subproduct</t>
  </si>
  <si>
    <t>Text</t>
  </si>
  <si>
    <t>Portfolio</t>
  </si>
  <si>
    <t>Inputter</t>
  </si>
  <si>
    <t>Authoriser</t>
  </si>
  <si>
    <t>ReportingEntity</t>
  </si>
  <si>
    <t>Not Applicable</t>
  </si>
  <si>
    <t>Date</t>
  </si>
  <si>
    <t>Errors</t>
  </si>
  <si>
    <t>New PID</t>
  </si>
  <si>
    <t>P10D-P10D</t>
  </si>
  <si>
    <t>P10D</t>
  </si>
  <si>
    <t>P17D-P17D</t>
  </si>
  <si>
    <t>P17D</t>
  </si>
  <si>
    <t>P18D-P18D</t>
  </si>
  <si>
    <t>P18D</t>
  </si>
  <si>
    <t>P24D-P24D</t>
  </si>
  <si>
    <t>P24D</t>
  </si>
  <si>
    <t>P31D-P31D</t>
  </si>
  <si>
    <t>P31D</t>
  </si>
  <si>
    <t>P38D-P38D</t>
  </si>
  <si>
    <t>P38D</t>
  </si>
  <si>
    <t>P3D-P3D</t>
  </si>
  <si>
    <t>P3D</t>
  </si>
  <si>
    <t>P45D-P45D</t>
  </si>
  <si>
    <t>P45D</t>
  </si>
  <si>
    <t>P46D-P46D</t>
  </si>
  <si>
    <t>P46D</t>
  </si>
  <si>
    <t>P4D-P4D</t>
  </si>
  <si>
    <t>P4D</t>
  </si>
  <si>
    <t>P53D-P53D</t>
  </si>
  <si>
    <t>P53D</t>
  </si>
  <si>
    <t>P59D-P59D</t>
  </si>
  <si>
    <t>P59D</t>
  </si>
  <si>
    <t>P11D-P11D</t>
  </si>
  <si>
    <t>P11D</t>
  </si>
  <si>
    <t>P60D-P60D</t>
  </si>
  <si>
    <t>P60D</t>
  </si>
  <si>
    <t>P39D-P39D</t>
  </si>
  <si>
    <t>P39D</t>
  </si>
  <si>
    <t>For Bank of China - All Reporting Entities ,total HQLA is 30654.9MM USD, total outflow is 60646.37MM USD, total inflow is 1039.73MM USD.</t>
  </si>
  <si>
    <t>P30D-P30D</t>
  </si>
  <si>
    <t>P30D</t>
  </si>
  <si>
    <t>P25D-P25D</t>
  </si>
  <si>
    <t>P25D</t>
  </si>
  <si>
    <t>P2D-P2D</t>
  </si>
  <si>
    <t>P2D</t>
  </si>
  <si>
    <t>P16D-P16D</t>
  </si>
  <si>
    <t>P16D</t>
  </si>
  <si>
    <t>P22D-P22D</t>
  </si>
  <si>
    <t>P22D</t>
  </si>
  <si>
    <t>P32D-P32D</t>
  </si>
  <si>
    <t>P32D</t>
  </si>
  <si>
    <t>P44D-P44D</t>
  </si>
  <si>
    <t>P44D</t>
  </si>
  <si>
    <t>P50D-P50D</t>
  </si>
  <si>
    <t>P50D</t>
  </si>
  <si>
    <t>P52D-P52D</t>
  </si>
  <si>
    <t>P52D</t>
  </si>
  <si>
    <t>P9D-P9D</t>
  </si>
  <si>
    <t>P9D</t>
  </si>
  <si>
    <t>P29D-P29D</t>
  </si>
  <si>
    <t>P29D</t>
  </si>
  <si>
    <t>P57D-P57D</t>
  </si>
  <si>
    <t>P57D</t>
  </si>
  <si>
    <t>P15D-P15D</t>
  </si>
  <si>
    <t>P15D</t>
  </si>
  <si>
    <t>P51D-P51D</t>
  </si>
  <si>
    <t>P51D</t>
  </si>
  <si>
    <t>P23D-P23D</t>
  </si>
  <si>
    <t>P23D</t>
  </si>
  <si>
    <t>P36D-P36D</t>
  </si>
  <si>
    <t>P36D</t>
  </si>
  <si>
    <t>P37D-P37D</t>
  </si>
  <si>
    <t>P37D</t>
  </si>
  <si>
    <t>P43D-P43D</t>
  </si>
  <si>
    <t>P43D</t>
  </si>
  <si>
    <t>P58D-P58D</t>
  </si>
  <si>
    <t>P58D</t>
  </si>
  <si>
    <t>P8D-P8D</t>
  </si>
  <si>
    <t>P8D</t>
  </si>
  <si>
    <t>Data Create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</si>
</sst>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41">
    <numFmt numFmtId="5" formatCode="&quot;$&quot;#,##0_);\(&quot;$&quot;#,##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0.0;\(#,##0.0\);&quot;-&quot;"/>
    <numFmt numFmtId="166" formatCode="0.0_)\%;\(0.0\)\%;0.0_)\%;@_)_%"/>
    <numFmt numFmtId="167" formatCode="#,##0.0_)_%;\(#,##0.0\)_%;0.0_)_%;@_)_%"/>
    <numFmt numFmtId="168" formatCode="&quot;$&quot;_(#,##0.00_);&quot;$&quot;\(#,##0.00\);&quot;$&quot;_(0.00_);@_)"/>
    <numFmt numFmtId="169" formatCode="#,##0.00_);\(#,##0.00\);0.00_);@_)"/>
    <numFmt numFmtId="170" formatCode="#,##0.0_)\x;\(#,##0.0\)\x;0.0_)\x;@_)_x"/>
    <numFmt numFmtId="171" formatCode="#,##0.0_)_x;\(#,##0.0\)_x;0.0_)_x;@_)_x"/>
    <numFmt numFmtId="172" formatCode="\ #,##0\ \ \ ;\(#,##0\)\ \ ;\—\ \ \ \ "/>
    <numFmt numFmtId="173" formatCode="#,##0\ ;\(#,##0\);\-\ \ \ \ \ "/>
    <numFmt numFmtId="174" formatCode="#,##0\ ;\(#,##0\);\–\ \ \ \ \ "/>
    <numFmt numFmtId="175" formatCode="&quot;$&quot;#,##0.00"/>
    <numFmt numFmtId="176" formatCode="0.000_)"/>
    <numFmt numFmtId="177" formatCode="_-* #,##0.00_-;\-* #,##0.00_-;_-* &quot;-&quot;??_-;_-@_-"/>
    <numFmt numFmtId="178" formatCode="0.000"/>
    <numFmt numFmtId="179" formatCode="0.0000000"/>
    <numFmt numFmtId="180" formatCode="hh:mm:ss"/>
    <numFmt numFmtId="181" formatCode="mm/dd/yyyy\ hh:mm:ss"/>
    <numFmt numFmtId="182" formatCode="_([$€]* #,##0.00_);_([$€]* \(#,##0.00\);_([$€]* &quot;-&quot;??_);_(@_)"/>
    <numFmt numFmtId="183" formatCode="yyyy\-mm\-dd;@"/>
    <numFmt numFmtId="184" formatCode="0.0"/>
    <numFmt numFmtId="185" formatCode="0.0000"/>
    <numFmt numFmtId="186" formatCode="0.0000%"/>
    <numFmt numFmtId="187" formatCode="0.0%"/>
    <numFmt numFmtId="188" formatCode="###,###,###,##0.00"/>
    <numFmt numFmtId="189" formatCode="#,##0\ \ \ ;[Red]\(#,##0\)\ \ ;\—\ \ \ \ "/>
    <numFmt numFmtId="190" formatCode="#,##0.0000;\-#,##0.0000"/>
    <numFmt numFmtId="191" formatCode="#,##0.00;[Red]\(#,##0.00\)"/>
    <numFmt numFmtId="192" formatCode="#,##0.00&quot; &quot;;#,##0.00\-"/>
    <numFmt numFmtId="193" formatCode="&quot;Yes&quot;;[Red]&quot;No&quot;"/>
    <numFmt numFmtId="194" formatCode="0.00000"/>
    <numFmt numFmtId="195" formatCode="[&gt;0]General"/>
    <numFmt numFmtId="196" formatCode="&quot;$&quot;#,##0_);\(&quot;$&quot;#,##0\);"/>
    <numFmt numFmtId="197" formatCode="_(* #,##0.0_);_(* \(#,##0.0\);_(* &quot;-&quot;??_);_(@_)"/>
    <numFmt numFmtId="198" formatCode="_(* #,##0.0_);_(* \(#,##0.0\);_(* &quot;-&quot;?_);_(@_)"/>
    <numFmt numFmtId="199" formatCode="[$-409]m/d/yy\ h:mm\ AM/PM;@"/>
  </numFmts>
  <fonts count="16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name val="Arial"/>
      <family val="2"/>
    </font>
    <font>
      <sz val="10"/>
      <name val="Arial"/>
      <family val="2"/>
    </font>
    <font>
      <b/>
      <sz val="20"/>
      <color theme="1"/>
      <name val="Calibri"/>
      <family val="2"/>
      <scheme val="minor"/>
    </font>
    <font>
      <b/>
      <sz val="16"/>
      <color rgb="FFFF0000"/>
      <name val="Arial"/>
      <family val="2"/>
    </font>
    <font>
      <b/>
      <sz val="18"/>
      <color theme="0"/>
      <name val="Calibri"/>
      <family val="2"/>
      <scheme val="minor"/>
    </font>
    <font>
      <b/>
      <sz val="12"/>
      <color theme="1"/>
      <name val="Calibri"/>
      <family val="2"/>
      <scheme val="minor"/>
    </font>
    <font>
      <b/>
      <sz val="12"/>
      <name val="Calibri"/>
      <family val="2"/>
      <scheme val="minor"/>
    </font>
    <font>
      <b/>
      <sz val="11"/>
      <name val="Calibri"/>
      <family val="2"/>
      <scheme val="minor"/>
    </font>
    <font>
      <b/>
      <sz val="16"/>
      <color theme="1"/>
      <name val="Calibri"/>
      <family val="2"/>
      <scheme val="minor"/>
    </font>
    <font>
      <b/>
      <sz val="11"/>
      <name val="Arial"/>
      <family val="2"/>
    </font>
    <font>
      <b/>
      <sz val="10"/>
      <color theme="1"/>
      <name val="Arial"/>
      <family val="2"/>
    </font>
    <font>
      <sz val="10"/>
      <color theme="1"/>
      <name val="Arial"/>
      <family val="2"/>
    </font>
    <font>
      <sz val="10"/>
      <color theme="0" tint="-0.34998626667073579"/>
      <name val="Arial"/>
      <family val="2"/>
    </font>
    <font>
      <b/>
      <u/>
      <sz val="12"/>
      <name val="Calibri"/>
      <family val="2"/>
      <scheme val="minor"/>
    </font>
    <font>
      <sz val="12"/>
      <name val="Arial"/>
      <family val="2"/>
    </font>
    <font>
      <sz val="11"/>
      <color indexed="8"/>
      <name val="Calibri"/>
      <family val="2"/>
    </font>
    <font>
      <sz val="10"/>
      <name val="Times New Roman"/>
      <family val="1"/>
    </font>
    <font>
      <sz val="10"/>
      <color indexed="8"/>
      <name val="Arial"/>
      <family val="2"/>
    </font>
    <font>
      <sz val="10"/>
      <name val="MS Sans Serif"/>
      <family val="2"/>
    </font>
    <font>
      <b/>
      <sz val="22"/>
      <color indexed="11"/>
      <name val="Arial"/>
      <family val="2"/>
    </font>
    <font>
      <b/>
      <sz val="14"/>
      <color indexed="11"/>
      <name val="Arial"/>
      <family val="2"/>
    </font>
    <font>
      <sz val="9"/>
      <color indexed="8"/>
      <name val="Arial"/>
      <family val="2"/>
    </font>
    <font>
      <b/>
      <sz val="10"/>
      <color indexed="11"/>
      <name val="Arial"/>
      <family val="2"/>
    </font>
    <font>
      <b/>
      <u val="singleAccounting"/>
      <sz val="10"/>
      <color indexed="11"/>
      <name val="Arial"/>
      <family val="2"/>
    </font>
    <font>
      <sz val="12"/>
      <name val="Times New Roman"/>
      <family val="1"/>
    </font>
    <font>
      <sz val="10"/>
      <color theme="1"/>
      <name val="Calibri"/>
      <family val="2"/>
    </font>
    <font>
      <sz val="11"/>
      <color theme="1"/>
      <name val="Arial"/>
      <family val="2"/>
    </font>
    <font>
      <sz val="10"/>
      <color theme="1"/>
      <name val="Calibri"/>
      <family val="2"/>
      <scheme val="minor"/>
    </font>
    <font>
      <sz val="11"/>
      <name val="Times New Roman"/>
      <family val="1"/>
    </font>
    <font>
      <sz val="10"/>
      <color theme="0"/>
      <name val="Calibri"/>
      <family val="2"/>
    </font>
    <font>
      <sz val="11"/>
      <color indexed="9"/>
      <name val="Calibri"/>
      <family val="2"/>
    </font>
    <font>
      <sz val="11"/>
      <color theme="0"/>
      <name val="Arial"/>
      <family val="2"/>
    </font>
    <font>
      <sz val="10"/>
      <name val="Courier"/>
      <family val="3"/>
    </font>
    <font>
      <sz val="10"/>
      <color indexed="9"/>
      <name val="Verdana"/>
      <family val="2"/>
    </font>
    <font>
      <sz val="10"/>
      <color indexed="9"/>
      <name val="Arial"/>
      <family val="2"/>
    </font>
    <font>
      <sz val="10"/>
      <color rgb="FF9C0006"/>
      <name val="Calibri"/>
      <family val="2"/>
    </font>
    <font>
      <sz val="11"/>
      <color indexed="20"/>
      <name val="Calibri"/>
      <family val="2"/>
    </font>
    <font>
      <sz val="11"/>
      <color rgb="FF9C0006"/>
      <name val="Arial"/>
      <family val="2"/>
    </font>
    <font>
      <u/>
      <sz val="7.5"/>
      <color indexed="36"/>
      <name val="Arial"/>
      <family val="2"/>
    </font>
    <font>
      <b/>
      <sz val="8"/>
      <color indexed="9"/>
      <name val="Arial"/>
      <family val="2"/>
    </font>
    <font>
      <b/>
      <sz val="9"/>
      <color indexed="12"/>
      <name val="Arial"/>
      <family val="2"/>
    </font>
    <font>
      <sz val="8"/>
      <name val="Arial"/>
      <family val="2"/>
    </font>
    <font>
      <b/>
      <sz val="14"/>
      <name val="Arial"/>
      <family val="2"/>
    </font>
    <font>
      <b/>
      <i/>
      <sz val="14"/>
      <name val="Arial"/>
      <family val="2"/>
    </font>
    <font>
      <b/>
      <sz val="12"/>
      <name val="Arial"/>
      <family val="2"/>
    </font>
    <font>
      <b/>
      <sz val="24"/>
      <name val="Arial Narrow"/>
      <family val="2"/>
    </font>
    <font>
      <b/>
      <i/>
      <sz val="12"/>
      <name val="Arial"/>
      <family val="2"/>
    </font>
    <font>
      <i/>
      <sz val="12"/>
      <name val="Arial"/>
      <family val="2"/>
    </font>
    <font>
      <sz val="9"/>
      <name val="Arial"/>
      <family val="2"/>
    </font>
    <font>
      <i/>
      <sz val="10"/>
      <name val="Arial"/>
      <family val="2"/>
    </font>
    <font>
      <sz val="9"/>
      <color indexed="18"/>
      <name val="Arial"/>
      <family val="2"/>
    </font>
    <font>
      <i/>
      <sz val="10"/>
      <color indexed="18"/>
      <name val="Arial"/>
      <family val="2"/>
    </font>
    <font>
      <sz val="10"/>
      <color indexed="18"/>
      <name val="Arial"/>
      <family val="2"/>
    </font>
    <font>
      <sz val="8"/>
      <color indexed="18"/>
      <name val="Arial"/>
      <family val="2"/>
    </font>
    <font>
      <i/>
      <sz val="9"/>
      <color indexed="18"/>
      <name val="Arial"/>
      <family val="2"/>
    </font>
    <font>
      <b/>
      <sz val="10"/>
      <color rgb="FFFA7D00"/>
      <name val="Calibri"/>
      <family val="2"/>
    </font>
    <font>
      <b/>
      <sz val="11"/>
      <color indexed="52"/>
      <name val="Calibri"/>
      <family val="2"/>
    </font>
    <font>
      <b/>
      <sz val="11"/>
      <color rgb="FFFA7D00"/>
      <name val="Arial"/>
      <family val="2"/>
    </font>
    <font>
      <b/>
      <sz val="10"/>
      <color theme="0"/>
      <name val="Calibri"/>
      <family val="2"/>
    </font>
    <font>
      <b/>
      <sz val="11"/>
      <color indexed="9"/>
      <name val="Calibri"/>
      <family val="2"/>
    </font>
    <font>
      <b/>
      <sz val="11"/>
      <color theme="0"/>
      <name val="Arial"/>
      <family val="2"/>
    </font>
    <font>
      <sz val="10"/>
      <color indexed="10"/>
      <name val="Arial"/>
      <family val="2"/>
    </font>
    <font>
      <sz val="11"/>
      <name val="Tms Rmn"/>
    </font>
    <font>
      <sz val="10"/>
      <color theme="1"/>
      <name val="Arial Narrow"/>
      <family val="2"/>
    </font>
    <font>
      <sz val="10"/>
      <color theme="1"/>
      <name val="Cambria"/>
      <family val="2"/>
    </font>
    <font>
      <b/>
      <i/>
      <sz val="10"/>
      <name val="Arial"/>
      <family val="2"/>
    </font>
    <font>
      <sz val="10"/>
      <name val="Comic Sans MS"/>
      <family val="4"/>
    </font>
    <font>
      <sz val="9.85"/>
      <color indexed="8"/>
      <name val="Times New Roman"/>
      <family val="1"/>
    </font>
    <font>
      <sz val="11"/>
      <color indexed="8"/>
      <name val="Arial"/>
      <family val="2"/>
    </font>
    <font>
      <sz val="8"/>
      <name val="Times New Roman"/>
      <family val="1"/>
    </font>
    <font>
      <sz val="14"/>
      <name val="Arial MT"/>
    </font>
    <font>
      <sz val="11"/>
      <name val="Calibri"/>
      <family val="2"/>
    </font>
    <font>
      <b/>
      <sz val="8"/>
      <name val="Arial"/>
      <family val="2"/>
    </font>
    <font>
      <i/>
      <sz val="10"/>
      <color rgb="FF7F7F7F"/>
      <name val="Calibri"/>
      <family val="2"/>
    </font>
    <font>
      <i/>
      <sz val="11"/>
      <color indexed="23"/>
      <name val="Calibri"/>
      <family val="2"/>
    </font>
    <font>
      <i/>
      <sz val="11"/>
      <color rgb="FF7F7F7F"/>
      <name val="Arial"/>
      <family val="2"/>
    </font>
    <font>
      <sz val="10"/>
      <color rgb="FF006100"/>
      <name val="Calibri"/>
      <family val="2"/>
    </font>
    <font>
      <sz val="11"/>
      <color indexed="17"/>
      <name val="Calibri"/>
      <family val="2"/>
    </font>
    <font>
      <sz val="11"/>
      <color rgb="FF006100"/>
      <name val="Arial"/>
      <family val="2"/>
    </font>
    <font>
      <b/>
      <sz val="9"/>
      <color indexed="23"/>
      <name val="Arial"/>
      <family val="2"/>
    </font>
    <font>
      <b/>
      <sz val="10"/>
      <name val="Tahoma"/>
      <family val="2"/>
    </font>
    <font>
      <b/>
      <sz val="15"/>
      <color theme="3"/>
      <name val="Calibri"/>
      <family val="2"/>
    </font>
    <font>
      <b/>
      <sz val="20"/>
      <name val="Arial"/>
      <family val="2"/>
    </font>
    <font>
      <b/>
      <sz val="15"/>
      <color indexed="56"/>
      <name val="Calibri"/>
      <family val="2"/>
    </font>
    <font>
      <b/>
      <sz val="15"/>
      <color theme="3"/>
      <name val="Arial"/>
      <family val="2"/>
    </font>
    <font>
      <b/>
      <sz val="13"/>
      <color theme="3"/>
      <name val="Calibri"/>
      <family val="2"/>
    </font>
    <font>
      <b/>
      <sz val="13"/>
      <color indexed="56"/>
      <name val="Calibri"/>
      <family val="2"/>
    </font>
    <font>
      <b/>
      <sz val="13"/>
      <color theme="3"/>
      <name val="Arial"/>
      <family val="2"/>
    </font>
    <font>
      <b/>
      <sz val="11"/>
      <color theme="3"/>
      <name val="Calibri"/>
      <family val="2"/>
    </font>
    <font>
      <b/>
      <sz val="11"/>
      <color indexed="56"/>
      <name val="Calibri"/>
      <family val="2"/>
    </font>
    <font>
      <b/>
      <sz val="11"/>
      <color theme="3"/>
      <name val="Arial"/>
      <family val="2"/>
    </font>
    <font>
      <u/>
      <sz val="10"/>
      <color indexed="12"/>
      <name val="Arial"/>
      <family val="2"/>
    </font>
    <font>
      <u/>
      <sz val="10"/>
      <color theme="10"/>
      <name val="Arial"/>
      <family val="2"/>
    </font>
    <font>
      <u/>
      <sz val="11"/>
      <color rgb="FF000080"/>
      <name val="Calibri"/>
      <family val="2"/>
      <scheme val="minor"/>
    </font>
    <font>
      <sz val="10"/>
      <color rgb="FF3F3F76"/>
      <name val="Calibri"/>
      <family val="2"/>
    </font>
    <font>
      <sz val="11"/>
      <color indexed="62"/>
      <name val="Calibri"/>
      <family val="2"/>
    </font>
    <font>
      <sz val="11"/>
      <color rgb="FF3F3F76"/>
      <name val="Arial"/>
      <family val="2"/>
    </font>
    <font>
      <sz val="10"/>
      <color rgb="FFFA7D00"/>
      <name val="Calibri"/>
      <family val="2"/>
    </font>
    <font>
      <sz val="11"/>
      <color indexed="52"/>
      <name val="Calibri"/>
      <family val="2"/>
    </font>
    <font>
      <sz val="11"/>
      <color rgb="FFFA7D00"/>
      <name val="Arial"/>
      <family val="2"/>
    </font>
    <font>
      <sz val="10"/>
      <color rgb="FF9C6500"/>
      <name val="Calibri"/>
      <family val="2"/>
    </font>
    <font>
      <sz val="11"/>
      <color indexed="60"/>
      <name val="Calibri"/>
      <family val="2"/>
    </font>
    <font>
      <sz val="11"/>
      <color rgb="FF9C6500"/>
      <name val="Arial"/>
      <family val="2"/>
    </font>
    <font>
      <sz val="12"/>
      <name val="Helv"/>
    </font>
    <font>
      <sz val="11"/>
      <color rgb="FF000000"/>
      <name val="Calibri"/>
      <family val="2"/>
    </font>
    <font>
      <sz val="10"/>
      <color indexed="0"/>
      <name val="Arial"/>
      <family val="2"/>
    </font>
    <font>
      <sz val="8"/>
      <name val="Helv"/>
    </font>
    <font>
      <sz val="9"/>
      <color theme="1"/>
      <name val="Arial"/>
      <family val="2"/>
    </font>
    <font>
      <sz val="10"/>
      <name val="Arial Unicode MS"/>
      <family val="2"/>
    </font>
    <font>
      <sz val="10"/>
      <name val="Univers (WN)"/>
    </font>
    <font>
      <sz val="10"/>
      <color indexed="8"/>
      <name val="MS Sans Serif"/>
      <family val="2"/>
    </font>
    <font>
      <sz val="10"/>
      <color indexed="8"/>
      <name val="Verdana"/>
      <family val="2"/>
    </font>
    <font>
      <b/>
      <i/>
      <sz val="12"/>
      <color indexed="8"/>
      <name val="Times New Roman"/>
      <family val="1"/>
    </font>
    <font>
      <b/>
      <sz val="9"/>
      <color indexed="8"/>
      <name val="Tahoma"/>
      <family val="2"/>
    </font>
    <font>
      <b/>
      <sz val="9"/>
      <color indexed="52"/>
      <name val="Arial"/>
      <family val="2"/>
    </font>
    <font>
      <b/>
      <sz val="10"/>
      <color rgb="FF3F3F3F"/>
      <name val="Calibri"/>
      <family val="2"/>
    </font>
    <font>
      <b/>
      <sz val="11"/>
      <color indexed="63"/>
      <name val="Calibri"/>
      <family val="2"/>
    </font>
    <font>
      <b/>
      <sz val="11"/>
      <color rgb="FF3F3F3F"/>
      <name val="Arial"/>
      <family val="2"/>
    </font>
    <font>
      <b/>
      <i/>
      <sz val="10"/>
      <color indexed="8"/>
      <name val="Arial"/>
      <family val="2"/>
    </font>
    <font>
      <b/>
      <sz val="11"/>
      <color indexed="16"/>
      <name val="Times New Roman"/>
      <family val="1"/>
    </font>
    <font>
      <b/>
      <sz val="10"/>
      <color indexed="17"/>
      <name val="Arial"/>
      <family val="2"/>
    </font>
    <font>
      <b/>
      <sz val="10"/>
      <color indexed="13"/>
      <name val="Arial"/>
      <family val="2"/>
    </font>
    <font>
      <b/>
      <sz val="10"/>
      <name val="MS Sans Serif"/>
      <family val="2"/>
    </font>
    <font>
      <sz val="8"/>
      <color indexed="38"/>
      <name val="Arial"/>
      <family val="2"/>
    </font>
    <font>
      <b/>
      <sz val="9"/>
      <name val="Arial"/>
      <family val="2"/>
    </font>
    <font>
      <b/>
      <i/>
      <sz val="16"/>
      <name val="Arial"/>
      <family val="2"/>
    </font>
    <font>
      <b/>
      <sz val="12"/>
      <color indexed="32"/>
      <name val="Arial"/>
      <family val="2"/>
    </font>
    <font>
      <i/>
      <sz val="11"/>
      <name val="Arial"/>
      <family val="2"/>
    </font>
    <font>
      <sz val="11"/>
      <name val="Arial"/>
      <family val="2"/>
    </font>
    <font>
      <sz val="10"/>
      <color indexed="12"/>
      <name val="MS Sans Serif"/>
      <family val="2"/>
    </font>
    <font>
      <sz val="10"/>
      <name val="Helv"/>
    </font>
    <font>
      <b/>
      <sz val="10"/>
      <color indexed="12"/>
      <name val="MS Sans Serif"/>
      <family val="2"/>
    </font>
    <font>
      <b/>
      <sz val="8"/>
      <color indexed="12"/>
      <name val="Arial"/>
      <family val="2"/>
    </font>
    <font>
      <sz val="10"/>
      <color indexed="18"/>
      <name val="Book Antiqua"/>
      <family val="1"/>
    </font>
    <font>
      <b/>
      <sz val="18"/>
      <color indexed="56"/>
      <name val="Cambria"/>
      <family val="2"/>
    </font>
    <font>
      <b/>
      <sz val="10"/>
      <color theme="1"/>
      <name val="Calibri"/>
      <family val="2"/>
    </font>
    <font>
      <b/>
      <sz val="11"/>
      <color indexed="8"/>
      <name val="Calibri"/>
      <family val="2"/>
    </font>
    <font>
      <b/>
      <sz val="11"/>
      <color theme="1"/>
      <name val="Arial"/>
      <family val="2"/>
    </font>
    <font>
      <sz val="10"/>
      <color rgb="FFFF0000"/>
      <name val="Calibri"/>
      <family val="2"/>
    </font>
    <font>
      <sz val="11"/>
      <color indexed="10"/>
      <name val="Calibri"/>
      <family val="2"/>
    </font>
    <font>
      <sz val="10"/>
      <color rgb="FFAA322F"/>
      <name val="Arial"/>
      <family val="2"/>
    </font>
    <font>
      <sz val="11"/>
      <color rgb="FFFF0000"/>
      <name val="Arial"/>
      <family val="2"/>
    </font>
    <font>
      <sz val="11"/>
      <name val="Calibri"/>
      <family val="2"/>
      <scheme val="minor"/>
    </font>
    <font>
      <b/>
      <vertAlign val="superscript"/>
      <sz val="16"/>
      <color theme="1"/>
      <name val="Calibri"/>
      <family val="2"/>
      <scheme val="minor"/>
    </font>
    <font>
      <vertAlign val="superscript"/>
      <sz val="10"/>
      <name val="Arial"/>
      <family val="2"/>
    </font>
    <font>
      <b/>
      <sz val="10"/>
      <color rgb="FFFF0000"/>
      <name val="Arial"/>
      <family val="2"/>
    </font>
    <font>
      <sz val="9"/>
      <color indexed="81"/>
      <name val="Tahoma"/>
      <family val="2"/>
    </font>
    <font>
      <b/>
      <sz val="9"/>
      <color indexed="81"/>
      <name val="Tahoma"/>
      <family val="2"/>
    </font>
    <font>
      <u/>
      <sz val="11"/>
      <color theme="10"/>
      <name val="Calibri"/>
      <family val="2"/>
      <scheme val="minor"/>
    </font>
  </fonts>
  <fills count="9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0" tint="-4.9989318521683403E-2"/>
        <bgColor indexed="64"/>
      </patternFill>
    </fill>
    <fill>
      <patternFill patternType="solid">
        <fgColor indexed="4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rgb="FF4BACC6"/>
        <bgColor indexed="64"/>
      </patternFill>
    </fill>
    <fill>
      <patternFill patternType="solid">
        <fgColor indexed="53"/>
      </patternFill>
    </fill>
    <fill>
      <patternFill patternType="solid">
        <fgColor indexed="30"/>
        <bgColor indexed="64"/>
      </patternFill>
    </fill>
    <fill>
      <patternFill patternType="solid">
        <fgColor indexed="9"/>
        <bgColor indexed="64"/>
      </patternFill>
    </fill>
    <fill>
      <patternFill patternType="solid">
        <fgColor indexed="22"/>
      </patternFill>
    </fill>
    <fill>
      <patternFill patternType="solid">
        <fgColor indexed="55"/>
      </patternFill>
    </fill>
    <fill>
      <patternFill patternType="solid">
        <fgColor indexed="9"/>
        <bgColor indexed="9"/>
      </patternFill>
    </fill>
    <fill>
      <patternFill patternType="solid">
        <fgColor indexed="13"/>
        <bgColor indexed="64"/>
      </patternFill>
    </fill>
    <fill>
      <patternFill patternType="solid">
        <fgColor indexed="22"/>
        <bgColor indexed="64"/>
      </patternFill>
    </fill>
    <fill>
      <patternFill patternType="solid">
        <fgColor rgb="FFD5D6D2"/>
        <bgColor indexed="64"/>
      </patternFill>
    </fill>
    <fill>
      <patternFill patternType="solid">
        <fgColor rgb="FFD3D3D3"/>
        <bgColor indexed="64"/>
      </patternFill>
    </fill>
    <fill>
      <patternFill patternType="solid">
        <fgColor rgb="FFEAA121"/>
        <bgColor indexed="64"/>
      </patternFill>
    </fill>
    <fill>
      <patternFill patternType="solid">
        <fgColor indexed="47"/>
        <bgColor indexed="64"/>
      </patternFill>
    </fill>
    <fill>
      <patternFill patternType="solid">
        <fgColor rgb="FFEEAF00"/>
        <bgColor indexed="64"/>
      </patternFill>
    </fill>
    <fill>
      <patternFill patternType="solid">
        <fgColor indexed="44"/>
        <bgColor indexed="64"/>
      </patternFill>
    </fill>
    <fill>
      <patternFill patternType="solid">
        <fgColor rgb="FFFFEC72"/>
        <bgColor indexed="64"/>
      </patternFill>
    </fill>
    <fill>
      <patternFill patternType="solid">
        <fgColor rgb="FFF6E082"/>
        <bgColor indexed="64"/>
      </patternFill>
    </fill>
    <fill>
      <patternFill patternType="solid">
        <fgColor indexed="13"/>
        <bgColor indexed="45"/>
      </patternFill>
    </fill>
    <fill>
      <patternFill patternType="solid">
        <fgColor rgb="FFF6E082"/>
        <bgColor indexed="45"/>
      </patternFill>
    </fill>
    <fill>
      <patternFill patternType="solid">
        <fgColor rgb="FFFFEC72"/>
        <bgColor indexed="45"/>
      </patternFill>
    </fill>
    <fill>
      <patternFill patternType="solid">
        <fgColor indexed="43"/>
      </patternFill>
    </fill>
    <fill>
      <patternFill patternType="solid">
        <fgColor indexed="26"/>
      </patternFill>
    </fill>
    <fill>
      <patternFill patternType="solid">
        <fgColor rgb="FFD8E4BC"/>
        <bgColor indexed="64"/>
      </patternFill>
    </fill>
    <fill>
      <patternFill patternType="solid">
        <fgColor theme="6" tint="0.59996337778862885"/>
        <bgColor indexed="64"/>
      </patternFill>
    </fill>
    <fill>
      <patternFill patternType="solid">
        <fgColor indexed="42"/>
        <bgColor indexed="64"/>
      </patternFill>
    </fill>
    <fill>
      <patternFill patternType="solid">
        <fgColor indexed="17"/>
        <bgColor indexed="64"/>
      </patternFill>
    </fill>
    <fill>
      <patternFill patternType="mediumGray">
        <fgColor indexed="22"/>
      </patternFill>
    </fill>
    <fill>
      <patternFill patternType="solid">
        <fgColor indexed="27"/>
        <bgColor indexed="64"/>
      </patternFill>
    </fill>
    <fill>
      <patternFill patternType="mediumGray">
        <fgColor indexed="45"/>
        <bgColor indexed="9"/>
      </patternFill>
    </fill>
    <fill>
      <patternFill patternType="lightGray">
        <fgColor indexed="45"/>
        <bgColor indexed="9"/>
      </patternFill>
    </fill>
    <fill>
      <patternFill patternType="solid">
        <fgColor indexed="45"/>
        <bgColor indexed="45"/>
      </patternFill>
    </fill>
    <fill>
      <patternFill patternType="solid">
        <fgColor indexed="45"/>
        <bgColor indexed="64"/>
      </patternFill>
    </fill>
    <fill>
      <patternFill patternType="solid">
        <fgColor theme="5" tint="0.39994506668294322"/>
        <bgColor indexed="64"/>
      </patternFill>
    </fill>
    <fill>
      <patternFill patternType="solid">
        <fgColor indexed="22"/>
        <bgColor indexed="24"/>
      </patternFill>
    </fill>
    <fill>
      <patternFill patternType="solid">
        <fgColor theme="6" tint="-0.249977111117893"/>
        <bgColor indexed="64"/>
      </patternFill>
    </fill>
  </fills>
  <borders count="5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hair">
        <color indexed="8"/>
      </top>
      <bottom style="hair">
        <color indexed="8"/>
      </bottom>
      <diagonal/>
    </border>
    <border>
      <left/>
      <right/>
      <top/>
      <bottom style="medium">
        <color indexed="11"/>
      </bottom>
      <diagonal/>
    </border>
    <border>
      <left/>
      <right/>
      <top/>
      <bottom style="medium">
        <color indexed="64"/>
      </bottom>
      <diagonal/>
    </border>
    <border>
      <left/>
      <right/>
      <top style="double">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n">
        <color indexed="8"/>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rgb="FFBCBDBC"/>
      </left>
      <right style="thin">
        <color rgb="FFBCBDBC"/>
      </right>
      <top style="thin">
        <color rgb="FFBCBDBC"/>
      </top>
      <bottom style="thin">
        <color rgb="FFBCBDBC"/>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rgb="FFBCBDBC"/>
      </left>
      <right style="thin">
        <color rgb="FFBCBDBC"/>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double">
        <color indexed="12"/>
      </left>
      <right style="double">
        <color indexed="12"/>
      </right>
      <top style="double">
        <color indexed="12"/>
      </top>
      <bottom style="dotted">
        <color indexed="12"/>
      </bottom>
      <diagonal/>
    </border>
    <border>
      <left style="thick">
        <color indexed="12"/>
      </left>
      <right style="thick">
        <color indexed="12"/>
      </right>
      <top style="thick">
        <color indexed="12"/>
      </top>
      <bottom/>
      <diagonal/>
    </border>
    <border>
      <left/>
      <right/>
      <top style="thin">
        <color indexed="62"/>
      </top>
      <bottom style="double">
        <color indexed="62"/>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6294">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9"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165" fontId="32" fillId="0" borderId="0" applyFill="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166" fontId="19" fillId="0" borderId="0" applyFont="0" applyFill="0" applyBorder="0" applyAlignment="0" applyProtection="0"/>
    <xf numFmtId="167" fontId="19" fillId="0" borderId="0" applyFont="0" applyFill="0" applyBorder="0" applyAlignment="0" applyProtection="0"/>
    <xf numFmtId="0" fontId="19" fillId="0" borderId="0">
      <alignment horizontal="left" wrapText="1"/>
    </xf>
    <xf numFmtId="0" fontId="19" fillId="0" borderId="0">
      <alignment horizontal="left" wrapText="1"/>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5" fillId="0" borderId="0">
      <alignment vertical="top"/>
    </xf>
    <xf numFmtId="0" fontId="36" fillId="0" borderId="0"/>
    <xf numFmtId="0" fontId="19" fillId="0" borderId="0"/>
    <xf numFmtId="0" fontId="19" fillId="0" borderId="0"/>
    <xf numFmtId="0" fontId="19" fillId="0" borderId="0">
      <alignment horizontal="left" wrapText="1"/>
    </xf>
    <xf numFmtId="0" fontId="19" fillId="0" borderId="0">
      <alignment horizontal="left" wrapText="1"/>
    </xf>
    <xf numFmtId="168" fontId="19" fillId="0" borderId="0" applyFont="0" applyFill="0" applyBorder="0" applyAlignment="0" applyProtection="0"/>
    <xf numFmtId="169" fontId="19" fillId="0" borderId="0" applyFont="0" applyFill="0" applyBorder="0" applyAlignment="0" applyProtection="0"/>
    <xf numFmtId="0" fontId="37" fillId="0" borderId="0" applyNumberFormat="0" applyFill="0" applyBorder="0" applyAlignment="0" applyProtection="0"/>
    <xf numFmtId="0" fontId="19" fillId="37" borderId="0" applyNumberFormat="0" applyFont="0" applyAlignment="0" applyProtection="0"/>
    <xf numFmtId="0" fontId="36" fillId="0" borderId="0"/>
    <xf numFmtId="170" fontId="19" fillId="0" borderId="0" applyFont="0" applyFill="0" applyBorder="0" applyAlignment="0" applyProtection="0"/>
    <xf numFmtId="171" fontId="19" fillId="0" borderId="0" applyFont="0" applyFill="0" applyBorder="0" applyProtection="0">
      <alignment horizontal="right"/>
    </xf>
    <xf numFmtId="0" fontId="38" fillId="0" borderId="0" applyNumberFormat="0" applyFill="0" applyBorder="0" applyProtection="0">
      <alignment vertical="top"/>
    </xf>
    <xf numFmtId="0" fontId="35" fillId="0" borderId="0">
      <alignment vertical="top"/>
    </xf>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39" fillId="0" borderId="28" applyNumberFormat="0" applyFill="0" applyAlignment="0" applyProtection="0"/>
    <xf numFmtId="0" fontId="40" fillId="0" borderId="29" applyNumberFormat="0" applyFill="0" applyProtection="0">
      <alignment horizontal="center"/>
    </xf>
    <xf numFmtId="0" fontId="40" fillId="0" borderId="0" applyNumberFormat="0" applyFill="0" applyBorder="0" applyProtection="0">
      <alignment horizontal="left"/>
    </xf>
    <xf numFmtId="0" fontId="41" fillId="0" borderId="0" applyNumberFormat="0" applyFill="0" applyBorder="0" applyProtection="0">
      <alignment horizontal="centerContinuous"/>
    </xf>
    <xf numFmtId="0" fontId="19" fillId="0" borderId="0">
      <alignment vertical="center"/>
    </xf>
    <xf numFmtId="0" fontId="34" fillId="0" borderId="0"/>
    <xf numFmtId="0" fontId="42"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45"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45"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9"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45"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45"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44"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4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41"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45"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44"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4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45"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4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3"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2" fontId="46" fillId="0" borderId="0">
      <alignment horizontal="right"/>
    </xf>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33" fillId="4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29"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33" fillId="44" borderId="0" applyNumberFormat="0" applyBorder="0" applyAlignment="0" applyProtection="0"/>
    <xf numFmtId="0" fontId="45"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4"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4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44" fillId="11" borderId="0" applyNumberFormat="0" applyBorder="0" applyAlignment="0" applyProtection="0"/>
    <xf numFmtId="0" fontId="33" fillId="4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33" fillId="4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33" fillId="4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33" fillId="45" borderId="0" applyNumberFormat="0" applyBorder="0" applyAlignment="0" applyProtection="0"/>
    <xf numFmtId="0" fontId="45"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33" fillId="4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33" fillId="45" borderId="0" applyNumberFormat="0" applyBorder="0" applyAlignment="0" applyProtection="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0" borderId="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4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33" fillId="4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6"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33" fillId="46"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33" fillId="46"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6"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33" fillId="46" borderId="0" applyNumberFormat="0" applyBorder="0" applyAlignment="0" applyProtection="0"/>
    <xf numFmtId="0" fontId="45"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33" fillId="46"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6"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33" fillId="46" borderId="0" applyNumberFormat="0" applyBorder="0" applyAlignment="0" applyProtection="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6"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6"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46"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33" fillId="46"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6"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6"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4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33" fillId="41"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33" fillId="41"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4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33" fillId="41" borderId="0" applyNumberFormat="0" applyBorder="0" applyAlignment="0" applyProtection="0"/>
    <xf numFmtId="0" fontId="45"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33" fillId="41"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4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33" fillId="41" borderId="0" applyNumberFormat="0" applyBorder="0" applyAlignment="0" applyProtection="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4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41"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41"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44" fillId="23" borderId="0" applyNumberFormat="0" applyBorder="0" applyAlignment="0" applyProtection="0"/>
    <xf numFmtId="0" fontId="33" fillId="41"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4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41"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41"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33" fillId="44"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33" fillId="44" borderId="0" applyNumberFormat="0" applyBorder="0" applyAlignment="0" applyProtection="0"/>
    <xf numFmtId="0" fontId="45"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4"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4"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44"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44" fillId="27" borderId="0" applyNumberFormat="0" applyBorder="0" applyAlignment="0" applyProtection="0"/>
    <xf numFmtId="0" fontId="33" fillId="44"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4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4"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4"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33" fillId="4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33" fillId="47"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33" fillId="47" borderId="0" applyNumberFormat="0" applyBorder="0" applyAlignment="0" applyProtection="0"/>
    <xf numFmtId="0" fontId="45"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33" fillId="47"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33" fillId="47" borderId="0" applyNumberFormat="0" applyBorder="0" applyAlignment="0" applyProtection="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7"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0" borderId="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7"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4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3" fillId="4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4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48" fillId="48" borderId="0" applyNumberFormat="0" applyBorder="0" applyAlignment="0" applyProtection="0"/>
    <xf numFmtId="0" fontId="33" fillId="0" borderId="0"/>
    <xf numFmtId="0" fontId="33" fillId="0" borderId="0"/>
    <xf numFmtId="0" fontId="33" fillId="0" borderId="0"/>
    <xf numFmtId="0" fontId="33" fillId="0" borderId="0"/>
    <xf numFmtId="0" fontId="48" fillId="48" borderId="0" applyNumberFormat="0" applyBorder="0" applyAlignment="0" applyProtection="0"/>
    <xf numFmtId="0" fontId="48" fillId="48" borderId="0" applyNumberFormat="0" applyBorder="0" applyAlignment="0" applyProtection="0"/>
    <xf numFmtId="0" fontId="48" fillId="48"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12" borderId="0" applyNumberFormat="0" applyBorder="0" applyAlignment="0" applyProtection="0"/>
    <xf numFmtId="0" fontId="47" fillId="12" borderId="0" applyNumberFormat="0" applyBorder="0" applyAlignment="0" applyProtection="0"/>
    <xf numFmtId="0" fontId="1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17" fillId="12" borderId="0" applyNumberFormat="0" applyBorder="0" applyAlignment="0" applyProtection="0"/>
    <xf numFmtId="0" fontId="48" fillId="48" borderId="0" applyNumberFormat="0" applyBorder="0" applyAlignment="0" applyProtection="0"/>
    <xf numFmtId="0" fontId="48" fillId="48"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1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17" fillId="12" borderId="0" applyNumberFormat="0" applyBorder="0" applyAlignment="0" applyProtection="0"/>
    <xf numFmtId="0" fontId="48" fillId="48" borderId="0" applyNumberFormat="0" applyBorder="0" applyAlignment="0" applyProtection="0"/>
    <xf numFmtId="0" fontId="1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7" fillId="12" borderId="0" applyNumberFormat="0" applyBorder="0" applyAlignment="0" applyProtection="0"/>
    <xf numFmtId="0" fontId="48" fillId="48" borderId="0" applyNumberFormat="0" applyBorder="0" applyAlignment="0" applyProtection="0"/>
    <xf numFmtId="0" fontId="48" fillId="48" borderId="0" applyNumberFormat="0" applyBorder="0" applyAlignment="0" applyProtection="0"/>
    <xf numFmtId="0" fontId="48" fillId="48" borderId="0" applyNumberFormat="0" applyBorder="0" applyAlignment="0" applyProtection="0"/>
    <xf numFmtId="0" fontId="49" fillId="12" borderId="0" applyNumberFormat="0" applyBorder="0" applyAlignment="0" applyProtection="0"/>
    <xf numFmtId="0" fontId="48" fillId="48" borderId="0" applyNumberFormat="0" applyBorder="0" applyAlignment="0" applyProtection="0"/>
    <xf numFmtId="0" fontId="49" fillId="12" borderId="0" applyNumberFormat="0" applyBorder="0" applyAlignment="0" applyProtection="0"/>
    <xf numFmtId="0" fontId="49" fillId="12" borderId="0" applyNumberFormat="0" applyBorder="0" applyAlignment="0" applyProtection="0"/>
    <xf numFmtId="0" fontId="48" fillId="48" borderId="0" applyNumberFormat="0" applyBorder="0" applyAlignment="0" applyProtection="0"/>
    <xf numFmtId="0" fontId="49"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48" fillId="45" borderId="0" applyNumberFormat="0" applyBorder="0" applyAlignment="0" applyProtection="0"/>
    <xf numFmtId="0" fontId="33" fillId="0" borderId="0"/>
    <xf numFmtId="0" fontId="33" fillId="0" borderId="0"/>
    <xf numFmtId="0" fontId="33" fillId="0" borderId="0"/>
    <xf numFmtId="0" fontId="33" fillId="0" borderId="0"/>
    <xf numFmtId="0" fontId="48" fillId="45" borderId="0" applyNumberFormat="0" applyBorder="0" applyAlignment="0" applyProtection="0"/>
    <xf numFmtId="0" fontId="48" fillId="45" borderId="0" applyNumberFormat="0" applyBorder="0" applyAlignment="0" applyProtection="0"/>
    <xf numFmtId="0" fontId="48" fillId="4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16" borderId="0" applyNumberFormat="0" applyBorder="0" applyAlignment="0" applyProtection="0"/>
    <xf numFmtId="0" fontId="47" fillId="16" borderId="0" applyNumberFormat="0" applyBorder="0" applyAlignment="0" applyProtection="0"/>
    <xf numFmtId="0" fontId="1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17" fillId="16" borderId="0" applyNumberFormat="0" applyBorder="0" applyAlignment="0" applyProtection="0"/>
    <xf numFmtId="0" fontId="48" fillId="45" borderId="0" applyNumberFormat="0" applyBorder="0" applyAlignment="0" applyProtection="0"/>
    <xf numFmtId="0" fontId="48" fillId="4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1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17" fillId="16" borderId="0" applyNumberFormat="0" applyBorder="0" applyAlignment="0" applyProtection="0"/>
    <xf numFmtId="0" fontId="48" fillId="45" borderId="0" applyNumberFormat="0" applyBorder="0" applyAlignment="0" applyProtection="0"/>
    <xf numFmtId="0" fontId="1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8" fillId="45" borderId="0" applyNumberFormat="0" applyBorder="0" applyAlignment="0" applyProtection="0"/>
    <xf numFmtId="0" fontId="48" fillId="45" borderId="0" applyNumberFormat="0" applyBorder="0" applyAlignment="0" applyProtection="0"/>
    <xf numFmtId="0" fontId="48" fillId="45" borderId="0" applyNumberFormat="0" applyBorder="0" applyAlignment="0" applyProtection="0"/>
    <xf numFmtId="0" fontId="49" fillId="16" borderId="0" applyNumberFormat="0" applyBorder="0" applyAlignment="0" applyProtection="0"/>
    <xf numFmtId="0" fontId="48" fillId="45" borderId="0" applyNumberFormat="0" applyBorder="0" applyAlignment="0" applyProtection="0"/>
    <xf numFmtId="0" fontId="49" fillId="16" borderId="0" applyNumberFormat="0" applyBorder="0" applyAlignment="0" applyProtection="0"/>
    <xf numFmtId="0" fontId="49" fillId="16" borderId="0" applyNumberFormat="0" applyBorder="0" applyAlignment="0" applyProtection="0"/>
    <xf numFmtId="0" fontId="48" fillId="45" borderId="0" applyNumberFormat="0" applyBorder="0" applyAlignment="0" applyProtection="0"/>
    <xf numFmtId="0" fontId="49"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48" fillId="46" borderId="0" applyNumberFormat="0" applyBorder="0" applyAlignment="0" applyProtection="0"/>
    <xf numFmtId="0" fontId="33" fillId="0" borderId="0"/>
    <xf numFmtId="0" fontId="33" fillId="0" borderId="0"/>
    <xf numFmtId="0" fontId="33" fillId="0" borderId="0"/>
    <xf numFmtId="0" fontId="33" fillId="0" borderId="0"/>
    <xf numFmtId="0" fontId="48" fillId="46" borderId="0" applyNumberFormat="0" applyBorder="0" applyAlignment="0" applyProtection="0"/>
    <xf numFmtId="0" fontId="48" fillId="46" borderId="0" applyNumberFormat="0" applyBorder="0" applyAlignment="0" applyProtection="0"/>
    <xf numFmtId="0" fontId="48" fillId="46"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20" borderId="0" applyNumberFormat="0" applyBorder="0" applyAlignment="0" applyProtection="0"/>
    <xf numFmtId="0" fontId="47" fillId="20" borderId="0" applyNumberFormat="0" applyBorder="0" applyAlignment="0" applyProtection="0"/>
    <xf numFmtId="0" fontId="1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17" fillId="20" borderId="0" applyNumberFormat="0" applyBorder="0" applyAlignment="0" applyProtection="0"/>
    <xf numFmtId="0" fontId="48" fillId="46" borderId="0" applyNumberFormat="0" applyBorder="0" applyAlignment="0" applyProtection="0"/>
    <xf numFmtId="0" fontId="48" fillId="46"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1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17" fillId="20" borderId="0" applyNumberFormat="0" applyBorder="0" applyAlignment="0" applyProtection="0"/>
    <xf numFmtId="0" fontId="48" fillId="46" borderId="0" applyNumberFormat="0" applyBorder="0" applyAlignment="0" applyProtection="0"/>
    <xf numFmtId="0" fontId="1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8" fillId="46" borderId="0" applyNumberFormat="0" applyBorder="0" applyAlignment="0" applyProtection="0"/>
    <xf numFmtId="0" fontId="48" fillId="46" borderId="0" applyNumberFormat="0" applyBorder="0" applyAlignment="0" applyProtection="0"/>
    <xf numFmtId="0" fontId="48" fillId="46" borderId="0" applyNumberFormat="0" applyBorder="0" applyAlignment="0" applyProtection="0"/>
    <xf numFmtId="0" fontId="49" fillId="20" borderId="0" applyNumberFormat="0" applyBorder="0" applyAlignment="0" applyProtection="0"/>
    <xf numFmtId="0" fontId="48" fillId="46" borderId="0" applyNumberFormat="0" applyBorder="0" applyAlignment="0" applyProtection="0"/>
    <xf numFmtId="0" fontId="49" fillId="20" borderId="0" applyNumberFormat="0" applyBorder="0" applyAlignment="0" applyProtection="0"/>
    <xf numFmtId="0" fontId="49" fillId="20" borderId="0" applyNumberFormat="0" applyBorder="0" applyAlignment="0" applyProtection="0"/>
    <xf numFmtId="0" fontId="48" fillId="46" borderId="0" applyNumberFormat="0" applyBorder="0" applyAlignment="0" applyProtection="0"/>
    <xf numFmtId="0" fontId="49"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48" fillId="49" borderId="0" applyNumberFormat="0" applyBorder="0" applyAlignment="0" applyProtection="0"/>
    <xf numFmtId="0" fontId="33" fillId="0" borderId="0"/>
    <xf numFmtId="0" fontId="33" fillId="0" borderId="0"/>
    <xf numFmtId="0" fontId="33" fillId="0" borderId="0"/>
    <xf numFmtId="0" fontId="33" fillId="0" borderId="0"/>
    <xf numFmtId="0" fontId="48" fillId="49" borderId="0" applyNumberFormat="0" applyBorder="0" applyAlignment="0" applyProtection="0"/>
    <xf numFmtId="0" fontId="48" fillId="49" borderId="0" applyNumberFormat="0" applyBorder="0" applyAlignment="0" applyProtection="0"/>
    <xf numFmtId="0" fontId="48" fillId="4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24" borderId="0" applyNumberFormat="0" applyBorder="0" applyAlignment="0" applyProtection="0"/>
    <xf numFmtId="0" fontId="47" fillId="24" borderId="0" applyNumberFormat="0" applyBorder="0" applyAlignment="0" applyProtection="0"/>
    <xf numFmtId="0" fontId="1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17" fillId="24" borderId="0" applyNumberFormat="0" applyBorder="0" applyAlignment="0" applyProtection="0"/>
    <xf numFmtId="0" fontId="48" fillId="49" borderId="0" applyNumberFormat="0" applyBorder="0" applyAlignment="0" applyProtection="0"/>
    <xf numFmtId="0" fontId="48" fillId="49"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1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17" fillId="24" borderId="0" applyNumberFormat="0" applyBorder="0" applyAlignment="0" applyProtection="0"/>
    <xf numFmtId="0" fontId="48" fillId="49" borderId="0" applyNumberFormat="0" applyBorder="0" applyAlignment="0" applyProtection="0"/>
    <xf numFmtId="0" fontId="1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7" fillId="24" borderId="0" applyNumberFormat="0" applyBorder="0" applyAlignment="0" applyProtection="0"/>
    <xf numFmtId="0" fontId="48" fillId="49" borderId="0" applyNumberFormat="0" applyBorder="0" applyAlignment="0" applyProtection="0"/>
    <xf numFmtId="0" fontId="48" fillId="49" borderId="0" applyNumberFormat="0" applyBorder="0" applyAlignment="0" applyProtection="0"/>
    <xf numFmtId="0" fontId="48" fillId="49" borderId="0" applyNumberFormat="0" applyBorder="0" applyAlignment="0" applyProtection="0"/>
    <xf numFmtId="0" fontId="49" fillId="24" borderId="0" applyNumberFormat="0" applyBorder="0" applyAlignment="0" applyProtection="0"/>
    <xf numFmtId="0" fontId="48" fillId="49" borderId="0" applyNumberFormat="0" applyBorder="0" applyAlignment="0" applyProtection="0"/>
    <xf numFmtId="0" fontId="49" fillId="24" borderId="0" applyNumberFormat="0" applyBorder="0" applyAlignment="0" applyProtection="0"/>
    <xf numFmtId="0" fontId="49" fillId="24" borderId="0" applyNumberFormat="0" applyBorder="0" applyAlignment="0" applyProtection="0"/>
    <xf numFmtId="0" fontId="48" fillId="49" borderId="0" applyNumberFormat="0" applyBorder="0" applyAlignment="0" applyProtection="0"/>
    <xf numFmtId="0" fontId="49"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48" fillId="50" borderId="0" applyNumberFormat="0" applyBorder="0" applyAlignment="0" applyProtection="0"/>
    <xf numFmtId="0" fontId="33" fillId="0" borderId="0"/>
    <xf numFmtId="0" fontId="33" fillId="0" borderId="0"/>
    <xf numFmtId="0" fontId="33" fillId="0" borderId="0"/>
    <xf numFmtId="0" fontId="33" fillId="0" borderId="0"/>
    <xf numFmtId="0" fontId="48" fillId="50" borderId="0" applyNumberFormat="0" applyBorder="0" applyAlignment="0" applyProtection="0"/>
    <xf numFmtId="0" fontId="48" fillId="50" borderId="0" applyNumberFormat="0" applyBorder="0" applyAlignment="0" applyProtection="0"/>
    <xf numFmtId="0" fontId="48" fillId="50"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28" borderId="0" applyNumberFormat="0" applyBorder="0" applyAlignment="0" applyProtection="0"/>
    <xf numFmtId="0" fontId="47" fillId="28" borderId="0" applyNumberFormat="0" applyBorder="0" applyAlignment="0" applyProtection="0"/>
    <xf numFmtId="0" fontId="1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17" fillId="28" borderId="0" applyNumberFormat="0" applyBorder="0" applyAlignment="0" applyProtection="0"/>
    <xf numFmtId="0" fontId="48" fillId="50" borderId="0" applyNumberFormat="0" applyBorder="0" applyAlignment="0" applyProtection="0"/>
    <xf numFmtId="0" fontId="48" fillId="50"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1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17" fillId="28" borderId="0" applyNumberFormat="0" applyBorder="0" applyAlignment="0" applyProtection="0"/>
    <xf numFmtId="0" fontId="48" fillId="50" borderId="0" applyNumberFormat="0" applyBorder="0" applyAlignment="0" applyProtection="0"/>
    <xf numFmtId="0" fontId="1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7" fillId="28" borderId="0" applyNumberFormat="0" applyBorder="0" applyAlignment="0" applyProtection="0"/>
    <xf numFmtId="0" fontId="48" fillId="50" borderId="0" applyNumberFormat="0" applyBorder="0" applyAlignment="0" applyProtection="0"/>
    <xf numFmtId="0" fontId="48" fillId="50" borderId="0" applyNumberFormat="0" applyBorder="0" applyAlignment="0" applyProtection="0"/>
    <xf numFmtId="0" fontId="48" fillId="50" borderId="0" applyNumberFormat="0" applyBorder="0" applyAlignment="0" applyProtection="0"/>
    <xf numFmtId="0" fontId="49" fillId="28" borderId="0" applyNumberFormat="0" applyBorder="0" applyAlignment="0" applyProtection="0"/>
    <xf numFmtId="0" fontId="48" fillId="50" borderId="0" applyNumberFormat="0" applyBorder="0" applyAlignment="0" applyProtection="0"/>
    <xf numFmtId="0" fontId="49" fillId="28" borderId="0" applyNumberFormat="0" applyBorder="0" applyAlignment="0" applyProtection="0"/>
    <xf numFmtId="0" fontId="49" fillId="28" borderId="0" applyNumberFormat="0" applyBorder="0" applyAlignment="0" applyProtection="0"/>
    <xf numFmtId="0" fontId="48" fillId="50" borderId="0" applyNumberFormat="0" applyBorder="0" applyAlignment="0" applyProtection="0"/>
    <xf numFmtId="0" fontId="49"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48" fillId="51" borderId="0" applyNumberFormat="0" applyBorder="0" applyAlignment="0" applyProtection="0"/>
    <xf numFmtId="0" fontId="33" fillId="0" borderId="0"/>
    <xf numFmtId="0" fontId="33" fillId="0" borderId="0"/>
    <xf numFmtId="0" fontId="33" fillId="0" borderId="0"/>
    <xf numFmtId="0" fontId="33" fillId="0" borderId="0"/>
    <xf numFmtId="0" fontId="48" fillId="51"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32" borderId="0" applyNumberFormat="0" applyBorder="0" applyAlignment="0" applyProtection="0"/>
    <xf numFmtId="0" fontId="47" fillId="32" borderId="0" applyNumberFormat="0" applyBorder="0" applyAlignment="0" applyProtection="0"/>
    <xf numFmtId="0" fontId="1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17" fillId="32"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1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17" fillId="32" borderId="0" applyNumberFormat="0" applyBorder="0" applyAlignment="0" applyProtection="0"/>
    <xf numFmtId="0" fontId="48" fillId="51" borderId="0" applyNumberFormat="0" applyBorder="0" applyAlignment="0" applyProtection="0"/>
    <xf numFmtId="0" fontId="1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7" fillId="32"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9" fillId="32" borderId="0" applyNumberFormat="0" applyBorder="0" applyAlignment="0" applyProtection="0"/>
    <xf numFmtId="0" fontId="48" fillId="51" borderId="0" applyNumberFormat="0" applyBorder="0" applyAlignment="0" applyProtection="0"/>
    <xf numFmtId="0" fontId="49" fillId="32" borderId="0" applyNumberFormat="0" applyBorder="0" applyAlignment="0" applyProtection="0"/>
    <xf numFmtId="0" fontId="49" fillId="32" borderId="0" applyNumberFormat="0" applyBorder="0" applyAlignment="0" applyProtection="0"/>
    <xf numFmtId="0" fontId="48" fillId="51" borderId="0" applyNumberFormat="0" applyBorder="0" applyAlignment="0" applyProtection="0"/>
    <xf numFmtId="0" fontId="49"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50" fillId="0" borderId="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48" fillId="52" borderId="0" applyNumberFormat="0" applyBorder="0" applyAlignment="0" applyProtection="0"/>
    <xf numFmtId="0" fontId="33" fillId="0" borderId="0"/>
    <xf numFmtId="0" fontId="33" fillId="0" borderId="0"/>
    <xf numFmtId="0" fontId="33" fillId="0" borderId="0"/>
    <xf numFmtId="0" fontId="33" fillId="0" borderId="0"/>
    <xf numFmtId="0" fontId="48" fillId="52" borderId="0" applyNumberFormat="0" applyBorder="0" applyAlignment="0" applyProtection="0"/>
    <xf numFmtId="0" fontId="48" fillId="52" borderId="0" applyNumberFormat="0" applyBorder="0" applyAlignment="0" applyProtection="0"/>
    <xf numFmtId="0" fontId="48" fillId="52"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9" borderId="0" applyNumberFormat="0" applyBorder="0" applyAlignment="0" applyProtection="0"/>
    <xf numFmtId="0" fontId="47" fillId="9" borderId="0" applyNumberFormat="0" applyBorder="0" applyAlignment="0" applyProtection="0"/>
    <xf numFmtId="0" fontId="1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17" fillId="9" borderId="0" applyNumberFormat="0" applyBorder="0" applyAlignment="0" applyProtection="0"/>
    <xf numFmtId="0" fontId="48" fillId="52" borderId="0" applyNumberFormat="0" applyBorder="0" applyAlignment="0" applyProtection="0"/>
    <xf numFmtId="0" fontId="48" fillId="5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1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17" fillId="9" borderId="0" applyNumberFormat="0" applyBorder="0" applyAlignment="0" applyProtection="0"/>
    <xf numFmtId="0" fontId="48" fillId="52" borderId="0" applyNumberFormat="0" applyBorder="0" applyAlignment="0" applyProtection="0"/>
    <xf numFmtId="0" fontId="1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7" fillId="9" borderId="0" applyNumberFormat="0" applyBorder="0" applyAlignment="0" applyProtection="0"/>
    <xf numFmtId="0" fontId="48" fillId="52" borderId="0" applyNumberFormat="0" applyBorder="0" applyAlignment="0" applyProtection="0"/>
    <xf numFmtId="0" fontId="48" fillId="52" borderId="0" applyNumberFormat="0" applyBorder="0" applyAlignment="0" applyProtection="0"/>
    <xf numFmtId="0" fontId="48" fillId="52" borderId="0" applyNumberFormat="0" applyBorder="0" applyAlignment="0" applyProtection="0"/>
    <xf numFmtId="0" fontId="49" fillId="9" borderId="0" applyNumberFormat="0" applyBorder="0" applyAlignment="0" applyProtection="0"/>
    <xf numFmtId="0" fontId="48" fillId="52" borderId="0" applyNumberFormat="0" applyBorder="0" applyAlignment="0" applyProtection="0"/>
    <xf numFmtId="0" fontId="49" fillId="9" borderId="0" applyNumberFormat="0" applyBorder="0" applyAlignment="0" applyProtection="0"/>
    <xf numFmtId="0" fontId="49" fillId="9" borderId="0" applyNumberFormat="0" applyBorder="0" applyAlignment="0" applyProtection="0"/>
    <xf numFmtId="0" fontId="48" fillId="52" borderId="0" applyNumberFormat="0" applyBorder="0" applyAlignment="0" applyProtection="0"/>
    <xf numFmtId="0" fontId="49"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48" fillId="53" borderId="0" applyNumberFormat="0" applyBorder="0" applyAlignment="0" applyProtection="0"/>
    <xf numFmtId="0" fontId="33" fillId="0" borderId="0"/>
    <xf numFmtId="0" fontId="33" fillId="0" borderId="0"/>
    <xf numFmtId="0" fontId="33" fillId="0" borderId="0"/>
    <xf numFmtId="0" fontId="33" fillId="0" borderId="0"/>
    <xf numFmtId="0" fontId="48" fillId="53" borderId="0" applyNumberFormat="0" applyBorder="0" applyAlignment="0" applyProtection="0"/>
    <xf numFmtId="0" fontId="48" fillId="53" borderId="0" applyNumberFormat="0" applyBorder="0" applyAlignment="0" applyProtection="0"/>
    <xf numFmtId="0" fontId="48" fillId="53"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13" borderId="0" applyNumberFormat="0" applyBorder="0" applyAlignment="0" applyProtection="0"/>
    <xf numFmtId="0" fontId="47" fillId="13" borderId="0" applyNumberFormat="0" applyBorder="0" applyAlignment="0" applyProtection="0"/>
    <xf numFmtId="0" fontId="1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17" fillId="13" borderId="0" applyNumberFormat="0" applyBorder="0" applyAlignment="0" applyProtection="0"/>
    <xf numFmtId="0" fontId="48" fillId="53" borderId="0" applyNumberFormat="0" applyBorder="0" applyAlignment="0" applyProtection="0"/>
    <xf numFmtId="0" fontId="48" fillId="5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1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17" fillId="13" borderId="0" applyNumberFormat="0" applyBorder="0" applyAlignment="0" applyProtection="0"/>
    <xf numFmtId="0" fontId="48" fillId="53" borderId="0" applyNumberFormat="0" applyBorder="0" applyAlignment="0" applyProtection="0"/>
    <xf numFmtId="0" fontId="1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8" fillId="53" borderId="0" applyNumberFormat="0" applyBorder="0" applyAlignment="0" applyProtection="0"/>
    <xf numFmtId="0" fontId="48" fillId="53" borderId="0" applyNumberFormat="0" applyBorder="0" applyAlignment="0" applyProtection="0"/>
    <xf numFmtId="0" fontId="48" fillId="53" borderId="0" applyNumberFormat="0" applyBorder="0" applyAlignment="0" applyProtection="0"/>
    <xf numFmtId="0" fontId="49" fillId="13" borderId="0" applyNumberFormat="0" applyBorder="0" applyAlignment="0" applyProtection="0"/>
    <xf numFmtId="0" fontId="48" fillId="53" borderId="0" applyNumberFormat="0" applyBorder="0" applyAlignment="0" applyProtection="0"/>
    <xf numFmtId="0" fontId="49" fillId="13" borderId="0" applyNumberFormat="0" applyBorder="0" applyAlignment="0" applyProtection="0"/>
    <xf numFmtId="0" fontId="49" fillId="13" borderId="0" applyNumberFormat="0" applyBorder="0" applyAlignment="0" applyProtection="0"/>
    <xf numFmtId="0" fontId="48" fillId="53" borderId="0" applyNumberFormat="0" applyBorder="0" applyAlignment="0" applyProtection="0"/>
    <xf numFmtId="0" fontId="49"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48" fillId="54" borderId="0" applyNumberFormat="0" applyBorder="0" applyAlignment="0" applyProtection="0"/>
    <xf numFmtId="0" fontId="33" fillId="0" borderId="0"/>
    <xf numFmtId="0" fontId="33" fillId="0" borderId="0"/>
    <xf numFmtId="0" fontId="33" fillId="0" borderId="0"/>
    <xf numFmtId="0" fontId="33" fillId="0" borderId="0"/>
    <xf numFmtId="0" fontId="48" fillId="54" borderId="0" applyNumberFormat="0" applyBorder="0" applyAlignment="0" applyProtection="0"/>
    <xf numFmtId="0" fontId="48" fillId="54" borderId="0" applyNumberFormat="0" applyBorder="0" applyAlignment="0" applyProtection="0"/>
    <xf numFmtId="0" fontId="48" fillId="54"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17" borderId="0" applyNumberFormat="0" applyBorder="0" applyAlignment="0" applyProtection="0"/>
    <xf numFmtId="0" fontId="47" fillId="17" borderId="0" applyNumberFormat="0" applyBorder="0" applyAlignment="0" applyProtection="0"/>
    <xf numFmtId="0" fontId="1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17" fillId="17" borderId="0" applyNumberFormat="0" applyBorder="0" applyAlignment="0" applyProtection="0"/>
    <xf numFmtId="0" fontId="48" fillId="54" borderId="0" applyNumberFormat="0" applyBorder="0" applyAlignment="0" applyProtection="0"/>
    <xf numFmtId="0" fontId="48" fillId="54"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1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17" fillId="17" borderId="0" applyNumberFormat="0" applyBorder="0" applyAlignment="0" applyProtection="0"/>
    <xf numFmtId="0" fontId="48" fillId="54" borderId="0" applyNumberFormat="0" applyBorder="0" applyAlignment="0" applyProtection="0"/>
    <xf numFmtId="0" fontId="1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8" fillId="54" borderId="0" applyNumberFormat="0" applyBorder="0" applyAlignment="0" applyProtection="0"/>
    <xf numFmtId="0" fontId="48" fillId="54" borderId="0" applyNumberFormat="0" applyBorder="0" applyAlignment="0" applyProtection="0"/>
    <xf numFmtId="0" fontId="48" fillId="54" borderId="0" applyNumberFormat="0" applyBorder="0" applyAlignment="0" applyProtection="0"/>
    <xf numFmtId="0" fontId="49" fillId="17" borderId="0" applyNumberFormat="0" applyBorder="0" applyAlignment="0" applyProtection="0"/>
    <xf numFmtId="0" fontId="48" fillId="54" borderId="0" applyNumberFormat="0" applyBorder="0" applyAlignment="0" applyProtection="0"/>
    <xf numFmtId="0" fontId="49" fillId="17" borderId="0" applyNumberFormat="0" applyBorder="0" applyAlignment="0" applyProtection="0"/>
    <xf numFmtId="0" fontId="49" fillId="17" borderId="0" applyNumberFormat="0" applyBorder="0" applyAlignment="0" applyProtection="0"/>
    <xf numFmtId="0" fontId="48" fillId="54" borderId="0" applyNumberFormat="0" applyBorder="0" applyAlignment="0" applyProtection="0"/>
    <xf numFmtId="0" fontId="49"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48" fillId="49" borderId="0" applyNumberFormat="0" applyBorder="0" applyAlignment="0" applyProtection="0"/>
    <xf numFmtId="0" fontId="33" fillId="0" borderId="0"/>
    <xf numFmtId="0" fontId="33" fillId="0" borderId="0"/>
    <xf numFmtId="0" fontId="33" fillId="0" borderId="0"/>
    <xf numFmtId="0" fontId="33" fillId="0" borderId="0"/>
    <xf numFmtId="0" fontId="48" fillId="49" borderId="0" applyNumberFormat="0" applyBorder="0" applyAlignment="0" applyProtection="0"/>
    <xf numFmtId="0" fontId="48" fillId="49" borderId="0" applyNumberFormat="0" applyBorder="0" applyAlignment="0" applyProtection="0"/>
    <xf numFmtId="0" fontId="48" fillId="4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21" borderId="0" applyNumberFormat="0" applyBorder="0" applyAlignment="0" applyProtection="0"/>
    <xf numFmtId="0" fontId="47" fillId="21" borderId="0" applyNumberFormat="0" applyBorder="0" applyAlignment="0" applyProtection="0"/>
    <xf numFmtId="0" fontId="1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17" fillId="21" borderId="0" applyNumberFormat="0" applyBorder="0" applyAlignment="0" applyProtection="0"/>
    <xf numFmtId="0" fontId="48" fillId="49" borderId="0" applyNumberFormat="0" applyBorder="0" applyAlignment="0" applyProtection="0"/>
    <xf numFmtId="0" fontId="48" fillId="49"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1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17" fillId="21" borderId="0" applyNumberFormat="0" applyBorder="0" applyAlignment="0" applyProtection="0"/>
    <xf numFmtId="0" fontId="48" fillId="49" borderId="0" applyNumberFormat="0" applyBorder="0" applyAlignment="0" applyProtection="0"/>
    <xf numFmtId="0" fontId="1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8" fillId="49" borderId="0" applyNumberFormat="0" applyBorder="0" applyAlignment="0" applyProtection="0"/>
    <xf numFmtId="0" fontId="48" fillId="49" borderId="0" applyNumberFormat="0" applyBorder="0" applyAlignment="0" applyProtection="0"/>
    <xf numFmtId="0" fontId="48" fillId="49" borderId="0" applyNumberFormat="0" applyBorder="0" applyAlignment="0" applyProtection="0"/>
    <xf numFmtId="0" fontId="49" fillId="21" borderId="0" applyNumberFormat="0" applyBorder="0" applyAlignment="0" applyProtection="0"/>
    <xf numFmtId="0" fontId="48" fillId="49" borderId="0" applyNumberFormat="0" applyBorder="0" applyAlignment="0" applyProtection="0"/>
    <xf numFmtId="0" fontId="49" fillId="21" borderId="0" applyNumberFormat="0" applyBorder="0" applyAlignment="0" applyProtection="0"/>
    <xf numFmtId="0" fontId="49" fillId="21" borderId="0" applyNumberFormat="0" applyBorder="0" applyAlignment="0" applyProtection="0"/>
    <xf numFmtId="0" fontId="48" fillId="49" borderId="0" applyNumberFormat="0" applyBorder="0" applyAlignment="0" applyProtection="0"/>
    <xf numFmtId="0" fontId="49"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48" fillId="50"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51" fillId="55" borderId="0" applyNumberFormat="0" applyBorder="0" applyAlignment="0" applyProtection="0"/>
    <xf numFmtId="0" fontId="48" fillId="50" borderId="0" applyNumberFormat="0" applyBorder="0" applyAlignment="0" applyProtection="0"/>
    <xf numFmtId="0" fontId="52" fillId="50" borderId="0" applyNumberFormat="0" applyBorder="0" applyAlignment="0" applyProtection="0"/>
    <xf numFmtId="0" fontId="48" fillId="50" borderId="0" applyNumberFormat="0" applyBorder="0" applyAlignment="0" applyProtection="0"/>
    <xf numFmtId="0" fontId="48" fillId="50"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25" borderId="0" applyNumberFormat="0" applyBorder="0" applyAlignment="0" applyProtection="0"/>
    <xf numFmtId="0" fontId="47" fillId="25" borderId="0" applyNumberFormat="0" applyBorder="0" applyAlignment="0" applyProtection="0"/>
    <xf numFmtId="0" fontId="1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17" fillId="25" borderId="0" applyNumberFormat="0" applyBorder="0" applyAlignment="0" applyProtection="0"/>
    <xf numFmtId="0" fontId="48" fillId="50" borderId="0" applyNumberFormat="0" applyBorder="0" applyAlignment="0" applyProtection="0"/>
    <xf numFmtId="0" fontId="48" fillId="50"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1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17" fillId="25" borderId="0" applyNumberFormat="0" applyBorder="0" applyAlignment="0" applyProtection="0"/>
    <xf numFmtId="0" fontId="48" fillId="50" borderId="0" applyNumberFormat="0" applyBorder="0" applyAlignment="0" applyProtection="0"/>
    <xf numFmtId="0" fontId="48" fillId="50" borderId="0" applyNumberFormat="0" applyBorder="0" applyAlignment="0" applyProtection="0"/>
    <xf numFmtId="0" fontId="1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7" fillId="25" borderId="0" applyNumberFormat="0" applyBorder="0" applyAlignment="0" applyProtection="0"/>
    <xf numFmtId="0" fontId="48" fillId="50" borderId="0" applyNumberFormat="0" applyBorder="0" applyAlignment="0" applyProtection="0"/>
    <xf numFmtId="0" fontId="48" fillId="50" borderId="0" applyNumberFormat="0" applyBorder="0" applyAlignment="0" applyProtection="0"/>
    <xf numFmtId="0" fontId="48" fillId="50" borderId="0" applyNumberFormat="0" applyBorder="0" applyAlignment="0" applyProtection="0"/>
    <xf numFmtId="0" fontId="49" fillId="25" borderId="0" applyNumberFormat="0" applyBorder="0" applyAlignment="0" applyProtection="0"/>
    <xf numFmtId="0" fontId="48" fillId="50" borderId="0" applyNumberFormat="0" applyBorder="0" applyAlignment="0" applyProtection="0"/>
    <xf numFmtId="0" fontId="49" fillId="25" borderId="0" applyNumberFormat="0" applyBorder="0" applyAlignment="0" applyProtection="0"/>
    <xf numFmtId="0" fontId="49" fillId="25" borderId="0" applyNumberFormat="0" applyBorder="0" applyAlignment="0" applyProtection="0"/>
    <xf numFmtId="0" fontId="48" fillId="50" borderId="0" applyNumberFormat="0" applyBorder="0" applyAlignment="0" applyProtection="0"/>
    <xf numFmtId="0" fontId="49"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48" fillId="56" borderId="0" applyNumberFormat="0" applyBorder="0" applyAlignment="0" applyProtection="0"/>
    <xf numFmtId="0" fontId="33" fillId="0" borderId="0"/>
    <xf numFmtId="0" fontId="33" fillId="0" borderId="0"/>
    <xf numFmtId="0" fontId="33" fillId="0" borderId="0"/>
    <xf numFmtId="0" fontId="33" fillId="0" borderId="0"/>
    <xf numFmtId="0" fontId="48" fillId="56" borderId="0" applyNumberFormat="0" applyBorder="0" applyAlignment="0" applyProtection="0"/>
    <xf numFmtId="0" fontId="48" fillId="56" borderId="0" applyNumberFormat="0" applyBorder="0" applyAlignment="0" applyProtection="0"/>
    <xf numFmtId="0" fontId="48" fillId="56"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47" fillId="29" borderId="0" applyNumberFormat="0" applyBorder="0" applyAlignment="0" applyProtection="0"/>
    <xf numFmtId="0" fontId="47" fillId="29" borderId="0" applyNumberFormat="0" applyBorder="0" applyAlignment="0" applyProtection="0"/>
    <xf numFmtId="0" fontId="1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17" fillId="29" borderId="0" applyNumberFormat="0" applyBorder="0" applyAlignment="0" applyProtection="0"/>
    <xf numFmtId="0" fontId="48" fillId="56" borderId="0" applyNumberFormat="0" applyBorder="0" applyAlignment="0" applyProtection="0"/>
    <xf numFmtId="0" fontId="48" fillId="56"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1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17" fillId="29" borderId="0" applyNumberFormat="0" applyBorder="0" applyAlignment="0" applyProtection="0"/>
    <xf numFmtId="0" fontId="48" fillId="56" borderId="0" applyNumberFormat="0" applyBorder="0" applyAlignment="0" applyProtection="0"/>
    <xf numFmtId="0" fontId="1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7" fillId="29" borderId="0" applyNumberFormat="0" applyBorder="0" applyAlignment="0" applyProtection="0"/>
    <xf numFmtId="0" fontId="48" fillId="56" borderId="0" applyNumberFormat="0" applyBorder="0" applyAlignment="0" applyProtection="0"/>
    <xf numFmtId="0" fontId="48" fillId="56" borderId="0" applyNumberFormat="0" applyBorder="0" applyAlignment="0" applyProtection="0"/>
    <xf numFmtId="0" fontId="48" fillId="56" borderId="0" applyNumberFormat="0" applyBorder="0" applyAlignment="0" applyProtection="0"/>
    <xf numFmtId="0" fontId="49" fillId="29" borderId="0" applyNumberFormat="0" applyBorder="0" applyAlignment="0" applyProtection="0"/>
    <xf numFmtId="0" fontId="48" fillId="56" borderId="0" applyNumberFormat="0" applyBorder="0" applyAlignment="0" applyProtection="0"/>
    <xf numFmtId="0" fontId="49" fillId="29" borderId="0" applyNumberFormat="0" applyBorder="0" applyAlignment="0" applyProtection="0"/>
    <xf numFmtId="0" fontId="49" fillId="29" borderId="0" applyNumberFormat="0" applyBorder="0" applyAlignment="0" applyProtection="0"/>
    <xf numFmtId="0" fontId="48" fillId="56" borderId="0" applyNumberFormat="0" applyBorder="0" applyAlignment="0" applyProtection="0"/>
    <xf numFmtId="0" fontId="49"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54" fillId="39" borderId="0" applyNumberFormat="0" applyBorder="0" applyAlignment="0" applyProtection="0"/>
    <xf numFmtId="0" fontId="33" fillId="0" borderId="0"/>
    <xf numFmtId="0" fontId="33" fillId="0" borderId="0"/>
    <xf numFmtId="0" fontId="33" fillId="0" borderId="0"/>
    <xf numFmtId="0" fontId="33" fillId="0" borderId="0"/>
    <xf numFmtId="0" fontId="55" fillId="3" borderId="0" applyNumberFormat="0" applyBorder="0" applyAlignment="0" applyProtection="0"/>
    <xf numFmtId="0" fontId="54" fillId="39" borderId="0" applyNumberFormat="0" applyBorder="0" applyAlignment="0" applyProtection="0"/>
    <xf numFmtId="0" fontId="54" fillId="39" borderId="0" applyNumberFormat="0" applyBorder="0" applyAlignment="0" applyProtection="0"/>
    <xf numFmtId="0" fontId="54" fillId="39"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53" fillId="3" borderId="0" applyNumberFormat="0" applyBorder="0" applyAlignment="0" applyProtection="0"/>
    <xf numFmtId="0" fontId="53" fillId="3" borderId="0" applyNumberFormat="0" applyBorder="0" applyAlignment="0" applyProtection="0"/>
    <xf numFmtId="0" fontId="7"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7" fillId="3" borderId="0" applyNumberFormat="0" applyBorder="0" applyAlignment="0" applyProtection="0"/>
    <xf numFmtId="0" fontId="54" fillId="39" borderId="0" applyNumberFormat="0" applyBorder="0" applyAlignment="0" applyProtection="0"/>
    <xf numFmtId="0" fontId="54" fillId="39"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7"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7" fillId="3" borderId="0" applyNumberFormat="0" applyBorder="0" applyAlignment="0" applyProtection="0"/>
    <xf numFmtId="0" fontId="54" fillId="39" borderId="0" applyNumberFormat="0" applyBorder="0" applyAlignment="0" applyProtection="0"/>
    <xf numFmtId="0" fontId="7"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3" fillId="3" borderId="0" applyNumberFormat="0" applyBorder="0" applyAlignment="0" applyProtection="0"/>
    <xf numFmtId="0" fontId="54" fillId="39" borderId="0" applyNumberFormat="0" applyBorder="0" applyAlignment="0" applyProtection="0"/>
    <xf numFmtId="0" fontId="54" fillId="39" borderId="0" applyNumberFormat="0" applyBorder="0" applyAlignment="0" applyProtection="0"/>
    <xf numFmtId="0" fontId="54" fillId="39" borderId="0" applyNumberFormat="0" applyBorder="0" applyAlignment="0" applyProtection="0"/>
    <xf numFmtId="0" fontId="55" fillId="3" borderId="0" applyNumberFormat="0" applyBorder="0" applyAlignment="0" applyProtection="0"/>
    <xf numFmtId="0" fontId="54" fillId="39" borderId="0" applyNumberFormat="0" applyBorder="0" applyAlignment="0" applyProtection="0"/>
    <xf numFmtId="0" fontId="55" fillId="3" borderId="0" applyNumberFormat="0" applyBorder="0" applyAlignment="0" applyProtection="0"/>
    <xf numFmtId="0" fontId="55" fillId="3" borderId="0" applyNumberFormat="0" applyBorder="0" applyAlignment="0" applyProtection="0"/>
    <xf numFmtId="0" fontId="54" fillId="39" borderId="0" applyNumberFormat="0" applyBorder="0" applyAlignment="0" applyProtection="0"/>
    <xf numFmtId="0" fontId="55"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56" fillId="0" borderId="0" applyNumberFormat="0" applyFill="0" applyBorder="0" applyAlignment="0" applyProtection="0">
      <alignment vertical="top"/>
      <protection locked="0"/>
    </xf>
    <xf numFmtId="0" fontId="57" fillId="57" borderId="0">
      <alignment horizontal="left"/>
    </xf>
    <xf numFmtId="2" fontId="58" fillId="58" borderId="26" applyProtection="0">
      <alignment horizontal="left"/>
      <protection locked="0"/>
    </xf>
    <xf numFmtId="173" fontId="46" fillId="0" borderId="30" applyNumberFormat="0" applyFill="0" applyAlignment="0" applyProtection="0">
      <alignment horizontal="center"/>
    </xf>
    <xf numFmtId="173" fontId="46" fillId="0" borderId="30" applyNumberFormat="0" applyFill="0" applyAlignment="0" applyProtection="0">
      <alignment horizontal="center"/>
    </xf>
    <xf numFmtId="173" fontId="46" fillId="0" borderId="30" applyNumberFormat="0" applyFill="0" applyAlignment="0" applyProtection="0">
      <alignment horizontal="center"/>
    </xf>
    <xf numFmtId="174" fontId="46" fillId="0" borderId="20" applyFill="0" applyAlignment="0" applyProtection="0">
      <alignment horizontal="center"/>
    </xf>
    <xf numFmtId="175" fontId="59" fillId="0" borderId="0" applyFill="0"/>
    <xf numFmtId="0" fontId="33" fillId="0" borderId="0"/>
    <xf numFmtId="0" fontId="33" fillId="0" borderId="0"/>
    <xf numFmtId="0" fontId="33" fillId="0" borderId="0"/>
    <xf numFmtId="0" fontId="33" fillId="0" borderId="0"/>
    <xf numFmtId="175" fontId="59" fillId="0" borderId="0" applyFill="0"/>
    <xf numFmtId="175" fontId="59" fillId="0" borderId="0">
      <alignment horizontal="center"/>
    </xf>
    <xf numFmtId="0" fontId="33" fillId="0" borderId="0"/>
    <xf numFmtId="0" fontId="33" fillId="0" borderId="0"/>
    <xf numFmtId="0" fontId="33" fillId="0" borderId="0"/>
    <xf numFmtId="0" fontId="33" fillId="0" borderId="0"/>
    <xf numFmtId="175" fontId="59" fillId="0" borderId="0">
      <alignment horizontal="center"/>
    </xf>
    <xf numFmtId="0" fontId="59" fillId="0" borderId="0" applyFill="0">
      <alignment horizontal="center"/>
    </xf>
    <xf numFmtId="0" fontId="33" fillId="0" borderId="0"/>
    <xf numFmtId="0" fontId="33" fillId="0" borderId="0"/>
    <xf numFmtId="0" fontId="33" fillId="0" borderId="0"/>
    <xf numFmtId="0" fontId="33" fillId="0" borderId="0"/>
    <xf numFmtId="0" fontId="59" fillId="0" borderId="0" applyFill="0">
      <alignment horizontal="center"/>
    </xf>
    <xf numFmtId="175" fontId="60" fillId="0" borderId="31" applyFill="0"/>
    <xf numFmtId="0" fontId="19" fillId="0" borderId="0" applyFont="0" applyAlignment="0"/>
    <xf numFmtId="0" fontId="33" fillId="0" borderId="0"/>
    <xf numFmtId="0" fontId="33" fillId="0" borderId="0"/>
    <xf numFmtId="0" fontId="33" fillId="0" borderId="0"/>
    <xf numFmtId="0" fontId="33" fillId="0" borderId="0"/>
    <xf numFmtId="0" fontId="61" fillId="0" borderId="0" applyFill="0">
      <alignment vertical="top"/>
    </xf>
    <xf numFmtId="0" fontId="60" fillId="0" borderId="0" applyFill="0">
      <alignment horizontal="left" vertical="top"/>
    </xf>
    <xf numFmtId="175" fontId="62" fillId="0" borderId="17" applyFill="0"/>
    <xf numFmtId="0" fontId="19" fillId="0" borderId="0" applyNumberFormat="0" applyFont="0" applyAlignment="0"/>
    <xf numFmtId="0" fontId="33" fillId="0" borderId="0"/>
    <xf numFmtId="0" fontId="33" fillId="0" borderId="0"/>
    <xf numFmtId="0" fontId="33" fillId="0" borderId="0"/>
    <xf numFmtId="0" fontId="33" fillId="0" borderId="0"/>
    <xf numFmtId="0" fontId="61" fillId="0" borderId="0" applyFill="0">
      <alignment wrapText="1"/>
    </xf>
    <xf numFmtId="0" fontId="60" fillId="0" borderId="0" applyFill="0">
      <alignment horizontal="left" vertical="top" wrapText="1"/>
    </xf>
    <xf numFmtId="175" fontId="27" fillId="0" borderId="0" applyFill="0"/>
    <xf numFmtId="0" fontId="63" fillId="0" borderId="0" applyNumberFormat="0" applyFont="0" applyAlignment="0">
      <alignment horizontal="center"/>
    </xf>
    <xf numFmtId="0" fontId="64" fillId="0" borderId="0" applyFill="0">
      <alignment vertical="top" wrapText="1"/>
    </xf>
    <xf numFmtId="0" fontId="62" fillId="0" borderId="0" applyFill="0">
      <alignment horizontal="left" vertical="top" wrapText="1"/>
    </xf>
    <xf numFmtId="175" fontId="19" fillId="0" borderId="0" applyFill="0"/>
    <xf numFmtId="0" fontId="33" fillId="0" borderId="0"/>
    <xf numFmtId="0" fontId="33" fillId="0" borderId="0"/>
    <xf numFmtId="0" fontId="33" fillId="0" borderId="0"/>
    <xf numFmtId="0" fontId="33" fillId="0" borderId="0"/>
    <xf numFmtId="0" fontId="63" fillId="0" borderId="0" applyNumberFormat="0" applyFont="0" applyAlignment="0">
      <alignment horizontal="center"/>
    </xf>
    <xf numFmtId="0" fontId="65" fillId="0" borderId="0" applyFill="0">
      <alignment vertical="center" wrapText="1"/>
    </xf>
    <xf numFmtId="0" fontId="32" fillId="0" borderId="0">
      <alignment horizontal="left" vertical="center" wrapText="1"/>
    </xf>
    <xf numFmtId="0" fontId="32" fillId="0" borderId="0">
      <alignment horizontal="left" vertical="center" wrapText="1"/>
    </xf>
    <xf numFmtId="0" fontId="32" fillId="0" borderId="0">
      <alignment horizontal="left" vertical="center" wrapText="1"/>
    </xf>
    <xf numFmtId="175" fontId="66" fillId="0" borderId="0" applyFill="0"/>
    <xf numFmtId="0" fontId="63" fillId="0" borderId="0" applyNumberFormat="0" applyFont="0" applyAlignment="0">
      <alignment horizontal="center"/>
    </xf>
    <xf numFmtId="0" fontId="67" fillId="0" borderId="0" applyFill="0">
      <alignment horizontal="center" vertical="center" wrapText="1"/>
    </xf>
    <xf numFmtId="0" fontId="19" fillId="0" borderId="0" applyFill="0">
      <alignment horizontal="center" vertical="center" wrapText="1"/>
    </xf>
    <xf numFmtId="0" fontId="33" fillId="0" borderId="0"/>
    <xf numFmtId="0" fontId="33" fillId="0" borderId="0"/>
    <xf numFmtId="0" fontId="33" fillId="0" borderId="0"/>
    <xf numFmtId="0" fontId="33" fillId="0" borderId="0"/>
    <xf numFmtId="0" fontId="19" fillId="0" borderId="0" applyFill="0">
      <alignment horizontal="center" vertical="center" wrapText="1"/>
    </xf>
    <xf numFmtId="175" fontId="68" fillId="0" borderId="0" applyFill="0"/>
    <xf numFmtId="0" fontId="63" fillId="0" borderId="0" applyNumberFormat="0" applyFont="0" applyAlignment="0">
      <alignment horizontal="center"/>
    </xf>
    <xf numFmtId="0" fontId="69" fillId="0" borderId="0" applyFill="0">
      <alignment horizontal="center" vertical="center" wrapText="1"/>
    </xf>
    <xf numFmtId="0" fontId="70" fillId="0" borderId="0" applyFill="0">
      <alignment horizontal="center" vertical="center" wrapText="1"/>
    </xf>
    <xf numFmtId="175" fontId="71" fillId="0" borderId="0" applyFill="0"/>
    <xf numFmtId="0" fontId="63" fillId="0" borderId="0" applyNumberFormat="0" applyFont="0" applyAlignment="0">
      <alignment horizontal="center"/>
    </xf>
    <xf numFmtId="0" fontId="72" fillId="0" borderId="0">
      <alignment horizontal="center" wrapText="1"/>
    </xf>
    <xf numFmtId="0" fontId="68" fillId="0" borderId="0" applyFill="0">
      <alignment horizontal="center" wrapText="1"/>
    </xf>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73" fillId="6" borderId="4" applyNumberFormat="0" applyAlignment="0" applyProtection="0"/>
    <xf numFmtId="0" fontId="73"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74" fillId="59" borderId="32" applyNumberFormat="0" applyAlignment="0" applyProtection="0"/>
    <xf numFmtId="0" fontId="33" fillId="0" borderId="0"/>
    <xf numFmtId="0" fontId="33" fillId="0" borderId="0"/>
    <xf numFmtId="0" fontId="33" fillId="0" borderId="0"/>
    <xf numFmtId="0" fontId="33" fillId="0" borderId="0"/>
    <xf numFmtId="0" fontId="75" fillId="6" borderId="4" applyNumberFormat="0" applyAlignment="0" applyProtection="0"/>
    <xf numFmtId="0" fontId="74" fillId="59" borderId="32" applyNumberFormat="0" applyAlignment="0" applyProtection="0"/>
    <xf numFmtId="0" fontId="74" fillId="59" borderId="32" applyNumberFormat="0" applyAlignment="0" applyProtection="0"/>
    <xf numFmtId="0" fontId="74" fillId="59" borderId="32" applyNumberFormat="0" applyAlignment="0" applyProtection="0"/>
    <xf numFmtId="0" fontId="74" fillId="59" borderId="32" applyNumberFormat="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73" fillId="6" borderId="4" applyNumberFormat="0" applyAlignment="0" applyProtection="0"/>
    <xf numFmtId="0" fontId="73" fillId="6" borderId="4" applyNumberFormat="0" applyAlignment="0" applyProtection="0"/>
    <xf numFmtId="0" fontId="11"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11" fillId="6" borderId="4" applyNumberFormat="0" applyAlignment="0" applyProtection="0"/>
    <xf numFmtId="0" fontId="74" fillId="59" borderId="32" applyNumberFormat="0" applyAlignment="0" applyProtection="0"/>
    <xf numFmtId="0" fontId="74" fillId="59" borderId="32" applyNumberFormat="0" applyAlignment="0" applyProtection="0"/>
    <xf numFmtId="0" fontId="11" fillId="6" borderId="4" applyNumberFormat="0" applyAlignment="0" applyProtection="0"/>
    <xf numFmtId="0" fontId="11"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11"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11" fillId="6" borderId="4" applyNumberFormat="0" applyAlignment="0" applyProtection="0"/>
    <xf numFmtId="0" fontId="74" fillId="59" borderId="32" applyNumberFormat="0" applyAlignment="0" applyProtection="0"/>
    <xf numFmtId="0" fontId="11"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3" fillId="6" borderId="4" applyNumberFormat="0" applyAlignment="0" applyProtection="0"/>
    <xf numFmtId="0" fontId="74" fillId="59" borderId="32" applyNumberFormat="0" applyAlignment="0" applyProtection="0"/>
    <xf numFmtId="0" fontId="74" fillId="59" borderId="32" applyNumberFormat="0" applyAlignment="0" applyProtection="0"/>
    <xf numFmtId="0" fontId="74" fillId="59" borderId="32" applyNumberFormat="0" applyAlignment="0" applyProtection="0"/>
    <xf numFmtId="0" fontId="75" fillId="6" borderId="4" applyNumberFormat="0" applyAlignment="0" applyProtection="0"/>
    <xf numFmtId="0" fontId="74" fillId="59" borderId="32" applyNumberFormat="0" applyAlignment="0" applyProtection="0"/>
    <xf numFmtId="0" fontId="75" fillId="6" borderId="4" applyNumberFormat="0" applyAlignment="0" applyProtection="0"/>
    <xf numFmtId="0" fontId="75" fillId="6" borderId="4" applyNumberFormat="0" applyAlignment="0" applyProtection="0"/>
    <xf numFmtId="0" fontId="74" fillId="59" borderId="32" applyNumberFormat="0" applyAlignment="0" applyProtection="0"/>
    <xf numFmtId="0" fontId="75"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76" fillId="7" borderId="7" applyNumberFormat="0" applyAlignment="0" applyProtection="0"/>
    <xf numFmtId="0" fontId="76"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77" fillId="60" borderId="33" applyNumberFormat="0" applyAlignment="0" applyProtection="0"/>
    <xf numFmtId="0" fontId="33" fillId="0" borderId="0"/>
    <xf numFmtId="0" fontId="33" fillId="0" borderId="0"/>
    <xf numFmtId="0" fontId="33" fillId="0" borderId="0"/>
    <xf numFmtId="0" fontId="33" fillId="0" borderId="0"/>
    <xf numFmtId="0" fontId="78" fillId="7" borderId="7" applyNumberFormat="0" applyAlignment="0" applyProtection="0"/>
    <xf numFmtId="0" fontId="77" fillId="60" borderId="33" applyNumberFormat="0" applyAlignment="0" applyProtection="0"/>
    <xf numFmtId="0" fontId="77" fillId="60" borderId="33" applyNumberFormat="0" applyAlignment="0" applyProtection="0"/>
    <xf numFmtId="0" fontId="77" fillId="60" borderId="33" applyNumberFormat="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76" fillId="7" borderId="7" applyNumberFormat="0" applyAlignment="0" applyProtection="0"/>
    <xf numFmtId="0" fontId="76" fillId="7" borderId="7" applyNumberFormat="0" applyAlignment="0" applyProtection="0"/>
    <xf numFmtId="0" fontId="13"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13" fillId="7" borderId="7" applyNumberFormat="0" applyAlignment="0" applyProtection="0"/>
    <xf numFmtId="0" fontId="77" fillId="60" borderId="33" applyNumberFormat="0" applyAlignment="0" applyProtection="0"/>
    <xf numFmtId="0" fontId="77" fillId="60" borderId="33" applyNumberFormat="0" applyAlignment="0" applyProtection="0"/>
    <xf numFmtId="0" fontId="13" fillId="7" borderId="7" applyNumberFormat="0" applyAlignment="0" applyProtection="0"/>
    <xf numFmtId="0" fontId="13"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13"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13" fillId="7" borderId="7" applyNumberFormat="0" applyAlignment="0" applyProtection="0"/>
    <xf numFmtId="0" fontId="77" fillId="60" borderId="33" applyNumberFormat="0" applyAlignment="0" applyProtection="0"/>
    <xf numFmtId="0" fontId="13"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6" fillId="7" borderId="7" applyNumberFormat="0" applyAlignment="0" applyProtection="0"/>
    <xf numFmtId="0" fontId="77" fillId="60" borderId="33" applyNumberFormat="0" applyAlignment="0" applyProtection="0"/>
    <xf numFmtId="0" fontId="77" fillId="60" borderId="33" applyNumberFormat="0" applyAlignment="0" applyProtection="0"/>
    <xf numFmtId="0" fontId="77" fillId="60" borderId="33" applyNumberFormat="0" applyAlignment="0" applyProtection="0"/>
    <xf numFmtId="0" fontId="78" fillId="7" borderId="7" applyNumberFormat="0" applyAlignment="0" applyProtection="0"/>
    <xf numFmtId="0" fontId="77" fillId="60" borderId="33" applyNumberFormat="0" applyAlignment="0" applyProtection="0"/>
    <xf numFmtId="0" fontId="78" fillId="7" borderId="7" applyNumberFormat="0" applyAlignment="0" applyProtection="0"/>
    <xf numFmtId="0" fontId="78" fillId="7" borderId="7" applyNumberFormat="0" applyAlignment="0" applyProtection="0"/>
    <xf numFmtId="0" fontId="77" fillId="60" borderId="33" applyNumberFormat="0" applyAlignment="0" applyProtection="0"/>
    <xf numFmtId="0" fontId="78"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3" fontId="79" fillId="58" borderId="13" applyFont="0" applyFill="0" applyProtection="0">
      <alignment horizontal="right" vertical="center"/>
    </xf>
    <xf numFmtId="3" fontId="79" fillId="58" borderId="13" applyFont="0" applyFill="0" applyProtection="0">
      <alignment horizontal="right" vertical="center"/>
    </xf>
    <xf numFmtId="0" fontId="19" fillId="58" borderId="13">
      <alignment horizontal="center" vertical="center"/>
    </xf>
    <xf numFmtId="0" fontId="19" fillId="58" borderId="13">
      <alignment horizontal="center" vertical="center"/>
    </xf>
    <xf numFmtId="176" fontId="80" fillId="0" borderId="0"/>
    <xf numFmtId="176" fontId="80" fillId="0" borderId="0"/>
    <xf numFmtId="176" fontId="80" fillId="0" borderId="0"/>
    <xf numFmtId="176" fontId="80" fillId="0" borderId="0"/>
    <xf numFmtId="176" fontId="80" fillId="0" borderId="0"/>
    <xf numFmtId="176" fontId="80" fillId="0" borderId="0"/>
    <xf numFmtId="176" fontId="80" fillId="0" borderId="0"/>
    <xf numFmtId="176" fontId="80" fillId="0" borderId="0"/>
    <xf numFmtId="41" fontId="19" fillId="0" borderId="0">
      <alignment vertical="center"/>
    </xf>
    <xf numFmtId="43" fontId="19" fillId="0" borderId="0" applyFont="0" applyFill="0" applyBorder="0" applyAlignment="0" applyProtection="0"/>
    <xf numFmtId="43" fontId="19" fillId="0" borderId="0" applyFont="0" applyFill="0" applyBorder="0" applyAlignment="0" applyProtection="0">
      <alignment wrapText="1"/>
    </xf>
    <xf numFmtId="43" fontId="33" fillId="0" borderId="0" applyFont="0" applyFill="0" applyBorder="0" applyAlignment="0" applyProtection="0"/>
    <xf numFmtId="0" fontId="33" fillId="0" borderId="0"/>
    <xf numFmtId="0" fontId="33" fillId="0" borderId="0"/>
    <xf numFmtId="0" fontId="33"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33"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33" fillId="0" borderId="0"/>
    <xf numFmtId="0" fontId="33"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33"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3"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alignment wrapText="1"/>
    </xf>
    <xf numFmtId="43" fontId="35" fillId="0" borderId="0" applyFont="0" applyFill="0" applyBorder="0" applyAlignment="0" applyProtection="0"/>
    <xf numFmtId="0" fontId="33"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5" fillId="0" borderId="0" applyFont="0" applyFill="0" applyBorder="0" applyAlignment="0" applyProtection="0"/>
    <xf numFmtId="0" fontId="33" fillId="0" borderId="0"/>
    <xf numFmtId="43" fontId="1" fillId="0" borderId="0" applyFont="0" applyFill="0" applyBorder="0" applyAlignment="0" applyProtection="0"/>
    <xf numFmtId="0" fontId="33"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33" fillId="0" borderId="0"/>
    <xf numFmtId="43" fontId="81" fillId="0" borderId="0" applyFont="0" applyFill="0" applyBorder="0" applyAlignment="0" applyProtection="0"/>
    <xf numFmtId="0" fontId="33" fillId="0" borderId="0"/>
    <xf numFmtId="43" fontId="81" fillId="0" borderId="0" applyFont="0" applyFill="0" applyBorder="0" applyAlignment="0" applyProtection="0"/>
    <xf numFmtId="43" fontId="81" fillId="0" borderId="0" applyFont="0" applyFill="0" applyBorder="0" applyAlignment="0" applyProtection="0"/>
    <xf numFmtId="43" fontId="82" fillId="0" borderId="0" applyFont="0" applyFill="0" applyBorder="0" applyAlignment="0" applyProtection="0"/>
    <xf numFmtId="0" fontId="33" fillId="0" borderId="0"/>
    <xf numFmtId="43" fontId="82" fillId="0" borderId="0" applyFont="0" applyFill="0" applyBorder="0" applyAlignment="0" applyProtection="0"/>
    <xf numFmtId="43" fontId="82" fillId="0" borderId="0" applyFont="0" applyFill="0" applyBorder="0" applyAlignment="0" applyProtection="0"/>
    <xf numFmtId="43" fontId="83" fillId="0" borderId="0" applyFont="0" applyFill="0" applyBorder="0" applyAlignment="0" applyProtection="0"/>
    <xf numFmtId="43" fontId="19" fillId="0" borderId="0" applyFont="0" applyFill="0" applyBorder="0" applyAlignment="0" applyProtection="0"/>
    <xf numFmtId="43" fontId="8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43" fontId="19" fillId="0" borderId="0" applyFont="0" applyFill="0" applyBorder="0" applyAlignment="0" applyProtection="0"/>
    <xf numFmtId="43" fontId="33"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33"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84" fillId="0" borderId="0" applyFont="0" applyFill="0" applyBorder="0" applyAlignment="0" applyProtection="0"/>
    <xf numFmtId="43" fontId="19" fillId="0" borderId="0" applyFont="0" applyFill="0" applyBorder="0" applyAlignment="0" applyProtection="0">
      <alignment wrapText="1"/>
    </xf>
    <xf numFmtId="43" fontId="19" fillId="0" borderId="0" applyFont="0" applyFill="0" applyBorder="0" applyAlignment="0" applyProtection="0"/>
    <xf numFmtId="43" fontId="33"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33"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33"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33" fillId="0" borderId="0" applyFont="0" applyFill="0" applyBorder="0" applyAlignment="0" applyProtection="0"/>
    <xf numFmtId="43" fontId="19"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0" fontId="33" fillId="0" borderId="0"/>
    <xf numFmtId="43" fontId="19" fillId="0" borderId="0" applyFont="0" applyFill="0" applyBorder="0" applyAlignment="0" applyProtection="0"/>
    <xf numFmtId="43" fontId="32"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82" fillId="0" borderId="0" applyFont="0" applyFill="0" applyBorder="0" applyAlignment="0" applyProtection="0"/>
    <xf numFmtId="43" fontId="82"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83"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7" fontId="19" fillId="0" borderId="0" applyFont="0" applyFill="0" applyBorder="0" applyAlignment="0" applyProtection="0"/>
    <xf numFmtId="177" fontId="19" fillId="0" borderId="0" applyFont="0" applyFill="0" applyBorder="0" applyAlignment="0" applyProtection="0"/>
    <xf numFmtId="43" fontId="85" fillId="0" borderId="0" applyFont="0" applyFill="0" applyBorder="0" applyAlignment="0" applyProtection="0"/>
    <xf numFmtId="177"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7"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84"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0" fontId="33" fillId="0" borderId="0"/>
    <xf numFmtId="43" fontId="19" fillId="0" borderId="0" applyFont="0" applyFill="0" applyBorder="0" applyAlignment="0" applyProtection="0"/>
    <xf numFmtId="43" fontId="1" fillId="0" borderId="0" applyFont="0" applyFill="0" applyBorder="0" applyAlignment="0" applyProtection="0"/>
    <xf numFmtId="43" fontId="8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177" fontId="19" fillId="0" borderId="0" applyFont="0" applyFill="0" applyBorder="0" applyAlignment="0" applyProtection="0"/>
    <xf numFmtId="177"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43" fontId="1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19" fillId="0" borderId="0" applyFont="0" applyFill="0" applyBorder="0" applyAlignment="0" applyProtection="0"/>
    <xf numFmtId="43" fontId="44" fillId="0" borderId="0" applyFont="0" applyFill="0" applyBorder="0" applyAlignment="0" applyProtection="0"/>
    <xf numFmtId="43" fontId="35" fillId="0" borderId="0" applyFont="0" applyFill="0" applyBorder="0" applyAlignment="0" applyProtection="0"/>
    <xf numFmtId="43" fontId="19" fillId="0" borderId="0" applyFont="0" applyFill="0" applyBorder="0" applyAlignment="0" applyProtection="0">
      <alignment wrapText="1"/>
    </xf>
    <xf numFmtId="43" fontId="44" fillId="0" borderId="0" applyFont="0" applyFill="0" applyBorder="0" applyAlignment="0" applyProtection="0"/>
    <xf numFmtId="43" fontId="1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alignment wrapText="1"/>
    </xf>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alignment wrapText="1"/>
    </xf>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3" fontId="19" fillId="61" borderId="0" applyFont="0" applyFill="0" applyBorder="0" applyAlignment="0" applyProtection="0"/>
    <xf numFmtId="3" fontId="19" fillId="61" borderId="0" applyFont="0" applyFill="0" applyBorder="0" applyAlignment="0" applyProtection="0"/>
    <xf numFmtId="0" fontId="87" fillId="0" borderId="0" applyProtection="0">
      <alignment horizontal="center" wrapText="1"/>
    </xf>
    <xf numFmtId="37" fontId="88" fillId="0" borderId="34"/>
    <xf numFmtId="42" fontId="19" fillId="0" borderId="0">
      <alignment vertical="center"/>
    </xf>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3"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9" fillId="0" borderId="0">
      <alignment vertical="center"/>
    </xf>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9" fillId="0" borderId="0">
      <alignment vertical="center"/>
    </xf>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9" fillId="0" borderId="0" applyFont="0" applyFill="0" applyBorder="0" applyAlignment="0" applyProtection="0"/>
    <xf numFmtId="0" fontId="33"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5" fontId="19" fillId="61" borderId="0" applyFont="0" applyFill="0" applyBorder="0" applyAlignment="0" applyProtection="0"/>
    <xf numFmtId="5" fontId="19" fillId="61" borderId="0" applyFont="0" applyFill="0" applyBorder="0" applyAlignment="0" applyProtection="0"/>
    <xf numFmtId="0" fontId="89" fillId="62" borderId="0"/>
    <xf numFmtId="0" fontId="19" fillId="61" borderId="0" applyFont="0" applyFill="0" applyBorder="0" applyAlignment="0" applyProtection="0"/>
    <xf numFmtId="0" fontId="19" fillId="61" borderId="0" applyFont="0" applyFill="0" applyBorder="0" applyAlignment="0" applyProtection="0"/>
    <xf numFmtId="0" fontId="90" fillId="58" borderId="0">
      <alignment horizontal="left"/>
    </xf>
    <xf numFmtId="41" fontId="19" fillId="0" borderId="0" applyFont="0" applyFill="0" applyBorder="0" applyAlignment="0" applyProtection="0"/>
    <xf numFmtId="43" fontId="19" fillId="0" borderId="0" applyFont="0" applyFill="0" applyBorder="0" applyAlignment="0" applyProtection="0"/>
    <xf numFmtId="178" fontId="19" fillId="0" borderId="0">
      <alignment horizontal="right"/>
    </xf>
    <xf numFmtId="1" fontId="19" fillId="0" borderId="0">
      <alignment horizontal="right"/>
    </xf>
    <xf numFmtId="1" fontId="19" fillId="0" borderId="0">
      <alignment horizontal="right"/>
    </xf>
    <xf numFmtId="179" fontId="19" fillId="0" borderId="0">
      <alignment horizontal="right"/>
    </xf>
    <xf numFmtId="49" fontId="19" fillId="0" borderId="0">
      <alignment horizontal="left"/>
    </xf>
    <xf numFmtId="49" fontId="19" fillId="0" borderId="0">
      <alignment horizontal="right"/>
    </xf>
    <xf numFmtId="14" fontId="19" fillId="0" borderId="0">
      <alignment horizontal="left"/>
    </xf>
    <xf numFmtId="180" fontId="19" fillId="0" borderId="0">
      <alignment horizontal="left"/>
    </xf>
    <xf numFmtId="181" fontId="19" fillId="0" borderId="0">
      <alignment horizontal="left"/>
    </xf>
    <xf numFmtId="182"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92" fillId="0" borderId="0" applyNumberFormat="0" applyFill="0" applyBorder="0" applyAlignment="0" applyProtection="0"/>
    <xf numFmtId="0" fontId="33" fillId="0" borderId="0"/>
    <xf numFmtId="0" fontId="33" fillId="0" borderId="0"/>
    <xf numFmtId="0" fontId="33" fillId="0" borderId="0"/>
    <xf numFmtId="0" fontId="33" fillId="0" borderId="0"/>
    <xf numFmtId="0" fontId="93"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91" fillId="0" borderId="0" applyNumberFormat="0" applyFill="0" applyBorder="0" applyAlignment="0" applyProtection="0"/>
    <xf numFmtId="0" fontId="91" fillId="0" borderId="0" applyNumberFormat="0" applyFill="0" applyBorder="0" applyAlignment="0" applyProtection="0"/>
    <xf numFmtId="0" fontId="15"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15"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15"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15" fillId="0" borderId="0" applyNumberFormat="0" applyFill="0" applyBorder="0" applyAlignment="0" applyProtection="0"/>
    <xf numFmtId="0" fontId="92" fillId="0" borderId="0" applyNumberFormat="0" applyFill="0" applyBorder="0" applyAlignment="0" applyProtection="0"/>
    <xf numFmtId="0" fontId="15"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3" fontId="19" fillId="0" borderId="0" applyFill="0" applyBorder="0"/>
    <xf numFmtId="2" fontId="19" fillId="61" borderId="0" applyFont="0" applyFill="0" applyBorder="0" applyAlignment="0" applyProtection="0"/>
    <xf numFmtId="2" fontId="19" fillId="61" borderId="0" applyFont="0" applyFill="0" applyBorder="0" applyAlignment="0" applyProtection="0"/>
    <xf numFmtId="172" fontId="46" fillId="0" borderId="0">
      <alignment horizontal="right"/>
    </xf>
    <xf numFmtId="172" fontId="46" fillId="0" borderId="0">
      <alignment horizontal="right"/>
    </xf>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95" fillId="40" borderId="0" applyNumberFormat="0" applyBorder="0" applyAlignment="0" applyProtection="0"/>
    <xf numFmtId="0" fontId="33" fillId="0" borderId="0"/>
    <xf numFmtId="0" fontId="33" fillId="0" borderId="0"/>
    <xf numFmtId="0" fontId="33" fillId="0" borderId="0"/>
    <xf numFmtId="0" fontId="33" fillId="0" borderId="0"/>
    <xf numFmtId="0" fontId="96" fillId="2" borderId="0" applyNumberFormat="0" applyBorder="0" applyAlignment="0" applyProtection="0"/>
    <xf numFmtId="0" fontId="95" fillId="40" borderId="0" applyNumberFormat="0" applyBorder="0" applyAlignment="0" applyProtection="0"/>
    <xf numFmtId="0" fontId="95" fillId="40" borderId="0" applyNumberFormat="0" applyBorder="0" applyAlignment="0" applyProtection="0"/>
    <xf numFmtId="0" fontId="95" fillId="40"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94" fillId="2" borderId="0" applyNumberFormat="0" applyBorder="0" applyAlignment="0" applyProtection="0"/>
    <xf numFmtId="0" fontId="94" fillId="2" borderId="0" applyNumberFormat="0" applyBorder="0" applyAlignment="0" applyProtection="0"/>
    <xf numFmtId="0" fontId="6"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6" fillId="2" borderId="0" applyNumberFormat="0" applyBorder="0" applyAlignment="0" applyProtection="0"/>
    <xf numFmtId="0" fontId="95" fillId="40" borderId="0" applyNumberFormat="0" applyBorder="0" applyAlignment="0" applyProtection="0"/>
    <xf numFmtId="0" fontId="95" fillId="40"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6"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6" fillId="2" borderId="0" applyNumberFormat="0" applyBorder="0" applyAlignment="0" applyProtection="0"/>
    <xf numFmtId="0" fontId="95" fillId="40" borderId="0" applyNumberFormat="0" applyBorder="0" applyAlignment="0" applyProtection="0"/>
    <xf numFmtId="0" fontId="6"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4" fillId="2" borderId="0" applyNumberFormat="0" applyBorder="0" applyAlignment="0" applyProtection="0"/>
    <xf numFmtId="0" fontId="95" fillId="40" borderId="0" applyNumberFormat="0" applyBorder="0" applyAlignment="0" applyProtection="0"/>
    <xf numFmtId="0" fontId="95" fillId="40" borderId="0" applyNumberFormat="0" applyBorder="0" applyAlignment="0" applyProtection="0"/>
    <xf numFmtId="0" fontId="95" fillId="40" borderId="0" applyNumberFormat="0" applyBorder="0" applyAlignment="0" applyProtection="0"/>
    <xf numFmtId="0" fontId="96" fillId="2" borderId="0" applyNumberFormat="0" applyBorder="0" applyAlignment="0" applyProtection="0"/>
    <xf numFmtId="0" fontId="95" fillId="40" borderId="0" applyNumberFormat="0" applyBorder="0" applyAlignment="0" applyProtection="0"/>
    <xf numFmtId="0" fontId="96" fillId="2" borderId="0" applyNumberFormat="0" applyBorder="0" applyAlignment="0" applyProtection="0"/>
    <xf numFmtId="0" fontId="96" fillId="2" borderId="0" applyNumberFormat="0" applyBorder="0" applyAlignment="0" applyProtection="0"/>
    <xf numFmtId="0" fontId="95" fillId="40" borderId="0" applyNumberFormat="0" applyBorder="0" applyAlignment="0" applyProtection="0"/>
    <xf numFmtId="0" fontId="9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2" fontId="97" fillId="58" borderId="26" applyProtection="0">
      <alignment horizontal="left"/>
      <protection locked="0"/>
    </xf>
    <xf numFmtId="0" fontId="19" fillId="63" borderId="13" applyNumberFormat="0" applyFont="0" applyBorder="0">
      <alignment horizontal="center" vertical="center"/>
    </xf>
    <xf numFmtId="0" fontId="19" fillId="63" borderId="13" applyNumberFormat="0" applyFont="0" applyBorder="0">
      <alignment horizontal="center" vertical="center"/>
    </xf>
    <xf numFmtId="0" fontId="19" fillId="63" borderId="13" applyNumberFormat="0" applyFont="0" applyBorder="0" applyAlignment="0" applyProtection="0">
      <alignment horizontal="center"/>
    </xf>
    <xf numFmtId="0" fontId="19" fillId="63" borderId="13" applyNumberFormat="0" applyFont="0" applyBorder="0">
      <alignment horizontal="center" vertical="center"/>
    </xf>
    <xf numFmtId="0" fontId="19" fillId="63" borderId="13" applyNumberFormat="0" applyFont="0" applyBorder="0">
      <alignment horizontal="center" vertical="center"/>
    </xf>
    <xf numFmtId="0" fontId="19" fillId="64" borderId="13" applyNumberFormat="0" applyFont="0" applyBorder="0">
      <alignment horizontal="center" vertical="center"/>
    </xf>
    <xf numFmtId="0" fontId="19" fillId="63" borderId="13" applyNumberFormat="0" applyFont="0" applyBorder="0" applyAlignment="0" applyProtection="0">
      <alignment horizontal="center"/>
    </xf>
    <xf numFmtId="0" fontId="33" fillId="0" borderId="0"/>
    <xf numFmtId="0" fontId="98" fillId="65" borderId="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100" fillId="58" borderId="25" applyNumberFormat="0" applyFill="0" applyBorder="0" applyAlignment="0" applyProtection="0">
      <alignment horizontal="left"/>
    </xf>
    <xf numFmtId="0" fontId="33" fillId="0" borderId="0"/>
    <xf numFmtId="0" fontId="33" fillId="0" borderId="0"/>
    <xf numFmtId="0" fontId="33" fillId="0" borderId="0"/>
    <xf numFmtId="0" fontId="33" fillId="0" borderId="0"/>
    <xf numFmtId="0" fontId="100" fillId="58" borderId="25" applyNumberFormat="0" applyFill="0" applyBorder="0" applyAlignment="0" applyProtection="0">
      <alignment horizontal="left"/>
    </xf>
    <xf numFmtId="0" fontId="101" fillId="0" borderId="35" applyNumberFormat="0" applyFill="0" applyAlignment="0" applyProtection="0"/>
    <xf numFmtId="0" fontId="101" fillId="0" borderId="35" applyNumberFormat="0" applyFill="0" applyAlignment="0" applyProtection="0"/>
    <xf numFmtId="0" fontId="101" fillId="0" borderId="35" applyNumberFormat="0" applyFill="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3"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100" fillId="58" borderId="25" applyNumberFormat="0" applyFill="0" applyBorder="0" applyAlignment="0" applyProtection="0">
      <alignment horizontal="left"/>
    </xf>
    <xf numFmtId="0" fontId="101" fillId="0" borderId="35" applyNumberFormat="0" applyFill="0" applyAlignment="0" applyProtection="0"/>
    <xf numFmtId="0" fontId="101" fillId="0" borderId="35" applyNumberFormat="0" applyFill="0" applyAlignment="0" applyProtection="0"/>
    <xf numFmtId="0" fontId="102" fillId="0" borderId="1" applyNumberFormat="0" applyFill="0" applyAlignment="0" applyProtection="0"/>
    <xf numFmtId="0" fontId="100" fillId="58" borderId="25" applyNumberFormat="0" applyFill="0" applyBorder="0" applyAlignment="0" applyProtection="0">
      <alignment horizontal="left"/>
    </xf>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3"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100" fillId="58" borderId="25" applyNumberFormat="0" applyFill="0" applyBorder="0" applyAlignment="0" applyProtection="0">
      <alignment horizontal="left"/>
    </xf>
    <xf numFmtId="0" fontId="101" fillId="0" borderId="35" applyNumberFormat="0" applyFill="0" applyAlignment="0" applyProtection="0"/>
    <xf numFmtId="0" fontId="101" fillId="0" borderId="35" applyNumberFormat="0" applyFill="0" applyAlignment="0" applyProtection="0"/>
    <xf numFmtId="0" fontId="100" fillId="58" borderId="25" applyNumberFormat="0" applyFill="0" applyBorder="0" applyAlignment="0" applyProtection="0">
      <alignment horizontal="left"/>
    </xf>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99" fillId="0" borderId="1" applyNumberFormat="0" applyFill="0" applyAlignment="0" applyProtection="0"/>
    <xf numFmtId="0" fontId="101" fillId="0" borderId="35" applyNumberFormat="0" applyFill="0" applyAlignment="0" applyProtection="0"/>
    <xf numFmtId="0" fontId="101" fillId="0" borderId="35" applyNumberFormat="0" applyFill="0" applyAlignment="0" applyProtection="0"/>
    <xf numFmtId="0" fontId="101" fillId="0" borderId="35" applyNumberFormat="0" applyFill="0" applyAlignment="0" applyProtection="0"/>
    <xf numFmtId="0" fontId="102" fillId="0" borderId="1" applyNumberFormat="0" applyFill="0" applyAlignment="0" applyProtection="0"/>
    <xf numFmtId="0" fontId="101" fillId="0" borderId="35" applyNumberFormat="0" applyFill="0" applyAlignment="0" applyProtection="0"/>
    <xf numFmtId="0" fontId="102" fillId="0" borderId="1" applyNumberFormat="0" applyFill="0" applyAlignment="0" applyProtection="0"/>
    <xf numFmtId="0" fontId="102" fillId="0" borderId="1" applyNumberFormat="0" applyFill="0" applyAlignment="0" applyProtection="0"/>
    <xf numFmtId="0" fontId="101" fillId="0" borderId="35" applyNumberFormat="0" applyFill="0" applyAlignment="0" applyProtection="0"/>
    <xf numFmtId="0" fontId="102"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62" fillId="0" borderId="0" applyNumberFormat="0" applyFill="0" applyBorder="0" applyAlignment="0" applyProtection="0"/>
    <xf numFmtId="0" fontId="33" fillId="0" borderId="0"/>
    <xf numFmtId="0" fontId="33" fillId="0" borderId="0"/>
    <xf numFmtId="0" fontId="33" fillId="0" borderId="0"/>
    <xf numFmtId="0" fontId="33" fillId="0" borderId="0"/>
    <xf numFmtId="0" fontId="62" fillId="0" borderId="0" applyNumberFormat="0" applyFill="0" applyBorder="0" applyAlignment="0" applyProtection="0"/>
    <xf numFmtId="0" fontId="104" fillId="0" borderId="36" applyNumberFormat="0" applyFill="0" applyAlignment="0" applyProtection="0"/>
    <xf numFmtId="0" fontId="104" fillId="0" borderId="36" applyNumberFormat="0" applyFill="0" applyAlignment="0" applyProtection="0"/>
    <xf numFmtId="0" fontId="104" fillId="0" borderId="36" applyNumberFormat="0" applyFill="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4"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62" fillId="0" borderId="0" applyNumberFormat="0" applyFill="0" applyBorder="0" applyAlignment="0" applyProtection="0"/>
    <xf numFmtId="0" fontId="104" fillId="0" borderId="36" applyNumberFormat="0" applyFill="0" applyAlignment="0" applyProtection="0"/>
    <xf numFmtId="0" fontId="104" fillId="0" borderId="36" applyNumberFormat="0" applyFill="0" applyAlignment="0" applyProtection="0"/>
    <xf numFmtId="0" fontId="105" fillId="0" borderId="2" applyNumberFormat="0" applyFill="0" applyAlignment="0" applyProtection="0"/>
    <xf numFmtId="0" fontId="62" fillId="0" borderId="0" applyNumberFormat="0" applyFill="0" applyBorder="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4"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62" fillId="0" borderId="0" applyNumberFormat="0" applyFill="0" applyBorder="0" applyAlignment="0" applyProtection="0"/>
    <xf numFmtId="0" fontId="104" fillId="0" borderId="36" applyNumberFormat="0" applyFill="0" applyAlignment="0" applyProtection="0"/>
    <xf numFmtId="0" fontId="104" fillId="0" borderId="36" applyNumberFormat="0" applyFill="0" applyAlignment="0" applyProtection="0"/>
    <xf numFmtId="0" fontId="62" fillId="0" borderId="0" applyNumberFormat="0" applyFill="0" applyBorder="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3" fillId="0" borderId="2" applyNumberFormat="0" applyFill="0" applyAlignment="0" applyProtection="0"/>
    <xf numFmtId="0" fontId="104" fillId="0" borderId="36" applyNumberFormat="0" applyFill="0" applyAlignment="0" applyProtection="0"/>
    <xf numFmtId="0" fontId="104" fillId="0" borderId="36" applyNumberFormat="0" applyFill="0" applyAlignment="0" applyProtection="0"/>
    <xf numFmtId="0" fontId="104" fillId="0" borderId="36" applyNumberFormat="0" applyFill="0" applyAlignment="0" applyProtection="0"/>
    <xf numFmtId="0" fontId="105" fillId="0" borderId="2" applyNumberFormat="0" applyFill="0" applyAlignment="0" applyProtection="0"/>
    <xf numFmtId="0" fontId="104" fillId="0" borderId="36" applyNumberFormat="0" applyFill="0" applyAlignment="0" applyProtection="0"/>
    <xf numFmtId="0" fontId="105" fillId="0" borderId="2" applyNumberFormat="0" applyFill="0" applyAlignment="0" applyProtection="0"/>
    <xf numFmtId="0" fontId="105" fillId="0" borderId="2" applyNumberFormat="0" applyFill="0" applyAlignment="0" applyProtection="0"/>
    <xf numFmtId="0" fontId="104" fillId="0" borderId="36" applyNumberFormat="0" applyFill="0" applyAlignment="0" applyProtection="0"/>
    <xf numFmtId="0" fontId="105"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107" fillId="0" borderId="37" applyNumberFormat="0" applyFill="0" applyAlignment="0" applyProtection="0"/>
    <xf numFmtId="0" fontId="33" fillId="0" borderId="0"/>
    <xf numFmtId="0" fontId="33" fillId="0" borderId="0"/>
    <xf numFmtId="0" fontId="33" fillId="0" borderId="0"/>
    <xf numFmtId="0" fontId="33" fillId="0" borderId="0"/>
    <xf numFmtId="0" fontId="108" fillId="0" borderId="3" applyNumberFormat="0" applyFill="0" applyAlignment="0" applyProtection="0"/>
    <xf numFmtId="0" fontId="107" fillId="0" borderId="37" applyNumberFormat="0" applyFill="0" applyAlignment="0" applyProtection="0"/>
    <xf numFmtId="0" fontId="107" fillId="0" borderId="37" applyNumberFormat="0" applyFill="0" applyAlignment="0" applyProtection="0"/>
    <xf numFmtId="0" fontId="107" fillId="0" borderId="37" applyNumberFormat="0" applyFill="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06" fillId="0" borderId="3" applyNumberFormat="0" applyFill="0" applyAlignment="0" applyProtection="0"/>
    <xf numFmtId="0" fontId="106" fillId="0" borderId="3" applyNumberFormat="0" applyFill="0" applyAlignment="0" applyProtection="0"/>
    <xf numFmtId="0" fontId="5"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5" fillId="0" borderId="3" applyNumberFormat="0" applyFill="0" applyAlignment="0" applyProtection="0"/>
    <xf numFmtId="0" fontId="107" fillId="0" borderId="37" applyNumberFormat="0" applyFill="0" applyAlignment="0" applyProtection="0"/>
    <xf numFmtId="0" fontId="107" fillId="0" borderId="37" applyNumberFormat="0" applyFill="0" applyAlignment="0" applyProtection="0"/>
    <xf numFmtId="0" fontId="108" fillId="0" borderId="3" applyNumberFormat="0" applyFill="0" applyAlignment="0" applyProtection="0"/>
    <xf numFmtId="0" fontId="5"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5"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5" fillId="0" borderId="3" applyNumberFormat="0" applyFill="0" applyAlignment="0" applyProtection="0"/>
    <xf numFmtId="0" fontId="107" fillId="0" borderId="37" applyNumberFormat="0" applyFill="0" applyAlignment="0" applyProtection="0"/>
    <xf numFmtId="0" fontId="5"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6" fillId="0" borderId="3" applyNumberFormat="0" applyFill="0" applyAlignment="0" applyProtection="0"/>
    <xf numFmtId="0" fontId="107" fillId="0" borderId="37" applyNumberFormat="0" applyFill="0" applyAlignment="0" applyProtection="0"/>
    <xf numFmtId="0" fontId="107" fillId="0" borderId="37" applyNumberFormat="0" applyFill="0" applyAlignment="0" applyProtection="0"/>
    <xf numFmtId="0" fontId="107" fillId="0" borderId="37" applyNumberFormat="0" applyFill="0" applyAlignment="0" applyProtection="0"/>
    <xf numFmtId="0" fontId="108" fillId="0" borderId="3" applyNumberFormat="0" applyFill="0" applyAlignment="0" applyProtection="0"/>
    <xf numFmtId="0" fontId="107" fillId="0" borderId="37" applyNumberFormat="0" applyFill="0" applyAlignment="0" applyProtection="0"/>
    <xf numFmtId="0" fontId="108" fillId="0" borderId="3" applyNumberFormat="0" applyFill="0" applyAlignment="0" applyProtection="0"/>
    <xf numFmtId="0" fontId="108" fillId="0" borderId="3" applyNumberFormat="0" applyFill="0" applyAlignment="0" applyProtection="0"/>
    <xf numFmtId="0" fontId="107" fillId="0" borderId="37" applyNumberFormat="0" applyFill="0" applyAlignment="0" applyProtection="0"/>
    <xf numFmtId="0" fontId="108"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107" fillId="0" borderId="0" applyNumberFormat="0" applyFill="0" applyBorder="0" applyAlignment="0" applyProtection="0"/>
    <xf numFmtId="0" fontId="33" fillId="0" borderId="0"/>
    <xf numFmtId="0" fontId="33" fillId="0" borderId="0"/>
    <xf numFmtId="0" fontId="33" fillId="0" borderId="0"/>
    <xf numFmtId="0" fontId="33" fillId="0" borderId="0"/>
    <xf numFmtId="0" fontId="108" fillId="0" borderId="0" applyNumberFormat="0" applyFill="0" applyBorder="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06" fillId="0" borderId="0" applyNumberFormat="0" applyFill="0" applyBorder="0" applyAlignment="0" applyProtection="0"/>
    <xf numFmtId="0" fontId="106" fillId="0" borderId="0" applyNumberFormat="0" applyFill="0" applyBorder="0" applyAlignment="0" applyProtection="0"/>
    <xf numFmtId="0" fontId="5"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5" fillId="0" borderId="0" applyNumberFormat="0" applyFill="0" applyBorder="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108" fillId="0" borderId="0" applyNumberFormat="0" applyFill="0" applyBorder="0" applyAlignment="0" applyProtection="0"/>
    <xf numFmtId="0" fontId="5"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5"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5" fillId="0" borderId="0" applyNumberFormat="0" applyFill="0" applyBorder="0" applyAlignment="0" applyProtection="0"/>
    <xf numFmtId="0" fontId="107" fillId="0" borderId="0" applyNumberFormat="0" applyFill="0" applyBorder="0" applyAlignment="0" applyProtection="0"/>
    <xf numFmtId="0" fontId="5"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108" fillId="0" borderId="0" applyNumberFormat="0" applyFill="0" applyBorder="0" applyAlignment="0" applyProtection="0"/>
    <xf numFmtId="0" fontId="107"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7" fillId="0" borderId="0" applyNumberFormat="0" applyFill="0" applyBorder="0" applyAlignment="0" applyProtection="0"/>
    <xf numFmtId="0" fontId="108"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18" fillId="58" borderId="16" applyFont="0" applyBorder="0">
      <alignment horizontal="center" wrapText="1"/>
    </xf>
    <xf numFmtId="3" fontId="19" fillId="66" borderId="38" applyFont="0" applyProtection="0">
      <alignment horizontal="right" vertical="center"/>
    </xf>
    <xf numFmtId="3" fontId="19" fillId="66" borderId="38" applyFont="0" applyProtection="0">
      <alignment horizontal="right" vertical="center"/>
    </xf>
    <xf numFmtId="3" fontId="19" fillId="67" borderId="13" applyFont="0" applyProtection="0">
      <alignment horizontal="right" vertical="center"/>
    </xf>
    <xf numFmtId="3" fontId="19" fillId="67" borderId="13" applyFont="0" applyProtection="0">
      <alignment horizontal="right" vertical="center"/>
    </xf>
    <xf numFmtId="3" fontId="19" fillId="66" borderId="38" applyFont="0" applyProtection="0">
      <alignment horizontal="right" vertical="center"/>
    </xf>
    <xf numFmtId="3" fontId="19" fillId="68" borderId="38" applyFont="0" applyProtection="0">
      <alignment horizontal="right" vertical="center"/>
    </xf>
    <xf numFmtId="10" fontId="19" fillId="67" borderId="13" applyFont="0" applyProtection="0">
      <alignment horizontal="right" vertical="center"/>
    </xf>
    <xf numFmtId="10" fontId="19" fillId="67" borderId="13" applyFont="0" applyProtection="0">
      <alignment horizontal="right" vertical="center"/>
    </xf>
    <xf numFmtId="10" fontId="19" fillId="66" borderId="38" applyFont="0" applyProtection="0">
      <alignment horizontal="right" vertical="center"/>
    </xf>
    <xf numFmtId="9" fontId="19" fillId="66" borderId="38" applyFont="0" applyProtection="0">
      <alignment horizontal="right" vertical="center"/>
    </xf>
    <xf numFmtId="9" fontId="19" fillId="66" borderId="38" applyFont="0" applyProtection="0">
      <alignment horizontal="right" vertical="center"/>
    </xf>
    <xf numFmtId="9" fontId="19" fillId="67" borderId="13" applyFont="0" applyProtection="0">
      <alignment horizontal="right" vertical="center"/>
    </xf>
    <xf numFmtId="9" fontId="19" fillId="67" borderId="13" applyFont="0" applyProtection="0">
      <alignment horizontal="right" vertical="center"/>
    </xf>
    <xf numFmtId="9" fontId="19" fillId="66" borderId="38" applyFont="0" applyProtection="0">
      <alignment horizontal="right" vertical="center"/>
    </xf>
    <xf numFmtId="9" fontId="19" fillId="68" borderId="38" applyFont="0" applyProtection="0">
      <alignment horizontal="right" vertical="center"/>
    </xf>
    <xf numFmtId="0" fontId="19" fillId="67" borderId="16" applyNumberFormat="0" applyFont="0" applyBorder="0" applyProtection="0">
      <alignment horizontal="left" vertical="center"/>
    </xf>
    <xf numFmtId="0" fontId="19" fillId="67" borderId="16" applyNumberFormat="0" applyFont="0" applyBorder="0" applyProtection="0">
      <alignment horizontal="left" vertical="center"/>
    </xf>
    <xf numFmtId="0" fontId="19" fillId="67" borderId="16" applyNumberFormat="0" applyFont="0" applyBorder="0" applyProtection="0">
      <alignment horizontal="left" vertical="center"/>
    </xf>
    <xf numFmtId="0" fontId="19" fillId="66" borderId="38" applyNumberFormat="0" applyFont="0" applyProtection="0">
      <alignment horizontal="left" vertical="center"/>
    </xf>
    <xf numFmtId="0" fontId="19" fillId="68" borderId="38" applyNumberFormat="0" applyFont="0" applyProtection="0">
      <alignment horizontal="left" vertical="center"/>
    </xf>
    <xf numFmtId="0" fontId="109" fillId="0" borderId="0" applyNumberFormat="0" applyFill="0" applyBorder="0" applyAlignment="0" applyProtection="0">
      <alignment vertical="top"/>
      <protection locked="0"/>
    </xf>
    <xf numFmtId="0" fontId="109" fillId="0" borderId="0" applyNumberFormat="0" applyFill="0" applyBorder="0" applyAlignment="0" applyProtection="0">
      <alignment vertical="top"/>
      <protection locked="0"/>
    </xf>
    <xf numFmtId="0" fontId="110" fillId="0" borderId="0" applyNumberFormat="0" applyFill="0" applyBorder="0" applyAlignment="0" applyProtection="0">
      <alignment vertical="top"/>
      <protection locked="0"/>
    </xf>
    <xf numFmtId="0" fontId="109" fillId="0" borderId="0" applyNumberFormat="0" applyFill="0" applyBorder="0" applyAlignment="0" applyProtection="0">
      <alignment vertical="top"/>
      <protection locked="0"/>
    </xf>
    <xf numFmtId="0" fontId="111" fillId="0" borderId="0" applyNumberFormat="0" applyFill="0" applyBorder="0" applyAlignment="0" applyProtection="0"/>
    <xf numFmtId="0" fontId="89" fillId="69" borderId="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112" fillId="5" borderId="4" applyNumberFormat="0" applyAlignment="0" applyProtection="0"/>
    <xf numFmtId="0" fontId="112"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113" fillId="43" borderId="32" applyNumberFormat="0" applyAlignment="0" applyProtection="0"/>
    <xf numFmtId="0" fontId="33" fillId="0" borderId="0"/>
    <xf numFmtId="0" fontId="33" fillId="0" borderId="0"/>
    <xf numFmtId="0" fontId="33" fillId="0" borderId="0"/>
    <xf numFmtId="0" fontId="33" fillId="0" borderId="0"/>
    <xf numFmtId="0" fontId="114" fillId="5" borderId="4" applyNumberFormat="0" applyAlignment="0" applyProtection="0"/>
    <xf numFmtId="0" fontId="113" fillId="43" borderId="32" applyNumberFormat="0" applyAlignment="0" applyProtection="0"/>
    <xf numFmtId="0" fontId="113" fillId="43" borderId="32" applyNumberFormat="0" applyAlignment="0" applyProtection="0"/>
    <xf numFmtId="0" fontId="113" fillId="43" borderId="32" applyNumberFormat="0" applyAlignment="0" applyProtection="0"/>
    <xf numFmtId="0" fontId="113" fillId="43" borderId="32" applyNumberFormat="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12" fillId="5" borderId="4" applyNumberFormat="0" applyAlignment="0" applyProtection="0"/>
    <xf numFmtId="0" fontId="112" fillId="5" borderId="4" applyNumberFormat="0" applyAlignment="0" applyProtection="0"/>
    <xf numFmtId="0" fontId="9"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9" fillId="5" borderId="4" applyNumberFormat="0" applyAlignment="0" applyProtection="0"/>
    <xf numFmtId="0" fontId="113" fillId="43" borderId="32" applyNumberFormat="0" applyAlignment="0" applyProtection="0"/>
    <xf numFmtId="0" fontId="113" fillId="43" borderId="32" applyNumberFormat="0" applyAlignment="0" applyProtection="0"/>
    <xf numFmtId="0" fontId="9" fillId="5" borderId="4" applyNumberFormat="0" applyAlignment="0" applyProtection="0"/>
    <xf numFmtId="0" fontId="9"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9"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9" fillId="5" borderId="4" applyNumberFormat="0" applyAlignment="0" applyProtection="0"/>
    <xf numFmtId="0" fontId="113" fillId="43" borderId="32" applyNumberFormat="0" applyAlignment="0" applyProtection="0"/>
    <xf numFmtId="0" fontId="9"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2" fillId="5" borderId="4" applyNumberFormat="0" applyAlignment="0" applyProtection="0"/>
    <xf numFmtId="0" fontId="113" fillId="43" borderId="32" applyNumberFormat="0" applyAlignment="0" applyProtection="0"/>
    <xf numFmtId="0" fontId="113" fillId="43" borderId="32" applyNumberFormat="0" applyAlignment="0" applyProtection="0"/>
    <xf numFmtId="0" fontId="113" fillId="43" borderId="32" applyNumberFormat="0" applyAlignment="0" applyProtection="0"/>
    <xf numFmtId="0" fontId="114" fillId="5" borderId="4" applyNumberFormat="0" applyAlignment="0" applyProtection="0"/>
    <xf numFmtId="0" fontId="113" fillId="43" borderId="32" applyNumberFormat="0" applyAlignment="0" applyProtection="0"/>
    <xf numFmtId="0" fontId="114" fillId="5" borderId="4" applyNumberFormat="0" applyAlignment="0" applyProtection="0"/>
    <xf numFmtId="0" fontId="114" fillId="5" borderId="4" applyNumberFormat="0" applyAlignment="0" applyProtection="0"/>
    <xf numFmtId="0" fontId="113" fillId="43" borderId="32" applyNumberFormat="0" applyAlignment="0" applyProtection="0"/>
    <xf numFmtId="0" fontId="114"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183" fontId="19" fillId="62" borderId="13" applyFont="0">
      <alignment vertical="center"/>
      <protection locked="0"/>
    </xf>
    <xf numFmtId="183" fontId="19" fillId="62" borderId="13" applyFont="0">
      <alignment vertical="center"/>
      <protection locked="0"/>
    </xf>
    <xf numFmtId="183" fontId="19" fillId="70" borderId="38" applyFont="0">
      <alignment vertical="center"/>
      <protection locked="0"/>
    </xf>
    <xf numFmtId="3" fontId="19" fillId="70" borderId="38" applyFont="0">
      <alignment horizontal="right" vertical="center"/>
      <protection locked="0"/>
    </xf>
    <xf numFmtId="3" fontId="19" fillId="70" borderId="38" applyFont="0">
      <alignment horizontal="right" vertical="center"/>
      <protection locked="0"/>
    </xf>
    <xf numFmtId="3" fontId="19" fillId="62" borderId="13" applyFont="0">
      <alignment horizontal="right" vertical="center"/>
      <protection locked="0"/>
    </xf>
    <xf numFmtId="3" fontId="19" fillId="62" borderId="13" applyFont="0">
      <alignment horizontal="right"/>
      <protection locked="0"/>
    </xf>
    <xf numFmtId="3" fontId="19" fillId="62" borderId="13" applyFont="0">
      <alignment horizontal="right" vertical="center"/>
      <protection locked="0"/>
    </xf>
    <xf numFmtId="3" fontId="19" fillId="71" borderId="38" applyFont="0">
      <alignment horizontal="right" vertical="center"/>
      <protection locked="0"/>
    </xf>
    <xf numFmtId="3" fontId="19" fillId="70" borderId="38" applyFont="0">
      <alignment horizontal="right" vertical="center"/>
      <protection locked="0"/>
    </xf>
    <xf numFmtId="3" fontId="19" fillId="62" borderId="13" applyFont="0">
      <alignment horizontal="right"/>
      <protection locked="0"/>
    </xf>
    <xf numFmtId="0" fontId="33" fillId="0" borderId="0"/>
    <xf numFmtId="184" fontId="19" fillId="62" borderId="13" applyFont="0">
      <alignment horizontal="right" vertical="center"/>
      <protection locked="0"/>
    </xf>
    <xf numFmtId="184" fontId="19" fillId="71" borderId="38" applyFont="0">
      <alignment horizontal="right" vertical="center"/>
      <protection locked="0"/>
    </xf>
    <xf numFmtId="184" fontId="19" fillId="70" borderId="38" applyFont="0">
      <alignment horizontal="right" vertical="center"/>
      <protection locked="0"/>
    </xf>
    <xf numFmtId="185" fontId="19" fillId="72" borderId="13" applyFont="0">
      <alignment vertical="center"/>
      <protection locked="0"/>
    </xf>
    <xf numFmtId="185" fontId="19" fillId="73" borderId="38" applyFont="0">
      <alignment vertical="center"/>
      <protection locked="0"/>
    </xf>
    <xf numFmtId="185" fontId="19" fillId="74" borderId="38" applyFont="0">
      <alignment vertical="center"/>
      <protection locked="0"/>
    </xf>
    <xf numFmtId="10" fontId="19" fillId="62" borderId="13" applyFont="0">
      <alignment horizontal="right" vertical="center"/>
      <protection locked="0"/>
    </xf>
    <xf numFmtId="10" fontId="19" fillId="71" borderId="38" applyFont="0">
      <alignment horizontal="right" vertical="center"/>
      <protection locked="0"/>
    </xf>
    <xf numFmtId="10" fontId="19" fillId="70" borderId="38" applyFont="0">
      <alignment horizontal="right" vertical="center"/>
      <protection locked="0"/>
    </xf>
    <xf numFmtId="9" fontId="19" fillId="62" borderId="19" applyFont="0">
      <alignment horizontal="right" vertical="center"/>
      <protection locked="0"/>
    </xf>
    <xf numFmtId="9" fontId="19" fillId="71" borderId="38" applyFont="0">
      <alignment horizontal="right" vertical="center"/>
      <protection locked="0"/>
    </xf>
    <xf numFmtId="9" fontId="19" fillId="70" borderId="38" applyFont="0">
      <alignment horizontal="right" vertical="center"/>
      <protection locked="0"/>
    </xf>
    <xf numFmtId="186" fontId="19" fillId="62" borderId="13" applyFont="0">
      <alignment horizontal="right" vertical="center"/>
      <protection locked="0"/>
    </xf>
    <xf numFmtId="186" fontId="19" fillId="71" borderId="38" applyFont="0">
      <alignment horizontal="right" vertical="center"/>
      <protection locked="0"/>
    </xf>
    <xf numFmtId="186" fontId="19" fillId="70" borderId="38" applyFont="0">
      <alignment horizontal="right" vertical="center"/>
      <protection locked="0"/>
    </xf>
    <xf numFmtId="187" fontId="19" fillId="62" borderId="19" applyFont="0">
      <alignment horizontal="right" vertical="center"/>
      <protection locked="0"/>
    </xf>
    <xf numFmtId="187" fontId="19" fillId="71" borderId="38" applyFont="0">
      <alignment horizontal="right" vertical="center"/>
      <protection locked="0"/>
    </xf>
    <xf numFmtId="187" fontId="19" fillId="70" borderId="38" applyFont="0">
      <alignment horizontal="right" vertical="center"/>
      <protection locked="0"/>
    </xf>
    <xf numFmtId="0" fontId="19" fillId="62" borderId="13" applyFont="0">
      <alignment horizontal="center" vertical="center" wrapText="1"/>
      <protection locked="0"/>
    </xf>
    <xf numFmtId="0" fontId="19" fillId="62" borderId="13" applyFont="0">
      <alignment horizontal="center" vertical="center" wrapText="1"/>
      <protection locked="0"/>
    </xf>
    <xf numFmtId="0" fontId="19" fillId="70" borderId="38" applyFont="0">
      <alignment horizontal="center" vertical="center" wrapText="1"/>
      <protection locked="0"/>
    </xf>
    <xf numFmtId="49" fontId="19" fillId="62" borderId="13" applyFont="0">
      <alignment vertical="center"/>
      <protection locked="0"/>
    </xf>
    <xf numFmtId="49" fontId="19" fillId="62" borderId="13" applyFont="0">
      <alignment vertical="center"/>
      <protection locked="0"/>
    </xf>
    <xf numFmtId="49" fontId="19" fillId="70" borderId="38" applyFont="0">
      <alignment vertical="center"/>
      <protection locked="0"/>
    </xf>
    <xf numFmtId="3" fontId="36" fillId="0" borderId="0" applyFont="0" applyFill="0" applyBorder="0" applyAlignment="0" applyProtection="0"/>
    <xf numFmtId="0" fontId="33" fillId="0" borderId="0"/>
    <xf numFmtId="0" fontId="59" fillId="63" borderId="0"/>
    <xf numFmtId="0" fontId="33" fillId="0" borderId="0"/>
    <xf numFmtId="0" fontId="33" fillId="0" borderId="0"/>
    <xf numFmtId="0" fontId="33" fillId="0" borderId="0"/>
    <xf numFmtId="0" fontId="33" fillId="0" borderId="0"/>
    <xf numFmtId="0" fontId="59" fillId="63" borderId="0"/>
    <xf numFmtId="0" fontId="59" fillId="63" borderId="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16" fillId="0" borderId="39" applyNumberFormat="0" applyFill="0" applyAlignment="0" applyProtection="0"/>
    <xf numFmtId="0" fontId="33" fillId="0" borderId="0"/>
    <xf numFmtId="0" fontId="33" fillId="0" borderId="0"/>
    <xf numFmtId="0" fontId="33" fillId="0" borderId="0"/>
    <xf numFmtId="0" fontId="33" fillId="0" borderId="0"/>
    <xf numFmtId="0" fontId="117" fillId="0" borderId="6" applyNumberFormat="0" applyFill="0" applyAlignment="0" applyProtection="0"/>
    <xf numFmtId="0" fontId="116" fillId="0" borderId="39" applyNumberFormat="0" applyFill="0" applyAlignment="0" applyProtection="0"/>
    <xf numFmtId="0" fontId="116" fillId="0" borderId="39" applyNumberFormat="0" applyFill="0" applyAlignment="0" applyProtection="0"/>
    <xf numFmtId="0" fontId="116" fillId="0" borderId="39" applyNumberFormat="0" applyFill="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15" fillId="0" borderId="6" applyNumberFormat="0" applyFill="0" applyAlignment="0" applyProtection="0"/>
    <xf numFmtId="0" fontId="115" fillId="0" borderId="6" applyNumberFormat="0" applyFill="0" applyAlignment="0" applyProtection="0"/>
    <xf numFmtId="0" fontId="12"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2" fillId="0" borderId="6" applyNumberFormat="0" applyFill="0" applyAlignment="0" applyProtection="0"/>
    <xf numFmtId="0" fontId="116" fillId="0" borderId="39" applyNumberFormat="0" applyFill="0" applyAlignment="0" applyProtection="0"/>
    <xf numFmtId="0" fontId="116" fillId="0" borderId="39"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2"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2" fillId="0" borderId="6" applyNumberFormat="0" applyFill="0" applyAlignment="0" applyProtection="0"/>
    <xf numFmtId="0" fontId="116" fillId="0" borderId="39" applyNumberFormat="0" applyFill="0" applyAlignment="0" applyProtection="0"/>
    <xf numFmtId="0" fontId="12"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5" fillId="0" borderId="6" applyNumberFormat="0" applyFill="0" applyAlignment="0" applyProtection="0"/>
    <xf numFmtId="0" fontId="116" fillId="0" borderId="39" applyNumberFormat="0" applyFill="0" applyAlignment="0" applyProtection="0"/>
    <xf numFmtId="0" fontId="116" fillId="0" borderId="39" applyNumberFormat="0" applyFill="0" applyAlignment="0" applyProtection="0"/>
    <xf numFmtId="0" fontId="116" fillId="0" borderId="39" applyNumberFormat="0" applyFill="0" applyAlignment="0" applyProtection="0"/>
    <xf numFmtId="0" fontId="117" fillId="0" borderId="6" applyNumberFormat="0" applyFill="0" applyAlignment="0" applyProtection="0"/>
    <xf numFmtId="0" fontId="116" fillId="0" borderId="39" applyNumberFormat="0" applyFill="0" applyAlignment="0" applyProtection="0"/>
    <xf numFmtId="0" fontId="117" fillId="0" borderId="6" applyNumberFormat="0" applyFill="0" applyAlignment="0" applyProtection="0"/>
    <xf numFmtId="0" fontId="117" fillId="0" borderId="6" applyNumberFormat="0" applyFill="0" applyAlignment="0" applyProtection="0"/>
    <xf numFmtId="0" fontId="116" fillId="0" borderId="39" applyNumberFormat="0" applyFill="0" applyAlignment="0" applyProtection="0"/>
    <xf numFmtId="0" fontId="117"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177" fontId="19" fillId="0" borderId="0" applyFont="0" applyFill="0" applyBorder="0" applyAlignment="0" applyProtection="0"/>
    <xf numFmtId="188" fontId="19"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19" fillId="75" borderId="0" applyNumberFormat="0" applyBorder="0" applyAlignment="0" applyProtection="0"/>
    <xf numFmtId="0" fontId="33" fillId="0" borderId="0"/>
    <xf numFmtId="0" fontId="33" fillId="0" borderId="0"/>
    <xf numFmtId="0" fontId="33" fillId="0" borderId="0"/>
    <xf numFmtId="0" fontId="33" fillId="0" borderId="0"/>
    <xf numFmtId="0" fontId="120" fillId="4" borderId="0" applyNumberFormat="0" applyBorder="0" applyAlignment="0" applyProtection="0"/>
    <xf numFmtId="0" fontId="119" fillId="75" borderId="0" applyNumberFormat="0" applyBorder="0" applyAlignment="0" applyProtection="0"/>
    <xf numFmtId="0" fontId="119" fillId="75" borderId="0" applyNumberFormat="0" applyBorder="0" applyAlignment="0" applyProtection="0"/>
    <xf numFmtId="0" fontId="119" fillId="7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18" fillId="4" borderId="0" applyNumberFormat="0" applyBorder="0" applyAlignment="0" applyProtection="0"/>
    <xf numFmtId="0" fontId="118" fillId="4" borderId="0" applyNumberFormat="0" applyBorder="0" applyAlignment="0" applyProtection="0"/>
    <xf numFmtId="0" fontId="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8" fillId="4" borderId="0" applyNumberFormat="0" applyBorder="0" applyAlignment="0" applyProtection="0"/>
    <xf numFmtId="0" fontId="119" fillId="75" borderId="0" applyNumberFormat="0" applyBorder="0" applyAlignment="0" applyProtection="0"/>
    <xf numFmtId="0" fontId="119" fillId="75"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8" fillId="4" borderId="0" applyNumberFormat="0" applyBorder="0" applyAlignment="0" applyProtection="0"/>
    <xf numFmtId="0" fontId="119" fillId="75" borderId="0" applyNumberFormat="0" applyBorder="0" applyAlignment="0" applyProtection="0"/>
    <xf numFmtId="0" fontId="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8" fillId="4" borderId="0" applyNumberFormat="0" applyBorder="0" applyAlignment="0" applyProtection="0"/>
    <xf numFmtId="0" fontId="119" fillId="75" borderId="0" applyNumberFormat="0" applyBorder="0" applyAlignment="0" applyProtection="0"/>
    <xf numFmtId="0" fontId="119" fillId="75" borderId="0" applyNumberFormat="0" applyBorder="0" applyAlignment="0" applyProtection="0"/>
    <xf numFmtId="0" fontId="119" fillId="75" borderId="0" applyNumberFormat="0" applyBorder="0" applyAlignment="0" applyProtection="0"/>
    <xf numFmtId="0" fontId="120" fillId="4" borderId="0" applyNumberFormat="0" applyBorder="0" applyAlignment="0" applyProtection="0"/>
    <xf numFmtId="0" fontId="119" fillId="75" borderId="0" applyNumberFormat="0" applyBorder="0" applyAlignment="0" applyProtection="0"/>
    <xf numFmtId="0" fontId="120" fillId="4" borderId="0" applyNumberFormat="0" applyBorder="0" applyAlignment="0" applyProtection="0"/>
    <xf numFmtId="0" fontId="120" fillId="4" borderId="0" applyNumberFormat="0" applyBorder="0" applyAlignment="0" applyProtection="0"/>
    <xf numFmtId="0" fontId="119" fillId="75" borderId="0" applyNumberFormat="0" applyBorder="0" applyAlignment="0" applyProtection="0"/>
    <xf numFmtId="0" fontId="120"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46" fillId="0" borderId="0" applyNumberFormat="0" applyFill="0" applyAlignment="0" applyProtection="0"/>
    <xf numFmtId="0" fontId="121" fillId="0" borderId="0"/>
    <xf numFmtId="0" fontId="1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1" fillId="0" borderId="0"/>
    <xf numFmtId="0" fontId="19"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9" fillId="0" borderId="0"/>
    <xf numFmtId="0" fontId="122" fillId="0" borderId="0"/>
    <xf numFmtId="0" fontId="33" fillId="0" borderId="0"/>
    <xf numFmtId="0" fontId="1" fillId="0" borderId="0"/>
    <xf numFmtId="0" fontId="1" fillId="0" borderId="0"/>
    <xf numFmtId="0" fontId="1" fillId="0" borderId="0"/>
    <xf numFmtId="0" fontId="1" fillId="0" borderId="0"/>
    <xf numFmtId="0" fontId="122"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23" fillId="0" borderId="0"/>
    <xf numFmtId="0" fontId="19" fillId="0" borderId="0"/>
    <xf numFmtId="0" fontId="123"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43" fillId="0" borderId="0"/>
    <xf numFmtId="0" fontId="43" fillId="0" borderId="0"/>
    <xf numFmtId="0" fontId="43" fillId="0" borderId="0"/>
    <xf numFmtId="0" fontId="43"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38" fontId="124" fillId="0" borderId="0"/>
    <xf numFmtId="38" fontId="124" fillId="0" borderId="0"/>
    <xf numFmtId="0" fontId="29" fillId="0" borderId="0"/>
    <xf numFmtId="0" fontId="29" fillId="0" borderId="0"/>
    <xf numFmtId="0" fontId="82" fillId="0" borderId="0"/>
    <xf numFmtId="0" fontId="1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25" fillId="0" borderId="0"/>
    <xf numFmtId="0" fontId="125" fillId="0" borderId="0"/>
    <xf numFmtId="0" fontId="19" fillId="58" borderId="0" applyFont="0" applyBorder="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33"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126" fillId="0" borderId="0"/>
    <xf numFmtId="0" fontId="1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19" fillId="0" borderId="0"/>
    <xf numFmtId="0" fontId="127" fillId="0" borderId="0"/>
    <xf numFmtId="0" fontId="19" fillId="0" borderId="0"/>
    <xf numFmtId="0" fontId="19" fillId="0" borderId="0"/>
    <xf numFmtId="0" fontId="19" fillId="0" borderId="0"/>
    <xf numFmtId="37" fontId="121" fillId="0" borderId="0"/>
    <xf numFmtId="0" fontId="36" fillId="0" borderId="0"/>
    <xf numFmtId="0" fontId="33" fillId="0" borderId="0"/>
    <xf numFmtId="0" fontId="36"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3" fillId="0" borderId="0"/>
    <xf numFmtId="0" fontId="1" fillId="0" borderId="0"/>
    <xf numFmtId="0" fontId="1" fillId="0" borderId="0"/>
    <xf numFmtId="0" fontId="43" fillId="0" borderId="0"/>
    <xf numFmtId="0" fontId="1" fillId="0" borderId="0"/>
    <xf numFmtId="0" fontId="3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3" fillId="0" borderId="0"/>
    <xf numFmtId="0" fontId="1" fillId="0" borderId="0"/>
    <xf numFmtId="0" fontId="1" fillId="0" borderId="0"/>
    <xf numFmtId="0" fontId="43" fillId="0" borderId="0"/>
    <xf numFmtId="0" fontId="1" fillId="0" borderId="0"/>
    <xf numFmtId="0" fontId="3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3" fillId="0" borderId="0"/>
    <xf numFmtId="0" fontId="1" fillId="0" borderId="0"/>
    <xf numFmtId="0" fontId="1" fillId="0" borderId="0"/>
    <xf numFmtId="0" fontId="43" fillId="0" borderId="0"/>
    <xf numFmtId="0" fontId="43" fillId="0" borderId="0"/>
    <xf numFmtId="0" fontId="1" fillId="0" borderId="0"/>
    <xf numFmtId="0" fontId="1" fillId="0" borderId="0"/>
    <xf numFmtId="0" fontId="1" fillId="0" borderId="0"/>
    <xf numFmtId="0" fontId="19" fillId="0" borderId="0"/>
    <xf numFmtId="0" fontId="43" fillId="0" borderId="0"/>
    <xf numFmtId="0" fontId="43" fillId="0" borderId="0"/>
    <xf numFmtId="0" fontId="43" fillId="0" borderId="0"/>
    <xf numFmtId="0" fontId="43" fillId="0" borderId="0"/>
    <xf numFmtId="0" fontId="19" fillId="0" borderId="0"/>
    <xf numFmtId="0" fontId="43" fillId="0" borderId="0"/>
    <xf numFmtId="0" fontId="29" fillId="0" borderId="0"/>
    <xf numFmtId="0" fontId="19" fillId="0" borderId="0"/>
    <xf numFmtId="0" fontId="19" fillId="0" borderId="0"/>
    <xf numFmtId="0" fontId="1" fillId="0" borderId="0"/>
    <xf numFmtId="0" fontId="19" fillId="0" borderId="0"/>
    <xf numFmtId="0" fontId="19" fillId="0" borderId="0"/>
    <xf numFmtId="0" fontId="19" fillId="0" borderId="0"/>
    <xf numFmtId="0" fontId="19" fillId="0" borderId="0"/>
    <xf numFmtId="0" fontId="1" fillId="0" borderId="0"/>
    <xf numFmtId="0" fontId="2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9" fillId="0" borderId="0"/>
    <xf numFmtId="0" fontId="33"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33" fillId="0" borderId="0"/>
    <xf numFmtId="0" fontId="1" fillId="0" borderId="0"/>
    <xf numFmtId="0" fontId="1" fillId="0" borderId="0"/>
    <xf numFmtId="0" fontId="1" fillId="0" borderId="0"/>
    <xf numFmtId="0" fontId="1" fillId="0" borderId="0"/>
    <xf numFmtId="0" fontId="19"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26" fillId="0" borderId="0"/>
    <xf numFmtId="0" fontId="19"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26"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28" fillId="0" borderId="0"/>
    <xf numFmtId="0" fontId="43" fillId="0" borderId="0"/>
    <xf numFmtId="0" fontId="128" fillId="0" borderId="0"/>
    <xf numFmtId="0" fontId="128" fillId="0" borderId="0"/>
    <xf numFmtId="0" fontId="43" fillId="0" borderId="0"/>
    <xf numFmtId="0" fontId="43" fillId="0" borderId="0"/>
    <xf numFmtId="0" fontId="19"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3" fillId="0" borderId="0"/>
    <xf numFmtId="0" fontId="43" fillId="0" borderId="0"/>
    <xf numFmtId="0" fontId="29"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19"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9" fillId="0" borderId="0"/>
    <xf numFmtId="0" fontId="19" fillId="0" borderId="0"/>
    <xf numFmtId="0" fontId="1" fillId="0" borderId="0"/>
    <xf numFmtId="0" fontId="1" fillId="0" borderId="0"/>
    <xf numFmtId="0" fontId="19" fillId="0" borderId="0"/>
    <xf numFmtId="0" fontId="1" fillId="0" borderId="0"/>
    <xf numFmtId="0" fontId="33" fillId="0" borderId="0"/>
    <xf numFmtId="0" fontId="1" fillId="0" borderId="0"/>
    <xf numFmtId="0" fontId="1" fillId="0" borderId="0"/>
    <xf numFmtId="0" fontId="1"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9" fillId="0" borderId="0">
      <alignment vertical="center"/>
    </xf>
    <xf numFmtId="0" fontId="129" fillId="0" borderId="0"/>
    <xf numFmtId="0" fontId="19" fillId="0" borderId="0">
      <alignment vertical="center"/>
    </xf>
    <xf numFmtId="0" fontId="129" fillId="0" borderId="0"/>
    <xf numFmtId="0" fontId="33" fillId="0" borderId="0"/>
    <xf numFmtId="0" fontId="129" fillId="0" borderId="0"/>
    <xf numFmtId="0" fontId="33" fillId="0" borderId="0"/>
    <xf numFmtId="0" fontId="33" fillId="0" borderId="0"/>
    <xf numFmtId="0" fontId="33" fillId="0" borderId="0"/>
    <xf numFmtId="0" fontId="33" fillId="0" borderId="0"/>
    <xf numFmtId="0" fontId="33" fillId="0" borderId="0"/>
    <xf numFmtId="0" fontId="33" fillId="0" borderId="0"/>
    <xf numFmtId="0" fontId="19" fillId="0" borderId="0"/>
    <xf numFmtId="0" fontId="19" fillId="0" borderId="0"/>
    <xf numFmtId="0" fontId="19" fillId="0" borderId="0"/>
    <xf numFmtId="0" fontId="1" fillId="0" borderId="0"/>
    <xf numFmtId="0" fontId="19" fillId="0" borderId="0"/>
    <xf numFmtId="0" fontId="1" fillId="0" borderId="0"/>
    <xf numFmtId="0" fontId="33" fillId="0" borderId="0"/>
    <xf numFmtId="0" fontId="33" fillId="0" borderId="0"/>
    <xf numFmtId="0" fontId="33" fillId="0" borderId="0"/>
    <xf numFmtId="0" fontId="33" fillId="0" borderId="0"/>
    <xf numFmtId="0" fontId="33" fillId="0" borderId="0"/>
    <xf numFmtId="0" fontId="82" fillId="0" borderId="0"/>
    <xf numFmtId="0" fontId="82" fillId="0" borderId="0"/>
    <xf numFmtId="0" fontId="29" fillId="0" borderId="0"/>
    <xf numFmtId="0" fontId="129" fillId="0" borderId="0"/>
    <xf numFmtId="0" fontId="44" fillId="0" borderId="0"/>
    <xf numFmtId="0" fontId="44" fillId="0" borderId="0"/>
    <xf numFmtId="0" fontId="1" fillId="0" borderId="0"/>
    <xf numFmtId="0" fontId="44" fillId="0" borderId="0"/>
    <xf numFmtId="0" fontId="44" fillId="0" borderId="0"/>
    <xf numFmtId="0" fontId="44"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44" fillId="0" borderId="0"/>
    <xf numFmtId="0" fontId="44"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44"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33"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19" fillId="0" borderId="0">
      <alignment wrapText="1"/>
    </xf>
    <xf numFmtId="0" fontId="19" fillId="0" borderId="0"/>
    <xf numFmtId="0" fontId="19" fillId="0" borderId="0"/>
    <xf numFmtId="0" fontId="1" fillId="0" borderId="0"/>
    <xf numFmtId="0" fontId="128"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44" fillId="0" borderId="0"/>
    <xf numFmtId="0" fontId="44" fillId="0" borderId="0"/>
    <xf numFmtId="0" fontId="44" fillId="0" borderId="0"/>
    <xf numFmtId="0" fontId="19"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44" fillId="0" borderId="0"/>
    <xf numFmtId="0" fontId="1" fillId="0" borderId="0"/>
    <xf numFmtId="0" fontId="1" fillId="0" borderId="0"/>
    <xf numFmtId="0" fontId="33"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0" fontId="44" fillId="0" borderId="0"/>
    <xf numFmtId="0" fontId="44" fillId="0" borderId="0"/>
    <xf numFmtId="0" fontId="44" fillId="0" borderId="0"/>
    <xf numFmtId="0" fontId="19" fillId="0" borderId="0"/>
    <xf numFmtId="0" fontId="19" fillId="0" borderId="0">
      <alignment vertical="center"/>
    </xf>
    <xf numFmtId="0" fontId="33" fillId="0" borderId="0"/>
    <xf numFmtId="0" fontId="43" fillId="0" borderId="0"/>
    <xf numFmtId="0" fontId="43" fillId="0" borderId="0"/>
    <xf numFmtId="0" fontId="1" fillId="0" borderId="0"/>
    <xf numFmtId="0" fontId="43" fillId="0" borderId="0"/>
    <xf numFmtId="0" fontId="43" fillId="0" borderId="0"/>
    <xf numFmtId="0" fontId="1"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3" fillId="0" borderId="0"/>
    <xf numFmtId="0" fontId="43"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9" fillId="0" borderId="0"/>
    <xf numFmtId="0" fontId="1" fillId="0" borderId="0"/>
    <xf numFmtId="0" fontId="44"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44" fillId="0" borderId="0"/>
    <xf numFmtId="0" fontId="1" fillId="0" borderId="0"/>
    <xf numFmtId="0" fontId="44" fillId="0" borderId="0"/>
    <xf numFmtId="0" fontId="33" fillId="0" borderId="0"/>
    <xf numFmtId="0" fontId="1" fillId="0" borderId="0"/>
    <xf numFmtId="0" fontId="1" fillId="0" borderId="0"/>
    <xf numFmtId="0" fontId="1" fillId="0" borderId="0"/>
    <xf numFmtId="0" fontId="1" fillId="0" borderId="0"/>
    <xf numFmtId="0" fontId="44" fillId="0" borderId="0"/>
    <xf numFmtId="0" fontId="44" fillId="0" borderId="0"/>
    <xf numFmtId="0" fontId="1" fillId="0" borderId="0"/>
    <xf numFmtId="0" fontId="1" fillId="0" borderId="0"/>
    <xf numFmtId="0" fontId="44" fillId="0" borderId="0"/>
    <xf numFmtId="0" fontId="44" fillId="0" borderId="0"/>
    <xf numFmtId="0" fontId="44" fillId="0" borderId="0"/>
    <xf numFmtId="0" fontId="1" fillId="0" borderId="0"/>
    <xf numFmtId="0" fontId="44" fillId="0" borderId="0"/>
    <xf numFmtId="0" fontId="19"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33" fillId="0" borderId="0"/>
    <xf numFmtId="0" fontId="1" fillId="0" borderId="0"/>
    <xf numFmtId="0" fontId="44" fillId="0" borderId="0"/>
    <xf numFmtId="0" fontId="44" fillId="0" borderId="0"/>
    <xf numFmtId="0" fontId="33" fillId="0" borderId="0"/>
    <xf numFmtId="0" fontId="1" fillId="0" borderId="0"/>
    <xf numFmtId="0" fontId="1" fillId="0" borderId="0"/>
    <xf numFmtId="0" fontId="1" fillId="0" borderId="0"/>
    <xf numFmtId="0" fontId="1" fillId="0" borderId="0"/>
    <xf numFmtId="0" fontId="44" fillId="0" borderId="0"/>
    <xf numFmtId="0" fontId="44" fillId="0" borderId="0"/>
    <xf numFmtId="0" fontId="1" fillId="0" borderId="0"/>
    <xf numFmtId="0" fontId="1" fillId="0" borderId="0"/>
    <xf numFmtId="0" fontId="44" fillId="0" borderId="0"/>
    <xf numFmtId="0" fontId="44" fillId="0" borderId="0"/>
    <xf numFmtId="0" fontId="44" fillId="0" borderId="0"/>
    <xf numFmtId="0" fontId="45" fillId="0" borderId="0"/>
    <xf numFmtId="0" fontId="44" fillId="0" borderId="0"/>
    <xf numFmtId="0" fontId="44"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81" fillId="0" borderId="0"/>
    <xf numFmtId="0" fontId="1" fillId="0" borderId="0"/>
    <xf numFmtId="0" fontId="81" fillId="0" borderId="0"/>
    <xf numFmtId="0" fontId="19" fillId="0" borderId="0"/>
    <xf numFmtId="0" fontId="81" fillId="0" borderId="0"/>
    <xf numFmtId="0" fontId="19" fillId="0" borderId="0"/>
    <xf numFmtId="0" fontId="81" fillId="0" borderId="0"/>
    <xf numFmtId="0" fontId="19" fillId="0" borderId="0"/>
    <xf numFmtId="0" fontId="81" fillId="0" borderId="0"/>
    <xf numFmtId="0" fontId="19" fillId="0" borderId="0"/>
    <xf numFmtId="0" fontId="81" fillId="0" borderId="0"/>
    <xf numFmtId="0" fontId="19" fillId="0" borderId="0"/>
    <xf numFmtId="0" fontId="81" fillId="0" borderId="0"/>
    <xf numFmtId="0" fontId="19" fillId="0" borderId="0"/>
    <xf numFmtId="0" fontId="81" fillId="0" borderId="0"/>
    <xf numFmtId="0" fontId="19" fillId="0" borderId="0"/>
    <xf numFmtId="0" fontId="81" fillId="0" borderId="0"/>
    <xf numFmtId="0" fontId="19" fillId="0" borderId="0"/>
    <xf numFmtId="0" fontId="81" fillId="0" borderId="0"/>
    <xf numFmtId="0" fontId="19" fillId="0" borderId="0"/>
    <xf numFmtId="0" fontId="81" fillId="0" borderId="0"/>
    <xf numFmtId="0" fontId="19" fillId="0" borderId="0"/>
    <xf numFmtId="0" fontId="1" fillId="0" borderId="0"/>
    <xf numFmtId="0" fontId="19" fillId="0" borderId="0"/>
    <xf numFmtId="0" fontId="33" fillId="0" borderId="0"/>
    <xf numFmtId="0" fontId="33"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33" fillId="0" borderId="0"/>
    <xf numFmtId="0" fontId="1" fillId="0" borderId="0"/>
    <xf numFmtId="0" fontId="19"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3" fillId="0" borderId="0"/>
    <xf numFmtId="0" fontId="19" fillId="0" borderId="0"/>
    <xf numFmtId="0" fontId="1" fillId="0" borderId="0"/>
    <xf numFmtId="0" fontId="19" fillId="0" borderId="0"/>
    <xf numFmtId="0" fontId="19" fillId="0" borderId="0"/>
    <xf numFmtId="0" fontId="1" fillId="0" borderId="0"/>
    <xf numFmtId="0" fontId="19" fillId="0" borderId="0"/>
    <xf numFmtId="0" fontId="19" fillId="0" borderId="0"/>
    <xf numFmtId="0" fontId="82" fillId="0" borderId="0"/>
    <xf numFmtId="0" fontId="82" fillId="0" borderId="0"/>
    <xf numFmtId="0" fontId="19"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82" fillId="0" borderId="0"/>
    <xf numFmtId="0" fontId="1" fillId="0" borderId="0"/>
    <xf numFmtId="0" fontId="1" fillId="0" borderId="0"/>
    <xf numFmtId="0" fontId="1" fillId="0" borderId="0"/>
    <xf numFmtId="0" fontId="1" fillId="0" borderId="0"/>
    <xf numFmtId="0" fontId="1" fillId="0" borderId="0"/>
    <xf numFmtId="0" fontId="130" fillId="0" borderId="0">
      <alignment horizontal="left"/>
    </xf>
    <xf numFmtId="0" fontId="19"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33" fillId="0" borderId="0"/>
    <xf numFmtId="0" fontId="33" fillId="76" borderId="40" applyNumberFormat="0" applyFont="0" applyAlignment="0" applyProtection="0"/>
    <xf numFmtId="0" fontId="1" fillId="8" borderId="8" applyNumberFormat="0" applyFont="0" applyAlignment="0" applyProtection="0"/>
    <xf numFmtId="0" fontId="33" fillId="76" borderId="40"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33" fillId="76" borderId="40" applyNumberFormat="0" applyFont="0" applyAlignment="0" applyProtection="0"/>
    <xf numFmtId="0" fontId="1" fillId="8" borderId="8" applyNumberFormat="0" applyFont="0" applyAlignment="0" applyProtection="0"/>
    <xf numFmtId="0" fontId="19" fillId="76" borderId="40"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33" fillId="76" borderId="40"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76" borderId="40"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9" fillId="76" borderId="40"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9" fillId="76" borderId="40"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33" fillId="76" borderId="40"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76" borderId="40"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19" fillId="76" borderId="40"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33" fillId="76" borderId="40" applyNumberFormat="0" applyFont="0" applyAlignment="0" applyProtection="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76" borderId="40" applyNumberFormat="0" applyFont="0" applyAlignment="0" applyProtection="0"/>
    <xf numFmtId="0" fontId="33" fillId="0" borderId="0"/>
    <xf numFmtId="0" fontId="33" fillId="0" borderId="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3" fillId="76" borderId="40" applyNumberFormat="0" applyFont="0" applyAlignment="0" applyProtection="0"/>
    <xf numFmtId="0" fontId="33" fillId="0" borderId="0"/>
    <xf numFmtId="0" fontId="33" fillId="0" borderId="0"/>
    <xf numFmtId="0" fontId="33" fillId="0" borderId="0"/>
    <xf numFmtId="0" fontId="33" fillId="0" borderId="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33" fillId="76" borderId="40" applyNumberFormat="0" applyFont="0" applyAlignment="0" applyProtection="0"/>
    <xf numFmtId="0" fontId="33" fillId="76" borderId="40" applyNumberFormat="0" applyFont="0" applyAlignment="0" applyProtection="0"/>
    <xf numFmtId="0" fontId="33"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44" fillId="8" borderId="8" applyNumberFormat="0" applyFont="0" applyAlignment="0" applyProtection="0"/>
    <xf numFmtId="0" fontId="33" fillId="76" borderId="40"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43"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44" fillId="8" borderId="8" applyNumberFormat="0" applyFont="0" applyAlignment="0" applyProtection="0"/>
    <xf numFmtId="0" fontId="33" fillId="76" borderId="40" applyNumberFormat="0" applyFont="0" applyAlignment="0" applyProtection="0"/>
    <xf numFmtId="0" fontId="44"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9" fillId="76" borderId="40" applyNumberFormat="0" applyFont="0" applyAlignment="0" applyProtection="0"/>
    <xf numFmtId="0" fontId="19" fillId="76" borderId="40"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59" fillId="0" borderId="0"/>
    <xf numFmtId="0" fontId="33" fillId="0" borderId="0"/>
    <xf numFmtId="0" fontId="33" fillId="0" borderId="0"/>
    <xf numFmtId="0" fontId="33" fillId="0" borderId="0"/>
    <xf numFmtId="0" fontId="33" fillId="0" borderId="0"/>
    <xf numFmtId="0" fontId="59" fillId="0" borderId="0"/>
    <xf numFmtId="189" fontId="46" fillId="0" borderId="0" applyFill="0" applyBorder="0" applyAlignment="0" applyProtection="0"/>
    <xf numFmtId="39" fontId="19" fillId="0" borderId="0"/>
    <xf numFmtId="190" fontId="19" fillId="0" borderId="0"/>
    <xf numFmtId="4" fontId="19" fillId="0" borderId="0"/>
    <xf numFmtId="0" fontId="131" fillId="63" borderId="40">
      <alignment vertical="center"/>
    </xf>
    <xf numFmtId="183" fontId="19" fillId="77" borderId="41">
      <alignment vertical="center"/>
      <protection locked="0"/>
    </xf>
    <xf numFmtId="183" fontId="18" fillId="77" borderId="41" applyFont="0">
      <alignment vertical="center"/>
      <protection locked="0"/>
    </xf>
    <xf numFmtId="3" fontId="19" fillId="78" borderId="38" applyFont="0">
      <alignment horizontal="right" vertical="center"/>
      <protection locked="0"/>
    </xf>
    <xf numFmtId="3" fontId="19" fillId="78" borderId="38" applyFont="0">
      <alignment horizontal="right" vertical="center"/>
      <protection locked="0"/>
    </xf>
    <xf numFmtId="3" fontId="19" fillId="79" borderId="13">
      <alignment horizontal="right"/>
      <protection locked="0"/>
    </xf>
    <xf numFmtId="3" fontId="19" fillId="79" borderId="13" applyFont="0">
      <alignment horizontal="right" vertical="center"/>
      <protection locked="0"/>
    </xf>
    <xf numFmtId="3" fontId="19" fillId="78" borderId="38" applyFont="0">
      <alignment horizontal="right" vertical="center"/>
      <protection locked="0"/>
    </xf>
    <xf numFmtId="3" fontId="19" fillId="79" borderId="13">
      <alignment horizontal="right"/>
      <protection locked="0"/>
    </xf>
    <xf numFmtId="0" fontId="33" fillId="0" borderId="0"/>
    <xf numFmtId="184" fontId="19" fillId="79" borderId="13" applyFont="0">
      <alignment horizontal="right" vertical="center"/>
      <protection locked="0"/>
    </xf>
    <xf numFmtId="184" fontId="19" fillId="78" borderId="38" applyFont="0">
      <alignment horizontal="right" vertical="center"/>
      <protection locked="0"/>
    </xf>
    <xf numFmtId="10" fontId="19" fillId="79" borderId="13" applyFont="0">
      <alignment horizontal="right" vertical="center"/>
      <protection locked="0"/>
    </xf>
    <xf numFmtId="10" fontId="19" fillId="78" borderId="38" applyFont="0">
      <alignment horizontal="right" vertical="center"/>
      <protection locked="0"/>
    </xf>
    <xf numFmtId="9" fontId="19" fillId="79" borderId="13" applyFont="0">
      <alignment horizontal="right" vertical="center"/>
      <protection locked="0"/>
    </xf>
    <xf numFmtId="9" fontId="19" fillId="78" borderId="38" applyFont="0">
      <alignment horizontal="right" vertical="center"/>
      <protection locked="0"/>
    </xf>
    <xf numFmtId="186" fontId="19" fillId="79" borderId="13" applyFont="0">
      <alignment horizontal="right" vertical="center"/>
      <protection locked="0"/>
    </xf>
    <xf numFmtId="186" fontId="19" fillId="78" borderId="38" applyFont="0">
      <alignment horizontal="right" vertical="center"/>
      <protection locked="0"/>
    </xf>
    <xf numFmtId="187" fontId="19" fillId="79" borderId="19" applyFont="0">
      <alignment horizontal="right" vertical="center"/>
      <protection locked="0"/>
    </xf>
    <xf numFmtId="187" fontId="19" fillId="79" borderId="19" applyFont="0">
      <alignment horizontal="right" vertical="center"/>
      <protection locked="0"/>
    </xf>
    <xf numFmtId="0" fontId="19" fillId="79" borderId="13" applyFont="0">
      <alignment horizontal="center" vertical="center" wrapText="1"/>
      <protection locked="0"/>
    </xf>
    <xf numFmtId="0" fontId="19" fillId="78" borderId="38" applyFont="0">
      <alignment horizontal="center" vertical="center" wrapText="1"/>
      <protection locked="0"/>
    </xf>
    <xf numFmtId="0" fontId="19" fillId="79" borderId="13" applyNumberFormat="0" applyFont="0">
      <alignment horizontal="center" vertical="center" wrapText="1"/>
      <protection locked="0"/>
    </xf>
    <xf numFmtId="0" fontId="19" fillId="78" borderId="38" applyNumberFormat="0" applyFont="0">
      <alignment horizontal="center" vertical="center" wrapText="1"/>
      <protection locked="0"/>
    </xf>
    <xf numFmtId="2" fontId="132" fillId="58" borderId="26">
      <alignment horizontal="left"/>
    </xf>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33" fillId="6" borderId="5" applyNumberFormat="0" applyAlignment="0" applyProtection="0"/>
    <xf numFmtId="0" fontId="133"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34" fillId="59" borderId="42" applyNumberFormat="0" applyAlignment="0" applyProtection="0"/>
    <xf numFmtId="0" fontId="33" fillId="0" borderId="0"/>
    <xf numFmtId="0" fontId="33" fillId="0" borderId="0"/>
    <xf numFmtId="0" fontId="33" fillId="0" borderId="0"/>
    <xf numFmtId="0" fontId="33" fillId="0" borderId="0"/>
    <xf numFmtId="0" fontId="135" fillId="6" borderId="5" applyNumberFormat="0" applyAlignment="0" applyProtection="0"/>
    <xf numFmtId="0" fontId="134" fillId="59" borderId="42" applyNumberFormat="0" applyAlignment="0" applyProtection="0"/>
    <xf numFmtId="0" fontId="134" fillId="59" borderId="42" applyNumberFormat="0" applyAlignment="0" applyProtection="0"/>
    <xf numFmtId="0" fontId="134" fillId="59" borderId="42" applyNumberFormat="0" applyAlignment="0" applyProtection="0"/>
    <xf numFmtId="0" fontId="134" fillId="59" borderId="42" applyNumberFormat="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33" fillId="6" borderId="5" applyNumberFormat="0" applyAlignment="0" applyProtection="0"/>
    <xf numFmtId="0" fontId="133" fillId="6" borderId="5" applyNumberFormat="0" applyAlignment="0" applyProtection="0"/>
    <xf numFmtId="0" fontId="10"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0" fillId="6" borderId="5" applyNumberFormat="0" applyAlignment="0" applyProtection="0"/>
    <xf numFmtId="0" fontId="134" fillId="59" borderId="42" applyNumberFormat="0" applyAlignment="0" applyProtection="0"/>
    <xf numFmtId="0" fontId="134" fillId="59" borderId="42" applyNumberFormat="0" applyAlignment="0" applyProtection="0"/>
    <xf numFmtId="0" fontId="10" fillId="6" borderId="5" applyNumberFormat="0" applyAlignment="0" applyProtection="0"/>
    <xf numFmtId="0" fontId="10"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0"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0" fillId="6" borderId="5" applyNumberFormat="0" applyAlignment="0" applyProtection="0"/>
    <xf numFmtId="0" fontId="134" fillId="59" borderId="42" applyNumberFormat="0" applyAlignment="0" applyProtection="0"/>
    <xf numFmtId="0" fontId="10"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3" fillId="6" borderId="5" applyNumberFormat="0" applyAlignment="0" applyProtection="0"/>
    <xf numFmtId="0" fontId="134" fillId="59" borderId="42" applyNumberFormat="0" applyAlignment="0" applyProtection="0"/>
    <xf numFmtId="0" fontId="134" fillId="59" borderId="42" applyNumberFormat="0" applyAlignment="0" applyProtection="0"/>
    <xf numFmtId="0" fontId="134" fillId="59" borderId="42" applyNumberFormat="0" applyAlignment="0" applyProtection="0"/>
    <xf numFmtId="0" fontId="135" fillId="6" borderId="5" applyNumberFormat="0" applyAlignment="0" applyProtection="0"/>
    <xf numFmtId="0" fontId="134" fillId="59" borderId="42" applyNumberFormat="0" applyAlignment="0" applyProtection="0"/>
    <xf numFmtId="0" fontId="135" fillId="6" borderId="5" applyNumberFormat="0" applyAlignment="0" applyProtection="0"/>
    <xf numFmtId="0" fontId="135" fillId="6" borderId="5" applyNumberFormat="0" applyAlignment="0" applyProtection="0"/>
    <xf numFmtId="0" fontId="134" fillId="59" borderId="42" applyNumberFormat="0" applyAlignment="0" applyProtection="0"/>
    <xf numFmtId="0" fontId="135"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191" fontId="35" fillId="58" borderId="0">
      <alignment horizontal="right"/>
    </xf>
    <xf numFmtId="0" fontId="136" fillId="62" borderId="0">
      <alignment horizontal="center"/>
    </xf>
    <xf numFmtId="0" fontId="137" fillId="58" borderId="26"/>
    <xf numFmtId="18" fontId="138" fillId="58" borderId="0" applyBorder="0">
      <alignment horizontal="center" vertical="center"/>
    </xf>
    <xf numFmtId="0" fontId="139" fillId="80" borderId="0" applyBorder="0">
      <alignment horizontal="centerContinuous"/>
    </xf>
    <xf numFmtId="10" fontId="121" fillId="0" borderId="0"/>
    <xf numFmtId="0" fontId="33" fillId="0" borderId="0"/>
    <xf numFmtId="0" fontId="33"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33"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36"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82" fillId="0" borderId="0" applyFont="0" applyFill="0" applyBorder="0" applyAlignment="0" applyProtection="0"/>
    <xf numFmtId="9" fontId="36" fillId="0" borderId="0" applyFont="0" applyFill="0" applyBorder="0" applyAlignment="0" applyProtection="0"/>
    <xf numFmtId="0" fontId="33" fillId="0" borderId="0"/>
    <xf numFmtId="0" fontId="33" fillId="0" borderId="0"/>
    <xf numFmtId="9" fontId="19" fillId="0" borderId="0">
      <alignment vertical="center"/>
    </xf>
    <xf numFmtId="9" fontId="19" fillId="0" borderId="0" applyFont="0" applyFill="0" applyBorder="0" applyAlignment="0" applyProtection="0"/>
    <xf numFmtId="0" fontId="33" fillId="0" borderId="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8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8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33" fillId="0" borderId="0"/>
    <xf numFmtId="9" fontId="82" fillId="0" borderId="0" applyFont="0" applyFill="0" applyBorder="0" applyAlignment="0" applyProtection="0"/>
    <xf numFmtId="0" fontId="36" fillId="0" borderId="0" applyNumberFormat="0" applyFont="0" applyFill="0" applyBorder="0" applyAlignment="0" applyProtection="0">
      <alignment horizontal="left"/>
    </xf>
    <xf numFmtId="0" fontId="36" fillId="0" borderId="0" applyNumberFormat="0" applyFont="0" applyFill="0" applyBorder="0" applyAlignment="0" applyProtection="0">
      <alignment horizontal="left"/>
    </xf>
    <xf numFmtId="0" fontId="36" fillId="0" borderId="0" applyNumberFormat="0" applyFont="0" applyFill="0" applyBorder="0" applyAlignment="0" applyProtection="0">
      <alignment horizontal="left"/>
    </xf>
    <xf numFmtId="0" fontId="36" fillId="0" borderId="0" applyNumberFormat="0" applyFont="0" applyFill="0" applyBorder="0" applyAlignment="0" applyProtection="0">
      <alignment horizontal="left"/>
    </xf>
    <xf numFmtId="0" fontId="36" fillId="0" borderId="0" applyNumberFormat="0" applyFont="0" applyFill="0" applyBorder="0" applyAlignment="0" applyProtection="0">
      <alignment horizontal="left"/>
    </xf>
    <xf numFmtId="15" fontId="36" fillId="0" borderId="0" applyFont="0" applyFill="0" applyBorder="0" applyAlignment="0" applyProtection="0"/>
    <xf numFmtId="15" fontId="36" fillId="0" borderId="0" applyFont="0" applyFill="0" applyBorder="0" applyAlignment="0" applyProtection="0"/>
    <xf numFmtId="15" fontId="36" fillId="0" borderId="0" applyFont="0" applyFill="0" applyBorder="0" applyAlignment="0" applyProtection="0"/>
    <xf numFmtId="15" fontId="36" fillId="0" borderId="0" applyFont="0" applyFill="0" applyBorder="0" applyAlignment="0" applyProtection="0"/>
    <xf numFmtId="15" fontId="36" fillId="0" borderId="0" applyFont="0" applyFill="0" applyBorder="0" applyAlignment="0" applyProtection="0"/>
    <xf numFmtId="4" fontId="36" fillId="0" borderId="0" applyFont="0" applyFill="0" applyBorder="0" applyAlignment="0" applyProtection="0"/>
    <xf numFmtId="4" fontId="36" fillId="0" borderId="0" applyFont="0" applyFill="0" applyBorder="0" applyAlignment="0" applyProtection="0"/>
    <xf numFmtId="4" fontId="36" fillId="0" borderId="0" applyFont="0" applyFill="0" applyBorder="0" applyAlignment="0" applyProtection="0"/>
    <xf numFmtId="4" fontId="36" fillId="0" borderId="0" applyFont="0" applyFill="0" applyBorder="0" applyAlignment="0" applyProtection="0"/>
    <xf numFmtId="4" fontId="36" fillId="0" borderId="0" applyFont="0" applyFill="0" applyBorder="0" applyAlignment="0" applyProtection="0"/>
    <xf numFmtId="0" fontId="140" fillId="0" borderId="30">
      <alignment horizontal="center"/>
    </xf>
    <xf numFmtId="0" fontId="140" fillId="0" borderId="30">
      <alignment horizontal="center"/>
    </xf>
    <xf numFmtId="0" fontId="140" fillId="0" borderId="30">
      <alignment horizontal="center"/>
    </xf>
    <xf numFmtId="0" fontId="140" fillId="0" borderId="30">
      <alignment horizontal="center"/>
    </xf>
    <xf numFmtId="0" fontId="140" fillId="0" borderId="30">
      <alignment horizontal="center"/>
    </xf>
    <xf numFmtId="3" fontId="36" fillId="0" borderId="0" applyFont="0" applyFill="0" applyBorder="0" applyAlignment="0" applyProtection="0"/>
    <xf numFmtId="3" fontId="36" fillId="0" borderId="0" applyFont="0" applyFill="0" applyBorder="0" applyAlignment="0" applyProtection="0"/>
    <xf numFmtId="3" fontId="36" fillId="0" borderId="0" applyFont="0" applyFill="0" applyBorder="0" applyAlignment="0" applyProtection="0"/>
    <xf numFmtId="0" fontId="36" fillId="81" borderId="0" applyNumberFormat="0" applyFont="0" applyBorder="0" applyAlignment="0" applyProtection="0"/>
    <xf numFmtId="0" fontId="36" fillId="81" borderId="0" applyNumberFormat="0" applyFont="0" applyBorder="0" applyAlignment="0" applyProtection="0"/>
    <xf numFmtId="0" fontId="36" fillId="81" borderId="0" applyNumberFormat="0" applyFont="0" applyBorder="0" applyAlignment="0" applyProtection="0"/>
    <xf numFmtId="192" fontId="87" fillId="63" borderId="0" applyFill="0"/>
    <xf numFmtId="192" fontId="87" fillId="63" borderId="0" applyFill="0"/>
    <xf numFmtId="4" fontId="59" fillId="63" borderId="0" applyFill="0"/>
    <xf numFmtId="4" fontId="59" fillId="63" borderId="0" applyFill="0"/>
    <xf numFmtId="0" fontId="141" fillId="0" borderId="0">
      <alignment horizontal="left" indent="7"/>
    </xf>
    <xf numFmtId="0" fontId="19" fillId="0" borderId="0">
      <alignment horizontal="left" indent="7"/>
    </xf>
    <xf numFmtId="0" fontId="141" fillId="0" borderId="0">
      <alignment horizontal="left" indent="7"/>
    </xf>
    <xf numFmtId="0" fontId="19" fillId="0" borderId="0">
      <alignment horizontal="left" indent="7"/>
    </xf>
    <xf numFmtId="0" fontId="33" fillId="0" borderId="0"/>
    <xf numFmtId="0" fontId="87" fillId="0" borderId="0" applyFill="0">
      <alignment horizontal="left"/>
    </xf>
    <xf numFmtId="0" fontId="59" fillId="0" borderId="0" applyFill="0">
      <alignment horizontal="left" indent="7"/>
    </xf>
    <xf numFmtId="0" fontId="59" fillId="0" borderId="0" applyFill="0">
      <alignment horizontal="left" indent="7"/>
    </xf>
    <xf numFmtId="192" fontId="87" fillId="0" borderId="0" applyFill="0">
      <alignment horizontal="right"/>
    </xf>
    <xf numFmtId="192" fontId="87" fillId="0" borderId="0" applyFill="0">
      <alignment horizontal="right"/>
    </xf>
    <xf numFmtId="175" fontId="142" fillId="0" borderId="20" applyFill="0">
      <alignment horizontal="right"/>
    </xf>
    <xf numFmtId="175" fontId="142" fillId="0" borderId="20" applyFill="0">
      <alignment horizontal="right"/>
    </xf>
    <xf numFmtId="0" fontId="18" fillId="0" borderId="13" applyNumberFormat="0" applyFont="0" applyBorder="0">
      <alignment horizontal="right"/>
    </xf>
    <xf numFmtId="0" fontId="18" fillId="0" borderId="13" applyNumberFormat="0" applyFont="0" applyBorder="0">
      <alignment horizontal="right"/>
    </xf>
    <xf numFmtId="0" fontId="18" fillId="0" borderId="13" applyNumberFormat="0" applyFont="0" applyBorder="0">
      <alignment horizontal="right"/>
    </xf>
    <xf numFmtId="0" fontId="87" fillId="0" borderId="13" applyNumberFormat="0" applyBorder="0"/>
    <xf numFmtId="0" fontId="18" fillId="0" borderId="13" applyNumberFormat="0" applyFont="0" applyBorder="0">
      <alignment horizontal="right"/>
    </xf>
    <xf numFmtId="0" fontId="143" fillId="0" borderId="0" applyFill="0"/>
    <xf numFmtId="0" fontId="87" fillId="0" borderId="0" applyFill="0"/>
    <xf numFmtId="0" fontId="143" fillId="0" borderId="0" applyFill="0"/>
    <xf numFmtId="0" fontId="143" fillId="0" borderId="0" applyFill="0"/>
    <xf numFmtId="0" fontId="62" fillId="0" borderId="0" applyFill="0"/>
    <xf numFmtId="0" fontId="87" fillId="0" borderId="0" applyFill="0"/>
    <xf numFmtId="0" fontId="62" fillId="0" borderId="0" applyFill="0"/>
    <xf numFmtId="0" fontId="62" fillId="0" borderId="0" applyFill="0"/>
    <xf numFmtId="192" fontId="87" fillId="0" borderId="0" applyFill="0"/>
    <xf numFmtId="192" fontId="87" fillId="0" borderId="0" applyFill="0"/>
    <xf numFmtId="4" fontId="142" fillId="0" borderId="20" applyFill="0"/>
    <xf numFmtId="4" fontId="142" fillId="0" borderId="20" applyFill="0"/>
    <xf numFmtId="0" fontId="19" fillId="0" borderId="0" applyNumberFormat="0" applyFont="0" applyBorder="0" applyAlignment="0"/>
    <xf numFmtId="0" fontId="19" fillId="0" borderId="0" applyNumberFormat="0" applyFont="0" applyBorder="0" applyAlignment="0"/>
    <xf numFmtId="0" fontId="64" fillId="0" borderId="0" applyFill="0">
      <alignment horizontal="left" indent="1"/>
    </xf>
    <xf numFmtId="0" fontId="87" fillId="0" borderId="0" applyFill="0"/>
    <xf numFmtId="0" fontId="64" fillId="0" borderId="0" applyFill="0">
      <alignment horizontal="left" indent="1"/>
    </xf>
    <xf numFmtId="0" fontId="64" fillId="0" borderId="0" applyFill="0">
      <alignment horizontal="left" indent="1"/>
    </xf>
    <xf numFmtId="0" fontId="144" fillId="0" borderId="0" applyFill="0">
      <alignment horizontal="left" indent="1"/>
    </xf>
    <xf numFmtId="0" fontId="87" fillId="0" borderId="0" applyFill="0">
      <alignment horizontal="left" indent="1"/>
    </xf>
    <xf numFmtId="0" fontId="144" fillId="0" borderId="0" applyFill="0">
      <alignment horizontal="left" indent="1"/>
    </xf>
    <xf numFmtId="0" fontId="144" fillId="0" borderId="0" applyFill="0">
      <alignment horizontal="left" indent="1"/>
    </xf>
    <xf numFmtId="192" fontId="87" fillId="0" borderId="0" applyFill="0"/>
    <xf numFmtId="192" fontId="87" fillId="0" borderId="0" applyFill="0"/>
    <xf numFmtId="4" fontId="66" fillId="0" borderId="0" applyFill="0"/>
    <xf numFmtId="4" fontId="66" fillId="0" borderId="0" applyFill="0"/>
    <xf numFmtId="0" fontId="19" fillId="0" borderId="0" applyNumberFormat="0" applyFont="0" applyFill="0" applyBorder="0" applyAlignment="0"/>
    <xf numFmtId="0" fontId="19" fillId="0" borderId="0" applyNumberFormat="0" applyFont="0" applyFill="0" applyBorder="0" applyAlignment="0"/>
    <xf numFmtId="0" fontId="64" fillId="0" borderId="0" applyFill="0">
      <alignment horizontal="left" indent="2"/>
    </xf>
    <xf numFmtId="0" fontId="87" fillId="0" borderId="0" applyFill="0"/>
    <xf numFmtId="0" fontId="64" fillId="0" borderId="0" applyFill="0">
      <alignment horizontal="left" indent="2"/>
    </xf>
    <xf numFmtId="0" fontId="64" fillId="0" borderId="0" applyFill="0">
      <alignment horizontal="left" indent="2"/>
    </xf>
    <xf numFmtId="0" fontId="62" fillId="0" borderId="0" applyFill="0">
      <alignment horizontal="left" indent="2"/>
    </xf>
    <xf numFmtId="0" fontId="87" fillId="0" borderId="0" applyFill="0">
      <alignment horizontal="left" indent="1"/>
    </xf>
    <xf numFmtId="0" fontId="62" fillId="0" borderId="0" applyFill="0">
      <alignment horizontal="left" indent="2"/>
    </xf>
    <xf numFmtId="0" fontId="62" fillId="0" borderId="0" applyFill="0">
      <alignment horizontal="left" indent="2"/>
    </xf>
    <xf numFmtId="192" fontId="87" fillId="0" borderId="0" applyFill="0"/>
    <xf numFmtId="192" fontId="87" fillId="0" borderId="0" applyFill="0"/>
    <xf numFmtId="4" fontId="66" fillId="0" borderId="0" applyFill="0"/>
    <xf numFmtId="4" fontId="66" fillId="0" borderId="0" applyFill="0"/>
    <xf numFmtId="0" fontId="19" fillId="0" borderId="0" applyNumberFormat="0" applyFont="0" applyBorder="0" applyAlignment="0"/>
    <xf numFmtId="0" fontId="19" fillId="0" borderId="0" applyNumberFormat="0" applyFont="0" applyBorder="0" applyAlignment="0"/>
    <xf numFmtId="0" fontId="145" fillId="0" borderId="0">
      <alignment horizontal="left" indent="3"/>
    </xf>
    <xf numFmtId="0" fontId="87" fillId="0" borderId="0"/>
    <xf numFmtId="0" fontId="145" fillId="0" borderId="0">
      <alignment horizontal="left" indent="3"/>
    </xf>
    <xf numFmtId="0" fontId="145" fillId="0" borderId="0">
      <alignment horizontal="left" indent="3"/>
    </xf>
    <xf numFmtId="0" fontId="146" fillId="0" borderId="0" applyFill="0">
      <alignment horizontal="left" indent="3"/>
    </xf>
    <xf numFmtId="0" fontId="87" fillId="0" borderId="0" applyFill="0">
      <alignment horizontal="left" indent="1"/>
    </xf>
    <xf numFmtId="0" fontId="146" fillId="0" borderId="0" applyFill="0">
      <alignment horizontal="left" indent="3"/>
    </xf>
    <xf numFmtId="0" fontId="146" fillId="0" borderId="0" applyFill="0">
      <alignment horizontal="left" indent="3"/>
    </xf>
    <xf numFmtId="4" fontId="66" fillId="0" borderId="0" applyFill="0"/>
    <xf numFmtId="192" fontId="87" fillId="0" borderId="0" applyFill="0"/>
    <xf numFmtId="4" fontId="66" fillId="0" borderId="0" applyFill="0"/>
    <xf numFmtId="4" fontId="66" fillId="0" borderId="0" applyFill="0"/>
    <xf numFmtId="0" fontId="19" fillId="0" borderId="0" applyNumberFormat="0" applyFont="0" applyBorder="0" applyAlignment="0"/>
    <xf numFmtId="0" fontId="19" fillId="0" borderId="0" applyNumberFormat="0" applyFont="0" applyBorder="0" applyAlignment="0"/>
    <xf numFmtId="0" fontId="67" fillId="0" borderId="0">
      <alignment horizontal="left" indent="4"/>
    </xf>
    <xf numFmtId="0" fontId="87" fillId="0" borderId="0"/>
    <xf numFmtId="0" fontId="67" fillId="0" borderId="0">
      <alignment horizontal="left" indent="4"/>
    </xf>
    <xf numFmtId="0" fontId="67" fillId="0" borderId="0">
      <alignment horizontal="left" indent="4"/>
    </xf>
    <xf numFmtId="0" fontId="19" fillId="0" borderId="0" applyFill="0">
      <alignment horizontal="left" indent="4"/>
    </xf>
    <xf numFmtId="0" fontId="19" fillId="0" borderId="0" applyFill="0">
      <alignment horizontal="left" indent="4"/>
    </xf>
    <xf numFmtId="0" fontId="19" fillId="0" borderId="0" applyFill="0">
      <alignment horizontal="left" indent="4"/>
    </xf>
    <xf numFmtId="0" fontId="87" fillId="0" borderId="0" applyFill="0">
      <alignment horizontal="left" indent="1"/>
    </xf>
    <xf numFmtId="0" fontId="19" fillId="0" borderId="0" applyFill="0">
      <alignment horizontal="left" indent="4"/>
    </xf>
    <xf numFmtId="4" fontId="68" fillId="0" borderId="0" applyFill="0"/>
    <xf numFmtId="192" fontId="87" fillId="0" borderId="0" applyFill="0"/>
    <xf numFmtId="4" fontId="68" fillId="0" borderId="0" applyFill="0"/>
    <xf numFmtId="4" fontId="68" fillId="0" borderId="0" applyFill="0"/>
    <xf numFmtId="0" fontId="19" fillId="0" borderId="0" applyNumberFormat="0" applyFont="0" applyBorder="0" applyAlignment="0"/>
    <xf numFmtId="0" fontId="19" fillId="0" borderId="0" applyNumberFormat="0" applyFont="0" applyBorder="0" applyAlignment="0"/>
    <xf numFmtId="0" fontId="69" fillId="0" borderId="0">
      <alignment horizontal="left" indent="5"/>
    </xf>
    <xf numFmtId="0" fontId="87" fillId="0" borderId="0"/>
    <xf numFmtId="0" fontId="69" fillId="0" borderId="0">
      <alignment horizontal="left" indent="5"/>
    </xf>
    <xf numFmtId="0" fontId="69" fillId="0" borderId="0">
      <alignment horizontal="left" indent="5"/>
    </xf>
    <xf numFmtId="0" fontId="70" fillId="0" borderId="0" applyFill="0">
      <alignment horizontal="left" indent="5"/>
    </xf>
    <xf numFmtId="0" fontId="87" fillId="0" borderId="0" applyFill="0">
      <alignment horizontal="left" indent="1"/>
    </xf>
    <xf numFmtId="0" fontId="70" fillId="0" borderId="0" applyFill="0">
      <alignment horizontal="left" indent="5"/>
    </xf>
    <xf numFmtId="0" fontId="70" fillId="0" borderId="0" applyFill="0">
      <alignment horizontal="left" indent="5"/>
    </xf>
    <xf numFmtId="4" fontId="71" fillId="0" borderId="0" applyFill="0"/>
    <xf numFmtId="192" fontId="87" fillId="0" borderId="0" applyFill="0"/>
    <xf numFmtId="4" fontId="71" fillId="0" borderId="0" applyFill="0"/>
    <xf numFmtId="4" fontId="71" fillId="0" borderId="0" applyFill="0"/>
    <xf numFmtId="0" fontId="19" fillId="0" borderId="0" applyNumberFormat="0" applyFont="0" applyFill="0" applyBorder="0" applyAlignment="0"/>
    <xf numFmtId="0" fontId="19" fillId="0" borderId="0" applyNumberFormat="0" applyFont="0" applyFill="0" applyBorder="0" applyAlignment="0"/>
    <xf numFmtId="0" fontId="72" fillId="0" borderId="0" applyFill="0">
      <alignment horizontal="left" indent="6"/>
    </xf>
    <xf numFmtId="0" fontId="87" fillId="0" borderId="0" applyFill="0"/>
    <xf numFmtId="0" fontId="72" fillId="0" borderId="0" applyFill="0">
      <alignment horizontal="left" indent="6"/>
    </xf>
    <xf numFmtId="0" fontId="72" fillId="0" borderId="0" applyFill="0">
      <alignment horizontal="left" indent="6"/>
    </xf>
    <xf numFmtId="0" fontId="68" fillId="0" borderId="0" applyFill="0">
      <alignment horizontal="left" indent="6"/>
    </xf>
    <xf numFmtId="0" fontId="87" fillId="0" borderId="0" applyFill="0">
      <alignment horizontal="left" indent="1"/>
    </xf>
    <xf numFmtId="0" fontId="68" fillId="0" borderId="0" applyFill="0">
      <alignment horizontal="left" indent="6"/>
    </xf>
    <xf numFmtId="0" fontId="68" fillId="0" borderId="0" applyFill="0">
      <alignment horizontal="left" indent="6"/>
    </xf>
    <xf numFmtId="0" fontId="147" fillId="0" borderId="43"/>
    <xf numFmtId="3" fontId="19" fillId="82" borderId="13" applyFont="0">
      <alignment horizontal="right" vertical="center"/>
      <protection locked="0"/>
    </xf>
    <xf numFmtId="193" fontId="19" fillId="58" borderId="13" applyFont="0">
      <alignment horizontal="center" vertical="center"/>
    </xf>
    <xf numFmtId="3" fontId="19" fillId="58" borderId="13" applyFont="0">
      <alignment horizontal="right" vertical="center"/>
    </xf>
    <xf numFmtId="3" fontId="19" fillId="58" borderId="13" applyFont="0">
      <alignment horizontal="right" vertical="center"/>
    </xf>
    <xf numFmtId="194" fontId="19" fillId="58" borderId="13" applyFont="0">
      <alignment horizontal="right" vertical="center"/>
    </xf>
    <xf numFmtId="194" fontId="19" fillId="58" borderId="13" applyFont="0">
      <alignment horizontal="right" vertical="center"/>
    </xf>
    <xf numFmtId="184" fontId="19" fillId="58" borderId="13" applyFont="0">
      <alignment horizontal="right" vertical="center"/>
    </xf>
    <xf numFmtId="10" fontId="19" fillId="58" borderId="13" applyFont="0">
      <alignment horizontal="right" vertical="center"/>
    </xf>
    <xf numFmtId="9" fontId="19" fillId="58" borderId="13" applyFont="0">
      <alignment horizontal="right" vertical="center"/>
    </xf>
    <xf numFmtId="195" fontId="19" fillId="58" borderId="13" applyFont="0">
      <alignment horizontal="center" vertical="center" wrapText="1"/>
    </xf>
    <xf numFmtId="0" fontId="46" fillId="0" borderId="20" applyNumberFormat="0" applyFill="0" applyAlignment="0" applyProtection="0"/>
    <xf numFmtId="0" fontId="128" fillId="0" borderId="0"/>
    <xf numFmtId="0" fontId="19" fillId="0" borderId="0">
      <alignment vertical="top"/>
    </xf>
    <xf numFmtId="0" fontId="148" fillId="0" borderId="0"/>
    <xf numFmtId="0" fontId="148" fillId="0" borderId="0"/>
    <xf numFmtId="0" fontId="148" fillId="0" borderId="0"/>
    <xf numFmtId="0" fontId="36" fillId="0" borderId="0"/>
    <xf numFmtId="0" fontId="32" fillId="0" borderId="0"/>
    <xf numFmtId="0" fontId="32" fillId="0" borderId="0"/>
    <xf numFmtId="0" fontId="32" fillId="0" borderId="0"/>
    <xf numFmtId="0" fontId="32" fillId="0" borderId="0"/>
    <xf numFmtId="0" fontId="149" fillId="0" borderId="44"/>
    <xf numFmtId="0" fontId="150" fillId="0" borderId="0"/>
    <xf numFmtId="183" fontId="19" fillId="83" borderId="13" applyFont="0">
      <alignment vertical="center"/>
    </xf>
    <xf numFmtId="1" fontId="19" fillId="83" borderId="13" applyFont="0">
      <alignment horizontal="right" vertical="center"/>
    </xf>
    <xf numFmtId="185" fontId="19" fillId="83" borderId="13" applyFont="0">
      <alignment vertical="center"/>
    </xf>
    <xf numFmtId="9" fontId="19" fillId="83" borderId="13" applyFont="0">
      <alignment horizontal="right" vertical="center"/>
    </xf>
    <xf numFmtId="186" fontId="19" fillId="83" borderId="13" applyFont="0">
      <alignment horizontal="right" vertical="center"/>
    </xf>
    <xf numFmtId="10" fontId="19" fillId="83" borderId="13" applyFont="0">
      <alignment horizontal="right" vertical="center"/>
    </xf>
    <xf numFmtId="0" fontId="19" fillId="83" borderId="13" applyFont="0">
      <alignment horizontal="center" vertical="center" wrapText="1"/>
    </xf>
    <xf numFmtId="49" fontId="19" fillId="83" borderId="13" applyFont="0">
      <alignment vertical="center"/>
    </xf>
    <xf numFmtId="185" fontId="19" fillId="84" borderId="13" applyFont="0">
      <alignment vertical="center"/>
    </xf>
    <xf numFmtId="9" fontId="19" fillId="84" borderId="13" applyFont="0">
      <alignment horizontal="right" vertical="center"/>
    </xf>
    <xf numFmtId="183" fontId="19" fillId="85" borderId="13">
      <alignment vertical="center"/>
    </xf>
    <xf numFmtId="183" fontId="19" fillId="85" borderId="13">
      <alignment vertical="center"/>
    </xf>
    <xf numFmtId="185" fontId="19" fillId="86" borderId="13" applyFont="0">
      <alignment horizontal="right" vertical="center"/>
    </xf>
    <xf numFmtId="185" fontId="19" fillId="87" borderId="13" applyFont="0">
      <alignment horizontal="right" vertical="center"/>
    </xf>
    <xf numFmtId="1" fontId="19" fillId="86" borderId="13" applyFont="0">
      <alignment horizontal="right" vertical="center"/>
    </xf>
    <xf numFmtId="1" fontId="19" fillId="86" borderId="13" applyFont="0">
      <alignment horizontal="right" vertical="center"/>
    </xf>
    <xf numFmtId="185" fontId="19" fillId="86" borderId="13" applyFont="0">
      <alignment vertical="center"/>
    </xf>
    <xf numFmtId="185" fontId="19" fillId="86" borderId="13" applyFont="0">
      <alignment vertical="center"/>
    </xf>
    <xf numFmtId="184" fontId="19" fillId="86" borderId="13" applyFont="0">
      <alignment vertical="center"/>
    </xf>
    <xf numFmtId="184" fontId="19" fillId="87" borderId="13" applyFont="0">
      <alignment vertical="center"/>
    </xf>
    <xf numFmtId="10" fontId="19" fillId="86" borderId="13" applyFont="0">
      <alignment horizontal="right" vertical="center"/>
    </xf>
    <xf numFmtId="10" fontId="19" fillId="87" borderId="13" applyFont="0">
      <alignment horizontal="right" vertical="center"/>
    </xf>
    <xf numFmtId="9" fontId="19" fillId="86" borderId="13" applyFont="0">
      <alignment horizontal="right" vertical="center"/>
    </xf>
    <xf numFmtId="9" fontId="19" fillId="87" borderId="13" applyFont="0">
      <alignment horizontal="right" vertical="center"/>
    </xf>
    <xf numFmtId="186" fontId="19" fillId="86" borderId="13" applyFont="0">
      <alignment horizontal="right" vertical="center"/>
    </xf>
    <xf numFmtId="186" fontId="19" fillId="87" borderId="13" applyFont="0">
      <alignment horizontal="right" vertical="center"/>
    </xf>
    <xf numFmtId="10" fontId="19" fillId="86" borderId="15" applyFont="0">
      <alignment horizontal="right" vertical="center"/>
    </xf>
    <xf numFmtId="10" fontId="19" fillId="86" borderId="15" applyFont="0">
      <alignment horizontal="right" vertical="center"/>
    </xf>
    <xf numFmtId="0" fontId="19" fillId="86" borderId="13" applyFont="0">
      <alignment horizontal="center" vertical="center" wrapText="1"/>
    </xf>
    <xf numFmtId="0" fontId="19" fillId="86" borderId="13" applyFont="0">
      <alignment horizontal="center" vertical="center" wrapText="1"/>
    </xf>
    <xf numFmtId="49" fontId="19" fillId="86" borderId="13" applyFont="0">
      <alignment vertical="center"/>
    </xf>
    <xf numFmtId="49" fontId="19" fillId="86" borderId="13" applyFont="0">
      <alignment vertical="center"/>
    </xf>
    <xf numFmtId="0" fontId="33" fillId="0" borderId="0"/>
    <xf numFmtId="39" fontId="151" fillId="88" borderId="0">
      <alignment horizontal="center"/>
    </xf>
    <xf numFmtId="49" fontId="19"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52" fillId="0" borderId="0" applyNumberFormat="0" applyFill="0" applyBorder="0" applyAlignment="0" applyProtection="0"/>
    <xf numFmtId="0" fontId="33" fillId="0" borderId="0"/>
    <xf numFmtId="0" fontId="33" fillId="0" borderId="0"/>
    <xf numFmtId="0" fontId="33" fillId="0" borderId="0"/>
    <xf numFmtId="0" fontId="33" fillId="0" borderId="0"/>
    <xf numFmtId="0" fontId="152" fillId="0" borderId="0" applyNumberFormat="0" applyFill="0" applyBorder="0" applyAlignment="0" applyProtection="0"/>
    <xf numFmtId="0" fontId="152" fillId="0" borderId="0" applyNumberFormat="0" applyFill="0" applyBorder="0" applyAlignment="0" applyProtection="0"/>
    <xf numFmtId="0" fontId="152" fillId="0" borderId="0" applyNumberFormat="0" applyFill="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5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5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52" fillId="0" borderId="0" applyNumberFormat="0" applyFill="0" applyBorder="0" applyAlignment="0" applyProtection="0"/>
    <xf numFmtId="0" fontId="152" fillId="0" borderId="0" applyNumberFormat="0" applyFill="0" applyBorder="0" applyAlignment="0" applyProtection="0"/>
    <xf numFmtId="0" fontId="152" fillId="0" borderId="0" applyNumberFormat="0" applyFill="0" applyBorder="0" applyAlignment="0" applyProtection="0"/>
    <xf numFmtId="0" fontId="2" fillId="0" borderId="0" applyNumberFormat="0" applyFill="0" applyBorder="0" applyAlignment="0" applyProtection="0"/>
    <xf numFmtId="0" fontId="15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5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54" fillId="0" borderId="45" applyNumberFormat="0" applyFill="0" applyAlignment="0" applyProtection="0"/>
    <xf numFmtId="0" fontId="33" fillId="0" borderId="0"/>
    <xf numFmtId="0" fontId="33" fillId="0" borderId="0"/>
    <xf numFmtId="0" fontId="33" fillId="0" borderId="0"/>
    <xf numFmtId="0" fontId="33" fillId="0" borderId="0"/>
    <xf numFmtId="0" fontId="155" fillId="0" borderId="9" applyNumberFormat="0" applyFill="0" applyAlignment="0" applyProtection="0"/>
    <xf numFmtId="0" fontId="154" fillId="0" borderId="45" applyNumberFormat="0" applyFill="0" applyAlignment="0" applyProtection="0"/>
    <xf numFmtId="0" fontId="154" fillId="0" borderId="45" applyNumberFormat="0" applyFill="0" applyAlignment="0" applyProtection="0"/>
    <xf numFmtId="0" fontId="154" fillId="0" borderId="45" applyNumberFormat="0" applyFill="0" applyAlignment="0" applyProtection="0"/>
    <xf numFmtId="0" fontId="154" fillId="0" borderId="45" applyNumberFormat="0" applyFill="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53" fillId="0" borderId="9" applyNumberFormat="0" applyFill="0" applyAlignment="0" applyProtection="0"/>
    <xf numFmtId="0" fontId="153" fillId="0" borderId="9" applyNumberFormat="0" applyFill="0" applyAlignment="0" applyProtection="0"/>
    <xf numFmtId="0" fontId="16"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6" fillId="0" borderId="9" applyNumberFormat="0" applyFill="0" applyAlignment="0" applyProtection="0"/>
    <xf numFmtId="0" fontId="154" fillId="0" borderId="45" applyNumberFormat="0" applyFill="0" applyAlignment="0" applyProtection="0"/>
    <xf numFmtId="0" fontId="154" fillId="0" borderId="4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6"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6" fillId="0" borderId="9" applyNumberFormat="0" applyFill="0" applyAlignment="0" applyProtection="0"/>
    <xf numFmtId="0" fontId="154" fillId="0" borderId="45" applyNumberFormat="0" applyFill="0" applyAlignment="0" applyProtection="0"/>
    <xf numFmtId="0" fontId="16"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3" fillId="0" borderId="9" applyNumberFormat="0" applyFill="0" applyAlignment="0" applyProtection="0"/>
    <xf numFmtId="0" fontId="154" fillId="0" borderId="45" applyNumberFormat="0" applyFill="0" applyAlignment="0" applyProtection="0"/>
    <xf numFmtId="0" fontId="154" fillId="0" borderId="45" applyNumberFormat="0" applyFill="0" applyAlignment="0" applyProtection="0"/>
    <xf numFmtId="0" fontId="154" fillId="0" borderId="45" applyNumberFormat="0" applyFill="0" applyAlignment="0" applyProtection="0"/>
    <xf numFmtId="0" fontId="155" fillId="0" borderId="9" applyNumberFormat="0" applyFill="0" applyAlignment="0" applyProtection="0"/>
    <xf numFmtId="0" fontId="154" fillId="0" borderId="45" applyNumberFormat="0" applyFill="0" applyAlignment="0" applyProtection="0"/>
    <xf numFmtId="0" fontId="155" fillId="0" borderId="9" applyNumberFormat="0" applyFill="0" applyAlignment="0" applyProtection="0"/>
    <xf numFmtId="0" fontId="155" fillId="0" borderId="9" applyNumberFormat="0" applyFill="0" applyAlignment="0" applyProtection="0"/>
    <xf numFmtId="0" fontId="154" fillId="0" borderId="45" applyNumberFormat="0" applyFill="0" applyAlignment="0" applyProtection="0"/>
    <xf numFmtId="0" fontId="155"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196" fontId="19" fillId="0" borderId="0">
      <alignment horizontal="right"/>
    </xf>
    <xf numFmtId="42" fontId="19" fillId="0" borderId="0" applyFont="0" applyFill="0" applyBorder="0" applyAlignment="0" applyProtection="0"/>
    <xf numFmtId="44" fontId="19" fillId="0" borderId="0" applyFont="0" applyFill="0" applyBorder="0" applyAlignment="0" applyProtection="0"/>
    <xf numFmtId="3" fontId="36" fillId="0" borderId="0" applyFon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7" fillId="0" borderId="0" applyNumberFormat="0" applyFill="0" applyBorder="0" applyAlignment="0" applyProtection="0"/>
    <xf numFmtId="0" fontId="33" fillId="0" borderId="0"/>
    <xf numFmtId="0" fontId="33" fillId="0" borderId="0"/>
    <xf numFmtId="0" fontId="33" fillId="0" borderId="0"/>
    <xf numFmtId="0" fontId="33" fillId="0" borderId="0"/>
    <xf numFmtId="0" fontId="158" fillId="0" borderId="0" applyNumberFormat="0" applyFill="0" applyBorder="0" applyAlignment="0" applyProtection="0"/>
    <xf numFmtId="0" fontId="157" fillId="0" borderId="0" applyNumberFormat="0" applyFill="0" applyBorder="0" applyAlignment="0" applyProtection="0"/>
    <xf numFmtId="0" fontId="157" fillId="0" borderId="0" applyNumberFormat="0" applyFill="0" applyBorder="0" applyAlignment="0" applyProtection="0"/>
    <xf numFmtId="0" fontId="157" fillId="0" borderId="0" applyNumberFormat="0" applyFill="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56" fillId="0" borderId="0" applyNumberFormat="0" applyFill="0" applyBorder="0" applyAlignment="0" applyProtection="0"/>
    <xf numFmtId="0" fontId="156" fillId="0" borderId="0" applyNumberFormat="0" applyFill="0" applyBorder="0" applyAlignment="0" applyProtection="0"/>
    <xf numFmtId="0" fontId="14"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4" fillId="0" borderId="0" applyNumberFormat="0" applyFill="0" applyBorder="0" applyAlignment="0" applyProtection="0"/>
    <xf numFmtId="0" fontId="157" fillId="0" borderId="0" applyNumberFormat="0" applyFill="0" applyBorder="0" applyAlignment="0" applyProtection="0"/>
    <xf numFmtId="0" fontId="157"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4"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4" fillId="0" borderId="0" applyNumberFormat="0" applyFill="0" applyBorder="0" applyAlignment="0" applyProtection="0"/>
    <xf numFmtId="0" fontId="157" fillId="0" borderId="0" applyNumberFormat="0" applyFill="0" applyBorder="0" applyAlignment="0" applyProtection="0"/>
    <xf numFmtId="0" fontId="14"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6" fillId="0" borderId="0" applyNumberFormat="0" applyFill="0" applyBorder="0" applyAlignment="0" applyProtection="0"/>
    <xf numFmtId="0" fontId="157" fillId="0" borderId="0" applyNumberFormat="0" applyFill="0" applyBorder="0" applyAlignment="0" applyProtection="0"/>
    <xf numFmtId="0" fontId="157" fillId="0" borderId="0" applyNumberFormat="0" applyFill="0" applyBorder="0" applyAlignment="0" applyProtection="0"/>
    <xf numFmtId="0" fontId="157" fillId="0" borderId="0" applyNumberFormat="0" applyFill="0" applyBorder="0" applyAlignment="0" applyProtection="0"/>
    <xf numFmtId="0" fontId="159" fillId="0" borderId="0" applyNumberFormat="0" applyFill="0" applyBorder="0" applyAlignment="0" applyProtection="0"/>
    <xf numFmtId="0" fontId="157" fillId="0" borderId="0" applyNumberFormat="0" applyFill="0" applyBorder="0" applyAlignment="0" applyProtection="0"/>
    <xf numFmtId="0" fontId="159" fillId="0" borderId="0" applyNumberFormat="0" applyFill="0" applyBorder="0" applyAlignment="0" applyProtection="0"/>
    <xf numFmtId="0" fontId="159" fillId="0" borderId="0" applyNumberFormat="0" applyFill="0" applyBorder="0" applyAlignment="0" applyProtection="0"/>
    <xf numFmtId="0" fontId="157" fillId="0" borderId="0" applyNumberFormat="0" applyFill="0" applyBorder="0" applyAlignment="0" applyProtection="0"/>
    <xf numFmtId="0" fontId="159"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66" fillId="0" borderId="0" applyNumberFormat="0" applyFill="0" applyBorder="0" applyAlignment="0" applyProtection="0"/>
  </cellStyleXfs>
  <cellXfs count="212">
    <xf numFmtId="0" fontId="0" fillId="0" borderId="0" xfId="0"/>
    <xf numFmtId="0" fontId="1" fillId="0" borderId="0" xfId="3"/>
    <xf numFmtId="0" fontId="17" fillId="33" borderId="11" xfId="3" applyNumberFormat="1" applyFont="1" applyFill="1" applyBorder="1" applyAlignment="1"/>
    <xf numFmtId="0" fontId="17" fillId="33" borderId="12" xfId="3" applyNumberFormat="1" applyFont="1" applyFill="1" applyBorder="1" applyAlignment="1"/>
    <xf numFmtId="0" fontId="19" fillId="0" borderId="0" xfId="5"/>
    <xf numFmtId="10" fontId="22" fillId="0" borderId="0" xfId="6" applyNumberFormat="1" applyFont="1" applyFill="1" applyBorder="1"/>
    <xf numFmtId="9" fontId="0" fillId="0" borderId="16" xfId="6" applyFont="1" applyFill="1" applyBorder="1" applyAlignment="1">
      <alignment horizontal="center"/>
    </xf>
    <xf numFmtId="9" fontId="0" fillId="0" borderId="13" xfId="6" applyFont="1" applyFill="1" applyBorder="1" applyAlignment="1">
      <alignment horizontal="center"/>
    </xf>
    <xf numFmtId="10" fontId="0" fillId="0" borderId="0" xfId="2" applyNumberFormat="1" applyFont="1" applyFill="1" applyBorder="1"/>
    <xf numFmtId="10" fontId="27" fillId="35" borderId="15" xfId="6" applyNumberFormat="1" applyFont="1" applyFill="1" applyBorder="1" applyAlignment="1">
      <alignment horizontal="center"/>
    </xf>
    <xf numFmtId="9" fontId="0" fillId="0" borderId="23" xfId="6" applyFont="1" applyBorder="1" applyAlignment="1">
      <alignment horizontal="center"/>
    </xf>
    <xf numFmtId="9" fontId="0" fillId="0" borderId="23" xfId="6" applyFont="1" applyFill="1" applyBorder="1" applyAlignment="1">
      <alignment horizontal="center"/>
    </xf>
    <xf numFmtId="9" fontId="0" fillId="0" borderId="13" xfId="6" applyFont="1" applyBorder="1" applyAlignment="1">
      <alignment horizontal="center"/>
    </xf>
    <xf numFmtId="9" fontId="0" fillId="0" borderId="13" xfId="6" applyNumberFormat="1" applyFont="1" applyBorder="1" applyAlignment="1">
      <alignment horizontal="center"/>
    </xf>
    <xf numFmtId="9" fontId="18" fillId="35" borderId="13" xfId="6" applyFont="1" applyFill="1" applyBorder="1"/>
    <xf numFmtId="9" fontId="0" fillId="0" borderId="23" xfId="6" applyNumberFormat="1" applyFont="1" applyBorder="1" applyAlignment="1">
      <alignment horizontal="center"/>
    </xf>
    <xf numFmtId="43" fontId="18" fillId="0" borderId="11" xfId="4" applyNumberFormat="1" applyFont="1" applyFill="1" applyBorder="1" applyAlignment="1">
      <alignment horizontal="center" vertical="center"/>
    </xf>
    <xf numFmtId="0" fontId="25" fillId="0" borderId="10" xfId="3" applyNumberFormat="1" applyFont="1" applyFill="1" applyBorder="1" applyAlignment="1">
      <alignment horizontal="center" vertical="center"/>
    </xf>
    <xf numFmtId="0" fontId="25" fillId="0" borderId="11" xfId="3" applyNumberFormat="1" applyFont="1" applyFill="1" applyBorder="1" applyAlignment="1">
      <alignment horizontal="center" vertical="center"/>
    </xf>
    <xf numFmtId="14" fontId="25" fillId="0" borderId="11" xfId="3" applyNumberFormat="1" applyFont="1" applyFill="1" applyBorder="1" applyAlignment="1">
      <alignment horizontal="center" vertical="center"/>
    </xf>
    <xf numFmtId="0" fontId="25" fillId="0" borderId="12" xfId="3" applyNumberFormat="1" applyFont="1" applyFill="1" applyBorder="1" applyAlignment="1">
      <alignment horizontal="center" vertical="center"/>
    </xf>
    <xf numFmtId="0" fontId="160" fillId="0" borderId="0" xfId="3" applyFont="1" applyFill="1"/>
    <xf numFmtId="0" fontId="160" fillId="0" borderId="0" xfId="0" applyFont="1" applyFill="1"/>
    <xf numFmtId="164" fontId="0" fillId="0" borderId="0" xfId="1" applyNumberFormat="1" applyFont="1"/>
    <xf numFmtId="0" fontId="19" fillId="0" borderId="0" xfId="5" applyFill="1" applyBorder="1"/>
    <xf numFmtId="0" fontId="19" fillId="0" borderId="0" xfId="5" applyFont="1" applyFill="1" applyBorder="1" applyAlignment="1">
      <alignment horizontal="left"/>
    </xf>
    <xf numFmtId="0" fontId="31" fillId="0" borderId="0" xfId="5" applyFont="1" applyFill="1" applyBorder="1" applyAlignment="1">
      <alignment horizontal="left"/>
    </xf>
    <xf numFmtId="164" fontId="0" fillId="36" borderId="23" xfId="7" applyNumberFormat="1" applyFont="1" applyFill="1" applyBorder="1"/>
    <xf numFmtId="0" fontId="19" fillId="0" borderId="13" xfId="5" applyFont="1" applyFill="1" applyBorder="1" applyAlignment="1">
      <alignment horizontal="left"/>
    </xf>
    <xf numFmtId="0" fontId="19" fillId="0" borderId="14" xfId="5" applyFill="1" applyBorder="1"/>
    <xf numFmtId="0" fontId="19" fillId="0" borderId="23" xfId="5" applyFont="1" applyFill="1" applyBorder="1" applyAlignment="1">
      <alignment horizontal="left"/>
    </xf>
    <xf numFmtId="164" fontId="18" fillId="0" borderId="14" xfId="7" applyNumberFormat="1" applyFont="1" applyFill="1" applyBorder="1" applyAlignment="1">
      <alignment horizontal="center"/>
    </xf>
    <xf numFmtId="43" fontId="18" fillId="0" borderId="14" xfId="7" applyFont="1" applyFill="1" applyBorder="1" applyAlignment="1">
      <alignment horizontal="center"/>
    </xf>
    <xf numFmtId="0" fontId="26" fillId="35" borderId="14" xfId="5" applyFont="1" applyFill="1" applyBorder="1" applyAlignment="1"/>
    <xf numFmtId="164" fontId="19" fillId="0" borderId="0" xfId="5" applyNumberFormat="1" applyFill="1" applyBorder="1"/>
    <xf numFmtId="164" fontId="0" fillId="0" borderId="0" xfId="7" applyNumberFormat="1" applyFont="1" applyFill="1" applyBorder="1"/>
    <xf numFmtId="164" fontId="18" fillId="35" borderId="15" xfId="5" applyNumberFormat="1" applyFont="1" applyFill="1" applyBorder="1"/>
    <xf numFmtId="3" fontId="18" fillId="35" borderId="16" xfId="5" applyNumberFormat="1" applyFont="1" applyFill="1" applyBorder="1"/>
    <xf numFmtId="0" fontId="18" fillId="35" borderId="13" xfId="5" applyFont="1" applyFill="1" applyBorder="1" applyAlignment="1"/>
    <xf numFmtId="0" fontId="19" fillId="0" borderId="13" xfId="5" applyBorder="1"/>
    <xf numFmtId="164" fontId="0" fillId="36" borderId="13" xfId="7" applyNumberFormat="1" applyFont="1" applyFill="1" applyBorder="1"/>
    <xf numFmtId="164" fontId="19" fillId="0" borderId="0" xfId="5" applyNumberFormat="1"/>
    <xf numFmtId="0" fontId="19" fillId="0" borderId="17" xfId="5" applyBorder="1" applyAlignment="1"/>
    <xf numFmtId="3" fontId="19" fillId="0" borderId="0" xfId="5" applyNumberFormat="1" applyBorder="1" applyAlignment="1"/>
    <xf numFmtId="0" fontId="19" fillId="0" borderId="17" xfId="5" applyBorder="1" applyAlignment="1">
      <alignment horizontal="left" indent="2"/>
    </xf>
    <xf numFmtId="0" fontId="19" fillId="0" borderId="13" xfId="5" applyFont="1" applyBorder="1"/>
    <xf numFmtId="0" fontId="19" fillId="0" borderId="13" xfId="5" applyFont="1" applyBorder="1" applyAlignment="1">
      <alignment horizontal="left"/>
    </xf>
    <xf numFmtId="0" fontId="19" fillId="0" borderId="0" xfId="5" applyFill="1" applyBorder="1" applyAlignment="1"/>
    <xf numFmtId="0" fontId="19" fillId="0" borderId="13" xfId="5" applyFont="1" applyFill="1" applyBorder="1"/>
    <xf numFmtId="0" fontId="19" fillId="0" borderId="25" xfId="5" applyFont="1" applyFill="1" applyBorder="1" applyAlignment="1">
      <alignment horizontal="left"/>
    </xf>
    <xf numFmtId="0" fontId="28" fillId="0" borderId="14" xfId="5" applyFont="1" applyBorder="1" applyAlignment="1"/>
    <xf numFmtId="0" fontId="29" fillId="0" borderId="16" xfId="5" applyFont="1" applyFill="1" applyBorder="1" applyAlignment="1">
      <alignment horizontal="left"/>
    </xf>
    <xf numFmtId="164" fontId="0" fillId="0" borderId="23" xfId="7" applyNumberFormat="1" applyFont="1" applyFill="1" applyBorder="1"/>
    <xf numFmtId="3" fontId="28" fillId="0" borderId="13" xfId="7" applyNumberFormat="1" applyFont="1" applyBorder="1" applyAlignment="1">
      <alignment horizontal="left"/>
    </xf>
    <xf numFmtId="0" fontId="19" fillId="0" borderId="15" xfId="5" applyFont="1" applyBorder="1" applyAlignment="1"/>
    <xf numFmtId="0" fontId="18" fillId="0" borderId="15" xfId="5" applyFont="1" applyBorder="1" applyAlignment="1">
      <alignment horizontal="left"/>
    </xf>
    <xf numFmtId="0" fontId="19" fillId="0" borderId="25" xfId="5" applyFont="1" applyBorder="1" applyAlignment="1">
      <alignment horizontal="left"/>
    </xf>
    <xf numFmtId="0" fontId="29" fillId="0" borderId="14" xfId="5" applyFont="1" applyBorder="1" applyAlignment="1"/>
    <xf numFmtId="0" fontId="29" fillId="0" borderId="16" xfId="5" applyFont="1" applyBorder="1" applyAlignment="1">
      <alignment horizontal="left"/>
    </xf>
    <xf numFmtId="3" fontId="19" fillId="0" borderId="0" xfId="5" applyNumberFormat="1" applyBorder="1"/>
    <xf numFmtId="0" fontId="19" fillId="0" borderId="0" xfId="5" applyBorder="1"/>
    <xf numFmtId="3" fontId="19" fillId="0" borderId="0" xfId="5" applyNumberFormat="1"/>
    <xf numFmtId="0" fontId="16" fillId="0" borderId="14" xfId="5" applyFont="1" applyFill="1" applyBorder="1" applyAlignment="1">
      <alignment horizontal="center"/>
    </xf>
    <xf numFmtId="0" fontId="25" fillId="0" borderId="13" xfId="5" applyFont="1" applyFill="1" applyBorder="1" applyAlignment="1">
      <alignment horizontal="center"/>
    </xf>
    <xf numFmtId="0" fontId="23" fillId="35" borderId="14" xfId="5" applyFont="1" applyFill="1" applyBorder="1" applyAlignment="1">
      <alignment horizontal="center"/>
    </xf>
    <xf numFmtId="0" fontId="24" fillId="35" borderId="13" xfId="5" applyFont="1" applyFill="1" applyBorder="1" applyAlignment="1">
      <alignment horizontal="center"/>
    </xf>
    <xf numFmtId="0" fontId="21" fillId="0" borderId="0" xfId="5" applyFont="1" applyAlignment="1">
      <alignment horizontal="center" vertical="center"/>
    </xf>
    <xf numFmtId="0" fontId="20" fillId="0" borderId="0" xfId="5" applyFont="1"/>
    <xf numFmtId="0" fontId="0" fillId="0" borderId="0" xfId="0" applyAlignment="1">
      <alignment horizontal="left"/>
    </xf>
    <xf numFmtId="0" fontId="20" fillId="0" borderId="0" xfId="5" applyFont="1" applyAlignment="1">
      <alignment horizontal="left"/>
    </xf>
    <xf numFmtId="0" fontId="23" fillId="35" borderId="13" xfId="5" applyFont="1" applyFill="1" applyBorder="1" applyAlignment="1">
      <alignment horizontal="left"/>
    </xf>
    <xf numFmtId="0" fontId="16" fillId="0" borderId="0" xfId="5" applyFont="1" applyFill="1" applyBorder="1" applyAlignment="1">
      <alignment horizontal="left"/>
    </xf>
    <xf numFmtId="0" fontId="19" fillId="0" borderId="0" xfId="5" applyAlignment="1">
      <alignment horizontal="left"/>
    </xf>
    <xf numFmtId="0" fontId="26" fillId="35" borderId="16" xfId="5" applyFont="1" applyFill="1" applyBorder="1" applyAlignment="1">
      <alignment horizontal="left"/>
    </xf>
    <xf numFmtId="0" fontId="19" fillId="0" borderId="25" xfId="5" applyBorder="1" applyAlignment="1">
      <alignment horizontal="left"/>
    </xf>
    <xf numFmtId="0" fontId="19" fillId="0" borderId="14" xfId="5" applyFill="1" applyBorder="1" applyAlignment="1">
      <alignment horizontal="left"/>
    </xf>
    <xf numFmtId="0" fontId="19" fillId="0" borderId="16" xfId="5" applyFill="1" applyBorder="1" applyAlignment="1">
      <alignment horizontal="left"/>
    </xf>
    <xf numFmtId="0" fontId="19" fillId="35" borderId="13" xfId="5" applyFont="1" applyFill="1" applyBorder="1" applyAlignment="1">
      <alignment horizontal="left"/>
    </xf>
    <xf numFmtId="0" fontId="19" fillId="0" borderId="27" xfId="5" applyBorder="1" applyAlignment="1">
      <alignment horizontal="left"/>
    </xf>
    <xf numFmtId="0" fontId="18" fillId="35" borderId="16" xfId="5" applyFont="1" applyFill="1" applyBorder="1" applyAlignment="1">
      <alignment horizontal="left"/>
    </xf>
    <xf numFmtId="0" fontId="30" fillId="0" borderId="0" xfId="5" applyFont="1" applyFill="1" applyBorder="1" applyAlignment="1">
      <alignment horizontal="left"/>
    </xf>
    <xf numFmtId="0" fontId="30" fillId="0" borderId="17" xfId="5" applyFont="1" applyFill="1" applyBorder="1" applyAlignment="1">
      <alignment horizontal="left"/>
    </xf>
    <xf numFmtId="0" fontId="19" fillId="0" borderId="0" xfId="5" applyFont="1" applyBorder="1" applyAlignment="1">
      <alignment horizontal="left"/>
    </xf>
    <xf numFmtId="3" fontId="19" fillId="0" borderId="0" xfId="5" applyNumberFormat="1" applyFill="1" applyBorder="1"/>
    <xf numFmtId="0" fontId="30" fillId="0" borderId="0" xfId="5" applyFont="1" applyFill="1" applyBorder="1" applyAlignment="1">
      <alignment horizontal="right"/>
    </xf>
    <xf numFmtId="0" fontId="19" fillId="0" borderId="0" xfId="5" applyFont="1" applyBorder="1"/>
    <xf numFmtId="0" fontId="30" fillId="0" borderId="17" xfId="5" applyFont="1" applyFill="1" applyBorder="1" applyAlignment="1">
      <alignment horizontal="right"/>
    </xf>
    <xf numFmtId="0" fontId="26" fillId="35" borderId="15" xfId="5" applyFont="1" applyFill="1" applyBorder="1" applyAlignment="1"/>
    <xf numFmtId="0" fontId="26" fillId="35" borderId="16" xfId="5" applyFont="1" applyFill="1" applyBorder="1" applyAlignment="1"/>
    <xf numFmtId="0" fontId="18" fillId="35" borderId="16" xfId="5" applyFont="1" applyFill="1" applyBorder="1"/>
    <xf numFmtId="0" fontId="19" fillId="0" borderId="25" xfId="5" applyBorder="1"/>
    <xf numFmtId="164" fontId="0" fillId="0" borderId="14" xfId="7" applyNumberFormat="1" applyFont="1" applyFill="1" applyBorder="1"/>
    <xf numFmtId="43" fontId="0" fillId="0" borderId="0" xfId="7" applyFont="1" applyFill="1" applyBorder="1" applyAlignment="1"/>
    <xf numFmtId="0" fontId="19" fillId="0" borderId="16" xfId="5" applyFill="1" applyBorder="1"/>
    <xf numFmtId="0" fontId="19" fillId="0" borderId="0" xfId="5" applyBorder="1" applyAlignment="1"/>
    <xf numFmtId="0" fontId="19" fillId="0" borderId="27" xfId="5" applyBorder="1"/>
    <xf numFmtId="0" fontId="19" fillId="35" borderId="13" xfId="5" applyFont="1" applyFill="1" applyBorder="1"/>
    <xf numFmtId="0" fontId="19" fillId="0" borderId="25" xfId="5" applyFont="1" applyBorder="1"/>
    <xf numFmtId="43" fontId="0" fillId="0" borderId="14" xfId="7" applyFont="1" applyFill="1" applyBorder="1" applyAlignment="1"/>
    <xf numFmtId="0" fontId="19" fillId="0" borderId="14" xfId="5" applyFill="1" applyBorder="1" applyAlignment="1"/>
    <xf numFmtId="0" fontId="19" fillId="0" borderId="25" xfId="5" applyFont="1" applyFill="1" applyBorder="1" applyAlignment="1">
      <alignment horizontal="right"/>
    </xf>
    <xf numFmtId="0" fontId="19" fillId="0" borderId="25" xfId="5" applyFont="1" applyFill="1" applyBorder="1"/>
    <xf numFmtId="0" fontId="29" fillId="0" borderId="16" xfId="5" applyFont="1" applyFill="1" applyBorder="1" applyAlignment="1">
      <alignment horizontal="right"/>
    </xf>
    <xf numFmtId="0" fontId="28" fillId="0" borderId="13" xfId="5" applyFont="1" applyFill="1" applyBorder="1"/>
    <xf numFmtId="0" fontId="18" fillId="0" borderId="15" xfId="5" applyFont="1" applyBorder="1" applyAlignment="1"/>
    <xf numFmtId="0" fontId="19" fillId="0" borderId="25" xfId="5" applyFont="1" applyBorder="1" applyAlignment="1">
      <alignment horizontal="right"/>
    </xf>
    <xf numFmtId="0" fontId="29" fillId="0" borderId="16" xfId="5" applyFont="1" applyBorder="1" applyAlignment="1">
      <alignment horizontal="right"/>
    </xf>
    <xf numFmtId="0" fontId="28" fillId="0" borderId="13" xfId="5" applyFont="1" applyBorder="1"/>
    <xf numFmtId="0" fontId="28" fillId="0" borderId="15" xfId="5" applyFont="1" applyBorder="1" applyAlignment="1"/>
    <xf numFmtId="164" fontId="28" fillId="0" borderId="13" xfId="7" applyNumberFormat="1" applyFont="1" applyBorder="1"/>
    <xf numFmtId="0" fontId="19" fillId="0" borderId="26" xfId="5" applyBorder="1"/>
    <xf numFmtId="0" fontId="19" fillId="35" borderId="14" xfId="5" applyFill="1" applyBorder="1" applyAlignment="1">
      <alignment wrapText="1"/>
    </xf>
    <xf numFmtId="0" fontId="27" fillId="35" borderId="16" xfId="5" applyFont="1" applyFill="1" applyBorder="1" applyAlignment="1">
      <alignment wrapText="1"/>
    </xf>
    <xf numFmtId="164" fontId="0" fillId="36" borderId="23" xfId="7" applyNumberFormat="1" applyFont="1" applyFill="1" applyBorder="1" applyAlignment="1"/>
    <xf numFmtId="0" fontId="19" fillId="0" borderId="15" xfId="5" applyFill="1" applyBorder="1" applyAlignment="1"/>
    <xf numFmtId="0" fontId="19" fillId="0" borderId="16" xfId="5" applyFill="1" applyBorder="1" applyAlignment="1"/>
    <xf numFmtId="164" fontId="18" fillId="36" borderId="24" xfId="7" applyNumberFormat="1" applyFont="1" applyFill="1" applyBorder="1" applyAlignment="1"/>
    <xf numFmtId="164" fontId="19" fillId="36" borderId="19" xfId="7" applyNumberFormat="1" applyFont="1" applyFill="1" applyBorder="1" applyAlignment="1"/>
    <xf numFmtId="0" fontId="19" fillId="0" borderId="15" xfId="5" applyFont="1" applyFill="1" applyBorder="1" applyAlignment="1">
      <alignment horizontal="left"/>
    </xf>
    <xf numFmtId="0" fontId="19" fillId="0" borderId="14" xfId="5" applyFont="1" applyFill="1" applyBorder="1" applyAlignment="1">
      <alignment horizontal="left"/>
    </xf>
    <xf numFmtId="0" fontId="19" fillId="0" borderId="16" xfId="5" applyFont="1" applyFill="1" applyBorder="1" applyAlignment="1">
      <alignment horizontal="left"/>
    </xf>
    <xf numFmtId="164" fontId="19" fillId="36" borderId="23" xfId="7" applyNumberFormat="1" applyFont="1" applyFill="1" applyBorder="1" applyAlignment="1"/>
    <xf numFmtId="164" fontId="18" fillId="36" borderId="22" xfId="7" applyNumberFormat="1" applyFont="1" applyFill="1" applyBorder="1" applyAlignment="1"/>
    <xf numFmtId="0" fontId="19" fillId="0" borderId="21" xfId="5" applyFont="1" applyFill="1" applyBorder="1" applyAlignment="1">
      <alignment horizontal="left"/>
    </xf>
    <xf numFmtId="0" fontId="19" fillId="0" borderId="20" xfId="5" applyFont="1" applyFill="1" applyBorder="1" applyAlignment="1">
      <alignment horizontal="left"/>
    </xf>
    <xf numFmtId="164" fontId="0" fillId="36" borderId="19" xfId="7" applyNumberFormat="1" applyFont="1" applyFill="1" applyBorder="1" applyAlignment="1">
      <alignment horizontal="center"/>
    </xf>
    <xf numFmtId="0" fontId="19" fillId="0" borderId="16" xfId="5" applyFill="1" applyBorder="1" applyAlignment="1">
      <alignment horizontal="left" indent="2"/>
    </xf>
    <xf numFmtId="164" fontId="19" fillId="36" borderId="16" xfId="5" applyNumberFormat="1" applyFill="1" applyBorder="1" applyAlignment="1">
      <alignment horizontal="left" indent="2"/>
    </xf>
    <xf numFmtId="164" fontId="19" fillId="36" borderId="13" xfId="5" applyNumberFormat="1" applyFill="1" applyBorder="1" applyAlignment="1">
      <alignment horizontal="left" indent="2"/>
    </xf>
    <xf numFmtId="0" fontId="16" fillId="0" borderId="15" xfId="5" applyFont="1" applyFill="1" applyBorder="1" applyAlignment="1">
      <alignment horizontal="center"/>
    </xf>
    <xf numFmtId="0" fontId="16" fillId="0" borderId="0" xfId="5" applyFont="1" applyFill="1" applyBorder="1"/>
    <xf numFmtId="0" fontId="23" fillId="35" borderId="15" xfId="5" applyFont="1" applyFill="1" applyBorder="1" applyAlignment="1">
      <alignment horizontal="center"/>
    </xf>
    <xf numFmtId="0" fontId="23" fillId="35" borderId="13" xfId="5" applyFont="1" applyFill="1" applyBorder="1"/>
    <xf numFmtId="0" fontId="19" fillId="0" borderId="18" xfId="5" applyFont="1" applyFill="1" applyBorder="1" applyAlignment="1">
      <alignment horizontal="left" vertical="center" wrapText="1"/>
    </xf>
    <xf numFmtId="0" fontId="19" fillId="0" borderId="26" xfId="5" applyFont="1" applyFill="1" applyBorder="1" applyAlignment="1">
      <alignment horizontal="left" vertical="center" wrapText="1"/>
    </xf>
    <xf numFmtId="0" fontId="19" fillId="0" borderId="21" xfId="5" applyFont="1" applyBorder="1" applyAlignment="1">
      <alignment horizontal="left" vertical="center" wrapText="1"/>
    </xf>
    <xf numFmtId="0" fontId="19" fillId="0" borderId="0" xfId="5" applyFill="1" applyAlignment="1">
      <alignment horizontal="left"/>
    </xf>
    <xf numFmtId="0" fontId="19" fillId="0" borderId="0" xfId="5" applyFill="1"/>
    <xf numFmtId="0" fontId="32" fillId="0" borderId="0" xfId="5" applyFont="1" applyFill="1"/>
    <xf numFmtId="0" fontId="19" fillId="0" borderId="0" xfId="5" quotePrefix="1" applyFill="1"/>
    <xf numFmtId="0" fontId="0" fillId="0" borderId="0" xfId="0" applyFill="1"/>
    <xf numFmtId="164" fontId="19" fillId="0" borderId="0" xfId="1" applyNumberFormat="1" applyFont="1" applyFill="1"/>
    <xf numFmtId="43" fontId="19" fillId="0" borderId="0" xfId="1" applyFont="1" applyFill="1"/>
    <xf numFmtId="43" fontId="19" fillId="0" borderId="0" xfId="5" applyNumberFormat="1" applyFill="1"/>
    <xf numFmtId="164" fontId="0" fillId="0" borderId="0" xfId="0" applyNumberFormat="1"/>
    <xf numFmtId="0" fontId="0" fillId="0" borderId="0" xfId="0" applyAlignment="1">
      <alignment wrapText="1"/>
    </xf>
    <xf numFmtId="0" fontId="0" fillId="0" borderId="13" xfId="0" applyBorder="1"/>
    <xf numFmtId="164" fontId="0" fillId="0" borderId="13" xfId="1" applyNumberFormat="1" applyFont="1" applyBorder="1"/>
    <xf numFmtId="0" fontId="0" fillId="0" borderId="13" xfId="0" applyBorder="1" applyAlignment="1">
      <alignment wrapText="1"/>
    </xf>
    <xf numFmtId="0" fontId="0" fillId="0" borderId="0" xfId="3" applyFont="1" applyFill="1"/>
    <xf numFmtId="0" fontId="19" fillId="0" borderId="0" xfId="5" quotePrefix="1" applyFill="1" applyAlignment="1">
      <alignment horizontal="left"/>
    </xf>
    <xf numFmtId="0" fontId="163" fillId="0" borderId="0" xfId="3" applyFont="1"/>
    <xf numFmtId="0" fontId="29" fillId="0" borderId="0" xfId="3" applyFont="1" applyAlignment="1">
      <alignment wrapText="1"/>
    </xf>
    <xf numFmtId="0" fontId="29" fillId="0" borderId="0" xfId="3" applyFont="1" applyFill="1"/>
    <xf numFmtId="0" fontId="19" fillId="0" borderId="0" xfId="40482" applyFont="1"/>
    <xf numFmtId="0" fontId="29" fillId="0" borderId="0" xfId="3" applyFont="1"/>
    <xf numFmtId="0" fontId="28" fillId="0" borderId="0" xfId="3" applyFont="1"/>
    <xf numFmtId="0" fontId="28" fillId="0" borderId="0" xfId="3" applyFont="1" applyAlignment="1">
      <alignment wrapText="1"/>
    </xf>
    <xf numFmtId="0" fontId="28" fillId="0" borderId="0" xfId="3" applyFont="1" applyFill="1"/>
    <xf numFmtId="0" fontId="28" fillId="11" borderId="3" xfId="18908" applyFont="1" applyBorder="1"/>
    <xf numFmtId="0" fontId="28" fillId="11" borderId="3" xfId="18908" applyFont="1" applyBorder="1" applyAlignment="1">
      <alignment wrapText="1"/>
    </xf>
    <xf numFmtId="0" fontId="19" fillId="0" borderId="0" xfId="40482" applyFont="1" applyFill="1"/>
    <xf numFmtId="0" fontId="0" fillId="0" borderId="0" xfId="0" quotePrefix="1" applyFill="1"/>
    <xf numFmtId="197" fontId="0" fillId="0" borderId="0" xfId="1" applyNumberFormat="1" applyFont="1"/>
    <xf numFmtId="43" fontId="0" fillId="0" borderId="0" xfId="0" applyNumberFormat="1"/>
    <xf numFmtId="164" fontId="21" fillId="0" borderId="0" xfId="1" applyNumberFormat="1" applyFont="1" applyAlignment="1">
      <alignment horizontal="center" vertical="center"/>
    </xf>
    <xf numFmtId="164" fontId="23" fillId="35" borderId="14" xfId="1" applyNumberFormat="1" applyFont="1" applyFill="1" applyBorder="1" applyAlignment="1">
      <alignment horizontal="center"/>
    </xf>
    <xf numFmtId="164" fontId="16" fillId="0" borderId="14" xfId="1" applyNumberFormat="1" applyFont="1" applyFill="1" applyBorder="1" applyAlignment="1">
      <alignment horizontal="center"/>
    </xf>
    <xf numFmtId="164" fontId="19" fillId="0" borderId="0" xfId="1" applyNumberFormat="1" applyFont="1"/>
    <xf numFmtId="164" fontId="26" fillId="35" borderId="14" xfId="1" applyNumberFormat="1" applyFont="1" applyFill="1" applyBorder="1" applyAlignment="1"/>
    <xf numFmtId="164" fontId="19" fillId="0" borderId="0" xfId="1" applyNumberFormat="1" applyFont="1" applyBorder="1"/>
    <xf numFmtId="164" fontId="28" fillId="0" borderId="13" xfId="1" applyNumberFormat="1" applyFont="1" applyBorder="1" applyAlignment="1">
      <alignment horizontal="left"/>
    </xf>
    <xf numFmtId="164" fontId="28" fillId="0" borderId="14" xfId="1" applyNumberFormat="1" applyFont="1" applyBorder="1" applyAlignment="1"/>
    <xf numFmtId="164" fontId="0" fillId="36" borderId="23" xfId="1" applyNumberFormat="1" applyFont="1" applyFill="1" applyBorder="1"/>
    <xf numFmtId="164" fontId="18" fillId="35" borderId="16" xfId="1" applyNumberFormat="1" applyFont="1" applyFill="1" applyBorder="1"/>
    <xf numFmtId="164" fontId="0" fillId="0" borderId="23" xfId="1" applyNumberFormat="1" applyFont="1" applyFill="1" applyBorder="1"/>
    <xf numFmtId="164" fontId="19" fillId="0" borderId="0" xfId="1" applyNumberFormat="1" applyFont="1" applyFill="1" applyBorder="1" applyAlignment="1"/>
    <xf numFmtId="164" fontId="18" fillId="0" borderId="14" xfId="1" applyNumberFormat="1" applyFont="1" applyFill="1" applyBorder="1" applyAlignment="1">
      <alignment horizontal="center"/>
    </xf>
    <xf numFmtId="164" fontId="19" fillId="0" borderId="0" xfId="1" applyNumberFormat="1" applyFont="1" applyBorder="1" applyAlignment="1"/>
    <xf numFmtId="164" fontId="19" fillId="0" borderId="14" xfId="1" applyNumberFormat="1" applyFont="1" applyFill="1" applyBorder="1"/>
    <xf numFmtId="164" fontId="19" fillId="0" borderId="0" xfId="1" applyNumberFormat="1" applyFont="1" applyFill="1" applyBorder="1"/>
    <xf numFmtId="198" fontId="0" fillId="0" borderId="0" xfId="0" applyNumberFormat="1"/>
    <xf numFmtId="197" fontId="0" fillId="0" borderId="47" xfId="0" applyNumberFormat="1" applyBorder="1"/>
    <xf numFmtId="198" fontId="0" fillId="0" borderId="48" xfId="0" applyNumberFormat="1" applyBorder="1"/>
    <xf numFmtId="197" fontId="0" fillId="0" borderId="49" xfId="0" applyNumberFormat="1" applyBorder="1"/>
    <xf numFmtId="198" fontId="0" fillId="0" borderId="50" xfId="0" applyNumberFormat="1" applyBorder="1"/>
    <xf numFmtId="0" fontId="0" fillId="0" borderId="51" xfId="0" applyBorder="1"/>
    <xf numFmtId="198" fontId="0" fillId="0" borderId="46" xfId="0" applyNumberFormat="1" applyBorder="1"/>
    <xf numFmtId="0" fontId="0" fillId="0" borderId="52" xfId="0" applyFill="1" applyBorder="1"/>
    <xf numFmtId="14" fontId="0" fillId="0" borderId="0" xfId="0" applyNumberFormat="1"/>
    <xf numFmtId="43" fontId="0" fillId="0" borderId="0" xfId="1" applyFont="1"/>
    <xf numFmtId="0" fontId="0" fillId="34" borderId="53" xfId="0" applyFont="1" applyFill="1" applyBorder="1"/>
    <xf numFmtId="0" fontId="0" fillId="34" borderId="54" xfId="0" applyFont="1" applyFill="1" applyBorder="1"/>
    <xf numFmtId="14" fontId="0" fillId="34" borderId="54" xfId="0" applyNumberFormat="1" applyFont="1" applyFill="1" applyBorder="1"/>
    <xf numFmtId="14" fontId="0" fillId="34" borderId="55" xfId="0" applyNumberFormat="1" applyFont="1" applyFill="1" applyBorder="1"/>
    <xf numFmtId="43" fontId="0" fillId="34" borderId="54" xfId="1" applyFont="1" applyFill="1" applyBorder="1"/>
    <xf numFmtId="43" fontId="18" fillId="89" borderId="11" xfId="1" applyFont="1" applyFill="1" applyBorder="1" applyAlignment="1">
      <alignment horizontal="center" vertical="center"/>
    </xf>
    <xf numFmtId="43" fontId="18" fillId="0" borderId="11" xfId="1" applyFont="1" applyFill="1" applyBorder="1" applyAlignment="1">
      <alignment horizontal="center" vertical="center"/>
    </xf>
    <xf numFmtId="0" fontId="16" fillId="0" borderId="0" xfId="0" applyFont="1"/>
    <xf numFmtId="0" fontId="166" fillId="0" borderId="0" xfId="46293"/>
    <xf numFmtId="43" fontId="0" fillId="0" borderId="13" xfId="1" applyNumberFormat="1" applyFont="1" applyBorder="1"/>
    <xf numFmtId="43" fontId="0" fillId="0" borderId="0" xfId="1" applyNumberFormat="1" applyFont="1"/>
    <xf numFmtId="199" fontId="0" fillId="0" borderId="0" xfId="0" applyNumberFormat="1"/>
    <xf numFmtId="0" fontId="26" fillId="35" borderId="14" xfId="5" applyFont="1" applyFill="1" applyBorder="1" applyAlignment="1">
      <alignment horizontal="center"/>
    </xf>
    <xf numFmtId="0" fontId="26" fillId="35" borderId="15" xfId="5" applyFont="1" applyFill="1" applyBorder="1" applyAlignment="1">
      <alignment horizontal="center"/>
    </xf>
    <xf numFmtId="0" fontId="19" fillId="0" borderId="18" xfId="5" applyFont="1" applyFill="1" applyBorder="1" applyAlignment="1">
      <alignment horizontal="center" vertical="center" wrapText="1"/>
    </xf>
    <xf numFmtId="0" fontId="19" fillId="0" borderId="26" xfId="5" applyFont="1" applyFill="1" applyBorder="1" applyAlignment="1">
      <alignment horizontal="center" vertical="center" wrapText="1"/>
    </xf>
    <xf numFmtId="0" fontId="19" fillId="0" borderId="26" xfId="5" applyFont="1" applyBorder="1" applyAlignment="1">
      <alignment horizontal="center" vertical="center" wrapText="1"/>
    </xf>
    <xf numFmtId="0" fontId="19" fillId="0" borderId="21" xfId="5" applyFont="1" applyBorder="1" applyAlignment="1">
      <alignment horizontal="center" vertical="center" wrapText="1"/>
    </xf>
    <xf numFmtId="0" fontId="19" fillId="0" borderId="16" xfId="5" applyFont="1" applyFill="1" applyBorder="1" applyAlignment="1"/>
    <xf numFmtId="0" fontId="19" fillId="0" borderId="17" xfId="5" applyFont="1" applyFill="1" applyBorder="1" applyAlignment="1"/>
    <xf numFmtId="0" fontId="19" fillId="0" borderId="18" xfId="5" applyFont="1" applyFill="1" applyBorder="1" applyAlignment="1"/>
  </cellXfs>
  <cellStyles count="46294">
    <cellStyle name=" 1" xfId="8"/>
    <cellStyle name="_x000a_386grabber=M" xfId="9"/>
    <cellStyle name="%" xfId="10"/>
    <cellStyle name="% 2" xfId="11"/>
    <cellStyle name="% 2 2" xfId="12"/>
    <cellStyle name="% 3" xfId="13"/>
    <cellStyle name="%_Process Document Overview-FX Cash 8-05-08" xfId="14"/>
    <cellStyle name="%_ProcessDocumentwIT" xfId="15"/>
    <cellStyle name="]_x000a__x000a_Width=797_x000a__x000a_Height=554_x000a__x000a__x000a__x000a_[Code]_x000a__x000a_Code0=/nyf50_x000a__x000a_Code1=4500000136_x000a__x000a_Code2=ME23_x000a__x000a_Code3=4500002322_x000a__x000a_Code4=#_x000a__x000a_Code5=MB01_x000a__x000a_" xfId="16"/>
    <cellStyle name="]_x000d__x000a_Width=797_x000d__x000a_Height=554_x000d__x000a__x000d__x000a_[Code]_x000d__x000a_Code0=/nyf50_x000d__x000a_Code1=4500000136_x000d__x000a_Code2=ME23_x000d__x000a_Code3=4500002322_x000d__x000a_Code4=#_x000d__x000a_Code5=MB01_x000d__x000a_" xfId="17"/>
    <cellStyle name="_%(SignOnly)" xfId="18"/>
    <cellStyle name="_%(SignSpaceOnly)" xfId="19"/>
    <cellStyle name="_2008 Tax Rate Calc Revised" xfId="20"/>
    <cellStyle name="_2008 Tax Rate Calc Revised 2" xfId="21"/>
    <cellStyle name="_2009 Plan Alcentra presentation - round 1" xfId="22"/>
    <cellStyle name="_2009 Plan Alcentra presentation - round 1_August Executive Summary" xfId="23"/>
    <cellStyle name="_2009 Plan Alcentra presentation - round 1_July Executive Summary" xfId="24"/>
    <cellStyle name="_2009 Plan Alcentra presentation - round 1_June Executive Summary" xfId="25"/>
    <cellStyle name="_2009 Plan Alcentra presentation - round 1_June Executive Summary_Copy of Month End Package July 2012 appendix" xfId="26"/>
    <cellStyle name="_2009 Plan Alcentra presentation - round 1_March 2012 Sales Final" xfId="27"/>
    <cellStyle name="_2009 Plan Alcentra presentation - round 1_March 2012 Sales Final_August Executive Summary" xfId="28"/>
    <cellStyle name="_2009 Plan Alcentra presentation - round 1_March 2012 Sales Final_Book2" xfId="29"/>
    <cellStyle name="_2009 Plan Alcentra presentation - round 1_March 2012 Sales Final_Book4" xfId="30"/>
    <cellStyle name="_2009 Plan Alcentra presentation - round 1_March 2012 Sales Final_Book5" xfId="31"/>
    <cellStyle name="_2009 Plan Alcentra presentation - round 1_March 2012 Sales Final_Copy of Month End Package July 2012 appendix" xfId="32"/>
    <cellStyle name="_2009 Plan Alcentra presentation - round 1_March 2012 Sales Final_July Executive Summary" xfId="33"/>
    <cellStyle name="_2009 Plan Alcentra presentation - round 1_March 2012 Sales Final_June Executive Summary" xfId="34"/>
    <cellStyle name="_2009 Plan Alcentra presentation - round 1_March 2012 Sales Final_October Executive Summary" xfId="35"/>
    <cellStyle name="_2009 Plan Alcentra presentation - round 1_March 2012 Sales Final_September Executive Summary" xfId="36"/>
    <cellStyle name="_2009 Plan Alcentra presentation - round 1_Month End Package April 2012 - Working Appendix" xfId="37"/>
    <cellStyle name="_2009 Plan Alcentra presentation - round 1_Month End Package April 2012 - Working Appendix_August Executive Summary" xfId="38"/>
    <cellStyle name="_2009 Plan Alcentra presentation - round 1_Month End Package April 2012 - Working Appendix_Book2" xfId="39"/>
    <cellStyle name="_2009 Plan Alcentra presentation - round 1_Month End Package April 2012 - Working Appendix_Book4" xfId="40"/>
    <cellStyle name="_2009 Plan Alcentra presentation - round 1_Month End Package April 2012 - Working Appendix_Book5" xfId="41"/>
    <cellStyle name="_2009 Plan Alcentra presentation - round 1_Month End Package April 2012 - Working Appendix_Copy of Month End Package July 2012 appendix" xfId="42"/>
    <cellStyle name="_2009 Plan Alcentra presentation - round 1_Month End Package April 2012 - Working Appendix_July Executive Summary" xfId="43"/>
    <cellStyle name="_2009 Plan Alcentra presentation - round 1_Month End Package April 2012 - Working Appendix_June Executive Summary" xfId="44"/>
    <cellStyle name="_2009 Plan Alcentra presentation - round 1_Month End Package April 2012 - Working Appendix_October Executive Summary" xfId="45"/>
    <cellStyle name="_2009 Plan Alcentra presentation - round 1_Month End Package April 2012 - Working Appendix_September Executive Summary" xfId="46"/>
    <cellStyle name="_2009 Plan Alcentra presentation - round 1_Month End Package May 2011_d 4" xfId="47"/>
    <cellStyle name="_2009 Plan Alcentra presentation - round 1_Month End Package May 2011_d 4_August Executive Summary" xfId="48"/>
    <cellStyle name="_2009 Plan Alcentra presentation - round 1_Month End Package May 2011_d 4_July Executive Summary" xfId="49"/>
    <cellStyle name="_2009 Plan Alcentra presentation - round 1_Month End Package May 2011_d 4_June Executive Summary" xfId="50"/>
    <cellStyle name="_2009 Plan Alcentra presentation - round 1_Month End Package May 2011_d 4_June Executive Summary_Copy of Month End Package July 2012 appendix" xfId="51"/>
    <cellStyle name="_2009 Plan Alcentra presentation - round 1_Month End Package May 2011_d 4_March 2012 Sales Final" xfId="52"/>
    <cellStyle name="_2009 Plan Alcentra presentation - round 1_Month End Package May 2011_d 4_March 2012 Sales Final_August Executive Summary" xfId="53"/>
    <cellStyle name="_2009 Plan Alcentra presentation - round 1_Month End Package May 2011_d 4_March 2012 Sales Final_Book2" xfId="54"/>
    <cellStyle name="_2009 Plan Alcentra presentation - round 1_Month End Package May 2011_d 4_March 2012 Sales Final_Book4" xfId="55"/>
    <cellStyle name="_2009 Plan Alcentra presentation - round 1_Month End Package May 2011_d 4_March 2012 Sales Final_Book5" xfId="56"/>
    <cellStyle name="_2009 Plan Alcentra presentation - round 1_Month End Package May 2011_d 4_March 2012 Sales Final_Copy of Month End Package July 2012 appendix" xfId="57"/>
    <cellStyle name="_2009 Plan Alcentra presentation - round 1_Month End Package May 2011_d 4_March 2012 Sales Final_July Executive Summary" xfId="58"/>
    <cellStyle name="_2009 Plan Alcentra presentation - round 1_Month End Package May 2011_d 4_March 2012 Sales Final_June Executive Summary" xfId="59"/>
    <cellStyle name="_2009 Plan Alcentra presentation - round 1_Month End Package May 2011_d 4_March 2012 Sales Final_October Executive Summary" xfId="60"/>
    <cellStyle name="_2009 Plan Alcentra presentation - round 1_Month End Package May 2011_d 4_March 2012 Sales Final_September Executive Summary" xfId="61"/>
    <cellStyle name="_2009 Plan Alcentra presentation - round 1_Month End Package May 2011_d 4_Month End Package April 2012 - Working Appendix" xfId="62"/>
    <cellStyle name="_2009 Plan Alcentra presentation - round 1_Month End Package May 2011_d 4_Month End Package April 2012 - Working Appendix_August Executive Summary" xfId="63"/>
    <cellStyle name="_2009 Plan Alcentra presentation - round 1_Month End Package May 2011_d 4_Month End Package April 2012 - Working Appendix_Book2" xfId="64"/>
    <cellStyle name="_2009 Plan Alcentra presentation - round 1_Month End Package May 2011_d 4_Month End Package April 2012 - Working Appendix_Book4" xfId="65"/>
    <cellStyle name="_2009 Plan Alcentra presentation - round 1_Month End Package May 2011_d 4_Month End Package April 2012 - Working Appendix_Book5" xfId="66"/>
    <cellStyle name="_2009 Plan Alcentra presentation - round 1_Month End Package May 2011_d 4_Month End Package April 2012 - Working Appendix_Copy of Month End Package July 2012 appendix" xfId="67"/>
    <cellStyle name="_2009 Plan Alcentra presentation - round 1_Month End Package May 2011_d 4_Month End Package April 2012 - Working Appendix_July Executive Summary" xfId="68"/>
    <cellStyle name="_2009 Plan Alcentra presentation - round 1_Month End Package May 2011_d 4_Month End Package April 2012 - Working Appendix_June Executive Summary" xfId="69"/>
    <cellStyle name="_2009 Plan Alcentra presentation - round 1_Month End Package May 2011_d 4_Month End Package April 2012 - Working Appendix_October Executive Summary" xfId="70"/>
    <cellStyle name="_2009 Plan Alcentra presentation - round 1_Month End Package May 2011_d 4_Month End Package April 2012 - Working Appendix_September Executive Summary" xfId="71"/>
    <cellStyle name="_2009 Plan Alcentra presentation - round 1_Month End Package May 2011_d 4_Month End Package May 2012" xfId="72"/>
    <cellStyle name="_2009 Plan Alcentra presentation - round 1_Month End Package May 2011_d 4_Month End Package May 2012_Book2" xfId="73"/>
    <cellStyle name="_2009 Plan Alcentra presentation - round 1_Month End Package May 2011_d 4_Month End Package May 2012_Book4" xfId="74"/>
    <cellStyle name="_2009 Plan Alcentra presentation - round 1_Month End Package May 2011_d 4_Month End Package May 2012_Book5" xfId="75"/>
    <cellStyle name="_2009 Plan Alcentra presentation - round 1_Month End Package May 2011_d 4_Month End Package May 2012_Copy of Month End Package July 2012 appendix" xfId="76"/>
    <cellStyle name="_2009 Plan Alcentra presentation - round 1_Month End Package May 2011_d 4_October Executive Summary" xfId="77"/>
    <cellStyle name="_2009 Plan Alcentra presentation - round 1_Month End Package May 2011_d 4_September Executive Summary" xfId="78"/>
    <cellStyle name="_2009 Plan Alcentra presentation - round 1_Month End Package May 2012" xfId="79"/>
    <cellStyle name="_2009 Plan Alcentra presentation - round 1_Month End Package May 2012_Book2" xfId="80"/>
    <cellStyle name="_2009 Plan Alcentra presentation - round 1_Month End Package May 2012_Book4" xfId="81"/>
    <cellStyle name="_2009 Plan Alcentra presentation - round 1_Month End Package May 2012_Book5" xfId="82"/>
    <cellStyle name="_2009 Plan Alcentra presentation - round 1_Month End Package May 2012_Copy of Month End Package July 2012 appendix" xfId="83"/>
    <cellStyle name="_2009 Plan Alcentra presentation - round 1_Month-end Package_April 2011_FINAL" xfId="84"/>
    <cellStyle name="_2009 Plan Alcentra presentation - round 1_Month-end Package_April 2011_FINAL_August Executive Summary" xfId="85"/>
    <cellStyle name="_2009 Plan Alcentra presentation - round 1_Month-end Package_April 2011_FINAL_July Executive Summary" xfId="86"/>
    <cellStyle name="_2009 Plan Alcentra presentation - round 1_Month-end Package_April 2011_FINAL_June Executive Summary" xfId="87"/>
    <cellStyle name="_2009 Plan Alcentra presentation - round 1_Month-end Package_April 2011_FINAL_June Executive Summary_Copy of Month End Package July 2012 appendix" xfId="88"/>
    <cellStyle name="_2009 Plan Alcentra presentation - round 1_Month-end Package_April 2011_FINAL_March 2012 Sales Final" xfId="89"/>
    <cellStyle name="_2009 Plan Alcentra presentation - round 1_Month-end Package_April 2011_FINAL_March 2012 Sales Final_August Executive Summary" xfId="90"/>
    <cellStyle name="_2009 Plan Alcentra presentation - round 1_Month-end Package_April 2011_FINAL_March 2012 Sales Final_Book2" xfId="91"/>
    <cellStyle name="_2009 Plan Alcentra presentation - round 1_Month-end Package_April 2011_FINAL_March 2012 Sales Final_Book4" xfId="92"/>
    <cellStyle name="_2009 Plan Alcentra presentation - round 1_Month-end Package_April 2011_FINAL_March 2012 Sales Final_Book5" xfId="93"/>
    <cellStyle name="_2009 Plan Alcentra presentation - round 1_Month-end Package_April 2011_FINAL_March 2012 Sales Final_Copy of Month End Package July 2012 appendix" xfId="94"/>
    <cellStyle name="_2009 Plan Alcentra presentation - round 1_Month-end Package_April 2011_FINAL_March 2012 Sales Final_July Executive Summary" xfId="95"/>
    <cellStyle name="_2009 Plan Alcentra presentation - round 1_Month-end Package_April 2011_FINAL_March 2012 Sales Final_June Executive Summary" xfId="96"/>
    <cellStyle name="_2009 Plan Alcentra presentation - round 1_Month-end Package_April 2011_FINAL_March 2012 Sales Final_October Executive Summary" xfId="97"/>
    <cellStyle name="_2009 Plan Alcentra presentation - round 1_Month-end Package_April 2011_FINAL_March 2012 Sales Final_September Executive Summary" xfId="98"/>
    <cellStyle name="_2009 Plan Alcentra presentation - round 1_Month-end Package_April 2011_FINAL_Month End Package April 2012 - Working Appendix" xfId="99"/>
    <cellStyle name="_2009 Plan Alcentra presentation - round 1_Month-end Package_April 2011_FINAL_Month End Package April 2012 - Working Appendix_August Executive Summary" xfId="100"/>
    <cellStyle name="_2009 Plan Alcentra presentation - round 1_Month-end Package_April 2011_FINAL_Month End Package April 2012 - Working Appendix_Book2" xfId="101"/>
    <cellStyle name="_2009 Plan Alcentra presentation - round 1_Month-end Package_April 2011_FINAL_Month End Package April 2012 - Working Appendix_Book4" xfId="102"/>
    <cellStyle name="_2009 Plan Alcentra presentation - round 1_Month-end Package_April 2011_FINAL_Month End Package April 2012 - Working Appendix_Book5" xfId="103"/>
    <cellStyle name="_2009 Plan Alcentra presentation - round 1_Month-end Package_April 2011_FINAL_Month End Package April 2012 - Working Appendix_Copy of Month End Package July 2012 appendix" xfId="104"/>
    <cellStyle name="_2009 Plan Alcentra presentation - round 1_Month-end Package_April 2011_FINAL_Month End Package April 2012 - Working Appendix_July Executive Summary" xfId="105"/>
    <cellStyle name="_2009 Plan Alcentra presentation - round 1_Month-end Package_April 2011_FINAL_Month End Package April 2012 - Working Appendix_June Executive Summary" xfId="106"/>
    <cellStyle name="_2009 Plan Alcentra presentation - round 1_Month-end Package_April 2011_FINAL_Month End Package April 2012 - Working Appendix_October Executive Summary" xfId="107"/>
    <cellStyle name="_2009 Plan Alcentra presentation - round 1_Month-end Package_April 2011_FINAL_Month End Package April 2012 - Working Appendix_September Executive Summary" xfId="108"/>
    <cellStyle name="_2009 Plan Alcentra presentation - round 1_Month-end Package_April 2011_FINAL_Month End Package May 2012" xfId="109"/>
    <cellStyle name="_2009 Plan Alcentra presentation - round 1_Month-end Package_April 2011_FINAL_Month End Package May 2012_Book2" xfId="110"/>
    <cellStyle name="_2009 Plan Alcentra presentation - round 1_Month-end Package_April 2011_FINAL_Month End Package May 2012_Book4" xfId="111"/>
    <cellStyle name="_2009 Plan Alcentra presentation - round 1_Month-end Package_April 2011_FINAL_Month End Package May 2012_Book5" xfId="112"/>
    <cellStyle name="_2009 Plan Alcentra presentation - round 1_Month-end Package_April 2011_FINAL_Month End Package May 2012_Copy of Month End Package July 2012 appendix" xfId="113"/>
    <cellStyle name="_2009 Plan Alcentra presentation - round 1_Month-end Package_April 2011_FINAL_October Executive Summary" xfId="114"/>
    <cellStyle name="_2009 Plan Alcentra presentation - round 1_Month-end Package_April 2011_FINAL_September Executive Summary" xfId="115"/>
    <cellStyle name="_2009 Plan Alcentra presentation - round 1_October Executive Summary" xfId="116"/>
    <cellStyle name="_2009 Plan Alcentra presentation - round 1_September Executive Summary" xfId="117"/>
    <cellStyle name="_APR 09 1749510 - PROV CUST RECEIPT" xfId="118"/>
    <cellStyle name="_Balance Sheet Accounts" xfId="119"/>
    <cellStyle name="_Balance Sheet Accounts 2" xfId="120"/>
    <cellStyle name="_Capital Summary - Round 1" xfId="121"/>
    <cellStyle name="_Capital Summary - Round 1 2" xfId="122"/>
    <cellStyle name="_Currency" xfId="123"/>
    <cellStyle name="_CurrencySpace" xfId="124"/>
    <cellStyle name="_Heading" xfId="125"/>
    <cellStyle name="_Highlight" xfId="126"/>
    <cellStyle name="_MAY 09 1749510 - PROV CUST RECEIPT" xfId="127"/>
    <cellStyle name="_Multiple" xfId="128"/>
    <cellStyle name="_MultipleSpace" xfId="129"/>
    <cellStyle name="_SubHeading" xfId="130"/>
    <cellStyle name="_Summary" xfId="131"/>
    <cellStyle name="_Table" xfId="132"/>
    <cellStyle name="_Table 10" xfId="133"/>
    <cellStyle name="_Table 2" xfId="134"/>
    <cellStyle name="_Table 2 2" xfId="135"/>
    <cellStyle name="_Table 2 2 2" xfId="136"/>
    <cellStyle name="_Table 2 2 2 2" xfId="137"/>
    <cellStyle name="_Table 2 2 3" xfId="138"/>
    <cellStyle name="_Table 2 2 4" xfId="139"/>
    <cellStyle name="_Table 2 2 5" xfId="140"/>
    <cellStyle name="_Table 2 2 6" xfId="141"/>
    <cellStyle name="_Table 2 2 7" xfId="142"/>
    <cellStyle name="_Table 2 3" xfId="143"/>
    <cellStyle name="_Table 2 3 2" xfId="144"/>
    <cellStyle name="_Table 2 4" xfId="145"/>
    <cellStyle name="_Table 2 4 2" xfId="146"/>
    <cellStyle name="_Table 2 5" xfId="147"/>
    <cellStyle name="_Table 2 6" xfId="148"/>
    <cellStyle name="_Table 2 7" xfId="149"/>
    <cellStyle name="_Table 2 8" xfId="150"/>
    <cellStyle name="_Table 2 9" xfId="151"/>
    <cellStyle name="_Table 3" xfId="152"/>
    <cellStyle name="_Table 3 2" xfId="153"/>
    <cellStyle name="_Table 3 2 2" xfId="154"/>
    <cellStyle name="_Table 3 3" xfId="155"/>
    <cellStyle name="_Table 3 4" xfId="156"/>
    <cellStyle name="_Table 3 5" xfId="157"/>
    <cellStyle name="_Table 3 6" xfId="158"/>
    <cellStyle name="_Table 3 7" xfId="159"/>
    <cellStyle name="_Table 4" xfId="160"/>
    <cellStyle name="_Table 4 2" xfId="161"/>
    <cellStyle name="_Table 5" xfId="162"/>
    <cellStyle name="_Table 5 2" xfId="163"/>
    <cellStyle name="_Table 6" xfId="164"/>
    <cellStyle name="_Table 7" xfId="165"/>
    <cellStyle name="_Table 8" xfId="166"/>
    <cellStyle name="_Table 9" xfId="167"/>
    <cellStyle name="_TableHead" xfId="168"/>
    <cellStyle name="_TableRowHead" xfId="169"/>
    <cellStyle name="_TableSuperHead" xfId="170"/>
    <cellStyle name="=C:\WINNT35\SYSTEM32\COMMAND.COM" xfId="171"/>
    <cellStyle name="0,0_x000a__x000a_NA_x000a__x000a_" xfId="172"/>
    <cellStyle name="0,0_x000d__x000a_NA_x000d__x000a_" xfId="173"/>
    <cellStyle name="20% - Accent1 10" xfId="174"/>
    <cellStyle name="20% - Accent1 10 2" xfId="175"/>
    <cellStyle name="20% - Accent1 10 2 2" xfId="176"/>
    <cellStyle name="20% - Accent1 10 2 3" xfId="177"/>
    <cellStyle name="20% - Accent1 10 2 4" xfId="178"/>
    <cellStyle name="20% - Accent1 10 3" xfId="179"/>
    <cellStyle name="20% - Accent1 10 3 2" xfId="180"/>
    <cellStyle name="20% - Accent1 10 3 3" xfId="181"/>
    <cellStyle name="20% - Accent1 10 4" xfId="182"/>
    <cellStyle name="20% - Accent1 10 4 2" xfId="183"/>
    <cellStyle name="20% - Accent1 10 5" xfId="184"/>
    <cellStyle name="20% - Accent1 10 6" xfId="185"/>
    <cellStyle name="20% - Accent1 10 7" xfId="186"/>
    <cellStyle name="20% - Accent1 11" xfId="187"/>
    <cellStyle name="20% - Accent1 11 2" xfId="188"/>
    <cellStyle name="20% - Accent1 11 2 2" xfId="189"/>
    <cellStyle name="20% - Accent1 11 2 3" xfId="190"/>
    <cellStyle name="20% - Accent1 11 2 4" xfId="191"/>
    <cellStyle name="20% - Accent1 11 3" xfId="192"/>
    <cellStyle name="20% - Accent1 11 3 2" xfId="193"/>
    <cellStyle name="20% - Accent1 11 3 3" xfId="194"/>
    <cellStyle name="20% - Accent1 11 4" xfId="195"/>
    <cellStyle name="20% - Accent1 11 4 2" xfId="196"/>
    <cellStyle name="20% - Accent1 11 5" xfId="197"/>
    <cellStyle name="20% - Accent1 11 6" xfId="198"/>
    <cellStyle name="20% - Accent1 11 7" xfId="199"/>
    <cellStyle name="20% - Accent1 12" xfId="200"/>
    <cellStyle name="20% - Accent1 12 2" xfId="201"/>
    <cellStyle name="20% - Accent1 12 2 2" xfId="202"/>
    <cellStyle name="20% - Accent1 12 2 3" xfId="203"/>
    <cellStyle name="20% - Accent1 12 2 4" xfId="204"/>
    <cellStyle name="20% - Accent1 12 3" xfId="205"/>
    <cellStyle name="20% - Accent1 12 3 2" xfId="206"/>
    <cellStyle name="20% - Accent1 12 3 3" xfId="207"/>
    <cellStyle name="20% - Accent1 12 4" xfId="208"/>
    <cellStyle name="20% - Accent1 12 4 2" xfId="209"/>
    <cellStyle name="20% - Accent1 12 5" xfId="210"/>
    <cellStyle name="20% - Accent1 12 6" xfId="211"/>
    <cellStyle name="20% - Accent1 12 7" xfId="212"/>
    <cellStyle name="20% - Accent1 13" xfId="213"/>
    <cellStyle name="20% - Accent1 13 2" xfId="214"/>
    <cellStyle name="20% - Accent1 13 3" xfId="215"/>
    <cellStyle name="20% - Accent1 13 4" xfId="216"/>
    <cellStyle name="20% - Accent1 14" xfId="217"/>
    <cellStyle name="20% - Accent1 14 10" xfId="218"/>
    <cellStyle name="20% - Accent1 14 2" xfId="219"/>
    <cellStyle name="20% - Accent1 14 2 2" xfId="220"/>
    <cellStyle name="20% - Accent1 14 2 2 2" xfId="221"/>
    <cellStyle name="20% - Accent1 14 2 2 2 2" xfId="222"/>
    <cellStyle name="20% - Accent1 14 2 2 2 2 2" xfId="223"/>
    <cellStyle name="20% - Accent1 14 2 2 2 2 2 2" xfId="224"/>
    <cellStyle name="20% - Accent1 14 2 2 2 3" xfId="225"/>
    <cellStyle name="20% - Accent1 14 2 2 2 3 2" xfId="226"/>
    <cellStyle name="20% - Accent1 14 2 2 3" xfId="227"/>
    <cellStyle name="20% - Accent1 14 2 2 3 2" xfId="228"/>
    <cellStyle name="20% - Accent1 14 2 2 3 2 2" xfId="229"/>
    <cellStyle name="20% - Accent1 14 2 2 4" xfId="230"/>
    <cellStyle name="20% - Accent1 14 2 2 4 2" xfId="231"/>
    <cellStyle name="20% - Accent1 14 2 2 5" xfId="232"/>
    <cellStyle name="20% - Accent1 14 2 2 6" xfId="233"/>
    <cellStyle name="20% - Accent1 14 2 2 7" xfId="234"/>
    <cellStyle name="20% - Accent1 14 2 3" xfId="235"/>
    <cellStyle name="20% - Accent1 14 2 3 2" xfId="236"/>
    <cellStyle name="20% - Accent1 14 2 3 2 2" xfId="237"/>
    <cellStyle name="20% - Accent1 14 2 3 2 2 2" xfId="238"/>
    <cellStyle name="20% - Accent1 14 2 3 3" xfId="239"/>
    <cellStyle name="20% - Accent1 14 2 3 3 2" xfId="240"/>
    <cellStyle name="20% - Accent1 14 2 3 4" xfId="241"/>
    <cellStyle name="20% - Accent1 14 2 3 5" xfId="242"/>
    <cellStyle name="20% - Accent1 14 2 3 6" xfId="243"/>
    <cellStyle name="20% - Accent1 14 2 4" xfId="244"/>
    <cellStyle name="20% - Accent1 14 2 4 2" xfId="245"/>
    <cellStyle name="20% - Accent1 14 2 4 2 2" xfId="246"/>
    <cellStyle name="20% - Accent1 14 2 4 3" xfId="247"/>
    <cellStyle name="20% - Accent1 14 2 5" xfId="248"/>
    <cellStyle name="20% - Accent1 14 2 5 2" xfId="249"/>
    <cellStyle name="20% - Accent1 14 2 6" xfId="250"/>
    <cellStyle name="20% - Accent1 14 2 7" xfId="251"/>
    <cellStyle name="20% - Accent1 14 2 8" xfId="252"/>
    <cellStyle name="20% - Accent1 14 2 9" xfId="253"/>
    <cellStyle name="20% - Accent1 14 3" xfId="254"/>
    <cellStyle name="20% - Accent1 14 3 2" xfId="255"/>
    <cellStyle name="20% - Accent1 14 3 2 2" xfId="256"/>
    <cellStyle name="20% - Accent1 14 3 2 2 2" xfId="257"/>
    <cellStyle name="20% - Accent1 14 3 2 2 2 2" xfId="258"/>
    <cellStyle name="20% - Accent1 14 3 2 3" xfId="259"/>
    <cellStyle name="20% - Accent1 14 3 2 3 2" xfId="260"/>
    <cellStyle name="20% - Accent1 14 3 2 4" xfId="261"/>
    <cellStyle name="20% - Accent1 14 3 2 5" xfId="262"/>
    <cellStyle name="20% - Accent1 14 3 2 6" xfId="263"/>
    <cellStyle name="20% - Accent1 14 3 3" xfId="264"/>
    <cellStyle name="20% - Accent1 14 3 3 2" xfId="265"/>
    <cellStyle name="20% - Accent1 14 3 3 2 2" xfId="266"/>
    <cellStyle name="20% - Accent1 14 3 3 3" xfId="267"/>
    <cellStyle name="20% - Accent1 14 3 3 4" xfId="268"/>
    <cellStyle name="20% - Accent1 14 3 3 5" xfId="269"/>
    <cellStyle name="20% - Accent1 14 3 4" xfId="270"/>
    <cellStyle name="20% - Accent1 14 3 4 2" xfId="271"/>
    <cellStyle name="20% - Accent1 14 3 4 3" xfId="272"/>
    <cellStyle name="20% - Accent1 14 3 5" xfId="273"/>
    <cellStyle name="20% - Accent1 14 3 6" xfId="274"/>
    <cellStyle name="20% - Accent1 14 3 7" xfId="275"/>
    <cellStyle name="20% - Accent1 14 3 8" xfId="276"/>
    <cellStyle name="20% - Accent1 14 4" xfId="277"/>
    <cellStyle name="20% - Accent1 14 4 2" xfId="278"/>
    <cellStyle name="20% - Accent1 14 4 2 2" xfId="279"/>
    <cellStyle name="20% - Accent1 14 4 2 2 2" xfId="280"/>
    <cellStyle name="20% - Accent1 14 4 3" xfId="281"/>
    <cellStyle name="20% - Accent1 14 4 3 2" xfId="282"/>
    <cellStyle name="20% - Accent1 14 4 4" xfId="283"/>
    <cellStyle name="20% - Accent1 14 4 5" xfId="284"/>
    <cellStyle name="20% - Accent1 14 4 6" xfId="285"/>
    <cellStyle name="20% - Accent1 14 5" xfId="286"/>
    <cellStyle name="20% - Accent1 14 5 2" xfId="287"/>
    <cellStyle name="20% - Accent1 14 5 2 2" xfId="288"/>
    <cellStyle name="20% - Accent1 14 5 3" xfId="289"/>
    <cellStyle name="20% - Accent1 14 5 4" xfId="290"/>
    <cellStyle name="20% - Accent1 14 5 5" xfId="291"/>
    <cellStyle name="20% - Accent1 14 6" xfId="292"/>
    <cellStyle name="20% - Accent1 14 6 2" xfId="293"/>
    <cellStyle name="20% - Accent1 14 6 3" xfId="294"/>
    <cellStyle name="20% - Accent1 14 7" xfId="295"/>
    <cellStyle name="20% - Accent1 14 8" xfId="296"/>
    <cellStyle name="20% - Accent1 14 9" xfId="297"/>
    <cellStyle name="20% - Accent1 15" xfId="298"/>
    <cellStyle name="20% - Accent1 15 2" xfId="299"/>
    <cellStyle name="20% - Accent1 15 2 2" xfId="300"/>
    <cellStyle name="20% - Accent1 15 2 3" xfId="301"/>
    <cellStyle name="20% - Accent1 15 2 4" xfId="302"/>
    <cellStyle name="20% - Accent1 15 3" xfId="303"/>
    <cellStyle name="20% - Accent1 15 3 2" xfId="304"/>
    <cellStyle name="20% - Accent1 15 3 3" xfId="305"/>
    <cellStyle name="20% - Accent1 15 4" xfId="306"/>
    <cellStyle name="20% - Accent1 15 4 2" xfId="307"/>
    <cellStyle name="20% - Accent1 15 5" xfId="308"/>
    <cellStyle name="20% - Accent1 15 6" xfId="309"/>
    <cellStyle name="20% - Accent1 15 7" xfId="310"/>
    <cellStyle name="20% - Accent1 16" xfId="311"/>
    <cellStyle name="20% - Accent1 16 2" xfId="312"/>
    <cellStyle name="20% - Accent1 16 2 2" xfId="313"/>
    <cellStyle name="20% - Accent1 16 2 3" xfId="314"/>
    <cellStyle name="20% - Accent1 16 2 4" xfId="315"/>
    <cellStyle name="20% - Accent1 16 3" xfId="316"/>
    <cellStyle name="20% - Accent1 16 3 2" xfId="317"/>
    <cellStyle name="20% - Accent1 16 3 3" xfId="318"/>
    <cellStyle name="20% - Accent1 16 4" xfId="319"/>
    <cellStyle name="20% - Accent1 16 4 2" xfId="320"/>
    <cellStyle name="20% - Accent1 16 5" xfId="321"/>
    <cellStyle name="20% - Accent1 16 6" xfId="322"/>
    <cellStyle name="20% - Accent1 16 7" xfId="323"/>
    <cellStyle name="20% - Accent1 17" xfId="324"/>
    <cellStyle name="20% - Accent1 17 2" xfId="325"/>
    <cellStyle name="20% - Accent1 17 2 2" xfId="326"/>
    <cellStyle name="20% - Accent1 17 2 3" xfId="327"/>
    <cellStyle name="20% - Accent1 17 2 4" xfId="328"/>
    <cellStyle name="20% - Accent1 17 3" xfId="329"/>
    <cellStyle name="20% - Accent1 17 3 2" xfId="330"/>
    <cellStyle name="20% - Accent1 17 3 3" xfId="331"/>
    <cellStyle name="20% - Accent1 17 4" xfId="332"/>
    <cellStyle name="20% - Accent1 17 4 2" xfId="333"/>
    <cellStyle name="20% - Accent1 17 5" xfId="334"/>
    <cellStyle name="20% - Accent1 17 6" xfId="335"/>
    <cellStyle name="20% - Accent1 17 7" xfId="336"/>
    <cellStyle name="20% - Accent1 18" xfId="337"/>
    <cellStyle name="20% - Accent1 18 2" xfId="338"/>
    <cellStyle name="20% - Accent1 18 2 2" xfId="339"/>
    <cellStyle name="20% - Accent1 18 2 3" xfId="340"/>
    <cellStyle name="20% - Accent1 18 2 4" xfId="341"/>
    <cellStyle name="20% - Accent1 18 3" xfId="342"/>
    <cellStyle name="20% - Accent1 18 3 2" xfId="343"/>
    <cellStyle name="20% - Accent1 18 3 3" xfId="344"/>
    <cellStyle name="20% - Accent1 18 4" xfId="345"/>
    <cellStyle name="20% - Accent1 18 4 2" xfId="346"/>
    <cellStyle name="20% - Accent1 18 5" xfId="347"/>
    <cellStyle name="20% - Accent1 18 6" xfId="348"/>
    <cellStyle name="20% - Accent1 18 7" xfId="349"/>
    <cellStyle name="20% - Accent1 19" xfId="350"/>
    <cellStyle name="20% - Accent1 19 2" xfId="351"/>
    <cellStyle name="20% - Accent1 19 2 2" xfId="352"/>
    <cellStyle name="20% - Accent1 19 2 3" xfId="353"/>
    <cellStyle name="20% - Accent1 19 2 4" xfId="354"/>
    <cellStyle name="20% - Accent1 19 3" xfId="355"/>
    <cellStyle name="20% - Accent1 19 3 2" xfId="356"/>
    <cellStyle name="20% - Accent1 19 3 3" xfId="357"/>
    <cellStyle name="20% - Accent1 19 4" xfId="358"/>
    <cellStyle name="20% - Accent1 19 4 2" xfId="359"/>
    <cellStyle name="20% - Accent1 19 5" xfId="360"/>
    <cellStyle name="20% - Accent1 19 6" xfId="361"/>
    <cellStyle name="20% - Accent1 19 7" xfId="362"/>
    <cellStyle name="20% - Accent1 2" xfId="363"/>
    <cellStyle name="20% - Accent1 2 10" xfId="364"/>
    <cellStyle name="20% - Accent1 2 10 2" xfId="365"/>
    <cellStyle name="20% - Accent1 2 10 2 2" xfId="366"/>
    <cellStyle name="20% - Accent1 2 10 2 2 2" xfId="367"/>
    <cellStyle name="20% - Accent1 2 10 2 2 2 2" xfId="368"/>
    <cellStyle name="20% - Accent1 2 10 2 2 2 2 2" xfId="369"/>
    <cellStyle name="20% - Accent1 2 10 2 2 2 2 2 2" xfId="370"/>
    <cellStyle name="20% - Accent1 2 10 2 2 2 3" xfId="371"/>
    <cellStyle name="20% - Accent1 2 10 2 2 2 3 2" xfId="372"/>
    <cellStyle name="20% - Accent1 2 10 2 2 3" xfId="373"/>
    <cellStyle name="20% - Accent1 2 10 2 2 3 2" xfId="374"/>
    <cellStyle name="20% - Accent1 2 10 2 2 3 2 2" xfId="375"/>
    <cellStyle name="20% - Accent1 2 10 2 2 4" xfId="376"/>
    <cellStyle name="20% - Accent1 2 10 2 2 4 2" xfId="377"/>
    <cellStyle name="20% - Accent1 2 10 2 3" xfId="378"/>
    <cellStyle name="20% - Accent1 2 10 2 3 2" xfId="379"/>
    <cellStyle name="20% - Accent1 2 10 2 3 2 2" xfId="380"/>
    <cellStyle name="20% - Accent1 2 10 2 3 2 2 2" xfId="381"/>
    <cellStyle name="20% - Accent1 2 10 2 3 3" xfId="382"/>
    <cellStyle name="20% - Accent1 2 10 2 3 3 2" xfId="383"/>
    <cellStyle name="20% - Accent1 2 10 2 4" xfId="384"/>
    <cellStyle name="20% - Accent1 2 10 2 4 2" xfId="385"/>
    <cellStyle name="20% - Accent1 2 10 2 4 2 2" xfId="386"/>
    <cellStyle name="20% - Accent1 2 10 2 5" xfId="387"/>
    <cellStyle name="20% - Accent1 2 10 2 5 2" xfId="388"/>
    <cellStyle name="20% - Accent1 2 10 3" xfId="389"/>
    <cellStyle name="20% - Accent1 2 10 3 2" xfId="390"/>
    <cellStyle name="20% - Accent1 2 10 3 2 2" xfId="391"/>
    <cellStyle name="20% - Accent1 2 10 3 2 2 2" xfId="392"/>
    <cellStyle name="20% - Accent1 2 10 3 2 2 2 2" xfId="393"/>
    <cellStyle name="20% - Accent1 2 10 3 2 3" xfId="394"/>
    <cellStyle name="20% - Accent1 2 10 3 2 3 2" xfId="395"/>
    <cellStyle name="20% - Accent1 2 10 3 3" xfId="396"/>
    <cellStyle name="20% - Accent1 2 10 3 3 2" xfId="397"/>
    <cellStyle name="20% - Accent1 2 10 3 3 2 2" xfId="398"/>
    <cellStyle name="20% - Accent1 2 10 3 4" xfId="399"/>
    <cellStyle name="20% - Accent1 2 10 3 4 2" xfId="400"/>
    <cellStyle name="20% - Accent1 2 10 4" xfId="401"/>
    <cellStyle name="20% - Accent1 2 10 4 2" xfId="402"/>
    <cellStyle name="20% - Accent1 2 10 4 2 2" xfId="403"/>
    <cellStyle name="20% - Accent1 2 10 4 2 2 2" xfId="404"/>
    <cellStyle name="20% - Accent1 2 10 4 3" xfId="405"/>
    <cellStyle name="20% - Accent1 2 10 4 3 2" xfId="406"/>
    <cellStyle name="20% - Accent1 2 10 5" xfId="407"/>
    <cellStyle name="20% - Accent1 2 10 5 2" xfId="408"/>
    <cellStyle name="20% - Accent1 2 10 5 2 2" xfId="409"/>
    <cellStyle name="20% - Accent1 2 10 6" xfId="410"/>
    <cellStyle name="20% - Accent1 2 10 6 2" xfId="411"/>
    <cellStyle name="20% - Accent1 2 11" xfId="412"/>
    <cellStyle name="20% - Accent1 2 11 2" xfId="413"/>
    <cellStyle name="20% - Accent1 2 11 2 2" xfId="414"/>
    <cellStyle name="20% - Accent1 2 11 2 2 2" xfId="415"/>
    <cellStyle name="20% - Accent1 2 11 2 2 2 2" xfId="416"/>
    <cellStyle name="20% - Accent1 2 11 2 2 2 2 2" xfId="417"/>
    <cellStyle name="20% - Accent1 2 11 2 2 2 2 2 2" xfId="418"/>
    <cellStyle name="20% - Accent1 2 11 2 2 2 3" xfId="419"/>
    <cellStyle name="20% - Accent1 2 11 2 2 2 3 2" xfId="420"/>
    <cellStyle name="20% - Accent1 2 11 2 2 3" xfId="421"/>
    <cellStyle name="20% - Accent1 2 11 2 2 3 2" xfId="422"/>
    <cellStyle name="20% - Accent1 2 11 2 2 3 2 2" xfId="423"/>
    <cellStyle name="20% - Accent1 2 11 2 2 4" xfId="424"/>
    <cellStyle name="20% - Accent1 2 11 2 2 4 2" xfId="425"/>
    <cellStyle name="20% - Accent1 2 11 2 3" xfId="426"/>
    <cellStyle name="20% - Accent1 2 11 2 3 2" xfId="427"/>
    <cellStyle name="20% - Accent1 2 11 2 3 2 2" xfId="428"/>
    <cellStyle name="20% - Accent1 2 11 2 3 2 2 2" xfId="429"/>
    <cellStyle name="20% - Accent1 2 11 2 3 3" xfId="430"/>
    <cellStyle name="20% - Accent1 2 11 2 3 3 2" xfId="431"/>
    <cellStyle name="20% - Accent1 2 11 2 4" xfId="432"/>
    <cellStyle name="20% - Accent1 2 11 2 4 2" xfId="433"/>
    <cellStyle name="20% - Accent1 2 11 2 4 2 2" xfId="434"/>
    <cellStyle name="20% - Accent1 2 11 2 5" xfId="435"/>
    <cellStyle name="20% - Accent1 2 11 2 5 2" xfId="436"/>
    <cellStyle name="20% - Accent1 2 11 3" xfId="437"/>
    <cellStyle name="20% - Accent1 2 11 3 2" xfId="438"/>
    <cellStyle name="20% - Accent1 2 11 3 2 2" xfId="439"/>
    <cellStyle name="20% - Accent1 2 11 3 2 2 2" xfId="440"/>
    <cellStyle name="20% - Accent1 2 11 3 2 2 2 2" xfId="441"/>
    <cellStyle name="20% - Accent1 2 11 3 2 3" xfId="442"/>
    <cellStyle name="20% - Accent1 2 11 3 2 3 2" xfId="443"/>
    <cellStyle name="20% - Accent1 2 11 3 3" xfId="444"/>
    <cellStyle name="20% - Accent1 2 11 3 3 2" xfId="445"/>
    <cellStyle name="20% - Accent1 2 11 3 3 2 2" xfId="446"/>
    <cellStyle name="20% - Accent1 2 11 3 4" xfId="447"/>
    <cellStyle name="20% - Accent1 2 11 3 4 2" xfId="448"/>
    <cellStyle name="20% - Accent1 2 11 4" xfId="449"/>
    <cellStyle name="20% - Accent1 2 11 4 2" xfId="450"/>
    <cellStyle name="20% - Accent1 2 11 4 2 2" xfId="451"/>
    <cellStyle name="20% - Accent1 2 11 4 2 2 2" xfId="452"/>
    <cellStyle name="20% - Accent1 2 11 4 3" xfId="453"/>
    <cellStyle name="20% - Accent1 2 11 4 3 2" xfId="454"/>
    <cellStyle name="20% - Accent1 2 11 5" xfId="455"/>
    <cellStyle name="20% - Accent1 2 11 5 2" xfId="456"/>
    <cellStyle name="20% - Accent1 2 11 5 2 2" xfId="457"/>
    <cellStyle name="20% - Accent1 2 11 6" xfId="458"/>
    <cellStyle name="20% - Accent1 2 11 6 2" xfId="459"/>
    <cellStyle name="20% - Accent1 2 12" xfId="460"/>
    <cellStyle name="20% - Accent1 2 12 2" xfId="461"/>
    <cellStyle name="20% - Accent1 2 12 2 2" xfId="462"/>
    <cellStyle name="20% - Accent1 2 12 2 2 2" xfId="463"/>
    <cellStyle name="20% - Accent1 2 12 2 2 2 2" xfId="464"/>
    <cellStyle name="20% - Accent1 2 12 2 2 2 2 2" xfId="465"/>
    <cellStyle name="20% - Accent1 2 12 2 2 2 2 2 2" xfId="466"/>
    <cellStyle name="20% - Accent1 2 12 2 2 2 3" xfId="467"/>
    <cellStyle name="20% - Accent1 2 12 2 2 2 3 2" xfId="468"/>
    <cellStyle name="20% - Accent1 2 12 2 2 3" xfId="469"/>
    <cellStyle name="20% - Accent1 2 12 2 2 3 2" xfId="470"/>
    <cellStyle name="20% - Accent1 2 12 2 2 3 2 2" xfId="471"/>
    <cellStyle name="20% - Accent1 2 12 2 2 4" xfId="472"/>
    <cellStyle name="20% - Accent1 2 12 2 2 4 2" xfId="473"/>
    <cellStyle name="20% - Accent1 2 12 2 3" xfId="474"/>
    <cellStyle name="20% - Accent1 2 12 2 3 2" xfId="475"/>
    <cellStyle name="20% - Accent1 2 12 2 3 2 2" xfId="476"/>
    <cellStyle name="20% - Accent1 2 12 2 3 2 2 2" xfId="477"/>
    <cellStyle name="20% - Accent1 2 12 2 3 3" xfId="478"/>
    <cellStyle name="20% - Accent1 2 12 2 3 3 2" xfId="479"/>
    <cellStyle name="20% - Accent1 2 12 2 4" xfId="480"/>
    <cellStyle name="20% - Accent1 2 12 2 4 2" xfId="481"/>
    <cellStyle name="20% - Accent1 2 12 2 4 2 2" xfId="482"/>
    <cellStyle name="20% - Accent1 2 12 2 5" xfId="483"/>
    <cellStyle name="20% - Accent1 2 12 2 5 2" xfId="484"/>
    <cellStyle name="20% - Accent1 2 12 3" xfId="485"/>
    <cellStyle name="20% - Accent1 2 12 3 2" xfId="486"/>
    <cellStyle name="20% - Accent1 2 12 3 2 2" xfId="487"/>
    <cellStyle name="20% - Accent1 2 12 3 2 2 2" xfId="488"/>
    <cellStyle name="20% - Accent1 2 12 3 2 2 2 2" xfId="489"/>
    <cellStyle name="20% - Accent1 2 12 3 2 3" xfId="490"/>
    <cellStyle name="20% - Accent1 2 12 3 2 3 2" xfId="491"/>
    <cellStyle name="20% - Accent1 2 12 3 3" xfId="492"/>
    <cellStyle name="20% - Accent1 2 12 3 3 2" xfId="493"/>
    <cellStyle name="20% - Accent1 2 12 3 3 2 2" xfId="494"/>
    <cellStyle name="20% - Accent1 2 12 3 4" xfId="495"/>
    <cellStyle name="20% - Accent1 2 12 3 4 2" xfId="496"/>
    <cellStyle name="20% - Accent1 2 12 4" xfId="497"/>
    <cellStyle name="20% - Accent1 2 12 4 2" xfId="498"/>
    <cellStyle name="20% - Accent1 2 12 4 2 2" xfId="499"/>
    <cellStyle name="20% - Accent1 2 12 4 2 2 2" xfId="500"/>
    <cellStyle name="20% - Accent1 2 12 4 3" xfId="501"/>
    <cellStyle name="20% - Accent1 2 12 4 3 2" xfId="502"/>
    <cellStyle name="20% - Accent1 2 12 5" xfId="503"/>
    <cellStyle name="20% - Accent1 2 12 5 2" xfId="504"/>
    <cellStyle name="20% - Accent1 2 12 5 2 2" xfId="505"/>
    <cellStyle name="20% - Accent1 2 12 6" xfId="506"/>
    <cellStyle name="20% - Accent1 2 12 6 2" xfId="507"/>
    <cellStyle name="20% - Accent1 2 13" xfId="508"/>
    <cellStyle name="20% - Accent1 2 13 2" xfId="509"/>
    <cellStyle name="20% - Accent1 2 13 2 2" xfId="510"/>
    <cellStyle name="20% - Accent1 2 13 2 2 2" xfId="511"/>
    <cellStyle name="20% - Accent1 2 13 2 2 2 2" xfId="512"/>
    <cellStyle name="20% - Accent1 2 13 2 2 2 2 2" xfId="513"/>
    <cellStyle name="20% - Accent1 2 13 2 2 2 2 2 2" xfId="514"/>
    <cellStyle name="20% - Accent1 2 13 2 2 2 3" xfId="515"/>
    <cellStyle name="20% - Accent1 2 13 2 2 2 3 2" xfId="516"/>
    <cellStyle name="20% - Accent1 2 13 2 2 3" xfId="517"/>
    <cellStyle name="20% - Accent1 2 13 2 2 3 2" xfId="518"/>
    <cellStyle name="20% - Accent1 2 13 2 2 3 2 2" xfId="519"/>
    <cellStyle name="20% - Accent1 2 13 2 2 4" xfId="520"/>
    <cellStyle name="20% - Accent1 2 13 2 2 4 2" xfId="521"/>
    <cellStyle name="20% - Accent1 2 13 2 3" xfId="522"/>
    <cellStyle name="20% - Accent1 2 13 2 3 2" xfId="523"/>
    <cellStyle name="20% - Accent1 2 13 2 3 2 2" xfId="524"/>
    <cellStyle name="20% - Accent1 2 13 2 3 2 2 2" xfId="525"/>
    <cellStyle name="20% - Accent1 2 13 2 3 3" xfId="526"/>
    <cellStyle name="20% - Accent1 2 13 2 3 3 2" xfId="527"/>
    <cellStyle name="20% - Accent1 2 13 2 4" xfId="528"/>
    <cellStyle name="20% - Accent1 2 13 2 4 2" xfId="529"/>
    <cellStyle name="20% - Accent1 2 13 2 4 2 2" xfId="530"/>
    <cellStyle name="20% - Accent1 2 13 2 5" xfId="531"/>
    <cellStyle name="20% - Accent1 2 13 2 5 2" xfId="532"/>
    <cellStyle name="20% - Accent1 2 13 3" xfId="533"/>
    <cellStyle name="20% - Accent1 2 13 3 2" xfId="534"/>
    <cellStyle name="20% - Accent1 2 13 3 2 2" xfId="535"/>
    <cellStyle name="20% - Accent1 2 13 3 2 2 2" xfId="536"/>
    <cellStyle name="20% - Accent1 2 13 3 2 2 2 2" xfId="537"/>
    <cellStyle name="20% - Accent1 2 13 3 2 3" xfId="538"/>
    <cellStyle name="20% - Accent1 2 13 3 2 3 2" xfId="539"/>
    <cellStyle name="20% - Accent1 2 13 3 3" xfId="540"/>
    <cellStyle name="20% - Accent1 2 13 3 3 2" xfId="541"/>
    <cellStyle name="20% - Accent1 2 13 3 3 2 2" xfId="542"/>
    <cellStyle name="20% - Accent1 2 13 3 4" xfId="543"/>
    <cellStyle name="20% - Accent1 2 13 3 4 2" xfId="544"/>
    <cellStyle name="20% - Accent1 2 13 4" xfId="545"/>
    <cellStyle name="20% - Accent1 2 13 4 2" xfId="546"/>
    <cellStyle name="20% - Accent1 2 13 4 2 2" xfId="547"/>
    <cellStyle name="20% - Accent1 2 13 4 2 2 2" xfId="548"/>
    <cellStyle name="20% - Accent1 2 13 4 3" xfId="549"/>
    <cellStyle name="20% - Accent1 2 13 4 3 2" xfId="550"/>
    <cellStyle name="20% - Accent1 2 13 5" xfId="551"/>
    <cellStyle name="20% - Accent1 2 13 5 2" xfId="552"/>
    <cellStyle name="20% - Accent1 2 13 5 2 2" xfId="553"/>
    <cellStyle name="20% - Accent1 2 13 6" xfId="554"/>
    <cellStyle name="20% - Accent1 2 13 6 2" xfId="555"/>
    <cellStyle name="20% - Accent1 2 14" xfId="556"/>
    <cellStyle name="20% - Accent1 2 14 2" xfId="557"/>
    <cellStyle name="20% - Accent1 2 14 2 2" xfId="558"/>
    <cellStyle name="20% - Accent1 2 14 2 2 2" xfId="559"/>
    <cellStyle name="20% - Accent1 2 14 2 2 2 2" xfId="560"/>
    <cellStyle name="20% - Accent1 2 14 2 2 2 2 2" xfId="561"/>
    <cellStyle name="20% - Accent1 2 14 2 2 3" xfId="562"/>
    <cellStyle name="20% - Accent1 2 14 2 2 3 2" xfId="563"/>
    <cellStyle name="20% - Accent1 2 14 2 3" xfId="564"/>
    <cellStyle name="20% - Accent1 2 14 2 3 2" xfId="565"/>
    <cellStyle name="20% - Accent1 2 14 2 3 2 2" xfId="566"/>
    <cellStyle name="20% - Accent1 2 14 2 4" xfId="567"/>
    <cellStyle name="20% - Accent1 2 14 2 4 2" xfId="568"/>
    <cellStyle name="20% - Accent1 2 14 3" xfId="569"/>
    <cellStyle name="20% - Accent1 2 14 3 2" xfId="570"/>
    <cellStyle name="20% - Accent1 2 14 3 2 2" xfId="571"/>
    <cellStyle name="20% - Accent1 2 14 3 2 2 2" xfId="572"/>
    <cellStyle name="20% - Accent1 2 14 3 3" xfId="573"/>
    <cellStyle name="20% - Accent1 2 14 3 3 2" xfId="574"/>
    <cellStyle name="20% - Accent1 2 14 4" xfId="575"/>
    <cellStyle name="20% - Accent1 2 14 4 2" xfId="576"/>
    <cellStyle name="20% - Accent1 2 14 4 2 2" xfId="577"/>
    <cellStyle name="20% - Accent1 2 14 5" xfId="578"/>
    <cellStyle name="20% - Accent1 2 14 5 2" xfId="579"/>
    <cellStyle name="20% - Accent1 2 15" xfId="580"/>
    <cellStyle name="20% - Accent1 2 15 2" xfId="581"/>
    <cellStyle name="20% - Accent1 2 15 2 2" xfId="582"/>
    <cellStyle name="20% - Accent1 2 15 2 2 2" xfId="583"/>
    <cellStyle name="20% - Accent1 2 15 2 2 2 2" xfId="584"/>
    <cellStyle name="20% - Accent1 2 15 2 3" xfId="585"/>
    <cellStyle name="20% - Accent1 2 15 2 3 2" xfId="586"/>
    <cellStyle name="20% - Accent1 2 15 3" xfId="587"/>
    <cellStyle name="20% - Accent1 2 15 3 2" xfId="588"/>
    <cellStyle name="20% - Accent1 2 15 3 2 2" xfId="589"/>
    <cellStyle name="20% - Accent1 2 15 4" xfId="590"/>
    <cellStyle name="20% - Accent1 2 15 4 2" xfId="591"/>
    <cellStyle name="20% - Accent1 2 16" xfId="592"/>
    <cellStyle name="20% - Accent1 2 16 2" xfId="593"/>
    <cellStyle name="20% - Accent1 2 16 2 2" xfId="594"/>
    <cellStyle name="20% - Accent1 2 16 2 2 2" xfId="595"/>
    <cellStyle name="20% - Accent1 2 16 3" xfId="596"/>
    <cellStyle name="20% - Accent1 2 16 3 2" xfId="597"/>
    <cellStyle name="20% - Accent1 2 17" xfId="598"/>
    <cellStyle name="20% - Accent1 2 17 2" xfId="599"/>
    <cellStyle name="20% - Accent1 2 17 2 2" xfId="600"/>
    <cellStyle name="20% - Accent1 2 18" xfId="601"/>
    <cellStyle name="20% - Accent1 2 19" xfId="602"/>
    <cellStyle name="20% - Accent1 2 19 2" xfId="603"/>
    <cellStyle name="20% - Accent1 2 2" xfId="604"/>
    <cellStyle name="20% - Accent1 2 2 2" xfId="605"/>
    <cellStyle name="20% - Accent1 2 2 2 2" xfId="606"/>
    <cellStyle name="20% - Accent1 2 2 2 2 2" xfId="607"/>
    <cellStyle name="20% - Accent1 2 2 2 2 2 2" xfId="608"/>
    <cellStyle name="20% - Accent1 2 2 2 2 2 2 2" xfId="609"/>
    <cellStyle name="20% - Accent1 2 2 2 2 2 2 2 2" xfId="610"/>
    <cellStyle name="20% - Accent1 2 2 2 2 2 3" xfId="611"/>
    <cellStyle name="20% - Accent1 2 2 2 2 2 3 2" xfId="612"/>
    <cellStyle name="20% - Accent1 2 2 2 2 3" xfId="613"/>
    <cellStyle name="20% - Accent1 2 2 2 2 3 2" xfId="614"/>
    <cellStyle name="20% - Accent1 2 2 2 2 3 2 2" xfId="615"/>
    <cellStyle name="20% - Accent1 2 2 2 2 4" xfId="616"/>
    <cellStyle name="20% - Accent1 2 2 2 2 4 2" xfId="617"/>
    <cellStyle name="20% - Accent1 2 2 2 3" xfId="618"/>
    <cellStyle name="20% - Accent1 2 2 2 3 2" xfId="619"/>
    <cellStyle name="20% - Accent1 2 2 2 3 2 2" xfId="620"/>
    <cellStyle name="20% - Accent1 2 2 2 3 2 2 2" xfId="621"/>
    <cellStyle name="20% - Accent1 2 2 2 3 3" xfId="622"/>
    <cellStyle name="20% - Accent1 2 2 2 3 3 2" xfId="623"/>
    <cellStyle name="20% - Accent1 2 2 2 4" xfId="624"/>
    <cellStyle name="20% - Accent1 2 2 2 4 2" xfId="625"/>
    <cellStyle name="20% - Accent1 2 2 2 4 2 2" xfId="626"/>
    <cellStyle name="20% - Accent1 2 2 2 5" xfId="627"/>
    <cellStyle name="20% - Accent1 2 2 2 5 2" xfId="628"/>
    <cellStyle name="20% - Accent1 2 2 3" xfId="629"/>
    <cellStyle name="20% - Accent1 2 2 3 2" xfId="630"/>
    <cellStyle name="20% - Accent1 2 2 3 2 2" xfId="631"/>
    <cellStyle name="20% - Accent1 2 2 3 2 2 2" xfId="632"/>
    <cellStyle name="20% - Accent1 2 2 3 2 2 2 2" xfId="633"/>
    <cellStyle name="20% - Accent1 2 2 3 2 3" xfId="634"/>
    <cellStyle name="20% - Accent1 2 2 3 2 3 2" xfId="635"/>
    <cellStyle name="20% - Accent1 2 2 3 3" xfId="636"/>
    <cellStyle name="20% - Accent1 2 2 3 3 2" xfId="637"/>
    <cellStyle name="20% - Accent1 2 2 3 3 2 2" xfId="638"/>
    <cellStyle name="20% - Accent1 2 2 3 4" xfId="639"/>
    <cellStyle name="20% - Accent1 2 2 3 4 2" xfId="640"/>
    <cellStyle name="20% - Accent1 2 2 4" xfId="641"/>
    <cellStyle name="20% - Accent1 2 2 4 2" xfId="642"/>
    <cellStyle name="20% - Accent1 2 2 4 2 2" xfId="643"/>
    <cellStyle name="20% - Accent1 2 2 4 2 2 2" xfId="644"/>
    <cellStyle name="20% - Accent1 2 2 4 3" xfId="645"/>
    <cellStyle name="20% - Accent1 2 2 4 3 2" xfId="646"/>
    <cellStyle name="20% - Accent1 2 2 5" xfId="647"/>
    <cellStyle name="20% - Accent1 2 2 5 2" xfId="648"/>
    <cellStyle name="20% - Accent1 2 2 5 2 2" xfId="649"/>
    <cellStyle name="20% - Accent1 2 2 6" xfId="650"/>
    <cellStyle name="20% - Accent1 2 2 6 2" xfId="651"/>
    <cellStyle name="20% - Accent1 2 2 7" xfId="652"/>
    <cellStyle name="20% - Accent1 2 3" xfId="653"/>
    <cellStyle name="20% - Accent1 2 3 2" xfId="654"/>
    <cellStyle name="20% - Accent1 2 3 2 2" xfId="655"/>
    <cellStyle name="20% - Accent1 2 3 2 2 2" xfId="656"/>
    <cellStyle name="20% - Accent1 2 3 2 2 2 2" xfId="657"/>
    <cellStyle name="20% - Accent1 2 3 2 2 2 2 2" xfId="658"/>
    <cellStyle name="20% - Accent1 2 3 2 2 2 2 2 2" xfId="659"/>
    <cellStyle name="20% - Accent1 2 3 2 2 2 3" xfId="660"/>
    <cellStyle name="20% - Accent1 2 3 2 2 2 3 2" xfId="661"/>
    <cellStyle name="20% - Accent1 2 3 2 2 3" xfId="662"/>
    <cellStyle name="20% - Accent1 2 3 2 2 3 2" xfId="663"/>
    <cellStyle name="20% - Accent1 2 3 2 2 3 2 2" xfId="664"/>
    <cellStyle name="20% - Accent1 2 3 2 2 4" xfId="665"/>
    <cellStyle name="20% - Accent1 2 3 2 2 4 2" xfId="666"/>
    <cellStyle name="20% - Accent1 2 3 2 3" xfId="667"/>
    <cellStyle name="20% - Accent1 2 3 2 3 2" xfId="668"/>
    <cellStyle name="20% - Accent1 2 3 2 3 2 2" xfId="669"/>
    <cellStyle name="20% - Accent1 2 3 2 3 2 2 2" xfId="670"/>
    <cellStyle name="20% - Accent1 2 3 2 3 3" xfId="671"/>
    <cellStyle name="20% - Accent1 2 3 2 3 3 2" xfId="672"/>
    <cellStyle name="20% - Accent1 2 3 2 4" xfId="673"/>
    <cellStyle name="20% - Accent1 2 3 2 4 2" xfId="674"/>
    <cellStyle name="20% - Accent1 2 3 2 4 2 2" xfId="675"/>
    <cellStyle name="20% - Accent1 2 3 2 5" xfId="676"/>
    <cellStyle name="20% - Accent1 2 3 2 5 2" xfId="677"/>
    <cellStyle name="20% - Accent1 2 3 3" xfId="678"/>
    <cellStyle name="20% - Accent1 2 3 3 2" xfId="679"/>
    <cellStyle name="20% - Accent1 2 3 3 2 2" xfId="680"/>
    <cellStyle name="20% - Accent1 2 3 3 2 2 2" xfId="681"/>
    <cellStyle name="20% - Accent1 2 3 3 2 2 2 2" xfId="682"/>
    <cellStyle name="20% - Accent1 2 3 3 2 3" xfId="683"/>
    <cellStyle name="20% - Accent1 2 3 3 2 3 2" xfId="684"/>
    <cellStyle name="20% - Accent1 2 3 3 3" xfId="685"/>
    <cellStyle name="20% - Accent1 2 3 3 3 2" xfId="686"/>
    <cellStyle name="20% - Accent1 2 3 3 3 2 2" xfId="687"/>
    <cellStyle name="20% - Accent1 2 3 3 4" xfId="688"/>
    <cellStyle name="20% - Accent1 2 3 3 4 2" xfId="689"/>
    <cellStyle name="20% - Accent1 2 3 4" xfId="690"/>
    <cellStyle name="20% - Accent1 2 3 4 2" xfId="691"/>
    <cellStyle name="20% - Accent1 2 3 4 2 2" xfId="692"/>
    <cellStyle name="20% - Accent1 2 3 4 2 2 2" xfId="693"/>
    <cellStyle name="20% - Accent1 2 3 4 3" xfId="694"/>
    <cellStyle name="20% - Accent1 2 3 4 3 2" xfId="695"/>
    <cellStyle name="20% - Accent1 2 3 5" xfId="696"/>
    <cellStyle name="20% - Accent1 2 3 5 2" xfId="697"/>
    <cellStyle name="20% - Accent1 2 3 5 2 2" xfId="698"/>
    <cellStyle name="20% - Accent1 2 3 6" xfId="699"/>
    <cellStyle name="20% - Accent1 2 3 6 2" xfId="700"/>
    <cellStyle name="20% - Accent1 2 3 7" xfId="701"/>
    <cellStyle name="20% - Accent1 2 4" xfId="702"/>
    <cellStyle name="20% - Accent1 2 4 2" xfId="703"/>
    <cellStyle name="20% - Accent1 2 4 2 2" xfId="704"/>
    <cellStyle name="20% - Accent1 2 4 2 2 2" xfId="705"/>
    <cellStyle name="20% - Accent1 2 4 2 2 2 2" xfId="706"/>
    <cellStyle name="20% - Accent1 2 4 2 2 2 2 2" xfId="707"/>
    <cellStyle name="20% - Accent1 2 4 2 2 2 2 2 2" xfId="708"/>
    <cellStyle name="20% - Accent1 2 4 2 2 2 3" xfId="709"/>
    <cellStyle name="20% - Accent1 2 4 2 2 2 3 2" xfId="710"/>
    <cellStyle name="20% - Accent1 2 4 2 2 3" xfId="711"/>
    <cellStyle name="20% - Accent1 2 4 2 2 3 2" xfId="712"/>
    <cellStyle name="20% - Accent1 2 4 2 2 3 2 2" xfId="713"/>
    <cellStyle name="20% - Accent1 2 4 2 2 4" xfId="714"/>
    <cellStyle name="20% - Accent1 2 4 2 2 4 2" xfId="715"/>
    <cellStyle name="20% - Accent1 2 4 2 3" xfId="716"/>
    <cellStyle name="20% - Accent1 2 4 2 3 2" xfId="717"/>
    <cellStyle name="20% - Accent1 2 4 2 3 2 2" xfId="718"/>
    <cellStyle name="20% - Accent1 2 4 2 3 2 2 2" xfId="719"/>
    <cellStyle name="20% - Accent1 2 4 2 3 3" xfId="720"/>
    <cellStyle name="20% - Accent1 2 4 2 3 3 2" xfId="721"/>
    <cellStyle name="20% - Accent1 2 4 2 4" xfId="722"/>
    <cellStyle name="20% - Accent1 2 4 2 4 2" xfId="723"/>
    <cellStyle name="20% - Accent1 2 4 2 4 2 2" xfId="724"/>
    <cellStyle name="20% - Accent1 2 4 2 5" xfId="725"/>
    <cellStyle name="20% - Accent1 2 4 2 5 2" xfId="726"/>
    <cellStyle name="20% - Accent1 2 4 3" xfId="727"/>
    <cellStyle name="20% - Accent1 2 4 3 2" xfId="728"/>
    <cellStyle name="20% - Accent1 2 4 3 2 2" xfId="729"/>
    <cellStyle name="20% - Accent1 2 4 3 2 2 2" xfId="730"/>
    <cellStyle name="20% - Accent1 2 4 3 2 2 2 2" xfId="731"/>
    <cellStyle name="20% - Accent1 2 4 3 2 3" xfId="732"/>
    <cellStyle name="20% - Accent1 2 4 3 2 3 2" xfId="733"/>
    <cellStyle name="20% - Accent1 2 4 3 3" xfId="734"/>
    <cellStyle name="20% - Accent1 2 4 3 3 2" xfId="735"/>
    <cellStyle name="20% - Accent1 2 4 3 3 2 2" xfId="736"/>
    <cellStyle name="20% - Accent1 2 4 3 4" xfId="737"/>
    <cellStyle name="20% - Accent1 2 4 3 4 2" xfId="738"/>
    <cellStyle name="20% - Accent1 2 4 4" xfId="739"/>
    <cellStyle name="20% - Accent1 2 4 4 2" xfId="740"/>
    <cellStyle name="20% - Accent1 2 4 4 2 2" xfId="741"/>
    <cellStyle name="20% - Accent1 2 4 4 2 2 2" xfId="742"/>
    <cellStyle name="20% - Accent1 2 4 4 3" xfId="743"/>
    <cellStyle name="20% - Accent1 2 4 4 3 2" xfId="744"/>
    <cellStyle name="20% - Accent1 2 4 5" xfId="745"/>
    <cellStyle name="20% - Accent1 2 4 5 2" xfId="746"/>
    <cellStyle name="20% - Accent1 2 4 5 2 2" xfId="747"/>
    <cellStyle name="20% - Accent1 2 4 6" xfId="748"/>
    <cellStyle name="20% - Accent1 2 4 6 2" xfId="749"/>
    <cellStyle name="20% - Accent1 2 4 7" xfId="750"/>
    <cellStyle name="20% - Accent1 2 5" xfId="751"/>
    <cellStyle name="20% - Accent1 2 5 2" xfId="752"/>
    <cellStyle name="20% - Accent1 2 5 2 2" xfId="753"/>
    <cellStyle name="20% - Accent1 2 5 2 2 2" xfId="754"/>
    <cellStyle name="20% - Accent1 2 5 2 2 2 2" xfId="755"/>
    <cellStyle name="20% - Accent1 2 5 2 2 2 2 2" xfId="756"/>
    <cellStyle name="20% - Accent1 2 5 2 2 2 2 2 2" xfId="757"/>
    <cellStyle name="20% - Accent1 2 5 2 2 2 3" xfId="758"/>
    <cellStyle name="20% - Accent1 2 5 2 2 2 3 2" xfId="759"/>
    <cellStyle name="20% - Accent1 2 5 2 2 3" xfId="760"/>
    <cellStyle name="20% - Accent1 2 5 2 2 3 2" xfId="761"/>
    <cellStyle name="20% - Accent1 2 5 2 2 3 2 2" xfId="762"/>
    <cellStyle name="20% - Accent1 2 5 2 2 4" xfId="763"/>
    <cellStyle name="20% - Accent1 2 5 2 2 4 2" xfId="764"/>
    <cellStyle name="20% - Accent1 2 5 2 3" xfId="765"/>
    <cellStyle name="20% - Accent1 2 5 2 3 2" xfId="766"/>
    <cellStyle name="20% - Accent1 2 5 2 3 2 2" xfId="767"/>
    <cellStyle name="20% - Accent1 2 5 2 3 2 2 2" xfId="768"/>
    <cellStyle name="20% - Accent1 2 5 2 3 3" xfId="769"/>
    <cellStyle name="20% - Accent1 2 5 2 3 3 2" xfId="770"/>
    <cellStyle name="20% - Accent1 2 5 2 4" xfId="771"/>
    <cellStyle name="20% - Accent1 2 5 2 4 2" xfId="772"/>
    <cellStyle name="20% - Accent1 2 5 2 4 2 2" xfId="773"/>
    <cellStyle name="20% - Accent1 2 5 2 5" xfId="774"/>
    <cellStyle name="20% - Accent1 2 5 2 5 2" xfId="775"/>
    <cellStyle name="20% - Accent1 2 5 3" xfId="776"/>
    <cellStyle name="20% - Accent1 2 5 3 2" xfId="777"/>
    <cellStyle name="20% - Accent1 2 5 3 2 2" xfId="778"/>
    <cellStyle name="20% - Accent1 2 5 3 2 2 2" xfId="779"/>
    <cellStyle name="20% - Accent1 2 5 3 2 2 2 2" xfId="780"/>
    <cellStyle name="20% - Accent1 2 5 3 2 3" xfId="781"/>
    <cellStyle name="20% - Accent1 2 5 3 2 3 2" xfId="782"/>
    <cellStyle name="20% - Accent1 2 5 3 3" xfId="783"/>
    <cellStyle name="20% - Accent1 2 5 3 3 2" xfId="784"/>
    <cellStyle name="20% - Accent1 2 5 3 3 2 2" xfId="785"/>
    <cellStyle name="20% - Accent1 2 5 3 4" xfId="786"/>
    <cellStyle name="20% - Accent1 2 5 3 4 2" xfId="787"/>
    <cellStyle name="20% - Accent1 2 5 4" xfId="788"/>
    <cellStyle name="20% - Accent1 2 5 4 2" xfId="789"/>
    <cellStyle name="20% - Accent1 2 5 4 2 2" xfId="790"/>
    <cellStyle name="20% - Accent1 2 5 4 2 2 2" xfId="791"/>
    <cellStyle name="20% - Accent1 2 5 4 3" xfId="792"/>
    <cellStyle name="20% - Accent1 2 5 4 3 2" xfId="793"/>
    <cellStyle name="20% - Accent1 2 5 5" xfId="794"/>
    <cellStyle name="20% - Accent1 2 5 5 2" xfId="795"/>
    <cellStyle name="20% - Accent1 2 5 5 2 2" xfId="796"/>
    <cellStyle name="20% - Accent1 2 5 6" xfId="797"/>
    <cellStyle name="20% - Accent1 2 5 6 2" xfId="798"/>
    <cellStyle name="20% - Accent1 2 5 7" xfId="799"/>
    <cellStyle name="20% - Accent1 2 6" xfId="800"/>
    <cellStyle name="20% - Accent1 2 6 2" xfId="801"/>
    <cellStyle name="20% - Accent1 2 6 2 2" xfId="802"/>
    <cellStyle name="20% - Accent1 2 6 2 2 2" xfId="803"/>
    <cellStyle name="20% - Accent1 2 6 2 2 2 2" xfId="804"/>
    <cellStyle name="20% - Accent1 2 6 2 2 2 2 2" xfId="805"/>
    <cellStyle name="20% - Accent1 2 6 2 2 2 2 2 2" xfId="806"/>
    <cellStyle name="20% - Accent1 2 6 2 2 2 3" xfId="807"/>
    <cellStyle name="20% - Accent1 2 6 2 2 2 3 2" xfId="808"/>
    <cellStyle name="20% - Accent1 2 6 2 2 3" xfId="809"/>
    <cellStyle name="20% - Accent1 2 6 2 2 3 2" xfId="810"/>
    <cellStyle name="20% - Accent1 2 6 2 2 3 2 2" xfId="811"/>
    <cellStyle name="20% - Accent1 2 6 2 2 4" xfId="812"/>
    <cellStyle name="20% - Accent1 2 6 2 2 4 2" xfId="813"/>
    <cellStyle name="20% - Accent1 2 6 2 3" xfId="814"/>
    <cellStyle name="20% - Accent1 2 6 2 3 2" xfId="815"/>
    <cellStyle name="20% - Accent1 2 6 2 3 2 2" xfId="816"/>
    <cellStyle name="20% - Accent1 2 6 2 3 2 2 2" xfId="817"/>
    <cellStyle name="20% - Accent1 2 6 2 3 3" xfId="818"/>
    <cellStyle name="20% - Accent1 2 6 2 3 3 2" xfId="819"/>
    <cellStyle name="20% - Accent1 2 6 2 4" xfId="820"/>
    <cellStyle name="20% - Accent1 2 6 2 4 2" xfId="821"/>
    <cellStyle name="20% - Accent1 2 6 2 4 2 2" xfId="822"/>
    <cellStyle name="20% - Accent1 2 6 2 5" xfId="823"/>
    <cellStyle name="20% - Accent1 2 6 2 5 2" xfId="824"/>
    <cellStyle name="20% - Accent1 2 6 3" xfId="825"/>
    <cellStyle name="20% - Accent1 2 6 3 2" xfId="826"/>
    <cellStyle name="20% - Accent1 2 6 3 2 2" xfId="827"/>
    <cellStyle name="20% - Accent1 2 6 3 2 2 2" xfId="828"/>
    <cellStyle name="20% - Accent1 2 6 3 2 2 2 2" xfId="829"/>
    <cellStyle name="20% - Accent1 2 6 3 2 3" xfId="830"/>
    <cellStyle name="20% - Accent1 2 6 3 2 3 2" xfId="831"/>
    <cellStyle name="20% - Accent1 2 6 3 3" xfId="832"/>
    <cellStyle name="20% - Accent1 2 6 3 3 2" xfId="833"/>
    <cellStyle name="20% - Accent1 2 6 3 3 2 2" xfId="834"/>
    <cellStyle name="20% - Accent1 2 6 3 4" xfId="835"/>
    <cellStyle name="20% - Accent1 2 6 3 4 2" xfId="836"/>
    <cellStyle name="20% - Accent1 2 6 4" xfId="837"/>
    <cellStyle name="20% - Accent1 2 6 4 2" xfId="838"/>
    <cellStyle name="20% - Accent1 2 6 4 2 2" xfId="839"/>
    <cellStyle name="20% - Accent1 2 6 4 2 2 2" xfId="840"/>
    <cellStyle name="20% - Accent1 2 6 4 3" xfId="841"/>
    <cellStyle name="20% - Accent1 2 6 4 3 2" xfId="842"/>
    <cellStyle name="20% - Accent1 2 6 5" xfId="843"/>
    <cellStyle name="20% - Accent1 2 6 5 2" xfId="844"/>
    <cellStyle name="20% - Accent1 2 6 5 2 2" xfId="845"/>
    <cellStyle name="20% - Accent1 2 6 6" xfId="846"/>
    <cellStyle name="20% - Accent1 2 6 6 2" xfId="847"/>
    <cellStyle name="20% - Accent1 2 6 7" xfId="848"/>
    <cellStyle name="20% - Accent1 2 7" xfId="849"/>
    <cellStyle name="20% - Accent1 2 7 2" xfId="850"/>
    <cellStyle name="20% - Accent1 2 7 2 2" xfId="851"/>
    <cellStyle name="20% - Accent1 2 7 2 2 2" xfId="852"/>
    <cellStyle name="20% - Accent1 2 7 2 2 2 2" xfId="853"/>
    <cellStyle name="20% - Accent1 2 7 2 2 2 2 2" xfId="854"/>
    <cellStyle name="20% - Accent1 2 7 2 2 2 2 2 2" xfId="855"/>
    <cellStyle name="20% - Accent1 2 7 2 2 2 3" xfId="856"/>
    <cellStyle name="20% - Accent1 2 7 2 2 2 3 2" xfId="857"/>
    <cellStyle name="20% - Accent1 2 7 2 2 3" xfId="858"/>
    <cellStyle name="20% - Accent1 2 7 2 2 3 2" xfId="859"/>
    <cellStyle name="20% - Accent1 2 7 2 2 3 2 2" xfId="860"/>
    <cellStyle name="20% - Accent1 2 7 2 2 4" xfId="861"/>
    <cellStyle name="20% - Accent1 2 7 2 2 4 2" xfId="862"/>
    <cellStyle name="20% - Accent1 2 7 2 3" xfId="863"/>
    <cellStyle name="20% - Accent1 2 7 2 3 2" xfId="864"/>
    <cellStyle name="20% - Accent1 2 7 2 3 2 2" xfId="865"/>
    <cellStyle name="20% - Accent1 2 7 2 3 2 2 2" xfId="866"/>
    <cellStyle name="20% - Accent1 2 7 2 3 3" xfId="867"/>
    <cellStyle name="20% - Accent1 2 7 2 3 3 2" xfId="868"/>
    <cellStyle name="20% - Accent1 2 7 2 4" xfId="869"/>
    <cellStyle name="20% - Accent1 2 7 2 4 2" xfId="870"/>
    <cellStyle name="20% - Accent1 2 7 2 4 2 2" xfId="871"/>
    <cellStyle name="20% - Accent1 2 7 2 5" xfId="872"/>
    <cellStyle name="20% - Accent1 2 7 2 5 2" xfId="873"/>
    <cellStyle name="20% - Accent1 2 7 3" xfId="874"/>
    <cellStyle name="20% - Accent1 2 7 3 2" xfId="875"/>
    <cellStyle name="20% - Accent1 2 7 3 2 2" xfId="876"/>
    <cellStyle name="20% - Accent1 2 7 3 2 2 2" xfId="877"/>
    <cellStyle name="20% - Accent1 2 7 3 2 2 2 2" xfId="878"/>
    <cellStyle name="20% - Accent1 2 7 3 2 3" xfId="879"/>
    <cellStyle name="20% - Accent1 2 7 3 2 3 2" xfId="880"/>
    <cellStyle name="20% - Accent1 2 7 3 3" xfId="881"/>
    <cellStyle name="20% - Accent1 2 7 3 3 2" xfId="882"/>
    <cellStyle name="20% - Accent1 2 7 3 3 2 2" xfId="883"/>
    <cellStyle name="20% - Accent1 2 7 3 4" xfId="884"/>
    <cellStyle name="20% - Accent1 2 7 3 4 2" xfId="885"/>
    <cellStyle name="20% - Accent1 2 7 4" xfId="886"/>
    <cellStyle name="20% - Accent1 2 7 4 2" xfId="887"/>
    <cellStyle name="20% - Accent1 2 7 4 2 2" xfId="888"/>
    <cellStyle name="20% - Accent1 2 7 4 2 2 2" xfId="889"/>
    <cellStyle name="20% - Accent1 2 7 4 3" xfId="890"/>
    <cellStyle name="20% - Accent1 2 7 4 3 2" xfId="891"/>
    <cellStyle name="20% - Accent1 2 7 5" xfId="892"/>
    <cellStyle name="20% - Accent1 2 7 5 2" xfId="893"/>
    <cellStyle name="20% - Accent1 2 7 5 2 2" xfId="894"/>
    <cellStyle name="20% - Accent1 2 7 6" xfId="895"/>
    <cellStyle name="20% - Accent1 2 7 6 2" xfId="896"/>
    <cellStyle name="20% - Accent1 2 7 7" xfId="897"/>
    <cellStyle name="20% - Accent1 2 8" xfId="898"/>
    <cellStyle name="20% - Accent1 2 8 2" xfId="899"/>
    <cellStyle name="20% - Accent1 2 8 2 2" xfId="900"/>
    <cellStyle name="20% - Accent1 2 8 2 2 2" xfId="901"/>
    <cellStyle name="20% - Accent1 2 8 2 2 2 2" xfId="902"/>
    <cellStyle name="20% - Accent1 2 8 2 2 2 2 2" xfId="903"/>
    <cellStyle name="20% - Accent1 2 8 2 2 2 2 2 2" xfId="904"/>
    <cellStyle name="20% - Accent1 2 8 2 2 2 3" xfId="905"/>
    <cellStyle name="20% - Accent1 2 8 2 2 2 3 2" xfId="906"/>
    <cellStyle name="20% - Accent1 2 8 2 2 3" xfId="907"/>
    <cellStyle name="20% - Accent1 2 8 2 2 3 2" xfId="908"/>
    <cellStyle name="20% - Accent1 2 8 2 2 3 2 2" xfId="909"/>
    <cellStyle name="20% - Accent1 2 8 2 2 4" xfId="910"/>
    <cellStyle name="20% - Accent1 2 8 2 2 4 2" xfId="911"/>
    <cellStyle name="20% - Accent1 2 8 2 3" xfId="912"/>
    <cellStyle name="20% - Accent1 2 8 2 3 2" xfId="913"/>
    <cellStyle name="20% - Accent1 2 8 2 3 2 2" xfId="914"/>
    <cellStyle name="20% - Accent1 2 8 2 3 2 2 2" xfId="915"/>
    <cellStyle name="20% - Accent1 2 8 2 3 3" xfId="916"/>
    <cellStyle name="20% - Accent1 2 8 2 3 3 2" xfId="917"/>
    <cellStyle name="20% - Accent1 2 8 2 4" xfId="918"/>
    <cellStyle name="20% - Accent1 2 8 2 4 2" xfId="919"/>
    <cellStyle name="20% - Accent1 2 8 2 4 2 2" xfId="920"/>
    <cellStyle name="20% - Accent1 2 8 2 5" xfId="921"/>
    <cellStyle name="20% - Accent1 2 8 2 5 2" xfId="922"/>
    <cellStyle name="20% - Accent1 2 8 3" xfId="923"/>
    <cellStyle name="20% - Accent1 2 8 3 2" xfId="924"/>
    <cellStyle name="20% - Accent1 2 8 3 2 2" xfId="925"/>
    <cellStyle name="20% - Accent1 2 8 3 2 2 2" xfId="926"/>
    <cellStyle name="20% - Accent1 2 8 3 2 2 2 2" xfId="927"/>
    <cellStyle name="20% - Accent1 2 8 3 2 3" xfId="928"/>
    <cellStyle name="20% - Accent1 2 8 3 2 3 2" xfId="929"/>
    <cellStyle name="20% - Accent1 2 8 3 3" xfId="930"/>
    <cellStyle name="20% - Accent1 2 8 3 3 2" xfId="931"/>
    <cellStyle name="20% - Accent1 2 8 3 3 2 2" xfId="932"/>
    <cellStyle name="20% - Accent1 2 8 3 4" xfId="933"/>
    <cellStyle name="20% - Accent1 2 8 3 4 2" xfId="934"/>
    <cellStyle name="20% - Accent1 2 8 4" xfId="935"/>
    <cellStyle name="20% - Accent1 2 8 4 2" xfId="936"/>
    <cellStyle name="20% - Accent1 2 8 4 2 2" xfId="937"/>
    <cellStyle name="20% - Accent1 2 8 4 2 2 2" xfId="938"/>
    <cellStyle name="20% - Accent1 2 8 4 3" xfId="939"/>
    <cellStyle name="20% - Accent1 2 8 4 3 2" xfId="940"/>
    <cellStyle name="20% - Accent1 2 8 5" xfId="941"/>
    <cellStyle name="20% - Accent1 2 8 5 2" xfId="942"/>
    <cellStyle name="20% - Accent1 2 8 5 2 2" xfId="943"/>
    <cellStyle name="20% - Accent1 2 8 6" xfId="944"/>
    <cellStyle name="20% - Accent1 2 8 6 2" xfId="945"/>
    <cellStyle name="20% - Accent1 2 9" xfId="946"/>
    <cellStyle name="20% - Accent1 2 9 2" xfId="947"/>
    <cellStyle name="20% - Accent1 2 9 2 2" xfId="948"/>
    <cellStyle name="20% - Accent1 2 9 2 2 2" xfId="949"/>
    <cellStyle name="20% - Accent1 2 9 2 2 2 2" xfId="950"/>
    <cellStyle name="20% - Accent1 2 9 2 2 2 2 2" xfId="951"/>
    <cellStyle name="20% - Accent1 2 9 2 2 2 2 2 2" xfId="952"/>
    <cellStyle name="20% - Accent1 2 9 2 2 2 3" xfId="953"/>
    <cellStyle name="20% - Accent1 2 9 2 2 2 3 2" xfId="954"/>
    <cellStyle name="20% - Accent1 2 9 2 2 3" xfId="955"/>
    <cellStyle name="20% - Accent1 2 9 2 2 3 2" xfId="956"/>
    <cellStyle name="20% - Accent1 2 9 2 2 3 2 2" xfId="957"/>
    <cellStyle name="20% - Accent1 2 9 2 2 4" xfId="958"/>
    <cellStyle name="20% - Accent1 2 9 2 2 4 2" xfId="959"/>
    <cellStyle name="20% - Accent1 2 9 2 3" xfId="960"/>
    <cellStyle name="20% - Accent1 2 9 2 3 2" xfId="961"/>
    <cellStyle name="20% - Accent1 2 9 2 3 2 2" xfId="962"/>
    <cellStyle name="20% - Accent1 2 9 2 3 2 2 2" xfId="963"/>
    <cellStyle name="20% - Accent1 2 9 2 3 3" xfId="964"/>
    <cellStyle name="20% - Accent1 2 9 2 3 3 2" xfId="965"/>
    <cellStyle name="20% - Accent1 2 9 2 4" xfId="966"/>
    <cellStyle name="20% - Accent1 2 9 2 4 2" xfId="967"/>
    <cellStyle name="20% - Accent1 2 9 2 4 2 2" xfId="968"/>
    <cellStyle name="20% - Accent1 2 9 2 5" xfId="969"/>
    <cellStyle name="20% - Accent1 2 9 2 5 2" xfId="970"/>
    <cellStyle name="20% - Accent1 2 9 3" xfId="971"/>
    <cellStyle name="20% - Accent1 2 9 3 2" xfId="972"/>
    <cellStyle name="20% - Accent1 2 9 3 2 2" xfId="973"/>
    <cellStyle name="20% - Accent1 2 9 3 2 2 2" xfId="974"/>
    <cellStyle name="20% - Accent1 2 9 3 2 2 2 2" xfId="975"/>
    <cellStyle name="20% - Accent1 2 9 3 2 3" xfId="976"/>
    <cellStyle name="20% - Accent1 2 9 3 2 3 2" xfId="977"/>
    <cellStyle name="20% - Accent1 2 9 3 3" xfId="978"/>
    <cellStyle name="20% - Accent1 2 9 3 3 2" xfId="979"/>
    <cellStyle name="20% - Accent1 2 9 3 3 2 2" xfId="980"/>
    <cellStyle name="20% - Accent1 2 9 3 4" xfId="981"/>
    <cellStyle name="20% - Accent1 2 9 3 4 2" xfId="982"/>
    <cellStyle name="20% - Accent1 2 9 4" xfId="983"/>
    <cellStyle name="20% - Accent1 2 9 4 2" xfId="984"/>
    <cellStyle name="20% - Accent1 2 9 4 2 2" xfId="985"/>
    <cellStyle name="20% - Accent1 2 9 4 2 2 2" xfId="986"/>
    <cellStyle name="20% - Accent1 2 9 4 3" xfId="987"/>
    <cellStyle name="20% - Accent1 2 9 4 3 2" xfId="988"/>
    <cellStyle name="20% - Accent1 2 9 5" xfId="989"/>
    <cellStyle name="20% - Accent1 2 9 5 2" xfId="990"/>
    <cellStyle name="20% - Accent1 2 9 5 2 2" xfId="991"/>
    <cellStyle name="20% - Accent1 2 9 6" xfId="992"/>
    <cellStyle name="20% - Accent1 2 9 6 2" xfId="993"/>
    <cellStyle name="20% - Accent1 20" xfId="994"/>
    <cellStyle name="20% - Accent1 20 2" xfId="995"/>
    <cellStyle name="20% - Accent1 21" xfId="996"/>
    <cellStyle name="20% - Accent1 21 2" xfId="997"/>
    <cellStyle name="20% - Accent1 21 2 2" xfId="998"/>
    <cellStyle name="20% - Accent1 21 2 2 2" xfId="999"/>
    <cellStyle name="20% - Accent1 21 2 2 2 2" xfId="1000"/>
    <cellStyle name="20% - Accent1 21 2 2 2 2 2" xfId="1001"/>
    <cellStyle name="20% - Accent1 21 2 2 2 2 2 2" xfId="1002"/>
    <cellStyle name="20% - Accent1 21 2 2 2 3" xfId="1003"/>
    <cellStyle name="20% - Accent1 21 2 2 2 3 2" xfId="1004"/>
    <cellStyle name="20% - Accent1 21 2 2 3" xfId="1005"/>
    <cellStyle name="20% - Accent1 21 2 2 3 2" xfId="1006"/>
    <cellStyle name="20% - Accent1 21 2 2 3 2 2" xfId="1007"/>
    <cellStyle name="20% - Accent1 21 2 2 4" xfId="1008"/>
    <cellStyle name="20% - Accent1 21 2 2 4 2" xfId="1009"/>
    <cellStyle name="20% - Accent1 21 2 3" xfId="1010"/>
    <cellStyle name="20% - Accent1 21 2 3 2" xfId="1011"/>
    <cellStyle name="20% - Accent1 21 2 3 2 2" xfId="1012"/>
    <cellStyle name="20% - Accent1 21 2 3 2 2 2" xfId="1013"/>
    <cellStyle name="20% - Accent1 21 2 3 3" xfId="1014"/>
    <cellStyle name="20% - Accent1 21 2 3 3 2" xfId="1015"/>
    <cellStyle name="20% - Accent1 21 2 4" xfId="1016"/>
    <cellStyle name="20% - Accent1 21 2 4 2" xfId="1017"/>
    <cellStyle name="20% - Accent1 21 2 4 2 2" xfId="1018"/>
    <cellStyle name="20% - Accent1 21 2 5" xfId="1019"/>
    <cellStyle name="20% - Accent1 21 2 5 2" xfId="1020"/>
    <cellStyle name="20% - Accent1 21 3" xfId="1021"/>
    <cellStyle name="20% - Accent1 21 3 2" xfId="1022"/>
    <cellStyle name="20% - Accent1 21 3 2 2" xfId="1023"/>
    <cellStyle name="20% - Accent1 21 3 2 2 2" xfId="1024"/>
    <cellStyle name="20% - Accent1 21 3 2 2 2 2" xfId="1025"/>
    <cellStyle name="20% - Accent1 21 3 2 3" xfId="1026"/>
    <cellStyle name="20% - Accent1 21 3 2 3 2" xfId="1027"/>
    <cellStyle name="20% - Accent1 21 3 3" xfId="1028"/>
    <cellStyle name="20% - Accent1 21 3 3 2" xfId="1029"/>
    <cellStyle name="20% - Accent1 21 3 3 2 2" xfId="1030"/>
    <cellStyle name="20% - Accent1 21 3 4" xfId="1031"/>
    <cellStyle name="20% - Accent1 21 3 4 2" xfId="1032"/>
    <cellStyle name="20% - Accent1 21 4" xfId="1033"/>
    <cellStyle name="20% - Accent1 21 4 2" xfId="1034"/>
    <cellStyle name="20% - Accent1 21 4 2 2" xfId="1035"/>
    <cellStyle name="20% - Accent1 21 4 2 2 2" xfId="1036"/>
    <cellStyle name="20% - Accent1 21 4 3" xfId="1037"/>
    <cellStyle name="20% - Accent1 21 4 3 2" xfId="1038"/>
    <cellStyle name="20% - Accent1 21 5" xfId="1039"/>
    <cellStyle name="20% - Accent1 21 5 2" xfId="1040"/>
    <cellStyle name="20% - Accent1 21 5 2 2" xfId="1041"/>
    <cellStyle name="20% - Accent1 21 6" xfId="1042"/>
    <cellStyle name="20% - Accent1 21 6 2" xfId="1043"/>
    <cellStyle name="20% - Accent1 21 7" xfId="1044"/>
    <cellStyle name="20% - Accent1 22" xfId="1045"/>
    <cellStyle name="20% - Accent1 22 10" xfId="1046"/>
    <cellStyle name="20% - Accent1 22 2" xfId="1047"/>
    <cellStyle name="20% - Accent1 22 2 2" xfId="1048"/>
    <cellStyle name="20% - Accent1 22 2 2 2" xfId="1049"/>
    <cellStyle name="20% - Accent1 22 2 2 2 2" xfId="1050"/>
    <cellStyle name="20% - Accent1 22 2 2 2 2 2" xfId="1051"/>
    <cellStyle name="20% - Accent1 22 2 2 2 2 2 2" xfId="1052"/>
    <cellStyle name="20% - Accent1 22 2 2 2 3" xfId="1053"/>
    <cellStyle name="20% - Accent1 22 2 2 2 3 2" xfId="1054"/>
    <cellStyle name="20% - Accent1 22 2 2 3" xfId="1055"/>
    <cellStyle name="20% - Accent1 22 2 2 3 2" xfId="1056"/>
    <cellStyle name="20% - Accent1 22 2 2 3 2 2" xfId="1057"/>
    <cellStyle name="20% - Accent1 22 2 2 4" xfId="1058"/>
    <cellStyle name="20% - Accent1 22 2 2 4 2" xfId="1059"/>
    <cellStyle name="20% - Accent1 22 2 3" xfId="1060"/>
    <cellStyle name="20% - Accent1 22 2 3 2" xfId="1061"/>
    <cellStyle name="20% - Accent1 22 2 3 2 2" xfId="1062"/>
    <cellStyle name="20% - Accent1 22 2 3 2 2 2" xfId="1063"/>
    <cellStyle name="20% - Accent1 22 2 3 3" xfId="1064"/>
    <cellStyle name="20% - Accent1 22 2 3 3 2" xfId="1065"/>
    <cellStyle name="20% - Accent1 22 2 4" xfId="1066"/>
    <cellStyle name="20% - Accent1 22 2 4 2" xfId="1067"/>
    <cellStyle name="20% - Accent1 22 2 4 2 2" xfId="1068"/>
    <cellStyle name="20% - Accent1 22 2 5" xfId="1069"/>
    <cellStyle name="20% - Accent1 22 2 5 2" xfId="1070"/>
    <cellStyle name="20% - Accent1 22 2 6" xfId="1071"/>
    <cellStyle name="20% - Accent1 22 2 7" xfId="1072"/>
    <cellStyle name="20% - Accent1 22 2 8" xfId="1073"/>
    <cellStyle name="20% - Accent1 22 3" xfId="1074"/>
    <cellStyle name="20% - Accent1 22 3 2" xfId="1075"/>
    <cellStyle name="20% - Accent1 22 3 2 2" xfId="1076"/>
    <cellStyle name="20% - Accent1 22 3 2 2 2" xfId="1077"/>
    <cellStyle name="20% - Accent1 22 3 2 2 2 2" xfId="1078"/>
    <cellStyle name="20% - Accent1 22 3 2 3" xfId="1079"/>
    <cellStyle name="20% - Accent1 22 3 2 3 2" xfId="1080"/>
    <cellStyle name="20% - Accent1 22 3 3" xfId="1081"/>
    <cellStyle name="20% - Accent1 22 3 3 2" xfId="1082"/>
    <cellStyle name="20% - Accent1 22 3 3 2 2" xfId="1083"/>
    <cellStyle name="20% - Accent1 22 3 4" xfId="1084"/>
    <cellStyle name="20% - Accent1 22 3 4 2" xfId="1085"/>
    <cellStyle name="20% - Accent1 22 3 5" xfId="1086"/>
    <cellStyle name="20% - Accent1 22 3 6" xfId="1087"/>
    <cellStyle name="20% - Accent1 22 3 7" xfId="1088"/>
    <cellStyle name="20% - Accent1 22 4" xfId="1089"/>
    <cellStyle name="20% - Accent1 22 4 2" xfId="1090"/>
    <cellStyle name="20% - Accent1 22 4 2 2" xfId="1091"/>
    <cellStyle name="20% - Accent1 22 4 2 2 2" xfId="1092"/>
    <cellStyle name="20% - Accent1 22 4 3" xfId="1093"/>
    <cellStyle name="20% - Accent1 22 4 3 2" xfId="1094"/>
    <cellStyle name="20% - Accent1 22 4 4" xfId="1095"/>
    <cellStyle name="20% - Accent1 22 5" xfId="1096"/>
    <cellStyle name="20% - Accent1 22 5 2" xfId="1097"/>
    <cellStyle name="20% - Accent1 22 5 2 2" xfId="1098"/>
    <cellStyle name="20% - Accent1 22 6" xfId="1099"/>
    <cellStyle name="20% - Accent1 22 6 2" xfId="1100"/>
    <cellStyle name="20% - Accent1 22 7" xfId="1101"/>
    <cellStyle name="20% - Accent1 22 8" xfId="1102"/>
    <cellStyle name="20% - Accent1 22 9" xfId="1103"/>
    <cellStyle name="20% - Accent1 23" xfId="1104"/>
    <cellStyle name="20% - Accent1 23 2" xfId="1105"/>
    <cellStyle name="20% - Accent1 23 2 2" xfId="1106"/>
    <cellStyle name="20% - Accent1 23 2 2 2" xfId="1107"/>
    <cellStyle name="20% - Accent1 23 2 2 2 2" xfId="1108"/>
    <cellStyle name="20% - Accent1 23 2 2 2 2 2" xfId="1109"/>
    <cellStyle name="20% - Accent1 23 2 2 2 2 2 2" xfId="1110"/>
    <cellStyle name="20% - Accent1 23 2 2 2 3" xfId="1111"/>
    <cellStyle name="20% - Accent1 23 2 2 2 3 2" xfId="1112"/>
    <cellStyle name="20% - Accent1 23 2 2 3" xfId="1113"/>
    <cellStyle name="20% - Accent1 23 2 2 3 2" xfId="1114"/>
    <cellStyle name="20% - Accent1 23 2 2 3 2 2" xfId="1115"/>
    <cellStyle name="20% - Accent1 23 2 2 4" xfId="1116"/>
    <cellStyle name="20% - Accent1 23 2 2 4 2" xfId="1117"/>
    <cellStyle name="20% - Accent1 23 2 3" xfId="1118"/>
    <cellStyle name="20% - Accent1 23 2 3 2" xfId="1119"/>
    <cellStyle name="20% - Accent1 23 2 3 2 2" xfId="1120"/>
    <cellStyle name="20% - Accent1 23 2 3 2 2 2" xfId="1121"/>
    <cellStyle name="20% - Accent1 23 2 3 3" xfId="1122"/>
    <cellStyle name="20% - Accent1 23 2 3 3 2" xfId="1123"/>
    <cellStyle name="20% - Accent1 23 2 4" xfId="1124"/>
    <cellStyle name="20% - Accent1 23 2 4 2" xfId="1125"/>
    <cellStyle name="20% - Accent1 23 2 4 2 2" xfId="1126"/>
    <cellStyle name="20% - Accent1 23 2 5" xfId="1127"/>
    <cellStyle name="20% - Accent1 23 2 5 2" xfId="1128"/>
    <cellStyle name="20% - Accent1 23 3" xfId="1129"/>
    <cellStyle name="20% - Accent1 23 3 2" xfId="1130"/>
    <cellStyle name="20% - Accent1 23 3 2 2" xfId="1131"/>
    <cellStyle name="20% - Accent1 23 3 2 2 2" xfId="1132"/>
    <cellStyle name="20% - Accent1 23 3 2 2 2 2" xfId="1133"/>
    <cellStyle name="20% - Accent1 23 3 2 3" xfId="1134"/>
    <cellStyle name="20% - Accent1 23 3 2 3 2" xfId="1135"/>
    <cellStyle name="20% - Accent1 23 3 3" xfId="1136"/>
    <cellStyle name="20% - Accent1 23 3 3 2" xfId="1137"/>
    <cellStyle name="20% - Accent1 23 3 3 2 2" xfId="1138"/>
    <cellStyle name="20% - Accent1 23 3 4" xfId="1139"/>
    <cellStyle name="20% - Accent1 23 3 4 2" xfId="1140"/>
    <cellStyle name="20% - Accent1 23 4" xfId="1141"/>
    <cellStyle name="20% - Accent1 23 4 2" xfId="1142"/>
    <cellStyle name="20% - Accent1 23 4 2 2" xfId="1143"/>
    <cellStyle name="20% - Accent1 23 4 2 2 2" xfId="1144"/>
    <cellStyle name="20% - Accent1 23 4 3" xfId="1145"/>
    <cellStyle name="20% - Accent1 23 4 3 2" xfId="1146"/>
    <cellStyle name="20% - Accent1 23 5" xfId="1147"/>
    <cellStyle name="20% - Accent1 23 5 2" xfId="1148"/>
    <cellStyle name="20% - Accent1 23 5 2 2" xfId="1149"/>
    <cellStyle name="20% - Accent1 23 6" xfId="1150"/>
    <cellStyle name="20% - Accent1 23 6 2" xfId="1151"/>
    <cellStyle name="20% - Accent1 23 7" xfId="1152"/>
    <cellStyle name="20% - Accent1 24" xfId="1153"/>
    <cellStyle name="20% - Accent1 24 2" xfId="1154"/>
    <cellStyle name="20% - Accent1 24 2 2" xfId="1155"/>
    <cellStyle name="20% - Accent1 24 2 2 2" xfId="1156"/>
    <cellStyle name="20% - Accent1 24 2 2 2 2" xfId="1157"/>
    <cellStyle name="20% - Accent1 24 2 2 2 2 2" xfId="1158"/>
    <cellStyle name="20% - Accent1 24 2 2 3" xfId="1159"/>
    <cellStyle name="20% - Accent1 24 2 2 3 2" xfId="1160"/>
    <cellStyle name="20% - Accent1 24 2 3" xfId="1161"/>
    <cellStyle name="20% - Accent1 24 2 3 2" xfId="1162"/>
    <cellStyle name="20% - Accent1 24 2 3 2 2" xfId="1163"/>
    <cellStyle name="20% - Accent1 24 2 4" xfId="1164"/>
    <cellStyle name="20% - Accent1 24 2 4 2" xfId="1165"/>
    <cellStyle name="20% - Accent1 24 3" xfId="1166"/>
    <cellStyle name="20% - Accent1 24 3 2" xfId="1167"/>
    <cellStyle name="20% - Accent1 24 3 2 2" xfId="1168"/>
    <cellStyle name="20% - Accent1 24 3 2 2 2" xfId="1169"/>
    <cellStyle name="20% - Accent1 24 3 3" xfId="1170"/>
    <cellStyle name="20% - Accent1 24 3 3 2" xfId="1171"/>
    <cellStyle name="20% - Accent1 24 4" xfId="1172"/>
    <cellStyle name="20% - Accent1 24 4 2" xfId="1173"/>
    <cellStyle name="20% - Accent1 24 4 2 2" xfId="1174"/>
    <cellStyle name="20% - Accent1 24 5" xfId="1175"/>
    <cellStyle name="20% - Accent1 24 5 2" xfId="1176"/>
    <cellStyle name="20% - Accent1 24 6" xfId="1177"/>
    <cellStyle name="20% - Accent1 25" xfId="1178"/>
    <cellStyle name="20% - Accent1 25 2" xfId="1179"/>
    <cellStyle name="20% - Accent1 25 2 2" xfId="1180"/>
    <cellStyle name="20% - Accent1 25 2 2 2" xfId="1181"/>
    <cellStyle name="20% - Accent1 25 2 2 2 2" xfId="1182"/>
    <cellStyle name="20% - Accent1 25 2 2 2 2 2" xfId="1183"/>
    <cellStyle name="20% - Accent1 25 2 2 3" xfId="1184"/>
    <cellStyle name="20% - Accent1 25 2 2 3 2" xfId="1185"/>
    <cellStyle name="20% - Accent1 25 2 3" xfId="1186"/>
    <cellStyle name="20% - Accent1 25 2 3 2" xfId="1187"/>
    <cellStyle name="20% - Accent1 25 2 3 2 2" xfId="1188"/>
    <cellStyle name="20% - Accent1 25 2 4" xfId="1189"/>
    <cellStyle name="20% - Accent1 25 2 4 2" xfId="1190"/>
    <cellStyle name="20% - Accent1 25 3" xfId="1191"/>
    <cellStyle name="20% - Accent1 25 3 2" xfId="1192"/>
    <cellStyle name="20% - Accent1 25 3 2 2" xfId="1193"/>
    <cellStyle name="20% - Accent1 25 3 2 2 2" xfId="1194"/>
    <cellStyle name="20% - Accent1 25 3 3" xfId="1195"/>
    <cellStyle name="20% - Accent1 25 3 3 2" xfId="1196"/>
    <cellStyle name="20% - Accent1 25 4" xfId="1197"/>
    <cellStyle name="20% - Accent1 25 4 2" xfId="1198"/>
    <cellStyle name="20% - Accent1 25 4 2 2" xfId="1199"/>
    <cellStyle name="20% - Accent1 25 5" xfId="1200"/>
    <cellStyle name="20% - Accent1 25 5 2" xfId="1201"/>
    <cellStyle name="20% - Accent1 25 6" xfId="1202"/>
    <cellStyle name="20% - Accent1 26" xfId="1203"/>
    <cellStyle name="20% - Accent1 26 2" xfId="1204"/>
    <cellStyle name="20% - Accent1 26 2 2" xfId="1205"/>
    <cellStyle name="20% - Accent1 26 2 2 2" xfId="1206"/>
    <cellStyle name="20% - Accent1 26 2 2 2 2" xfId="1207"/>
    <cellStyle name="20% - Accent1 26 2 2 2 2 2" xfId="1208"/>
    <cellStyle name="20% - Accent1 26 2 2 3" xfId="1209"/>
    <cellStyle name="20% - Accent1 26 2 2 3 2" xfId="1210"/>
    <cellStyle name="20% - Accent1 26 2 3" xfId="1211"/>
    <cellStyle name="20% - Accent1 26 2 3 2" xfId="1212"/>
    <cellStyle name="20% - Accent1 26 2 3 2 2" xfId="1213"/>
    <cellStyle name="20% - Accent1 26 2 4" xfId="1214"/>
    <cellStyle name="20% - Accent1 26 2 4 2" xfId="1215"/>
    <cellStyle name="20% - Accent1 26 3" xfId="1216"/>
    <cellStyle name="20% - Accent1 26 3 2" xfId="1217"/>
    <cellStyle name="20% - Accent1 26 3 2 2" xfId="1218"/>
    <cellStyle name="20% - Accent1 26 3 2 2 2" xfId="1219"/>
    <cellStyle name="20% - Accent1 26 3 3" xfId="1220"/>
    <cellStyle name="20% - Accent1 26 3 3 2" xfId="1221"/>
    <cellStyle name="20% - Accent1 26 4" xfId="1222"/>
    <cellStyle name="20% - Accent1 26 4 2" xfId="1223"/>
    <cellStyle name="20% - Accent1 26 4 2 2" xfId="1224"/>
    <cellStyle name="20% - Accent1 26 5" xfId="1225"/>
    <cellStyle name="20% - Accent1 26 5 2" xfId="1226"/>
    <cellStyle name="20% - Accent1 26 6" xfId="1227"/>
    <cellStyle name="20% - Accent1 27" xfId="1228"/>
    <cellStyle name="20% - Accent1 27 2" xfId="1229"/>
    <cellStyle name="20% - Accent1 27 2 2" xfId="1230"/>
    <cellStyle name="20% - Accent1 27 2 2 2" xfId="1231"/>
    <cellStyle name="20% - Accent1 27 2 2 2 2" xfId="1232"/>
    <cellStyle name="20% - Accent1 27 2 2 2 2 2" xfId="1233"/>
    <cellStyle name="20% - Accent1 27 2 2 3" xfId="1234"/>
    <cellStyle name="20% - Accent1 27 2 2 3 2" xfId="1235"/>
    <cellStyle name="20% - Accent1 27 2 3" xfId="1236"/>
    <cellStyle name="20% - Accent1 27 2 3 2" xfId="1237"/>
    <cellStyle name="20% - Accent1 27 2 3 2 2" xfId="1238"/>
    <cellStyle name="20% - Accent1 27 2 4" xfId="1239"/>
    <cellStyle name="20% - Accent1 27 2 4 2" xfId="1240"/>
    <cellStyle name="20% - Accent1 27 3" xfId="1241"/>
    <cellStyle name="20% - Accent1 27 3 2" xfId="1242"/>
    <cellStyle name="20% - Accent1 27 3 2 2" xfId="1243"/>
    <cellStyle name="20% - Accent1 27 3 2 2 2" xfId="1244"/>
    <cellStyle name="20% - Accent1 27 3 3" xfId="1245"/>
    <cellStyle name="20% - Accent1 27 3 3 2" xfId="1246"/>
    <cellStyle name="20% - Accent1 27 4" xfId="1247"/>
    <cellStyle name="20% - Accent1 27 4 2" xfId="1248"/>
    <cellStyle name="20% - Accent1 27 4 2 2" xfId="1249"/>
    <cellStyle name="20% - Accent1 27 5" xfId="1250"/>
    <cellStyle name="20% - Accent1 27 5 2" xfId="1251"/>
    <cellStyle name="20% - Accent1 27 6" xfId="1252"/>
    <cellStyle name="20% - Accent1 28" xfId="1253"/>
    <cellStyle name="20% - Accent1 28 2" xfId="1254"/>
    <cellStyle name="20% - Accent1 28 2 2" xfId="1255"/>
    <cellStyle name="20% - Accent1 28 2 2 2" xfId="1256"/>
    <cellStyle name="20% - Accent1 28 2 2 2 2" xfId="1257"/>
    <cellStyle name="20% - Accent1 28 2 3" xfId="1258"/>
    <cellStyle name="20% - Accent1 28 2 3 2" xfId="1259"/>
    <cellStyle name="20% - Accent1 28 3" xfId="1260"/>
    <cellStyle name="20% - Accent1 28 3 2" xfId="1261"/>
    <cellStyle name="20% - Accent1 28 3 2 2" xfId="1262"/>
    <cellStyle name="20% - Accent1 28 4" xfId="1263"/>
    <cellStyle name="20% - Accent1 28 4 2" xfId="1264"/>
    <cellStyle name="20% - Accent1 28 5" xfId="1265"/>
    <cellStyle name="20% - Accent1 29" xfId="1266"/>
    <cellStyle name="20% - Accent1 29 2" xfId="1267"/>
    <cellStyle name="20% - Accent1 29 2 2" xfId="1268"/>
    <cellStyle name="20% - Accent1 29 2 2 2" xfId="1269"/>
    <cellStyle name="20% - Accent1 29 3" xfId="1270"/>
    <cellStyle name="20% - Accent1 29 3 2" xfId="1271"/>
    <cellStyle name="20% - Accent1 29 4" xfId="1272"/>
    <cellStyle name="20% - Accent1 3" xfId="1273"/>
    <cellStyle name="20% - Accent1 3 10" xfId="1274"/>
    <cellStyle name="20% - Accent1 3 10 2" xfId="1275"/>
    <cellStyle name="20% - Accent1 3 10 2 2" xfId="1276"/>
    <cellStyle name="20% - Accent1 3 10 2 2 2" xfId="1277"/>
    <cellStyle name="20% - Accent1 3 10 2 2 2 2" xfId="1278"/>
    <cellStyle name="20% - Accent1 3 10 2 2 2 2 2" xfId="1279"/>
    <cellStyle name="20% - Accent1 3 10 2 2 2 2 2 2" xfId="1280"/>
    <cellStyle name="20% - Accent1 3 10 2 2 2 3" xfId="1281"/>
    <cellStyle name="20% - Accent1 3 10 2 2 2 3 2" xfId="1282"/>
    <cellStyle name="20% - Accent1 3 10 2 2 3" xfId="1283"/>
    <cellStyle name="20% - Accent1 3 10 2 2 3 2" xfId="1284"/>
    <cellStyle name="20% - Accent1 3 10 2 2 3 2 2" xfId="1285"/>
    <cellStyle name="20% - Accent1 3 10 2 2 4" xfId="1286"/>
    <cellStyle name="20% - Accent1 3 10 2 2 4 2" xfId="1287"/>
    <cellStyle name="20% - Accent1 3 10 2 3" xfId="1288"/>
    <cellStyle name="20% - Accent1 3 10 2 3 2" xfId="1289"/>
    <cellStyle name="20% - Accent1 3 10 2 3 2 2" xfId="1290"/>
    <cellStyle name="20% - Accent1 3 10 2 3 2 2 2" xfId="1291"/>
    <cellStyle name="20% - Accent1 3 10 2 3 3" xfId="1292"/>
    <cellStyle name="20% - Accent1 3 10 2 3 3 2" xfId="1293"/>
    <cellStyle name="20% - Accent1 3 10 2 4" xfId="1294"/>
    <cellStyle name="20% - Accent1 3 10 2 4 2" xfId="1295"/>
    <cellStyle name="20% - Accent1 3 10 2 4 2 2" xfId="1296"/>
    <cellStyle name="20% - Accent1 3 10 2 5" xfId="1297"/>
    <cellStyle name="20% - Accent1 3 10 2 5 2" xfId="1298"/>
    <cellStyle name="20% - Accent1 3 10 3" xfId="1299"/>
    <cellStyle name="20% - Accent1 3 10 3 2" xfId="1300"/>
    <cellStyle name="20% - Accent1 3 10 3 2 2" xfId="1301"/>
    <cellStyle name="20% - Accent1 3 10 3 2 2 2" xfId="1302"/>
    <cellStyle name="20% - Accent1 3 10 3 2 2 2 2" xfId="1303"/>
    <cellStyle name="20% - Accent1 3 10 3 2 3" xfId="1304"/>
    <cellStyle name="20% - Accent1 3 10 3 2 3 2" xfId="1305"/>
    <cellStyle name="20% - Accent1 3 10 3 3" xfId="1306"/>
    <cellStyle name="20% - Accent1 3 10 3 3 2" xfId="1307"/>
    <cellStyle name="20% - Accent1 3 10 3 3 2 2" xfId="1308"/>
    <cellStyle name="20% - Accent1 3 10 3 4" xfId="1309"/>
    <cellStyle name="20% - Accent1 3 10 3 4 2" xfId="1310"/>
    <cellStyle name="20% - Accent1 3 10 4" xfId="1311"/>
    <cellStyle name="20% - Accent1 3 10 4 2" xfId="1312"/>
    <cellStyle name="20% - Accent1 3 10 4 2 2" xfId="1313"/>
    <cellStyle name="20% - Accent1 3 10 4 2 2 2" xfId="1314"/>
    <cellStyle name="20% - Accent1 3 10 4 3" xfId="1315"/>
    <cellStyle name="20% - Accent1 3 10 4 3 2" xfId="1316"/>
    <cellStyle name="20% - Accent1 3 10 5" xfId="1317"/>
    <cellStyle name="20% - Accent1 3 10 5 2" xfId="1318"/>
    <cellStyle name="20% - Accent1 3 10 5 2 2" xfId="1319"/>
    <cellStyle name="20% - Accent1 3 10 6" xfId="1320"/>
    <cellStyle name="20% - Accent1 3 10 6 2" xfId="1321"/>
    <cellStyle name="20% - Accent1 3 10 7" xfId="1322"/>
    <cellStyle name="20% - Accent1 3 10 8" xfId="1323"/>
    <cellStyle name="20% - Accent1 3 10 9" xfId="1324"/>
    <cellStyle name="20% - Accent1 3 11" xfId="1325"/>
    <cellStyle name="20% - Accent1 3 11 2" xfId="1326"/>
    <cellStyle name="20% - Accent1 3 11 2 2" xfId="1327"/>
    <cellStyle name="20% - Accent1 3 11 2 2 2" xfId="1328"/>
    <cellStyle name="20% - Accent1 3 11 2 2 2 2" xfId="1329"/>
    <cellStyle name="20% - Accent1 3 11 2 2 2 2 2" xfId="1330"/>
    <cellStyle name="20% - Accent1 3 11 2 2 2 2 2 2" xfId="1331"/>
    <cellStyle name="20% - Accent1 3 11 2 2 2 3" xfId="1332"/>
    <cellStyle name="20% - Accent1 3 11 2 2 2 3 2" xfId="1333"/>
    <cellStyle name="20% - Accent1 3 11 2 2 3" xfId="1334"/>
    <cellStyle name="20% - Accent1 3 11 2 2 3 2" xfId="1335"/>
    <cellStyle name="20% - Accent1 3 11 2 2 3 2 2" xfId="1336"/>
    <cellStyle name="20% - Accent1 3 11 2 2 4" xfId="1337"/>
    <cellStyle name="20% - Accent1 3 11 2 2 4 2" xfId="1338"/>
    <cellStyle name="20% - Accent1 3 11 2 3" xfId="1339"/>
    <cellStyle name="20% - Accent1 3 11 2 3 2" xfId="1340"/>
    <cellStyle name="20% - Accent1 3 11 2 3 2 2" xfId="1341"/>
    <cellStyle name="20% - Accent1 3 11 2 3 2 2 2" xfId="1342"/>
    <cellStyle name="20% - Accent1 3 11 2 3 3" xfId="1343"/>
    <cellStyle name="20% - Accent1 3 11 2 3 3 2" xfId="1344"/>
    <cellStyle name="20% - Accent1 3 11 2 4" xfId="1345"/>
    <cellStyle name="20% - Accent1 3 11 2 4 2" xfId="1346"/>
    <cellStyle name="20% - Accent1 3 11 2 4 2 2" xfId="1347"/>
    <cellStyle name="20% - Accent1 3 11 2 5" xfId="1348"/>
    <cellStyle name="20% - Accent1 3 11 2 5 2" xfId="1349"/>
    <cellStyle name="20% - Accent1 3 11 3" xfId="1350"/>
    <cellStyle name="20% - Accent1 3 11 3 2" xfId="1351"/>
    <cellStyle name="20% - Accent1 3 11 3 2 2" xfId="1352"/>
    <cellStyle name="20% - Accent1 3 11 3 2 2 2" xfId="1353"/>
    <cellStyle name="20% - Accent1 3 11 3 2 2 2 2" xfId="1354"/>
    <cellStyle name="20% - Accent1 3 11 3 2 3" xfId="1355"/>
    <cellStyle name="20% - Accent1 3 11 3 2 3 2" xfId="1356"/>
    <cellStyle name="20% - Accent1 3 11 3 3" xfId="1357"/>
    <cellStyle name="20% - Accent1 3 11 3 3 2" xfId="1358"/>
    <cellStyle name="20% - Accent1 3 11 3 3 2 2" xfId="1359"/>
    <cellStyle name="20% - Accent1 3 11 3 4" xfId="1360"/>
    <cellStyle name="20% - Accent1 3 11 3 4 2" xfId="1361"/>
    <cellStyle name="20% - Accent1 3 11 4" xfId="1362"/>
    <cellStyle name="20% - Accent1 3 11 4 2" xfId="1363"/>
    <cellStyle name="20% - Accent1 3 11 4 2 2" xfId="1364"/>
    <cellStyle name="20% - Accent1 3 11 4 2 2 2" xfId="1365"/>
    <cellStyle name="20% - Accent1 3 11 4 3" xfId="1366"/>
    <cellStyle name="20% - Accent1 3 11 4 3 2" xfId="1367"/>
    <cellStyle name="20% - Accent1 3 11 5" xfId="1368"/>
    <cellStyle name="20% - Accent1 3 11 5 2" xfId="1369"/>
    <cellStyle name="20% - Accent1 3 11 5 2 2" xfId="1370"/>
    <cellStyle name="20% - Accent1 3 11 6" xfId="1371"/>
    <cellStyle name="20% - Accent1 3 11 6 2" xfId="1372"/>
    <cellStyle name="20% - Accent1 3 11 7" xfId="1373"/>
    <cellStyle name="20% - Accent1 3 12" xfId="1374"/>
    <cellStyle name="20% - Accent1 3 12 2" xfId="1375"/>
    <cellStyle name="20% - Accent1 3 12 2 2" xfId="1376"/>
    <cellStyle name="20% - Accent1 3 12 2 2 2" xfId="1377"/>
    <cellStyle name="20% - Accent1 3 12 2 2 2 2" xfId="1378"/>
    <cellStyle name="20% - Accent1 3 12 2 2 2 2 2" xfId="1379"/>
    <cellStyle name="20% - Accent1 3 12 2 2 2 2 2 2" xfId="1380"/>
    <cellStyle name="20% - Accent1 3 12 2 2 2 3" xfId="1381"/>
    <cellStyle name="20% - Accent1 3 12 2 2 2 3 2" xfId="1382"/>
    <cellStyle name="20% - Accent1 3 12 2 2 3" xfId="1383"/>
    <cellStyle name="20% - Accent1 3 12 2 2 3 2" xfId="1384"/>
    <cellStyle name="20% - Accent1 3 12 2 2 3 2 2" xfId="1385"/>
    <cellStyle name="20% - Accent1 3 12 2 2 4" xfId="1386"/>
    <cellStyle name="20% - Accent1 3 12 2 2 4 2" xfId="1387"/>
    <cellStyle name="20% - Accent1 3 12 2 3" xfId="1388"/>
    <cellStyle name="20% - Accent1 3 12 2 3 2" xfId="1389"/>
    <cellStyle name="20% - Accent1 3 12 2 3 2 2" xfId="1390"/>
    <cellStyle name="20% - Accent1 3 12 2 3 2 2 2" xfId="1391"/>
    <cellStyle name="20% - Accent1 3 12 2 3 3" xfId="1392"/>
    <cellStyle name="20% - Accent1 3 12 2 3 3 2" xfId="1393"/>
    <cellStyle name="20% - Accent1 3 12 2 4" xfId="1394"/>
    <cellStyle name="20% - Accent1 3 12 2 4 2" xfId="1395"/>
    <cellStyle name="20% - Accent1 3 12 2 4 2 2" xfId="1396"/>
    <cellStyle name="20% - Accent1 3 12 2 5" xfId="1397"/>
    <cellStyle name="20% - Accent1 3 12 2 5 2" xfId="1398"/>
    <cellStyle name="20% - Accent1 3 12 3" xfId="1399"/>
    <cellStyle name="20% - Accent1 3 12 3 2" xfId="1400"/>
    <cellStyle name="20% - Accent1 3 12 3 2 2" xfId="1401"/>
    <cellStyle name="20% - Accent1 3 12 3 2 2 2" xfId="1402"/>
    <cellStyle name="20% - Accent1 3 12 3 2 2 2 2" xfId="1403"/>
    <cellStyle name="20% - Accent1 3 12 3 2 3" xfId="1404"/>
    <cellStyle name="20% - Accent1 3 12 3 2 3 2" xfId="1405"/>
    <cellStyle name="20% - Accent1 3 12 3 3" xfId="1406"/>
    <cellStyle name="20% - Accent1 3 12 3 3 2" xfId="1407"/>
    <cellStyle name="20% - Accent1 3 12 3 3 2 2" xfId="1408"/>
    <cellStyle name="20% - Accent1 3 12 3 4" xfId="1409"/>
    <cellStyle name="20% - Accent1 3 12 3 4 2" xfId="1410"/>
    <cellStyle name="20% - Accent1 3 12 4" xfId="1411"/>
    <cellStyle name="20% - Accent1 3 12 4 2" xfId="1412"/>
    <cellStyle name="20% - Accent1 3 12 4 2 2" xfId="1413"/>
    <cellStyle name="20% - Accent1 3 12 4 2 2 2" xfId="1414"/>
    <cellStyle name="20% - Accent1 3 12 4 3" xfId="1415"/>
    <cellStyle name="20% - Accent1 3 12 4 3 2" xfId="1416"/>
    <cellStyle name="20% - Accent1 3 12 5" xfId="1417"/>
    <cellStyle name="20% - Accent1 3 12 5 2" xfId="1418"/>
    <cellStyle name="20% - Accent1 3 12 5 2 2" xfId="1419"/>
    <cellStyle name="20% - Accent1 3 12 6" xfId="1420"/>
    <cellStyle name="20% - Accent1 3 12 6 2" xfId="1421"/>
    <cellStyle name="20% - Accent1 3 13" xfId="1422"/>
    <cellStyle name="20% - Accent1 3 13 2" xfId="1423"/>
    <cellStyle name="20% - Accent1 3 13 2 2" xfId="1424"/>
    <cellStyle name="20% - Accent1 3 13 2 2 2" xfId="1425"/>
    <cellStyle name="20% - Accent1 3 13 2 2 2 2" xfId="1426"/>
    <cellStyle name="20% - Accent1 3 13 2 2 2 2 2" xfId="1427"/>
    <cellStyle name="20% - Accent1 3 13 2 2 2 2 2 2" xfId="1428"/>
    <cellStyle name="20% - Accent1 3 13 2 2 2 3" xfId="1429"/>
    <cellStyle name="20% - Accent1 3 13 2 2 2 3 2" xfId="1430"/>
    <cellStyle name="20% - Accent1 3 13 2 2 3" xfId="1431"/>
    <cellStyle name="20% - Accent1 3 13 2 2 3 2" xfId="1432"/>
    <cellStyle name="20% - Accent1 3 13 2 2 3 2 2" xfId="1433"/>
    <cellStyle name="20% - Accent1 3 13 2 2 4" xfId="1434"/>
    <cellStyle name="20% - Accent1 3 13 2 2 4 2" xfId="1435"/>
    <cellStyle name="20% - Accent1 3 13 2 3" xfId="1436"/>
    <cellStyle name="20% - Accent1 3 13 2 3 2" xfId="1437"/>
    <cellStyle name="20% - Accent1 3 13 2 3 2 2" xfId="1438"/>
    <cellStyle name="20% - Accent1 3 13 2 3 2 2 2" xfId="1439"/>
    <cellStyle name="20% - Accent1 3 13 2 3 3" xfId="1440"/>
    <cellStyle name="20% - Accent1 3 13 2 3 3 2" xfId="1441"/>
    <cellStyle name="20% - Accent1 3 13 2 4" xfId="1442"/>
    <cellStyle name="20% - Accent1 3 13 2 4 2" xfId="1443"/>
    <cellStyle name="20% - Accent1 3 13 2 4 2 2" xfId="1444"/>
    <cellStyle name="20% - Accent1 3 13 2 5" xfId="1445"/>
    <cellStyle name="20% - Accent1 3 13 2 5 2" xfId="1446"/>
    <cellStyle name="20% - Accent1 3 13 3" xfId="1447"/>
    <cellStyle name="20% - Accent1 3 13 3 2" xfId="1448"/>
    <cellStyle name="20% - Accent1 3 13 3 2 2" xfId="1449"/>
    <cellStyle name="20% - Accent1 3 13 3 2 2 2" xfId="1450"/>
    <cellStyle name="20% - Accent1 3 13 3 2 2 2 2" xfId="1451"/>
    <cellStyle name="20% - Accent1 3 13 3 2 3" xfId="1452"/>
    <cellStyle name="20% - Accent1 3 13 3 2 3 2" xfId="1453"/>
    <cellStyle name="20% - Accent1 3 13 3 3" xfId="1454"/>
    <cellStyle name="20% - Accent1 3 13 3 3 2" xfId="1455"/>
    <cellStyle name="20% - Accent1 3 13 3 3 2 2" xfId="1456"/>
    <cellStyle name="20% - Accent1 3 13 3 4" xfId="1457"/>
    <cellStyle name="20% - Accent1 3 13 3 4 2" xfId="1458"/>
    <cellStyle name="20% - Accent1 3 13 4" xfId="1459"/>
    <cellStyle name="20% - Accent1 3 13 4 2" xfId="1460"/>
    <cellStyle name="20% - Accent1 3 13 4 2 2" xfId="1461"/>
    <cellStyle name="20% - Accent1 3 13 4 2 2 2" xfId="1462"/>
    <cellStyle name="20% - Accent1 3 13 4 3" xfId="1463"/>
    <cellStyle name="20% - Accent1 3 13 4 3 2" xfId="1464"/>
    <cellStyle name="20% - Accent1 3 13 5" xfId="1465"/>
    <cellStyle name="20% - Accent1 3 13 5 2" xfId="1466"/>
    <cellStyle name="20% - Accent1 3 13 5 2 2" xfId="1467"/>
    <cellStyle name="20% - Accent1 3 13 6" xfId="1468"/>
    <cellStyle name="20% - Accent1 3 13 6 2" xfId="1469"/>
    <cellStyle name="20% - Accent1 3 14" xfId="1470"/>
    <cellStyle name="20% - Accent1 3 14 2" xfId="1471"/>
    <cellStyle name="20% - Accent1 3 14 2 2" xfId="1472"/>
    <cellStyle name="20% - Accent1 3 14 2 2 2" xfId="1473"/>
    <cellStyle name="20% - Accent1 3 14 2 2 2 2" xfId="1474"/>
    <cellStyle name="20% - Accent1 3 14 2 2 2 2 2" xfId="1475"/>
    <cellStyle name="20% - Accent1 3 14 2 2 3" xfId="1476"/>
    <cellStyle name="20% - Accent1 3 14 2 2 3 2" xfId="1477"/>
    <cellStyle name="20% - Accent1 3 14 2 3" xfId="1478"/>
    <cellStyle name="20% - Accent1 3 14 2 3 2" xfId="1479"/>
    <cellStyle name="20% - Accent1 3 14 2 3 2 2" xfId="1480"/>
    <cellStyle name="20% - Accent1 3 14 2 4" xfId="1481"/>
    <cellStyle name="20% - Accent1 3 14 2 4 2" xfId="1482"/>
    <cellStyle name="20% - Accent1 3 14 3" xfId="1483"/>
    <cellStyle name="20% - Accent1 3 14 3 2" xfId="1484"/>
    <cellStyle name="20% - Accent1 3 14 3 2 2" xfId="1485"/>
    <cellStyle name="20% - Accent1 3 14 3 2 2 2" xfId="1486"/>
    <cellStyle name="20% - Accent1 3 14 3 3" xfId="1487"/>
    <cellStyle name="20% - Accent1 3 14 3 3 2" xfId="1488"/>
    <cellStyle name="20% - Accent1 3 14 4" xfId="1489"/>
    <cellStyle name="20% - Accent1 3 14 4 2" xfId="1490"/>
    <cellStyle name="20% - Accent1 3 14 4 2 2" xfId="1491"/>
    <cellStyle name="20% - Accent1 3 14 5" xfId="1492"/>
    <cellStyle name="20% - Accent1 3 14 5 2" xfId="1493"/>
    <cellStyle name="20% - Accent1 3 15" xfId="1494"/>
    <cellStyle name="20% - Accent1 3 15 2" xfId="1495"/>
    <cellStyle name="20% - Accent1 3 15 2 2" xfId="1496"/>
    <cellStyle name="20% - Accent1 3 15 2 2 2" xfId="1497"/>
    <cellStyle name="20% - Accent1 3 15 2 2 2 2" xfId="1498"/>
    <cellStyle name="20% - Accent1 3 15 2 3" xfId="1499"/>
    <cellStyle name="20% - Accent1 3 15 2 3 2" xfId="1500"/>
    <cellStyle name="20% - Accent1 3 15 3" xfId="1501"/>
    <cellStyle name="20% - Accent1 3 15 3 2" xfId="1502"/>
    <cellStyle name="20% - Accent1 3 15 3 2 2" xfId="1503"/>
    <cellStyle name="20% - Accent1 3 15 4" xfId="1504"/>
    <cellStyle name="20% - Accent1 3 15 4 2" xfId="1505"/>
    <cellStyle name="20% - Accent1 3 16" xfId="1506"/>
    <cellStyle name="20% - Accent1 3 16 2" xfId="1507"/>
    <cellStyle name="20% - Accent1 3 16 2 2" xfId="1508"/>
    <cellStyle name="20% - Accent1 3 16 2 2 2" xfId="1509"/>
    <cellStyle name="20% - Accent1 3 16 3" xfId="1510"/>
    <cellStyle name="20% - Accent1 3 16 3 2" xfId="1511"/>
    <cellStyle name="20% - Accent1 3 17" xfId="1512"/>
    <cellStyle name="20% - Accent1 3 17 2" xfId="1513"/>
    <cellStyle name="20% - Accent1 3 17 2 2" xfId="1514"/>
    <cellStyle name="20% - Accent1 3 18" xfId="1515"/>
    <cellStyle name="20% - Accent1 3 18 2" xfId="1516"/>
    <cellStyle name="20% - Accent1 3 19" xfId="1517"/>
    <cellStyle name="20% - Accent1 3 2" xfId="1518"/>
    <cellStyle name="20% - Accent1 3 2 10" xfId="1519"/>
    <cellStyle name="20% - Accent1 3 2 11" xfId="1520"/>
    <cellStyle name="20% - Accent1 3 2 2" xfId="1521"/>
    <cellStyle name="20% - Accent1 3 2 2 2" xfId="1522"/>
    <cellStyle name="20% - Accent1 3 2 2 2 2" xfId="1523"/>
    <cellStyle name="20% - Accent1 3 2 2 2 2 2" xfId="1524"/>
    <cellStyle name="20% - Accent1 3 2 2 2 2 2 2" xfId="1525"/>
    <cellStyle name="20% - Accent1 3 2 2 2 2 2 2 2" xfId="1526"/>
    <cellStyle name="20% - Accent1 3 2 2 2 2 3" xfId="1527"/>
    <cellStyle name="20% - Accent1 3 2 2 2 2 3 2" xfId="1528"/>
    <cellStyle name="20% - Accent1 3 2 2 2 3" xfId="1529"/>
    <cellStyle name="20% - Accent1 3 2 2 2 3 2" xfId="1530"/>
    <cellStyle name="20% - Accent1 3 2 2 2 3 2 2" xfId="1531"/>
    <cellStyle name="20% - Accent1 3 2 2 2 4" xfId="1532"/>
    <cellStyle name="20% - Accent1 3 2 2 2 4 2" xfId="1533"/>
    <cellStyle name="20% - Accent1 3 2 2 3" xfId="1534"/>
    <cellStyle name="20% - Accent1 3 2 2 3 2" xfId="1535"/>
    <cellStyle name="20% - Accent1 3 2 2 3 2 2" xfId="1536"/>
    <cellStyle name="20% - Accent1 3 2 2 3 2 2 2" xfId="1537"/>
    <cellStyle name="20% - Accent1 3 2 2 3 3" xfId="1538"/>
    <cellStyle name="20% - Accent1 3 2 2 3 3 2" xfId="1539"/>
    <cellStyle name="20% - Accent1 3 2 2 4" xfId="1540"/>
    <cellStyle name="20% - Accent1 3 2 2 4 2" xfId="1541"/>
    <cellStyle name="20% - Accent1 3 2 2 4 2 2" xfId="1542"/>
    <cellStyle name="20% - Accent1 3 2 2 5" xfId="1543"/>
    <cellStyle name="20% - Accent1 3 2 2 5 2" xfId="1544"/>
    <cellStyle name="20% - Accent1 3 2 2 6" xfId="1545"/>
    <cellStyle name="20% - Accent1 3 2 2 7" xfId="1546"/>
    <cellStyle name="20% - Accent1 3 2 2 8" xfId="1547"/>
    <cellStyle name="20% - Accent1 3 2 3" xfId="1548"/>
    <cellStyle name="20% - Accent1 3 2 3 2" xfId="1549"/>
    <cellStyle name="20% - Accent1 3 2 3 2 2" xfId="1550"/>
    <cellStyle name="20% - Accent1 3 2 3 2 2 2" xfId="1551"/>
    <cellStyle name="20% - Accent1 3 2 3 2 2 2 2" xfId="1552"/>
    <cellStyle name="20% - Accent1 3 2 3 2 3" xfId="1553"/>
    <cellStyle name="20% - Accent1 3 2 3 2 3 2" xfId="1554"/>
    <cellStyle name="20% - Accent1 3 2 3 3" xfId="1555"/>
    <cellStyle name="20% - Accent1 3 2 3 3 2" xfId="1556"/>
    <cellStyle name="20% - Accent1 3 2 3 3 2 2" xfId="1557"/>
    <cellStyle name="20% - Accent1 3 2 3 4" xfId="1558"/>
    <cellStyle name="20% - Accent1 3 2 3 4 2" xfId="1559"/>
    <cellStyle name="20% - Accent1 3 2 3 5" xfId="1560"/>
    <cellStyle name="20% - Accent1 3 2 3 6" xfId="1561"/>
    <cellStyle name="20% - Accent1 3 2 3 7" xfId="1562"/>
    <cellStyle name="20% - Accent1 3 2 4" xfId="1563"/>
    <cellStyle name="20% - Accent1 3 2 4 2" xfId="1564"/>
    <cellStyle name="20% - Accent1 3 2 4 2 2" xfId="1565"/>
    <cellStyle name="20% - Accent1 3 2 4 2 2 2" xfId="1566"/>
    <cellStyle name="20% - Accent1 3 2 4 3" xfId="1567"/>
    <cellStyle name="20% - Accent1 3 2 4 3 2" xfId="1568"/>
    <cellStyle name="20% - Accent1 3 2 4 4" xfId="1569"/>
    <cellStyle name="20% - Accent1 3 2 5" xfId="1570"/>
    <cellStyle name="20% - Accent1 3 2 5 2" xfId="1571"/>
    <cellStyle name="20% - Accent1 3 2 5 2 2" xfId="1572"/>
    <cellStyle name="20% - Accent1 3 2 6" xfId="1573"/>
    <cellStyle name="20% - Accent1 3 2 6 2" xfId="1574"/>
    <cellStyle name="20% - Accent1 3 2 7" xfId="1575"/>
    <cellStyle name="20% - Accent1 3 2 8" xfId="1576"/>
    <cellStyle name="20% - Accent1 3 2 9" xfId="1577"/>
    <cellStyle name="20% - Accent1 3 20" xfId="1578"/>
    <cellStyle name="20% - Accent1 3 21" xfId="1579"/>
    <cellStyle name="20% - Accent1 3 22" xfId="1580"/>
    <cellStyle name="20% - Accent1 3 3" xfId="1581"/>
    <cellStyle name="20% - Accent1 3 3 10" xfId="1582"/>
    <cellStyle name="20% - Accent1 3 3 11" xfId="1583"/>
    <cellStyle name="20% - Accent1 3 3 2" xfId="1584"/>
    <cellStyle name="20% - Accent1 3 3 2 2" xfId="1585"/>
    <cellStyle name="20% - Accent1 3 3 2 2 2" xfId="1586"/>
    <cellStyle name="20% - Accent1 3 3 2 2 2 2" xfId="1587"/>
    <cellStyle name="20% - Accent1 3 3 2 2 2 2 2" xfId="1588"/>
    <cellStyle name="20% - Accent1 3 3 2 2 2 2 2 2" xfId="1589"/>
    <cellStyle name="20% - Accent1 3 3 2 2 2 3" xfId="1590"/>
    <cellStyle name="20% - Accent1 3 3 2 2 2 3 2" xfId="1591"/>
    <cellStyle name="20% - Accent1 3 3 2 2 3" xfId="1592"/>
    <cellStyle name="20% - Accent1 3 3 2 2 3 2" xfId="1593"/>
    <cellStyle name="20% - Accent1 3 3 2 2 3 2 2" xfId="1594"/>
    <cellStyle name="20% - Accent1 3 3 2 2 4" xfId="1595"/>
    <cellStyle name="20% - Accent1 3 3 2 2 4 2" xfId="1596"/>
    <cellStyle name="20% - Accent1 3 3 2 3" xfId="1597"/>
    <cellStyle name="20% - Accent1 3 3 2 3 2" xfId="1598"/>
    <cellStyle name="20% - Accent1 3 3 2 3 2 2" xfId="1599"/>
    <cellStyle name="20% - Accent1 3 3 2 3 2 2 2" xfId="1600"/>
    <cellStyle name="20% - Accent1 3 3 2 3 3" xfId="1601"/>
    <cellStyle name="20% - Accent1 3 3 2 3 3 2" xfId="1602"/>
    <cellStyle name="20% - Accent1 3 3 2 4" xfId="1603"/>
    <cellStyle name="20% - Accent1 3 3 2 4 2" xfId="1604"/>
    <cellStyle name="20% - Accent1 3 3 2 4 2 2" xfId="1605"/>
    <cellStyle name="20% - Accent1 3 3 2 5" xfId="1606"/>
    <cellStyle name="20% - Accent1 3 3 2 5 2" xfId="1607"/>
    <cellStyle name="20% - Accent1 3 3 2 6" xfId="1608"/>
    <cellStyle name="20% - Accent1 3 3 2 7" xfId="1609"/>
    <cellStyle name="20% - Accent1 3 3 2 8" xfId="1610"/>
    <cellStyle name="20% - Accent1 3 3 3" xfId="1611"/>
    <cellStyle name="20% - Accent1 3 3 3 2" xfId="1612"/>
    <cellStyle name="20% - Accent1 3 3 3 2 2" xfId="1613"/>
    <cellStyle name="20% - Accent1 3 3 3 2 2 2" xfId="1614"/>
    <cellStyle name="20% - Accent1 3 3 3 2 2 2 2" xfId="1615"/>
    <cellStyle name="20% - Accent1 3 3 3 2 3" xfId="1616"/>
    <cellStyle name="20% - Accent1 3 3 3 2 3 2" xfId="1617"/>
    <cellStyle name="20% - Accent1 3 3 3 3" xfId="1618"/>
    <cellStyle name="20% - Accent1 3 3 3 3 2" xfId="1619"/>
    <cellStyle name="20% - Accent1 3 3 3 3 2 2" xfId="1620"/>
    <cellStyle name="20% - Accent1 3 3 3 4" xfId="1621"/>
    <cellStyle name="20% - Accent1 3 3 3 4 2" xfId="1622"/>
    <cellStyle name="20% - Accent1 3 3 3 5" xfId="1623"/>
    <cellStyle name="20% - Accent1 3 3 3 6" xfId="1624"/>
    <cellStyle name="20% - Accent1 3 3 3 7" xfId="1625"/>
    <cellStyle name="20% - Accent1 3 3 4" xfId="1626"/>
    <cellStyle name="20% - Accent1 3 3 4 2" xfId="1627"/>
    <cellStyle name="20% - Accent1 3 3 4 2 2" xfId="1628"/>
    <cellStyle name="20% - Accent1 3 3 4 2 2 2" xfId="1629"/>
    <cellStyle name="20% - Accent1 3 3 4 3" xfId="1630"/>
    <cellStyle name="20% - Accent1 3 3 4 3 2" xfId="1631"/>
    <cellStyle name="20% - Accent1 3 3 4 4" xfId="1632"/>
    <cellStyle name="20% - Accent1 3 3 5" xfId="1633"/>
    <cellStyle name="20% - Accent1 3 3 5 2" xfId="1634"/>
    <cellStyle name="20% - Accent1 3 3 5 2 2" xfId="1635"/>
    <cellStyle name="20% - Accent1 3 3 6" xfId="1636"/>
    <cellStyle name="20% - Accent1 3 3 6 2" xfId="1637"/>
    <cellStyle name="20% - Accent1 3 3 7" xfId="1638"/>
    <cellStyle name="20% - Accent1 3 3 8" xfId="1639"/>
    <cellStyle name="20% - Accent1 3 3 9" xfId="1640"/>
    <cellStyle name="20% - Accent1 3 4" xfId="1641"/>
    <cellStyle name="20% - Accent1 3 4 2" xfId="1642"/>
    <cellStyle name="20% - Accent1 3 4 2 2" xfId="1643"/>
    <cellStyle name="20% - Accent1 3 4 2 2 2" xfId="1644"/>
    <cellStyle name="20% - Accent1 3 4 2 2 2 2" xfId="1645"/>
    <cellStyle name="20% - Accent1 3 4 2 2 2 2 2" xfId="1646"/>
    <cellStyle name="20% - Accent1 3 4 2 2 2 2 2 2" xfId="1647"/>
    <cellStyle name="20% - Accent1 3 4 2 2 2 3" xfId="1648"/>
    <cellStyle name="20% - Accent1 3 4 2 2 2 3 2" xfId="1649"/>
    <cellStyle name="20% - Accent1 3 4 2 2 3" xfId="1650"/>
    <cellStyle name="20% - Accent1 3 4 2 2 3 2" xfId="1651"/>
    <cellStyle name="20% - Accent1 3 4 2 2 3 2 2" xfId="1652"/>
    <cellStyle name="20% - Accent1 3 4 2 2 4" xfId="1653"/>
    <cellStyle name="20% - Accent1 3 4 2 2 4 2" xfId="1654"/>
    <cellStyle name="20% - Accent1 3 4 2 3" xfId="1655"/>
    <cellStyle name="20% - Accent1 3 4 2 3 2" xfId="1656"/>
    <cellStyle name="20% - Accent1 3 4 2 3 2 2" xfId="1657"/>
    <cellStyle name="20% - Accent1 3 4 2 3 2 2 2" xfId="1658"/>
    <cellStyle name="20% - Accent1 3 4 2 3 3" xfId="1659"/>
    <cellStyle name="20% - Accent1 3 4 2 3 3 2" xfId="1660"/>
    <cellStyle name="20% - Accent1 3 4 2 4" xfId="1661"/>
    <cellStyle name="20% - Accent1 3 4 2 4 2" xfId="1662"/>
    <cellStyle name="20% - Accent1 3 4 2 4 2 2" xfId="1663"/>
    <cellStyle name="20% - Accent1 3 4 2 5" xfId="1664"/>
    <cellStyle name="20% - Accent1 3 4 2 5 2" xfId="1665"/>
    <cellStyle name="20% - Accent1 3 4 3" xfId="1666"/>
    <cellStyle name="20% - Accent1 3 4 3 2" xfId="1667"/>
    <cellStyle name="20% - Accent1 3 4 3 2 2" xfId="1668"/>
    <cellStyle name="20% - Accent1 3 4 3 2 2 2" xfId="1669"/>
    <cellStyle name="20% - Accent1 3 4 3 2 2 2 2" xfId="1670"/>
    <cellStyle name="20% - Accent1 3 4 3 2 3" xfId="1671"/>
    <cellStyle name="20% - Accent1 3 4 3 2 3 2" xfId="1672"/>
    <cellStyle name="20% - Accent1 3 4 3 3" xfId="1673"/>
    <cellStyle name="20% - Accent1 3 4 3 3 2" xfId="1674"/>
    <cellStyle name="20% - Accent1 3 4 3 3 2 2" xfId="1675"/>
    <cellStyle name="20% - Accent1 3 4 3 4" xfId="1676"/>
    <cellStyle name="20% - Accent1 3 4 3 4 2" xfId="1677"/>
    <cellStyle name="20% - Accent1 3 4 4" xfId="1678"/>
    <cellStyle name="20% - Accent1 3 4 4 2" xfId="1679"/>
    <cellStyle name="20% - Accent1 3 4 4 2 2" xfId="1680"/>
    <cellStyle name="20% - Accent1 3 4 4 2 2 2" xfId="1681"/>
    <cellStyle name="20% - Accent1 3 4 4 3" xfId="1682"/>
    <cellStyle name="20% - Accent1 3 4 4 3 2" xfId="1683"/>
    <cellStyle name="20% - Accent1 3 4 5" xfId="1684"/>
    <cellStyle name="20% - Accent1 3 4 5 2" xfId="1685"/>
    <cellStyle name="20% - Accent1 3 4 5 2 2" xfId="1686"/>
    <cellStyle name="20% - Accent1 3 4 6" xfId="1687"/>
    <cellStyle name="20% - Accent1 3 4 6 2" xfId="1688"/>
    <cellStyle name="20% - Accent1 3 4 7" xfId="1689"/>
    <cellStyle name="20% - Accent1 3 5" xfId="1690"/>
    <cellStyle name="20% - Accent1 3 5 2" xfId="1691"/>
    <cellStyle name="20% - Accent1 3 5 2 2" xfId="1692"/>
    <cellStyle name="20% - Accent1 3 5 2 2 2" xfId="1693"/>
    <cellStyle name="20% - Accent1 3 5 2 2 2 2" xfId="1694"/>
    <cellStyle name="20% - Accent1 3 5 2 2 2 2 2" xfId="1695"/>
    <cellStyle name="20% - Accent1 3 5 2 2 2 2 2 2" xfId="1696"/>
    <cellStyle name="20% - Accent1 3 5 2 2 2 3" xfId="1697"/>
    <cellStyle name="20% - Accent1 3 5 2 2 2 3 2" xfId="1698"/>
    <cellStyle name="20% - Accent1 3 5 2 2 3" xfId="1699"/>
    <cellStyle name="20% - Accent1 3 5 2 2 3 2" xfId="1700"/>
    <cellStyle name="20% - Accent1 3 5 2 2 3 2 2" xfId="1701"/>
    <cellStyle name="20% - Accent1 3 5 2 2 4" xfId="1702"/>
    <cellStyle name="20% - Accent1 3 5 2 2 4 2" xfId="1703"/>
    <cellStyle name="20% - Accent1 3 5 2 3" xfId="1704"/>
    <cellStyle name="20% - Accent1 3 5 2 3 2" xfId="1705"/>
    <cellStyle name="20% - Accent1 3 5 2 3 2 2" xfId="1706"/>
    <cellStyle name="20% - Accent1 3 5 2 3 2 2 2" xfId="1707"/>
    <cellStyle name="20% - Accent1 3 5 2 3 3" xfId="1708"/>
    <cellStyle name="20% - Accent1 3 5 2 3 3 2" xfId="1709"/>
    <cellStyle name="20% - Accent1 3 5 2 4" xfId="1710"/>
    <cellStyle name="20% - Accent1 3 5 2 4 2" xfId="1711"/>
    <cellStyle name="20% - Accent1 3 5 2 4 2 2" xfId="1712"/>
    <cellStyle name="20% - Accent1 3 5 2 5" xfId="1713"/>
    <cellStyle name="20% - Accent1 3 5 2 5 2" xfId="1714"/>
    <cellStyle name="20% - Accent1 3 5 3" xfId="1715"/>
    <cellStyle name="20% - Accent1 3 5 3 2" xfId="1716"/>
    <cellStyle name="20% - Accent1 3 5 3 2 2" xfId="1717"/>
    <cellStyle name="20% - Accent1 3 5 3 2 2 2" xfId="1718"/>
    <cellStyle name="20% - Accent1 3 5 3 2 2 2 2" xfId="1719"/>
    <cellStyle name="20% - Accent1 3 5 3 2 3" xfId="1720"/>
    <cellStyle name="20% - Accent1 3 5 3 2 3 2" xfId="1721"/>
    <cellStyle name="20% - Accent1 3 5 3 3" xfId="1722"/>
    <cellStyle name="20% - Accent1 3 5 3 3 2" xfId="1723"/>
    <cellStyle name="20% - Accent1 3 5 3 3 2 2" xfId="1724"/>
    <cellStyle name="20% - Accent1 3 5 3 4" xfId="1725"/>
    <cellStyle name="20% - Accent1 3 5 3 4 2" xfId="1726"/>
    <cellStyle name="20% - Accent1 3 5 4" xfId="1727"/>
    <cellStyle name="20% - Accent1 3 5 4 2" xfId="1728"/>
    <cellStyle name="20% - Accent1 3 5 4 2 2" xfId="1729"/>
    <cellStyle name="20% - Accent1 3 5 4 2 2 2" xfId="1730"/>
    <cellStyle name="20% - Accent1 3 5 4 3" xfId="1731"/>
    <cellStyle name="20% - Accent1 3 5 4 3 2" xfId="1732"/>
    <cellStyle name="20% - Accent1 3 5 5" xfId="1733"/>
    <cellStyle name="20% - Accent1 3 5 5 2" xfId="1734"/>
    <cellStyle name="20% - Accent1 3 5 5 2 2" xfId="1735"/>
    <cellStyle name="20% - Accent1 3 5 6" xfId="1736"/>
    <cellStyle name="20% - Accent1 3 5 6 2" xfId="1737"/>
    <cellStyle name="20% - Accent1 3 5 7" xfId="1738"/>
    <cellStyle name="20% - Accent1 3 6" xfId="1739"/>
    <cellStyle name="20% - Accent1 3 6 2" xfId="1740"/>
    <cellStyle name="20% - Accent1 3 6 2 2" xfId="1741"/>
    <cellStyle name="20% - Accent1 3 6 2 2 2" xfId="1742"/>
    <cellStyle name="20% - Accent1 3 6 2 2 2 2" xfId="1743"/>
    <cellStyle name="20% - Accent1 3 6 2 2 2 2 2" xfId="1744"/>
    <cellStyle name="20% - Accent1 3 6 2 2 2 2 2 2" xfId="1745"/>
    <cellStyle name="20% - Accent1 3 6 2 2 2 3" xfId="1746"/>
    <cellStyle name="20% - Accent1 3 6 2 2 2 3 2" xfId="1747"/>
    <cellStyle name="20% - Accent1 3 6 2 2 3" xfId="1748"/>
    <cellStyle name="20% - Accent1 3 6 2 2 3 2" xfId="1749"/>
    <cellStyle name="20% - Accent1 3 6 2 2 3 2 2" xfId="1750"/>
    <cellStyle name="20% - Accent1 3 6 2 2 4" xfId="1751"/>
    <cellStyle name="20% - Accent1 3 6 2 2 4 2" xfId="1752"/>
    <cellStyle name="20% - Accent1 3 6 2 3" xfId="1753"/>
    <cellStyle name="20% - Accent1 3 6 2 3 2" xfId="1754"/>
    <cellStyle name="20% - Accent1 3 6 2 3 2 2" xfId="1755"/>
    <cellStyle name="20% - Accent1 3 6 2 3 2 2 2" xfId="1756"/>
    <cellStyle name="20% - Accent1 3 6 2 3 3" xfId="1757"/>
    <cellStyle name="20% - Accent1 3 6 2 3 3 2" xfId="1758"/>
    <cellStyle name="20% - Accent1 3 6 2 4" xfId="1759"/>
    <cellStyle name="20% - Accent1 3 6 2 4 2" xfId="1760"/>
    <cellStyle name="20% - Accent1 3 6 2 4 2 2" xfId="1761"/>
    <cellStyle name="20% - Accent1 3 6 2 5" xfId="1762"/>
    <cellStyle name="20% - Accent1 3 6 2 5 2" xfId="1763"/>
    <cellStyle name="20% - Accent1 3 6 3" xfId="1764"/>
    <cellStyle name="20% - Accent1 3 6 3 2" xfId="1765"/>
    <cellStyle name="20% - Accent1 3 6 3 2 2" xfId="1766"/>
    <cellStyle name="20% - Accent1 3 6 3 2 2 2" xfId="1767"/>
    <cellStyle name="20% - Accent1 3 6 3 2 2 2 2" xfId="1768"/>
    <cellStyle name="20% - Accent1 3 6 3 2 3" xfId="1769"/>
    <cellStyle name="20% - Accent1 3 6 3 2 3 2" xfId="1770"/>
    <cellStyle name="20% - Accent1 3 6 3 3" xfId="1771"/>
    <cellStyle name="20% - Accent1 3 6 3 3 2" xfId="1772"/>
    <cellStyle name="20% - Accent1 3 6 3 3 2 2" xfId="1773"/>
    <cellStyle name="20% - Accent1 3 6 3 4" xfId="1774"/>
    <cellStyle name="20% - Accent1 3 6 3 4 2" xfId="1775"/>
    <cellStyle name="20% - Accent1 3 6 4" xfId="1776"/>
    <cellStyle name="20% - Accent1 3 6 4 2" xfId="1777"/>
    <cellStyle name="20% - Accent1 3 6 4 2 2" xfId="1778"/>
    <cellStyle name="20% - Accent1 3 6 4 2 2 2" xfId="1779"/>
    <cellStyle name="20% - Accent1 3 6 4 3" xfId="1780"/>
    <cellStyle name="20% - Accent1 3 6 4 3 2" xfId="1781"/>
    <cellStyle name="20% - Accent1 3 6 5" xfId="1782"/>
    <cellStyle name="20% - Accent1 3 6 5 2" xfId="1783"/>
    <cellStyle name="20% - Accent1 3 6 5 2 2" xfId="1784"/>
    <cellStyle name="20% - Accent1 3 6 6" xfId="1785"/>
    <cellStyle name="20% - Accent1 3 6 6 2" xfId="1786"/>
    <cellStyle name="20% - Accent1 3 6 7" xfId="1787"/>
    <cellStyle name="20% - Accent1 3 7" xfId="1788"/>
    <cellStyle name="20% - Accent1 3 7 2" xfId="1789"/>
    <cellStyle name="20% - Accent1 3 7 2 2" xfId="1790"/>
    <cellStyle name="20% - Accent1 3 7 2 2 2" xfId="1791"/>
    <cellStyle name="20% - Accent1 3 7 2 2 2 2" xfId="1792"/>
    <cellStyle name="20% - Accent1 3 7 2 2 2 2 2" xfId="1793"/>
    <cellStyle name="20% - Accent1 3 7 2 2 2 2 2 2" xfId="1794"/>
    <cellStyle name="20% - Accent1 3 7 2 2 2 3" xfId="1795"/>
    <cellStyle name="20% - Accent1 3 7 2 2 2 3 2" xfId="1796"/>
    <cellStyle name="20% - Accent1 3 7 2 2 3" xfId="1797"/>
    <cellStyle name="20% - Accent1 3 7 2 2 3 2" xfId="1798"/>
    <cellStyle name="20% - Accent1 3 7 2 2 3 2 2" xfId="1799"/>
    <cellStyle name="20% - Accent1 3 7 2 2 4" xfId="1800"/>
    <cellStyle name="20% - Accent1 3 7 2 2 4 2" xfId="1801"/>
    <cellStyle name="20% - Accent1 3 7 2 3" xfId="1802"/>
    <cellStyle name="20% - Accent1 3 7 2 3 2" xfId="1803"/>
    <cellStyle name="20% - Accent1 3 7 2 3 2 2" xfId="1804"/>
    <cellStyle name="20% - Accent1 3 7 2 3 2 2 2" xfId="1805"/>
    <cellStyle name="20% - Accent1 3 7 2 3 3" xfId="1806"/>
    <cellStyle name="20% - Accent1 3 7 2 3 3 2" xfId="1807"/>
    <cellStyle name="20% - Accent1 3 7 2 4" xfId="1808"/>
    <cellStyle name="20% - Accent1 3 7 2 4 2" xfId="1809"/>
    <cellStyle name="20% - Accent1 3 7 2 4 2 2" xfId="1810"/>
    <cellStyle name="20% - Accent1 3 7 2 5" xfId="1811"/>
    <cellStyle name="20% - Accent1 3 7 2 5 2" xfId="1812"/>
    <cellStyle name="20% - Accent1 3 7 3" xfId="1813"/>
    <cellStyle name="20% - Accent1 3 7 3 2" xfId="1814"/>
    <cellStyle name="20% - Accent1 3 7 3 2 2" xfId="1815"/>
    <cellStyle name="20% - Accent1 3 7 3 2 2 2" xfId="1816"/>
    <cellStyle name="20% - Accent1 3 7 3 2 2 2 2" xfId="1817"/>
    <cellStyle name="20% - Accent1 3 7 3 2 3" xfId="1818"/>
    <cellStyle name="20% - Accent1 3 7 3 2 3 2" xfId="1819"/>
    <cellStyle name="20% - Accent1 3 7 3 3" xfId="1820"/>
    <cellStyle name="20% - Accent1 3 7 3 3 2" xfId="1821"/>
    <cellStyle name="20% - Accent1 3 7 3 3 2 2" xfId="1822"/>
    <cellStyle name="20% - Accent1 3 7 3 4" xfId="1823"/>
    <cellStyle name="20% - Accent1 3 7 3 4 2" xfId="1824"/>
    <cellStyle name="20% - Accent1 3 7 4" xfId="1825"/>
    <cellStyle name="20% - Accent1 3 7 4 2" xfId="1826"/>
    <cellStyle name="20% - Accent1 3 7 4 2 2" xfId="1827"/>
    <cellStyle name="20% - Accent1 3 7 4 2 2 2" xfId="1828"/>
    <cellStyle name="20% - Accent1 3 7 4 3" xfId="1829"/>
    <cellStyle name="20% - Accent1 3 7 4 3 2" xfId="1830"/>
    <cellStyle name="20% - Accent1 3 7 5" xfId="1831"/>
    <cellStyle name="20% - Accent1 3 7 5 2" xfId="1832"/>
    <cellStyle name="20% - Accent1 3 7 5 2 2" xfId="1833"/>
    <cellStyle name="20% - Accent1 3 7 6" xfId="1834"/>
    <cellStyle name="20% - Accent1 3 7 6 2" xfId="1835"/>
    <cellStyle name="20% - Accent1 3 7 7" xfId="1836"/>
    <cellStyle name="20% - Accent1 3 8" xfId="1837"/>
    <cellStyle name="20% - Accent1 3 8 2" xfId="1838"/>
    <cellStyle name="20% - Accent1 3 8 2 2" xfId="1839"/>
    <cellStyle name="20% - Accent1 3 8 2 2 2" xfId="1840"/>
    <cellStyle name="20% - Accent1 3 8 2 2 2 2" xfId="1841"/>
    <cellStyle name="20% - Accent1 3 8 2 2 2 2 2" xfId="1842"/>
    <cellStyle name="20% - Accent1 3 8 2 2 2 2 2 2" xfId="1843"/>
    <cellStyle name="20% - Accent1 3 8 2 2 2 3" xfId="1844"/>
    <cellStyle name="20% - Accent1 3 8 2 2 2 3 2" xfId="1845"/>
    <cellStyle name="20% - Accent1 3 8 2 2 3" xfId="1846"/>
    <cellStyle name="20% - Accent1 3 8 2 2 3 2" xfId="1847"/>
    <cellStyle name="20% - Accent1 3 8 2 2 3 2 2" xfId="1848"/>
    <cellStyle name="20% - Accent1 3 8 2 2 4" xfId="1849"/>
    <cellStyle name="20% - Accent1 3 8 2 2 4 2" xfId="1850"/>
    <cellStyle name="20% - Accent1 3 8 2 3" xfId="1851"/>
    <cellStyle name="20% - Accent1 3 8 2 3 2" xfId="1852"/>
    <cellStyle name="20% - Accent1 3 8 2 3 2 2" xfId="1853"/>
    <cellStyle name="20% - Accent1 3 8 2 3 2 2 2" xfId="1854"/>
    <cellStyle name="20% - Accent1 3 8 2 3 3" xfId="1855"/>
    <cellStyle name="20% - Accent1 3 8 2 3 3 2" xfId="1856"/>
    <cellStyle name="20% - Accent1 3 8 2 4" xfId="1857"/>
    <cellStyle name="20% - Accent1 3 8 2 4 2" xfId="1858"/>
    <cellStyle name="20% - Accent1 3 8 2 4 2 2" xfId="1859"/>
    <cellStyle name="20% - Accent1 3 8 2 5" xfId="1860"/>
    <cellStyle name="20% - Accent1 3 8 2 5 2" xfId="1861"/>
    <cellStyle name="20% - Accent1 3 8 3" xfId="1862"/>
    <cellStyle name="20% - Accent1 3 8 3 2" xfId="1863"/>
    <cellStyle name="20% - Accent1 3 8 3 2 2" xfId="1864"/>
    <cellStyle name="20% - Accent1 3 8 3 2 2 2" xfId="1865"/>
    <cellStyle name="20% - Accent1 3 8 3 2 2 2 2" xfId="1866"/>
    <cellStyle name="20% - Accent1 3 8 3 2 3" xfId="1867"/>
    <cellStyle name="20% - Accent1 3 8 3 2 3 2" xfId="1868"/>
    <cellStyle name="20% - Accent1 3 8 3 3" xfId="1869"/>
    <cellStyle name="20% - Accent1 3 8 3 3 2" xfId="1870"/>
    <cellStyle name="20% - Accent1 3 8 3 3 2 2" xfId="1871"/>
    <cellStyle name="20% - Accent1 3 8 3 4" xfId="1872"/>
    <cellStyle name="20% - Accent1 3 8 3 4 2" xfId="1873"/>
    <cellStyle name="20% - Accent1 3 8 4" xfId="1874"/>
    <cellStyle name="20% - Accent1 3 8 4 2" xfId="1875"/>
    <cellStyle name="20% - Accent1 3 8 4 2 2" xfId="1876"/>
    <cellStyle name="20% - Accent1 3 8 4 2 2 2" xfId="1877"/>
    <cellStyle name="20% - Accent1 3 8 4 3" xfId="1878"/>
    <cellStyle name="20% - Accent1 3 8 4 3 2" xfId="1879"/>
    <cellStyle name="20% - Accent1 3 8 5" xfId="1880"/>
    <cellStyle name="20% - Accent1 3 8 5 2" xfId="1881"/>
    <cellStyle name="20% - Accent1 3 8 5 2 2" xfId="1882"/>
    <cellStyle name="20% - Accent1 3 8 6" xfId="1883"/>
    <cellStyle name="20% - Accent1 3 8 6 2" xfId="1884"/>
    <cellStyle name="20% - Accent1 3 9" xfId="1885"/>
    <cellStyle name="20% - Accent1 3 9 2" xfId="1886"/>
    <cellStyle name="20% - Accent1 3 9 2 2" xfId="1887"/>
    <cellStyle name="20% - Accent1 3 9 2 2 2" xfId="1888"/>
    <cellStyle name="20% - Accent1 3 9 2 2 2 2" xfId="1889"/>
    <cellStyle name="20% - Accent1 3 9 2 2 2 2 2" xfId="1890"/>
    <cellStyle name="20% - Accent1 3 9 2 2 2 2 2 2" xfId="1891"/>
    <cellStyle name="20% - Accent1 3 9 2 2 2 3" xfId="1892"/>
    <cellStyle name="20% - Accent1 3 9 2 2 2 3 2" xfId="1893"/>
    <cellStyle name="20% - Accent1 3 9 2 2 3" xfId="1894"/>
    <cellStyle name="20% - Accent1 3 9 2 2 3 2" xfId="1895"/>
    <cellStyle name="20% - Accent1 3 9 2 2 3 2 2" xfId="1896"/>
    <cellStyle name="20% - Accent1 3 9 2 2 4" xfId="1897"/>
    <cellStyle name="20% - Accent1 3 9 2 2 4 2" xfId="1898"/>
    <cellStyle name="20% - Accent1 3 9 2 3" xfId="1899"/>
    <cellStyle name="20% - Accent1 3 9 2 3 2" xfId="1900"/>
    <cellStyle name="20% - Accent1 3 9 2 3 2 2" xfId="1901"/>
    <cellStyle name="20% - Accent1 3 9 2 3 2 2 2" xfId="1902"/>
    <cellStyle name="20% - Accent1 3 9 2 3 3" xfId="1903"/>
    <cellStyle name="20% - Accent1 3 9 2 3 3 2" xfId="1904"/>
    <cellStyle name="20% - Accent1 3 9 2 4" xfId="1905"/>
    <cellStyle name="20% - Accent1 3 9 2 4 2" xfId="1906"/>
    <cellStyle name="20% - Accent1 3 9 2 4 2 2" xfId="1907"/>
    <cellStyle name="20% - Accent1 3 9 2 5" xfId="1908"/>
    <cellStyle name="20% - Accent1 3 9 2 5 2" xfId="1909"/>
    <cellStyle name="20% - Accent1 3 9 3" xfId="1910"/>
    <cellStyle name="20% - Accent1 3 9 3 2" xfId="1911"/>
    <cellStyle name="20% - Accent1 3 9 3 2 2" xfId="1912"/>
    <cellStyle name="20% - Accent1 3 9 3 2 2 2" xfId="1913"/>
    <cellStyle name="20% - Accent1 3 9 3 2 2 2 2" xfId="1914"/>
    <cellStyle name="20% - Accent1 3 9 3 2 3" xfId="1915"/>
    <cellStyle name="20% - Accent1 3 9 3 2 3 2" xfId="1916"/>
    <cellStyle name="20% - Accent1 3 9 3 3" xfId="1917"/>
    <cellStyle name="20% - Accent1 3 9 3 3 2" xfId="1918"/>
    <cellStyle name="20% - Accent1 3 9 3 3 2 2" xfId="1919"/>
    <cellStyle name="20% - Accent1 3 9 3 4" xfId="1920"/>
    <cellStyle name="20% - Accent1 3 9 3 4 2" xfId="1921"/>
    <cellStyle name="20% - Accent1 3 9 4" xfId="1922"/>
    <cellStyle name="20% - Accent1 3 9 4 2" xfId="1923"/>
    <cellStyle name="20% - Accent1 3 9 4 2 2" xfId="1924"/>
    <cellStyle name="20% - Accent1 3 9 4 2 2 2" xfId="1925"/>
    <cellStyle name="20% - Accent1 3 9 4 3" xfId="1926"/>
    <cellStyle name="20% - Accent1 3 9 4 3 2" xfId="1927"/>
    <cellStyle name="20% - Accent1 3 9 5" xfId="1928"/>
    <cellStyle name="20% - Accent1 3 9 5 2" xfId="1929"/>
    <cellStyle name="20% - Accent1 3 9 5 2 2" xfId="1930"/>
    <cellStyle name="20% - Accent1 3 9 6" xfId="1931"/>
    <cellStyle name="20% - Accent1 3 9 6 2" xfId="1932"/>
    <cellStyle name="20% - Accent1 3 9 7" xfId="1933"/>
    <cellStyle name="20% - Accent1 3 9 8" xfId="1934"/>
    <cellStyle name="20% - Accent1 3 9 9" xfId="1935"/>
    <cellStyle name="20% - Accent1 30" xfId="1936"/>
    <cellStyle name="20% - Accent1 30 2" xfId="1937"/>
    <cellStyle name="20% - Accent1 30 2 2" xfId="1938"/>
    <cellStyle name="20% - Accent1 30 2 2 2" xfId="1939"/>
    <cellStyle name="20% - Accent1 30 3" xfId="1940"/>
    <cellStyle name="20% - Accent1 30 3 2" xfId="1941"/>
    <cellStyle name="20% - Accent1 30 4" xfId="1942"/>
    <cellStyle name="20% - Accent1 31" xfId="1943"/>
    <cellStyle name="20% - Accent1 31 2" xfId="1944"/>
    <cellStyle name="20% - Accent1 31 2 2" xfId="1945"/>
    <cellStyle name="20% - Accent1 31 2 2 2" xfId="1946"/>
    <cellStyle name="20% - Accent1 31 3" xfId="1947"/>
    <cellStyle name="20% - Accent1 31 3 2" xfId="1948"/>
    <cellStyle name="20% - Accent1 31 4" xfId="1949"/>
    <cellStyle name="20% - Accent1 32" xfId="1950"/>
    <cellStyle name="20% - Accent1 32 2" xfId="1951"/>
    <cellStyle name="20% - Accent1 32 2 2" xfId="1952"/>
    <cellStyle name="20% - Accent1 32 3" xfId="1953"/>
    <cellStyle name="20% - Accent1 33" xfId="1954"/>
    <cellStyle name="20% - Accent1 33 2" xfId="1955"/>
    <cellStyle name="20% - Accent1 33 2 2" xfId="1956"/>
    <cellStyle name="20% - Accent1 33 3" xfId="1957"/>
    <cellStyle name="20% - Accent1 34" xfId="1958"/>
    <cellStyle name="20% - Accent1 34 2" xfId="1959"/>
    <cellStyle name="20% - Accent1 34 2 2" xfId="1960"/>
    <cellStyle name="20% - Accent1 34 3" xfId="1961"/>
    <cellStyle name="20% - Accent1 35" xfId="1962"/>
    <cellStyle name="20% - Accent1 35 2" xfId="1963"/>
    <cellStyle name="20% - Accent1 35 3" xfId="1964"/>
    <cellStyle name="20% - Accent1 36" xfId="1965"/>
    <cellStyle name="20% - Accent1 36 2" xfId="1966"/>
    <cellStyle name="20% - Accent1 36 2 2" xfId="1967"/>
    <cellStyle name="20% - Accent1 36 2 3" xfId="1968"/>
    <cellStyle name="20% - Accent1 36 2 4" xfId="1969"/>
    <cellStyle name="20% - Accent1 36 3" xfId="1970"/>
    <cellStyle name="20% - Accent1 36 3 2" xfId="1971"/>
    <cellStyle name="20% - Accent1 36 3 3" xfId="1972"/>
    <cellStyle name="20% - Accent1 36 4" xfId="1973"/>
    <cellStyle name="20% - Accent1 36 4 2" xfId="1974"/>
    <cellStyle name="20% - Accent1 36 5" xfId="1975"/>
    <cellStyle name="20% - Accent1 36 6" xfId="1976"/>
    <cellStyle name="20% - Accent1 36 7" xfId="1977"/>
    <cellStyle name="20% - Accent1 37" xfId="1978"/>
    <cellStyle name="20% - Accent1 38" xfId="1979"/>
    <cellStyle name="20% - Accent1 39" xfId="1980"/>
    <cellStyle name="20% - Accent1 4" xfId="1981"/>
    <cellStyle name="20% - Accent1 4 10" xfId="1982"/>
    <cellStyle name="20% - Accent1 4 10 2" xfId="1983"/>
    <cellStyle name="20% - Accent1 4 10 2 2" xfId="1984"/>
    <cellStyle name="20% - Accent1 4 10 2 2 2" xfId="1985"/>
    <cellStyle name="20% - Accent1 4 10 2 2 2 2" xfId="1986"/>
    <cellStyle name="20% - Accent1 4 10 2 2 2 2 2" xfId="1987"/>
    <cellStyle name="20% - Accent1 4 10 2 2 2 2 2 2" xfId="1988"/>
    <cellStyle name="20% - Accent1 4 10 2 2 2 3" xfId="1989"/>
    <cellStyle name="20% - Accent1 4 10 2 2 2 3 2" xfId="1990"/>
    <cellStyle name="20% - Accent1 4 10 2 2 3" xfId="1991"/>
    <cellStyle name="20% - Accent1 4 10 2 2 3 2" xfId="1992"/>
    <cellStyle name="20% - Accent1 4 10 2 2 3 2 2" xfId="1993"/>
    <cellStyle name="20% - Accent1 4 10 2 2 4" xfId="1994"/>
    <cellStyle name="20% - Accent1 4 10 2 2 4 2" xfId="1995"/>
    <cellStyle name="20% - Accent1 4 10 2 3" xfId="1996"/>
    <cellStyle name="20% - Accent1 4 10 2 3 2" xfId="1997"/>
    <cellStyle name="20% - Accent1 4 10 2 3 2 2" xfId="1998"/>
    <cellStyle name="20% - Accent1 4 10 2 3 2 2 2" xfId="1999"/>
    <cellStyle name="20% - Accent1 4 10 2 3 3" xfId="2000"/>
    <cellStyle name="20% - Accent1 4 10 2 3 3 2" xfId="2001"/>
    <cellStyle name="20% - Accent1 4 10 2 4" xfId="2002"/>
    <cellStyle name="20% - Accent1 4 10 2 4 2" xfId="2003"/>
    <cellStyle name="20% - Accent1 4 10 2 4 2 2" xfId="2004"/>
    <cellStyle name="20% - Accent1 4 10 2 5" xfId="2005"/>
    <cellStyle name="20% - Accent1 4 10 2 5 2" xfId="2006"/>
    <cellStyle name="20% - Accent1 4 10 3" xfId="2007"/>
    <cellStyle name="20% - Accent1 4 10 3 2" xfId="2008"/>
    <cellStyle name="20% - Accent1 4 10 3 2 2" xfId="2009"/>
    <cellStyle name="20% - Accent1 4 10 3 2 2 2" xfId="2010"/>
    <cellStyle name="20% - Accent1 4 10 3 2 2 2 2" xfId="2011"/>
    <cellStyle name="20% - Accent1 4 10 3 2 3" xfId="2012"/>
    <cellStyle name="20% - Accent1 4 10 3 2 3 2" xfId="2013"/>
    <cellStyle name="20% - Accent1 4 10 3 3" xfId="2014"/>
    <cellStyle name="20% - Accent1 4 10 3 3 2" xfId="2015"/>
    <cellStyle name="20% - Accent1 4 10 3 3 2 2" xfId="2016"/>
    <cellStyle name="20% - Accent1 4 10 3 4" xfId="2017"/>
    <cellStyle name="20% - Accent1 4 10 3 4 2" xfId="2018"/>
    <cellStyle name="20% - Accent1 4 10 4" xfId="2019"/>
    <cellStyle name="20% - Accent1 4 10 4 2" xfId="2020"/>
    <cellStyle name="20% - Accent1 4 10 4 2 2" xfId="2021"/>
    <cellStyle name="20% - Accent1 4 10 4 2 2 2" xfId="2022"/>
    <cellStyle name="20% - Accent1 4 10 4 3" xfId="2023"/>
    <cellStyle name="20% - Accent1 4 10 4 3 2" xfId="2024"/>
    <cellStyle name="20% - Accent1 4 10 5" xfId="2025"/>
    <cellStyle name="20% - Accent1 4 10 5 2" xfId="2026"/>
    <cellStyle name="20% - Accent1 4 10 5 2 2" xfId="2027"/>
    <cellStyle name="20% - Accent1 4 10 6" xfId="2028"/>
    <cellStyle name="20% - Accent1 4 10 6 2" xfId="2029"/>
    <cellStyle name="20% - Accent1 4 10 7" xfId="2030"/>
    <cellStyle name="20% - Accent1 4 10 8" xfId="2031"/>
    <cellStyle name="20% - Accent1 4 10 9" xfId="2032"/>
    <cellStyle name="20% - Accent1 4 11" xfId="2033"/>
    <cellStyle name="20% - Accent1 4 11 2" xfId="2034"/>
    <cellStyle name="20% - Accent1 4 11 2 2" xfId="2035"/>
    <cellStyle name="20% - Accent1 4 11 2 2 2" xfId="2036"/>
    <cellStyle name="20% - Accent1 4 11 2 2 2 2" xfId="2037"/>
    <cellStyle name="20% - Accent1 4 11 2 2 2 2 2" xfId="2038"/>
    <cellStyle name="20% - Accent1 4 11 2 2 2 2 2 2" xfId="2039"/>
    <cellStyle name="20% - Accent1 4 11 2 2 2 3" xfId="2040"/>
    <cellStyle name="20% - Accent1 4 11 2 2 2 3 2" xfId="2041"/>
    <cellStyle name="20% - Accent1 4 11 2 2 3" xfId="2042"/>
    <cellStyle name="20% - Accent1 4 11 2 2 3 2" xfId="2043"/>
    <cellStyle name="20% - Accent1 4 11 2 2 3 2 2" xfId="2044"/>
    <cellStyle name="20% - Accent1 4 11 2 2 4" xfId="2045"/>
    <cellStyle name="20% - Accent1 4 11 2 2 4 2" xfId="2046"/>
    <cellStyle name="20% - Accent1 4 11 2 3" xfId="2047"/>
    <cellStyle name="20% - Accent1 4 11 2 3 2" xfId="2048"/>
    <cellStyle name="20% - Accent1 4 11 2 3 2 2" xfId="2049"/>
    <cellStyle name="20% - Accent1 4 11 2 3 2 2 2" xfId="2050"/>
    <cellStyle name="20% - Accent1 4 11 2 3 3" xfId="2051"/>
    <cellStyle name="20% - Accent1 4 11 2 3 3 2" xfId="2052"/>
    <cellStyle name="20% - Accent1 4 11 2 4" xfId="2053"/>
    <cellStyle name="20% - Accent1 4 11 2 4 2" xfId="2054"/>
    <cellStyle name="20% - Accent1 4 11 2 4 2 2" xfId="2055"/>
    <cellStyle name="20% - Accent1 4 11 2 5" xfId="2056"/>
    <cellStyle name="20% - Accent1 4 11 2 5 2" xfId="2057"/>
    <cellStyle name="20% - Accent1 4 11 3" xfId="2058"/>
    <cellStyle name="20% - Accent1 4 11 3 2" xfId="2059"/>
    <cellStyle name="20% - Accent1 4 11 3 2 2" xfId="2060"/>
    <cellStyle name="20% - Accent1 4 11 3 2 2 2" xfId="2061"/>
    <cellStyle name="20% - Accent1 4 11 3 2 2 2 2" xfId="2062"/>
    <cellStyle name="20% - Accent1 4 11 3 2 3" xfId="2063"/>
    <cellStyle name="20% - Accent1 4 11 3 2 3 2" xfId="2064"/>
    <cellStyle name="20% - Accent1 4 11 3 3" xfId="2065"/>
    <cellStyle name="20% - Accent1 4 11 3 3 2" xfId="2066"/>
    <cellStyle name="20% - Accent1 4 11 3 3 2 2" xfId="2067"/>
    <cellStyle name="20% - Accent1 4 11 3 4" xfId="2068"/>
    <cellStyle name="20% - Accent1 4 11 3 4 2" xfId="2069"/>
    <cellStyle name="20% - Accent1 4 11 4" xfId="2070"/>
    <cellStyle name="20% - Accent1 4 11 4 2" xfId="2071"/>
    <cellStyle name="20% - Accent1 4 11 4 2 2" xfId="2072"/>
    <cellStyle name="20% - Accent1 4 11 4 2 2 2" xfId="2073"/>
    <cellStyle name="20% - Accent1 4 11 4 3" xfId="2074"/>
    <cellStyle name="20% - Accent1 4 11 4 3 2" xfId="2075"/>
    <cellStyle name="20% - Accent1 4 11 5" xfId="2076"/>
    <cellStyle name="20% - Accent1 4 11 5 2" xfId="2077"/>
    <cellStyle name="20% - Accent1 4 11 5 2 2" xfId="2078"/>
    <cellStyle name="20% - Accent1 4 11 6" xfId="2079"/>
    <cellStyle name="20% - Accent1 4 11 6 2" xfId="2080"/>
    <cellStyle name="20% - Accent1 4 11 7" xfId="2081"/>
    <cellStyle name="20% - Accent1 4 12" xfId="2082"/>
    <cellStyle name="20% - Accent1 4 12 2" xfId="2083"/>
    <cellStyle name="20% - Accent1 4 12 2 2" xfId="2084"/>
    <cellStyle name="20% - Accent1 4 12 2 2 2" xfId="2085"/>
    <cellStyle name="20% - Accent1 4 12 2 2 2 2" xfId="2086"/>
    <cellStyle name="20% - Accent1 4 12 2 2 2 2 2" xfId="2087"/>
    <cellStyle name="20% - Accent1 4 12 2 2 2 2 2 2" xfId="2088"/>
    <cellStyle name="20% - Accent1 4 12 2 2 2 3" xfId="2089"/>
    <cellStyle name="20% - Accent1 4 12 2 2 2 3 2" xfId="2090"/>
    <cellStyle name="20% - Accent1 4 12 2 2 3" xfId="2091"/>
    <cellStyle name="20% - Accent1 4 12 2 2 3 2" xfId="2092"/>
    <cellStyle name="20% - Accent1 4 12 2 2 3 2 2" xfId="2093"/>
    <cellStyle name="20% - Accent1 4 12 2 2 4" xfId="2094"/>
    <cellStyle name="20% - Accent1 4 12 2 2 4 2" xfId="2095"/>
    <cellStyle name="20% - Accent1 4 12 2 3" xfId="2096"/>
    <cellStyle name="20% - Accent1 4 12 2 3 2" xfId="2097"/>
    <cellStyle name="20% - Accent1 4 12 2 3 2 2" xfId="2098"/>
    <cellStyle name="20% - Accent1 4 12 2 3 2 2 2" xfId="2099"/>
    <cellStyle name="20% - Accent1 4 12 2 3 3" xfId="2100"/>
    <cellStyle name="20% - Accent1 4 12 2 3 3 2" xfId="2101"/>
    <cellStyle name="20% - Accent1 4 12 2 4" xfId="2102"/>
    <cellStyle name="20% - Accent1 4 12 2 4 2" xfId="2103"/>
    <cellStyle name="20% - Accent1 4 12 2 4 2 2" xfId="2104"/>
    <cellStyle name="20% - Accent1 4 12 2 5" xfId="2105"/>
    <cellStyle name="20% - Accent1 4 12 2 5 2" xfId="2106"/>
    <cellStyle name="20% - Accent1 4 12 3" xfId="2107"/>
    <cellStyle name="20% - Accent1 4 12 3 2" xfId="2108"/>
    <cellStyle name="20% - Accent1 4 12 3 2 2" xfId="2109"/>
    <cellStyle name="20% - Accent1 4 12 3 2 2 2" xfId="2110"/>
    <cellStyle name="20% - Accent1 4 12 3 2 2 2 2" xfId="2111"/>
    <cellStyle name="20% - Accent1 4 12 3 2 3" xfId="2112"/>
    <cellStyle name="20% - Accent1 4 12 3 2 3 2" xfId="2113"/>
    <cellStyle name="20% - Accent1 4 12 3 3" xfId="2114"/>
    <cellStyle name="20% - Accent1 4 12 3 3 2" xfId="2115"/>
    <cellStyle name="20% - Accent1 4 12 3 3 2 2" xfId="2116"/>
    <cellStyle name="20% - Accent1 4 12 3 4" xfId="2117"/>
    <cellStyle name="20% - Accent1 4 12 3 4 2" xfId="2118"/>
    <cellStyle name="20% - Accent1 4 12 4" xfId="2119"/>
    <cellStyle name="20% - Accent1 4 12 4 2" xfId="2120"/>
    <cellStyle name="20% - Accent1 4 12 4 2 2" xfId="2121"/>
    <cellStyle name="20% - Accent1 4 12 4 2 2 2" xfId="2122"/>
    <cellStyle name="20% - Accent1 4 12 4 3" xfId="2123"/>
    <cellStyle name="20% - Accent1 4 12 4 3 2" xfId="2124"/>
    <cellStyle name="20% - Accent1 4 12 5" xfId="2125"/>
    <cellStyle name="20% - Accent1 4 12 5 2" xfId="2126"/>
    <cellStyle name="20% - Accent1 4 12 5 2 2" xfId="2127"/>
    <cellStyle name="20% - Accent1 4 12 6" xfId="2128"/>
    <cellStyle name="20% - Accent1 4 12 6 2" xfId="2129"/>
    <cellStyle name="20% - Accent1 4 13" xfId="2130"/>
    <cellStyle name="20% - Accent1 4 13 2" xfId="2131"/>
    <cellStyle name="20% - Accent1 4 13 2 2" xfId="2132"/>
    <cellStyle name="20% - Accent1 4 13 2 2 2" xfId="2133"/>
    <cellStyle name="20% - Accent1 4 13 2 2 2 2" xfId="2134"/>
    <cellStyle name="20% - Accent1 4 13 2 2 2 2 2" xfId="2135"/>
    <cellStyle name="20% - Accent1 4 13 2 2 2 2 2 2" xfId="2136"/>
    <cellStyle name="20% - Accent1 4 13 2 2 2 3" xfId="2137"/>
    <cellStyle name="20% - Accent1 4 13 2 2 2 3 2" xfId="2138"/>
    <cellStyle name="20% - Accent1 4 13 2 2 3" xfId="2139"/>
    <cellStyle name="20% - Accent1 4 13 2 2 3 2" xfId="2140"/>
    <cellStyle name="20% - Accent1 4 13 2 2 3 2 2" xfId="2141"/>
    <cellStyle name="20% - Accent1 4 13 2 2 4" xfId="2142"/>
    <cellStyle name="20% - Accent1 4 13 2 2 4 2" xfId="2143"/>
    <cellStyle name="20% - Accent1 4 13 2 3" xfId="2144"/>
    <cellStyle name="20% - Accent1 4 13 2 3 2" xfId="2145"/>
    <cellStyle name="20% - Accent1 4 13 2 3 2 2" xfId="2146"/>
    <cellStyle name="20% - Accent1 4 13 2 3 2 2 2" xfId="2147"/>
    <cellStyle name="20% - Accent1 4 13 2 3 3" xfId="2148"/>
    <cellStyle name="20% - Accent1 4 13 2 3 3 2" xfId="2149"/>
    <cellStyle name="20% - Accent1 4 13 2 4" xfId="2150"/>
    <cellStyle name="20% - Accent1 4 13 2 4 2" xfId="2151"/>
    <cellStyle name="20% - Accent1 4 13 2 4 2 2" xfId="2152"/>
    <cellStyle name="20% - Accent1 4 13 2 5" xfId="2153"/>
    <cellStyle name="20% - Accent1 4 13 2 5 2" xfId="2154"/>
    <cellStyle name="20% - Accent1 4 13 3" xfId="2155"/>
    <cellStyle name="20% - Accent1 4 13 3 2" xfId="2156"/>
    <cellStyle name="20% - Accent1 4 13 3 2 2" xfId="2157"/>
    <cellStyle name="20% - Accent1 4 13 3 2 2 2" xfId="2158"/>
    <cellStyle name="20% - Accent1 4 13 3 2 2 2 2" xfId="2159"/>
    <cellStyle name="20% - Accent1 4 13 3 2 3" xfId="2160"/>
    <cellStyle name="20% - Accent1 4 13 3 2 3 2" xfId="2161"/>
    <cellStyle name="20% - Accent1 4 13 3 3" xfId="2162"/>
    <cellStyle name="20% - Accent1 4 13 3 3 2" xfId="2163"/>
    <cellStyle name="20% - Accent1 4 13 3 3 2 2" xfId="2164"/>
    <cellStyle name="20% - Accent1 4 13 3 4" xfId="2165"/>
    <cellStyle name="20% - Accent1 4 13 3 4 2" xfId="2166"/>
    <cellStyle name="20% - Accent1 4 13 4" xfId="2167"/>
    <cellStyle name="20% - Accent1 4 13 4 2" xfId="2168"/>
    <cellStyle name="20% - Accent1 4 13 4 2 2" xfId="2169"/>
    <cellStyle name="20% - Accent1 4 13 4 2 2 2" xfId="2170"/>
    <cellStyle name="20% - Accent1 4 13 4 3" xfId="2171"/>
    <cellStyle name="20% - Accent1 4 13 4 3 2" xfId="2172"/>
    <cellStyle name="20% - Accent1 4 13 5" xfId="2173"/>
    <cellStyle name="20% - Accent1 4 13 5 2" xfId="2174"/>
    <cellStyle name="20% - Accent1 4 13 5 2 2" xfId="2175"/>
    <cellStyle name="20% - Accent1 4 13 6" xfId="2176"/>
    <cellStyle name="20% - Accent1 4 13 6 2" xfId="2177"/>
    <cellStyle name="20% - Accent1 4 14" xfId="2178"/>
    <cellStyle name="20% - Accent1 4 15" xfId="2179"/>
    <cellStyle name="20% - Accent1 4 16" xfId="2180"/>
    <cellStyle name="20% - Accent1 4 17" xfId="2181"/>
    <cellStyle name="20% - Accent1 4 18" xfId="2182"/>
    <cellStyle name="20% - Accent1 4 2" xfId="2183"/>
    <cellStyle name="20% - Accent1 4 2 10" xfId="2184"/>
    <cellStyle name="20% - Accent1 4 2 11" xfId="2185"/>
    <cellStyle name="20% - Accent1 4 2 2" xfId="2186"/>
    <cellStyle name="20% - Accent1 4 2 2 2" xfId="2187"/>
    <cellStyle name="20% - Accent1 4 2 2 2 2" xfId="2188"/>
    <cellStyle name="20% - Accent1 4 2 2 2 2 2" xfId="2189"/>
    <cellStyle name="20% - Accent1 4 2 2 2 2 2 2" xfId="2190"/>
    <cellStyle name="20% - Accent1 4 2 2 2 2 2 2 2" xfId="2191"/>
    <cellStyle name="20% - Accent1 4 2 2 2 2 3" xfId="2192"/>
    <cellStyle name="20% - Accent1 4 2 2 2 2 3 2" xfId="2193"/>
    <cellStyle name="20% - Accent1 4 2 2 2 3" xfId="2194"/>
    <cellStyle name="20% - Accent1 4 2 2 2 3 2" xfId="2195"/>
    <cellStyle name="20% - Accent1 4 2 2 2 3 2 2" xfId="2196"/>
    <cellStyle name="20% - Accent1 4 2 2 2 4" xfId="2197"/>
    <cellStyle name="20% - Accent1 4 2 2 2 4 2" xfId="2198"/>
    <cellStyle name="20% - Accent1 4 2 2 3" xfId="2199"/>
    <cellStyle name="20% - Accent1 4 2 2 3 2" xfId="2200"/>
    <cellStyle name="20% - Accent1 4 2 2 3 2 2" xfId="2201"/>
    <cellStyle name="20% - Accent1 4 2 2 3 2 2 2" xfId="2202"/>
    <cellStyle name="20% - Accent1 4 2 2 3 3" xfId="2203"/>
    <cellStyle name="20% - Accent1 4 2 2 3 3 2" xfId="2204"/>
    <cellStyle name="20% - Accent1 4 2 2 4" xfId="2205"/>
    <cellStyle name="20% - Accent1 4 2 2 4 2" xfId="2206"/>
    <cellStyle name="20% - Accent1 4 2 2 4 2 2" xfId="2207"/>
    <cellStyle name="20% - Accent1 4 2 2 5" xfId="2208"/>
    <cellStyle name="20% - Accent1 4 2 2 5 2" xfId="2209"/>
    <cellStyle name="20% - Accent1 4 2 2 6" xfId="2210"/>
    <cellStyle name="20% - Accent1 4 2 2 7" xfId="2211"/>
    <cellStyle name="20% - Accent1 4 2 2 8" xfId="2212"/>
    <cellStyle name="20% - Accent1 4 2 3" xfId="2213"/>
    <cellStyle name="20% - Accent1 4 2 3 2" xfId="2214"/>
    <cellStyle name="20% - Accent1 4 2 3 2 2" xfId="2215"/>
    <cellStyle name="20% - Accent1 4 2 3 2 2 2" xfId="2216"/>
    <cellStyle name="20% - Accent1 4 2 3 2 2 2 2" xfId="2217"/>
    <cellStyle name="20% - Accent1 4 2 3 2 3" xfId="2218"/>
    <cellStyle name="20% - Accent1 4 2 3 2 3 2" xfId="2219"/>
    <cellStyle name="20% - Accent1 4 2 3 3" xfId="2220"/>
    <cellStyle name="20% - Accent1 4 2 3 3 2" xfId="2221"/>
    <cellStyle name="20% - Accent1 4 2 3 3 2 2" xfId="2222"/>
    <cellStyle name="20% - Accent1 4 2 3 4" xfId="2223"/>
    <cellStyle name="20% - Accent1 4 2 3 4 2" xfId="2224"/>
    <cellStyle name="20% - Accent1 4 2 3 5" xfId="2225"/>
    <cellStyle name="20% - Accent1 4 2 3 6" xfId="2226"/>
    <cellStyle name="20% - Accent1 4 2 3 7" xfId="2227"/>
    <cellStyle name="20% - Accent1 4 2 4" xfId="2228"/>
    <cellStyle name="20% - Accent1 4 2 4 2" xfId="2229"/>
    <cellStyle name="20% - Accent1 4 2 4 2 2" xfId="2230"/>
    <cellStyle name="20% - Accent1 4 2 4 2 2 2" xfId="2231"/>
    <cellStyle name="20% - Accent1 4 2 4 3" xfId="2232"/>
    <cellStyle name="20% - Accent1 4 2 4 3 2" xfId="2233"/>
    <cellStyle name="20% - Accent1 4 2 4 4" xfId="2234"/>
    <cellStyle name="20% - Accent1 4 2 5" xfId="2235"/>
    <cellStyle name="20% - Accent1 4 2 5 2" xfId="2236"/>
    <cellStyle name="20% - Accent1 4 2 5 2 2" xfId="2237"/>
    <cellStyle name="20% - Accent1 4 2 6" xfId="2238"/>
    <cellStyle name="20% - Accent1 4 2 6 2" xfId="2239"/>
    <cellStyle name="20% - Accent1 4 2 7" xfId="2240"/>
    <cellStyle name="20% - Accent1 4 2 8" xfId="2241"/>
    <cellStyle name="20% - Accent1 4 2 9" xfId="2242"/>
    <cellStyle name="20% - Accent1 4 3" xfId="2243"/>
    <cellStyle name="20% - Accent1 4 3 10" xfId="2244"/>
    <cellStyle name="20% - Accent1 4 3 11" xfId="2245"/>
    <cellStyle name="20% - Accent1 4 3 2" xfId="2246"/>
    <cellStyle name="20% - Accent1 4 3 2 2" xfId="2247"/>
    <cellStyle name="20% - Accent1 4 3 2 2 2" xfId="2248"/>
    <cellStyle name="20% - Accent1 4 3 2 2 2 2" xfId="2249"/>
    <cellStyle name="20% - Accent1 4 3 2 2 2 2 2" xfId="2250"/>
    <cellStyle name="20% - Accent1 4 3 2 2 2 2 2 2" xfId="2251"/>
    <cellStyle name="20% - Accent1 4 3 2 2 2 3" xfId="2252"/>
    <cellStyle name="20% - Accent1 4 3 2 2 2 3 2" xfId="2253"/>
    <cellStyle name="20% - Accent1 4 3 2 2 3" xfId="2254"/>
    <cellStyle name="20% - Accent1 4 3 2 2 3 2" xfId="2255"/>
    <cellStyle name="20% - Accent1 4 3 2 2 3 2 2" xfId="2256"/>
    <cellStyle name="20% - Accent1 4 3 2 2 4" xfId="2257"/>
    <cellStyle name="20% - Accent1 4 3 2 2 4 2" xfId="2258"/>
    <cellStyle name="20% - Accent1 4 3 2 3" xfId="2259"/>
    <cellStyle name="20% - Accent1 4 3 2 3 2" xfId="2260"/>
    <cellStyle name="20% - Accent1 4 3 2 3 2 2" xfId="2261"/>
    <cellStyle name="20% - Accent1 4 3 2 3 2 2 2" xfId="2262"/>
    <cellStyle name="20% - Accent1 4 3 2 3 3" xfId="2263"/>
    <cellStyle name="20% - Accent1 4 3 2 3 3 2" xfId="2264"/>
    <cellStyle name="20% - Accent1 4 3 2 4" xfId="2265"/>
    <cellStyle name="20% - Accent1 4 3 2 4 2" xfId="2266"/>
    <cellStyle name="20% - Accent1 4 3 2 4 2 2" xfId="2267"/>
    <cellStyle name="20% - Accent1 4 3 2 5" xfId="2268"/>
    <cellStyle name="20% - Accent1 4 3 2 5 2" xfId="2269"/>
    <cellStyle name="20% - Accent1 4 3 2 6" xfId="2270"/>
    <cellStyle name="20% - Accent1 4 3 2 7" xfId="2271"/>
    <cellStyle name="20% - Accent1 4 3 2 8" xfId="2272"/>
    <cellStyle name="20% - Accent1 4 3 3" xfId="2273"/>
    <cellStyle name="20% - Accent1 4 3 3 2" xfId="2274"/>
    <cellStyle name="20% - Accent1 4 3 3 2 2" xfId="2275"/>
    <cellStyle name="20% - Accent1 4 3 3 2 2 2" xfId="2276"/>
    <cellStyle name="20% - Accent1 4 3 3 2 2 2 2" xfId="2277"/>
    <cellStyle name="20% - Accent1 4 3 3 2 3" xfId="2278"/>
    <cellStyle name="20% - Accent1 4 3 3 2 3 2" xfId="2279"/>
    <cellStyle name="20% - Accent1 4 3 3 3" xfId="2280"/>
    <cellStyle name="20% - Accent1 4 3 3 3 2" xfId="2281"/>
    <cellStyle name="20% - Accent1 4 3 3 3 2 2" xfId="2282"/>
    <cellStyle name="20% - Accent1 4 3 3 4" xfId="2283"/>
    <cellStyle name="20% - Accent1 4 3 3 4 2" xfId="2284"/>
    <cellStyle name="20% - Accent1 4 3 3 5" xfId="2285"/>
    <cellStyle name="20% - Accent1 4 3 3 6" xfId="2286"/>
    <cellStyle name="20% - Accent1 4 3 3 7" xfId="2287"/>
    <cellStyle name="20% - Accent1 4 3 4" xfId="2288"/>
    <cellStyle name="20% - Accent1 4 3 4 2" xfId="2289"/>
    <cellStyle name="20% - Accent1 4 3 4 2 2" xfId="2290"/>
    <cellStyle name="20% - Accent1 4 3 4 2 2 2" xfId="2291"/>
    <cellStyle name="20% - Accent1 4 3 4 3" xfId="2292"/>
    <cellStyle name="20% - Accent1 4 3 4 3 2" xfId="2293"/>
    <cellStyle name="20% - Accent1 4 3 4 4" xfId="2294"/>
    <cellStyle name="20% - Accent1 4 3 5" xfId="2295"/>
    <cellStyle name="20% - Accent1 4 3 5 2" xfId="2296"/>
    <cellStyle name="20% - Accent1 4 3 5 2 2" xfId="2297"/>
    <cellStyle name="20% - Accent1 4 3 6" xfId="2298"/>
    <cellStyle name="20% - Accent1 4 3 6 2" xfId="2299"/>
    <cellStyle name="20% - Accent1 4 3 7" xfId="2300"/>
    <cellStyle name="20% - Accent1 4 3 8" xfId="2301"/>
    <cellStyle name="20% - Accent1 4 3 9" xfId="2302"/>
    <cellStyle name="20% - Accent1 4 4" xfId="2303"/>
    <cellStyle name="20% - Accent1 4 4 2" xfId="2304"/>
    <cellStyle name="20% - Accent1 4 4 2 2" xfId="2305"/>
    <cellStyle name="20% - Accent1 4 4 2 2 2" xfId="2306"/>
    <cellStyle name="20% - Accent1 4 4 2 2 2 2" xfId="2307"/>
    <cellStyle name="20% - Accent1 4 4 2 2 2 2 2" xfId="2308"/>
    <cellStyle name="20% - Accent1 4 4 2 2 2 2 2 2" xfId="2309"/>
    <cellStyle name="20% - Accent1 4 4 2 2 2 3" xfId="2310"/>
    <cellStyle name="20% - Accent1 4 4 2 2 2 3 2" xfId="2311"/>
    <cellStyle name="20% - Accent1 4 4 2 2 3" xfId="2312"/>
    <cellStyle name="20% - Accent1 4 4 2 2 3 2" xfId="2313"/>
    <cellStyle name="20% - Accent1 4 4 2 2 3 2 2" xfId="2314"/>
    <cellStyle name="20% - Accent1 4 4 2 2 4" xfId="2315"/>
    <cellStyle name="20% - Accent1 4 4 2 2 4 2" xfId="2316"/>
    <cellStyle name="20% - Accent1 4 4 2 3" xfId="2317"/>
    <cellStyle name="20% - Accent1 4 4 2 3 2" xfId="2318"/>
    <cellStyle name="20% - Accent1 4 4 2 3 2 2" xfId="2319"/>
    <cellStyle name="20% - Accent1 4 4 2 3 2 2 2" xfId="2320"/>
    <cellStyle name="20% - Accent1 4 4 2 3 3" xfId="2321"/>
    <cellStyle name="20% - Accent1 4 4 2 3 3 2" xfId="2322"/>
    <cellStyle name="20% - Accent1 4 4 2 4" xfId="2323"/>
    <cellStyle name="20% - Accent1 4 4 2 4 2" xfId="2324"/>
    <cellStyle name="20% - Accent1 4 4 2 4 2 2" xfId="2325"/>
    <cellStyle name="20% - Accent1 4 4 2 5" xfId="2326"/>
    <cellStyle name="20% - Accent1 4 4 2 5 2" xfId="2327"/>
    <cellStyle name="20% - Accent1 4 4 3" xfId="2328"/>
    <cellStyle name="20% - Accent1 4 4 3 2" xfId="2329"/>
    <cellStyle name="20% - Accent1 4 4 3 2 2" xfId="2330"/>
    <cellStyle name="20% - Accent1 4 4 3 2 2 2" xfId="2331"/>
    <cellStyle name="20% - Accent1 4 4 3 2 2 2 2" xfId="2332"/>
    <cellStyle name="20% - Accent1 4 4 3 2 3" xfId="2333"/>
    <cellStyle name="20% - Accent1 4 4 3 2 3 2" xfId="2334"/>
    <cellStyle name="20% - Accent1 4 4 3 3" xfId="2335"/>
    <cellStyle name="20% - Accent1 4 4 3 3 2" xfId="2336"/>
    <cellStyle name="20% - Accent1 4 4 3 3 2 2" xfId="2337"/>
    <cellStyle name="20% - Accent1 4 4 3 4" xfId="2338"/>
    <cellStyle name="20% - Accent1 4 4 3 4 2" xfId="2339"/>
    <cellStyle name="20% - Accent1 4 4 4" xfId="2340"/>
    <cellStyle name="20% - Accent1 4 4 4 2" xfId="2341"/>
    <cellStyle name="20% - Accent1 4 4 4 2 2" xfId="2342"/>
    <cellStyle name="20% - Accent1 4 4 4 2 2 2" xfId="2343"/>
    <cellStyle name="20% - Accent1 4 4 4 3" xfId="2344"/>
    <cellStyle name="20% - Accent1 4 4 4 3 2" xfId="2345"/>
    <cellStyle name="20% - Accent1 4 4 5" xfId="2346"/>
    <cellStyle name="20% - Accent1 4 4 5 2" xfId="2347"/>
    <cellStyle name="20% - Accent1 4 4 5 2 2" xfId="2348"/>
    <cellStyle name="20% - Accent1 4 4 6" xfId="2349"/>
    <cellStyle name="20% - Accent1 4 4 6 2" xfId="2350"/>
    <cellStyle name="20% - Accent1 4 4 7" xfId="2351"/>
    <cellStyle name="20% - Accent1 4 5" xfId="2352"/>
    <cellStyle name="20% - Accent1 4 5 2" xfId="2353"/>
    <cellStyle name="20% - Accent1 4 5 2 2" xfId="2354"/>
    <cellStyle name="20% - Accent1 4 5 2 2 2" xfId="2355"/>
    <cellStyle name="20% - Accent1 4 5 2 2 2 2" xfId="2356"/>
    <cellStyle name="20% - Accent1 4 5 2 2 2 2 2" xfId="2357"/>
    <cellStyle name="20% - Accent1 4 5 2 2 2 2 2 2" xfId="2358"/>
    <cellStyle name="20% - Accent1 4 5 2 2 2 3" xfId="2359"/>
    <cellStyle name="20% - Accent1 4 5 2 2 2 3 2" xfId="2360"/>
    <cellStyle name="20% - Accent1 4 5 2 2 3" xfId="2361"/>
    <cellStyle name="20% - Accent1 4 5 2 2 3 2" xfId="2362"/>
    <cellStyle name="20% - Accent1 4 5 2 2 3 2 2" xfId="2363"/>
    <cellStyle name="20% - Accent1 4 5 2 2 4" xfId="2364"/>
    <cellStyle name="20% - Accent1 4 5 2 2 4 2" xfId="2365"/>
    <cellStyle name="20% - Accent1 4 5 2 3" xfId="2366"/>
    <cellStyle name="20% - Accent1 4 5 2 3 2" xfId="2367"/>
    <cellStyle name="20% - Accent1 4 5 2 3 2 2" xfId="2368"/>
    <cellStyle name="20% - Accent1 4 5 2 3 2 2 2" xfId="2369"/>
    <cellStyle name="20% - Accent1 4 5 2 3 3" xfId="2370"/>
    <cellStyle name="20% - Accent1 4 5 2 3 3 2" xfId="2371"/>
    <cellStyle name="20% - Accent1 4 5 2 4" xfId="2372"/>
    <cellStyle name="20% - Accent1 4 5 2 4 2" xfId="2373"/>
    <cellStyle name="20% - Accent1 4 5 2 4 2 2" xfId="2374"/>
    <cellStyle name="20% - Accent1 4 5 2 5" xfId="2375"/>
    <cellStyle name="20% - Accent1 4 5 2 5 2" xfId="2376"/>
    <cellStyle name="20% - Accent1 4 5 3" xfId="2377"/>
    <cellStyle name="20% - Accent1 4 5 3 2" xfId="2378"/>
    <cellStyle name="20% - Accent1 4 5 3 2 2" xfId="2379"/>
    <cellStyle name="20% - Accent1 4 5 3 2 2 2" xfId="2380"/>
    <cellStyle name="20% - Accent1 4 5 3 2 2 2 2" xfId="2381"/>
    <cellStyle name="20% - Accent1 4 5 3 2 3" xfId="2382"/>
    <cellStyle name="20% - Accent1 4 5 3 2 3 2" xfId="2383"/>
    <cellStyle name="20% - Accent1 4 5 3 3" xfId="2384"/>
    <cellStyle name="20% - Accent1 4 5 3 3 2" xfId="2385"/>
    <cellStyle name="20% - Accent1 4 5 3 3 2 2" xfId="2386"/>
    <cellStyle name="20% - Accent1 4 5 3 4" xfId="2387"/>
    <cellStyle name="20% - Accent1 4 5 3 4 2" xfId="2388"/>
    <cellStyle name="20% - Accent1 4 5 4" xfId="2389"/>
    <cellStyle name="20% - Accent1 4 5 4 2" xfId="2390"/>
    <cellStyle name="20% - Accent1 4 5 4 2 2" xfId="2391"/>
    <cellStyle name="20% - Accent1 4 5 4 2 2 2" xfId="2392"/>
    <cellStyle name="20% - Accent1 4 5 4 3" xfId="2393"/>
    <cellStyle name="20% - Accent1 4 5 4 3 2" xfId="2394"/>
    <cellStyle name="20% - Accent1 4 5 5" xfId="2395"/>
    <cellStyle name="20% - Accent1 4 5 5 2" xfId="2396"/>
    <cellStyle name="20% - Accent1 4 5 5 2 2" xfId="2397"/>
    <cellStyle name="20% - Accent1 4 5 6" xfId="2398"/>
    <cellStyle name="20% - Accent1 4 5 6 2" xfId="2399"/>
    <cellStyle name="20% - Accent1 4 5 7" xfId="2400"/>
    <cellStyle name="20% - Accent1 4 6" xfId="2401"/>
    <cellStyle name="20% - Accent1 4 6 2" xfId="2402"/>
    <cellStyle name="20% - Accent1 4 6 2 2" xfId="2403"/>
    <cellStyle name="20% - Accent1 4 6 2 2 2" xfId="2404"/>
    <cellStyle name="20% - Accent1 4 6 2 2 2 2" xfId="2405"/>
    <cellStyle name="20% - Accent1 4 6 2 2 2 2 2" xfId="2406"/>
    <cellStyle name="20% - Accent1 4 6 2 2 2 2 2 2" xfId="2407"/>
    <cellStyle name="20% - Accent1 4 6 2 2 2 3" xfId="2408"/>
    <cellStyle name="20% - Accent1 4 6 2 2 2 3 2" xfId="2409"/>
    <cellStyle name="20% - Accent1 4 6 2 2 3" xfId="2410"/>
    <cellStyle name="20% - Accent1 4 6 2 2 3 2" xfId="2411"/>
    <cellStyle name="20% - Accent1 4 6 2 2 3 2 2" xfId="2412"/>
    <cellStyle name="20% - Accent1 4 6 2 2 4" xfId="2413"/>
    <cellStyle name="20% - Accent1 4 6 2 2 4 2" xfId="2414"/>
    <cellStyle name="20% - Accent1 4 6 2 3" xfId="2415"/>
    <cellStyle name="20% - Accent1 4 6 2 3 2" xfId="2416"/>
    <cellStyle name="20% - Accent1 4 6 2 3 2 2" xfId="2417"/>
    <cellStyle name="20% - Accent1 4 6 2 3 2 2 2" xfId="2418"/>
    <cellStyle name="20% - Accent1 4 6 2 3 3" xfId="2419"/>
    <cellStyle name="20% - Accent1 4 6 2 3 3 2" xfId="2420"/>
    <cellStyle name="20% - Accent1 4 6 2 4" xfId="2421"/>
    <cellStyle name="20% - Accent1 4 6 2 4 2" xfId="2422"/>
    <cellStyle name="20% - Accent1 4 6 2 4 2 2" xfId="2423"/>
    <cellStyle name="20% - Accent1 4 6 2 5" xfId="2424"/>
    <cellStyle name="20% - Accent1 4 6 2 5 2" xfId="2425"/>
    <cellStyle name="20% - Accent1 4 6 3" xfId="2426"/>
    <cellStyle name="20% - Accent1 4 6 3 2" xfId="2427"/>
    <cellStyle name="20% - Accent1 4 6 3 2 2" xfId="2428"/>
    <cellStyle name="20% - Accent1 4 6 3 2 2 2" xfId="2429"/>
    <cellStyle name="20% - Accent1 4 6 3 2 2 2 2" xfId="2430"/>
    <cellStyle name="20% - Accent1 4 6 3 2 3" xfId="2431"/>
    <cellStyle name="20% - Accent1 4 6 3 2 3 2" xfId="2432"/>
    <cellStyle name="20% - Accent1 4 6 3 3" xfId="2433"/>
    <cellStyle name="20% - Accent1 4 6 3 3 2" xfId="2434"/>
    <cellStyle name="20% - Accent1 4 6 3 3 2 2" xfId="2435"/>
    <cellStyle name="20% - Accent1 4 6 3 4" xfId="2436"/>
    <cellStyle name="20% - Accent1 4 6 3 4 2" xfId="2437"/>
    <cellStyle name="20% - Accent1 4 6 4" xfId="2438"/>
    <cellStyle name="20% - Accent1 4 6 4 2" xfId="2439"/>
    <cellStyle name="20% - Accent1 4 6 4 2 2" xfId="2440"/>
    <cellStyle name="20% - Accent1 4 6 4 2 2 2" xfId="2441"/>
    <cellStyle name="20% - Accent1 4 6 4 3" xfId="2442"/>
    <cellStyle name="20% - Accent1 4 6 4 3 2" xfId="2443"/>
    <cellStyle name="20% - Accent1 4 6 5" xfId="2444"/>
    <cellStyle name="20% - Accent1 4 6 5 2" xfId="2445"/>
    <cellStyle name="20% - Accent1 4 6 5 2 2" xfId="2446"/>
    <cellStyle name="20% - Accent1 4 6 6" xfId="2447"/>
    <cellStyle name="20% - Accent1 4 6 6 2" xfId="2448"/>
    <cellStyle name="20% - Accent1 4 6 7" xfId="2449"/>
    <cellStyle name="20% - Accent1 4 7" xfId="2450"/>
    <cellStyle name="20% - Accent1 4 7 2" xfId="2451"/>
    <cellStyle name="20% - Accent1 4 7 2 2" xfId="2452"/>
    <cellStyle name="20% - Accent1 4 7 2 2 2" xfId="2453"/>
    <cellStyle name="20% - Accent1 4 7 2 2 2 2" xfId="2454"/>
    <cellStyle name="20% - Accent1 4 7 2 2 2 2 2" xfId="2455"/>
    <cellStyle name="20% - Accent1 4 7 2 2 2 2 2 2" xfId="2456"/>
    <cellStyle name="20% - Accent1 4 7 2 2 2 3" xfId="2457"/>
    <cellStyle name="20% - Accent1 4 7 2 2 2 3 2" xfId="2458"/>
    <cellStyle name="20% - Accent1 4 7 2 2 3" xfId="2459"/>
    <cellStyle name="20% - Accent1 4 7 2 2 3 2" xfId="2460"/>
    <cellStyle name="20% - Accent1 4 7 2 2 3 2 2" xfId="2461"/>
    <cellStyle name="20% - Accent1 4 7 2 2 4" xfId="2462"/>
    <cellStyle name="20% - Accent1 4 7 2 2 4 2" xfId="2463"/>
    <cellStyle name="20% - Accent1 4 7 2 3" xfId="2464"/>
    <cellStyle name="20% - Accent1 4 7 2 3 2" xfId="2465"/>
    <cellStyle name="20% - Accent1 4 7 2 3 2 2" xfId="2466"/>
    <cellStyle name="20% - Accent1 4 7 2 3 2 2 2" xfId="2467"/>
    <cellStyle name="20% - Accent1 4 7 2 3 3" xfId="2468"/>
    <cellStyle name="20% - Accent1 4 7 2 3 3 2" xfId="2469"/>
    <cellStyle name="20% - Accent1 4 7 2 4" xfId="2470"/>
    <cellStyle name="20% - Accent1 4 7 2 4 2" xfId="2471"/>
    <cellStyle name="20% - Accent1 4 7 2 4 2 2" xfId="2472"/>
    <cellStyle name="20% - Accent1 4 7 2 5" xfId="2473"/>
    <cellStyle name="20% - Accent1 4 7 2 5 2" xfId="2474"/>
    <cellStyle name="20% - Accent1 4 7 3" xfId="2475"/>
    <cellStyle name="20% - Accent1 4 7 3 2" xfId="2476"/>
    <cellStyle name="20% - Accent1 4 7 3 2 2" xfId="2477"/>
    <cellStyle name="20% - Accent1 4 7 3 2 2 2" xfId="2478"/>
    <cellStyle name="20% - Accent1 4 7 3 2 2 2 2" xfId="2479"/>
    <cellStyle name="20% - Accent1 4 7 3 2 3" xfId="2480"/>
    <cellStyle name="20% - Accent1 4 7 3 2 3 2" xfId="2481"/>
    <cellStyle name="20% - Accent1 4 7 3 3" xfId="2482"/>
    <cellStyle name="20% - Accent1 4 7 3 3 2" xfId="2483"/>
    <cellStyle name="20% - Accent1 4 7 3 3 2 2" xfId="2484"/>
    <cellStyle name="20% - Accent1 4 7 3 4" xfId="2485"/>
    <cellStyle name="20% - Accent1 4 7 3 4 2" xfId="2486"/>
    <cellStyle name="20% - Accent1 4 7 4" xfId="2487"/>
    <cellStyle name="20% - Accent1 4 7 4 2" xfId="2488"/>
    <cellStyle name="20% - Accent1 4 7 4 2 2" xfId="2489"/>
    <cellStyle name="20% - Accent1 4 7 4 2 2 2" xfId="2490"/>
    <cellStyle name="20% - Accent1 4 7 4 3" xfId="2491"/>
    <cellStyle name="20% - Accent1 4 7 4 3 2" xfId="2492"/>
    <cellStyle name="20% - Accent1 4 7 5" xfId="2493"/>
    <cellStyle name="20% - Accent1 4 7 5 2" xfId="2494"/>
    <cellStyle name="20% - Accent1 4 7 5 2 2" xfId="2495"/>
    <cellStyle name="20% - Accent1 4 7 6" xfId="2496"/>
    <cellStyle name="20% - Accent1 4 7 6 2" xfId="2497"/>
    <cellStyle name="20% - Accent1 4 7 7" xfId="2498"/>
    <cellStyle name="20% - Accent1 4 8" xfId="2499"/>
    <cellStyle name="20% - Accent1 4 8 2" xfId="2500"/>
    <cellStyle name="20% - Accent1 4 8 2 2" xfId="2501"/>
    <cellStyle name="20% - Accent1 4 8 2 2 2" xfId="2502"/>
    <cellStyle name="20% - Accent1 4 8 2 2 2 2" xfId="2503"/>
    <cellStyle name="20% - Accent1 4 8 2 2 2 2 2" xfId="2504"/>
    <cellStyle name="20% - Accent1 4 8 2 2 2 2 2 2" xfId="2505"/>
    <cellStyle name="20% - Accent1 4 8 2 2 2 3" xfId="2506"/>
    <cellStyle name="20% - Accent1 4 8 2 2 2 3 2" xfId="2507"/>
    <cellStyle name="20% - Accent1 4 8 2 2 3" xfId="2508"/>
    <cellStyle name="20% - Accent1 4 8 2 2 3 2" xfId="2509"/>
    <cellStyle name="20% - Accent1 4 8 2 2 3 2 2" xfId="2510"/>
    <cellStyle name="20% - Accent1 4 8 2 2 4" xfId="2511"/>
    <cellStyle name="20% - Accent1 4 8 2 2 4 2" xfId="2512"/>
    <cellStyle name="20% - Accent1 4 8 2 3" xfId="2513"/>
    <cellStyle name="20% - Accent1 4 8 2 3 2" xfId="2514"/>
    <cellStyle name="20% - Accent1 4 8 2 3 2 2" xfId="2515"/>
    <cellStyle name="20% - Accent1 4 8 2 3 2 2 2" xfId="2516"/>
    <cellStyle name="20% - Accent1 4 8 2 3 3" xfId="2517"/>
    <cellStyle name="20% - Accent1 4 8 2 3 3 2" xfId="2518"/>
    <cellStyle name="20% - Accent1 4 8 2 4" xfId="2519"/>
    <cellStyle name="20% - Accent1 4 8 2 4 2" xfId="2520"/>
    <cellStyle name="20% - Accent1 4 8 2 4 2 2" xfId="2521"/>
    <cellStyle name="20% - Accent1 4 8 2 5" xfId="2522"/>
    <cellStyle name="20% - Accent1 4 8 2 5 2" xfId="2523"/>
    <cellStyle name="20% - Accent1 4 8 3" xfId="2524"/>
    <cellStyle name="20% - Accent1 4 8 3 2" xfId="2525"/>
    <cellStyle name="20% - Accent1 4 8 3 2 2" xfId="2526"/>
    <cellStyle name="20% - Accent1 4 8 3 2 2 2" xfId="2527"/>
    <cellStyle name="20% - Accent1 4 8 3 2 2 2 2" xfId="2528"/>
    <cellStyle name="20% - Accent1 4 8 3 2 3" xfId="2529"/>
    <cellStyle name="20% - Accent1 4 8 3 2 3 2" xfId="2530"/>
    <cellStyle name="20% - Accent1 4 8 3 3" xfId="2531"/>
    <cellStyle name="20% - Accent1 4 8 3 3 2" xfId="2532"/>
    <cellStyle name="20% - Accent1 4 8 3 3 2 2" xfId="2533"/>
    <cellStyle name="20% - Accent1 4 8 3 4" xfId="2534"/>
    <cellStyle name="20% - Accent1 4 8 3 4 2" xfId="2535"/>
    <cellStyle name="20% - Accent1 4 8 4" xfId="2536"/>
    <cellStyle name="20% - Accent1 4 8 4 2" xfId="2537"/>
    <cellStyle name="20% - Accent1 4 8 4 2 2" xfId="2538"/>
    <cellStyle name="20% - Accent1 4 8 4 2 2 2" xfId="2539"/>
    <cellStyle name="20% - Accent1 4 8 4 3" xfId="2540"/>
    <cellStyle name="20% - Accent1 4 8 4 3 2" xfId="2541"/>
    <cellStyle name="20% - Accent1 4 8 5" xfId="2542"/>
    <cellStyle name="20% - Accent1 4 8 5 2" xfId="2543"/>
    <cellStyle name="20% - Accent1 4 8 5 2 2" xfId="2544"/>
    <cellStyle name="20% - Accent1 4 8 6" xfId="2545"/>
    <cellStyle name="20% - Accent1 4 8 6 2" xfId="2546"/>
    <cellStyle name="20% - Accent1 4 9" xfId="2547"/>
    <cellStyle name="20% - Accent1 4 9 2" xfId="2548"/>
    <cellStyle name="20% - Accent1 4 9 2 2" xfId="2549"/>
    <cellStyle name="20% - Accent1 4 9 2 2 2" xfId="2550"/>
    <cellStyle name="20% - Accent1 4 9 2 2 2 2" xfId="2551"/>
    <cellStyle name="20% - Accent1 4 9 2 2 2 2 2" xfId="2552"/>
    <cellStyle name="20% - Accent1 4 9 2 2 2 2 2 2" xfId="2553"/>
    <cellStyle name="20% - Accent1 4 9 2 2 2 3" xfId="2554"/>
    <cellStyle name="20% - Accent1 4 9 2 2 2 3 2" xfId="2555"/>
    <cellStyle name="20% - Accent1 4 9 2 2 3" xfId="2556"/>
    <cellStyle name="20% - Accent1 4 9 2 2 3 2" xfId="2557"/>
    <cellStyle name="20% - Accent1 4 9 2 2 3 2 2" xfId="2558"/>
    <cellStyle name="20% - Accent1 4 9 2 2 4" xfId="2559"/>
    <cellStyle name="20% - Accent1 4 9 2 2 4 2" xfId="2560"/>
    <cellStyle name="20% - Accent1 4 9 2 3" xfId="2561"/>
    <cellStyle name="20% - Accent1 4 9 2 3 2" xfId="2562"/>
    <cellStyle name="20% - Accent1 4 9 2 3 2 2" xfId="2563"/>
    <cellStyle name="20% - Accent1 4 9 2 3 2 2 2" xfId="2564"/>
    <cellStyle name="20% - Accent1 4 9 2 3 3" xfId="2565"/>
    <cellStyle name="20% - Accent1 4 9 2 3 3 2" xfId="2566"/>
    <cellStyle name="20% - Accent1 4 9 2 4" xfId="2567"/>
    <cellStyle name="20% - Accent1 4 9 2 4 2" xfId="2568"/>
    <cellStyle name="20% - Accent1 4 9 2 4 2 2" xfId="2569"/>
    <cellStyle name="20% - Accent1 4 9 2 5" xfId="2570"/>
    <cellStyle name="20% - Accent1 4 9 2 5 2" xfId="2571"/>
    <cellStyle name="20% - Accent1 4 9 3" xfId="2572"/>
    <cellStyle name="20% - Accent1 4 9 3 2" xfId="2573"/>
    <cellStyle name="20% - Accent1 4 9 3 2 2" xfId="2574"/>
    <cellStyle name="20% - Accent1 4 9 3 2 2 2" xfId="2575"/>
    <cellStyle name="20% - Accent1 4 9 3 2 2 2 2" xfId="2576"/>
    <cellStyle name="20% - Accent1 4 9 3 2 3" xfId="2577"/>
    <cellStyle name="20% - Accent1 4 9 3 2 3 2" xfId="2578"/>
    <cellStyle name="20% - Accent1 4 9 3 3" xfId="2579"/>
    <cellStyle name="20% - Accent1 4 9 3 3 2" xfId="2580"/>
    <cellStyle name="20% - Accent1 4 9 3 3 2 2" xfId="2581"/>
    <cellStyle name="20% - Accent1 4 9 3 4" xfId="2582"/>
    <cellStyle name="20% - Accent1 4 9 3 4 2" xfId="2583"/>
    <cellStyle name="20% - Accent1 4 9 4" xfId="2584"/>
    <cellStyle name="20% - Accent1 4 9 4 2" xfId="2585"/>
    <cellStyle name="20% - Accent1 4 9 4 2 2" xfId="2586"/>
    <cellStyle name="20% - Accent1 4 9 4 2 2 2" xfId="2587"/>
    <cellStyle name="20% - Accent1 4 9 4 3" xfId="2588"/>
    <cellStyle name="20% - Accent1 4 9 4 3 2" xfId="2589"/>
    <cellStyle name="20% - Accent1 4 9 5" xfId="2590"/>
    <cellStyle name="20% - Accent1 4 9 5 2" xfId="2591"/>
    <cellStyle name="20% - Accent1 4 9 5 2 2" xfId="2592"/>
    <cellStyle name="20% - Accent1 4 9 6" xfId="2593"/>
    <cellStyle name="20% - Accent1 4 9 6 2" xfId="2594"/>
    <cellStyle name="20% - Accent1 4 9 7" xfId="2595"/>
    <cellStyle name="20% - Accent1 4 9 8" xfId="2596"/>
    <cellStyle name="20% - Accent1 4 9 9" xfId="2597"/>
    <cellStyle name="20% - Accent1 40" xfId="2598"/>
    <cellStyle name="20% - Accent1 40 2" xfId="2599"/>
    <cellStyle name="20% - Accent1 40 2 2" xfId="2600"/>
    <cellStyle name="20% - Accent1 40 2 3" xfId="2601"/>
    <cellStyle name="20% - Accent1 40 2 4" xfId="2602"/>
    <cellStyle name="20% - Accent1 40 3" xfId="2603"/>
    <cellStyle name="20% - Accent1 40 3 2" xfId="2604"/>
    <cellStyle name="20% - Accent1 40 3 3" xfId="2605"/>
    <cellStyle name="20% - Accent1 40 4" xfId="2606"/>
    <cellStyle name="20% - Accent1 40 4 2" xfId="2607"/>
    <cellStyle name="20% - Accent1 40 5" xfId="2608"/>
    <cellStyle name="20% - Accent1 40 6" xfId="2609"/>
    <cellStyle name="20% - Accent1 40 7" xfId="2610"/>
    <cellStyle name="20% - Accent1 41" xfId="2611"/>
    <cellStyle name="20% - Accent1 41 2" xfId="2612"/>
    <cellStyle name="20% - Accent1 41 2 2" xfId="2613"/>
    <cellStyle name="20% - Accent1 41 2 3" xfId="2614"/>
    <cellStyle name="20% - Accent1 41 2 4" xfId="2615"/>
    <cellStyle name="20% - Accent1 41 3" xfId="2616"/>
    <cellStyle name="20% - Accent1 41 3 2" xfId="2617"/>
    <cellStyle name="20% - Accent1 41 3 3" xfId="2618"/>
    <cellStyle name="20% - Accent1 41 4" xfId="2619"/>
    <cellStyle name="20% - Accent1 41 4 2" xfId="2620"/>
    <cellStyle name="20% - Accent1 41 5" xfId="2621"/>
    <cellStyle name="20% - Accent1 41 6" xfId="2622"/>
    <cellStyle name="20% - Accent1 41 7" xfId="2623"/>
    <cellStyle name="20% - Accent1 42" xfId="2624"/>
    <cellStyle name="20% - Accent1 42 2" xfId="2625"/>
    <cellStyle name="20% - Accent1 42 2 2" xfId="2626"/>
    <cellStyle name="20% - Accent1 42 2 3" xfId="2627"/>
    <cellStyle name="20% - Accent1 42 2 4" xfId="2628"/>
    <cellStyle name="20% - Accent1 42 3" xfId="2629"/>
    <cellStyle name="20% - Accent1 42 3 2" xfId="2630"/>
    <cellStyle name="20% - Accent1 42 3 3" xfId="2631"/>
    <cellStyle name="20% - Accent1 42 4" xfId="2632"/>
    <cellStyle name="20% - Accent1 42 4 2" xfId="2633"/>
    <cellStyle name="20% - Accent1 42 5" xfId="2634"/>
    <cellStyle name="20% - Accent1 42 6" xfId="2635"/>
    <cellStyle name="20% - Accent1 42 7" xfId="2636"/>
    <cellStyle name="20% - Accent1 43" xfId="2637"/>
    <cellStyle name="20% - Accent1 43 2" xfId="2638"/>
    <cellStyle name="20% - Accent1 43 2 2" xfId="2639"/>
    <cellStyle name="20% - Accent1 43 2 3" xfId="2640"/>
    <cellStyle name="20% - Accent1 43 2 4" xfId="2641"/>
    <cellStyle name="20% - Accent1 43 3" xfId="2642"/>
    <cellStyle name="20% - Accent1 43 3 2" xfId="2643"/>
    <cellStyle name="20% - Accent1 43 3 3" xfId="2644"/>
    <cellStyle name="20% - Accent1 43 4" xfId="2645"/>
    <cellStyle name="20% - Accent1 43 4 2" xfId="2646"/>
    <cellStyle name="20% - Accent1 43 5" xfId="2647"/>
    <cellStyle name="20% - Accent1 43 6" xfId="2648"/>
    <cellStyle name="20% - Accent1 43 7" xfId="2649"/>
    <cellStyle name="20% - Accent1 44" xfId="2650"/>
    <cellStyle name="20% - Accent1 44 2" xfId="2651"/>
    <cellStyle name="20% - Accent1 44 2 2" xfId="2652"/>
    <cellStyle name="20% - Accent1 44 2 3" xfId="2653"/>
    <cellStyle name="20% - Accent1 44 2 4" xfId="2654"/>
    <cellStyle name="20% - Accent1 44 3" xfId="2655"/>
    <cellStyle name="20% - Accent1 44 3 2" xfId="2656"/>
    <cellStyle name="20% - Accent1 44 3 3" xfId="2657"/>
    <cellStyle name="20% - Accent1 44 4" xfId="2658"/>
    <cellStyle name="20% - Accent1 44 4 2" xfId="2659"/>
    <cellStyle name="20% - Accent1 44 5" xfId="2660"/>
    <cellStyle name="20% - Accent1 44 6" xfId="2661"/>
    <cellStyle name="20% - Accent1 44 7" xfId="2662"/>
    <cellStyle name="20% - Accent1 45" xfId="2663"/>
    <cellStyle name="20% - Accent1 45 2" xfId="2664"/>
    <cellStyle name="20% - Accent1 45 2 2" xfId="2665"/>
    <cellStyle name="20% - Accent1 45 2 3" xfId="2666"/>
    <cellStyle name="20% - Accent1 45 2 4" xfId="2667"/>
    <cellStyle name="20% - Accent1 45 3" xfId="2668"/>
    <cellStyle name="20% - Accent1 45 3 2" xfId="2669"/>
    <cellStyle name="20% - Accent1 45 3 3" xfId="2670"/>
    <cellStyle name="20% - Accent1 45 4" xfId="2671"/>
    <cellStyle name="20% - Accent1 45 4 2" xfId="2672"/>
    <cellStyle name="20% - Accent1 45 5" xfId="2673"/>
    <cellStyle name="20% - Accent1 45 6" xfId="2674"/>
    <cellStyle name="20% - Accent1 45 7" xfId="2675"/>
    <cellStyle name="20% - Accent1 46" xfId="2676"/>
    <cellStyle name="20% - Accent1 46 2" xfId="2677"/>
    <cellStyle name="20% - Accent1 46 2 2" xfId="2678"/>
    <cellStyle name="20% - Accent1 46 2 3" xfId="2679"/>
    <cellStyle name="20% - Accent1 46 2 4" xfId="2680"/>
    <cellStyle name="20% - Accent1 46 3" xfId="2681"/>
    <cellStyle name="20% - Accent1 46 3 2" xfId="2682"/>
    <cellStyle name="20% - Accent1 46 3 3" xfId="2683"/>
    <cellStyle name="20% - Accent1 46 4" xfId="2684"/>
    <cellStyle name="20% - Accent1 46 4 2" xfId="2685"/>
    <cellStyle name="20% - Accent1 46 5" xfId="2686"/>
    <cellStyle name="20% - Accent1 46 6" xfId="2687"/>
    <cellStyle name="20% - Accent1 46 7" xfId="2688"/>
    <cellStyle name="20% - Accent1 47" xfId="2689"/>
    <cellStyle name="20% - Accent1 47 2" xfId="2690"/>
    <cellStyle name="20% - Accent1 47 2 2" xfId="2691"/>
    <cellStyle name="20% - Accent1 47 2 3" xfId="2692"/>
    <cellStyle name="20% - Accent1 47 2 4" xfId="2693"/>
    <cellStyle name="20% - Accent1 47 3" xfId="2694"/>
    <cellStyle name="20% - Accent1 47 3 2" xfId="2695"/>
    <cellStyle name="20% - Accent1 47 3 3" xfId="2696"/>
    <cellStyle name="20% - Accent1 47 4" xfId="2697"/>
    <cellStyle name="20% - Accent1 47 4 2" xfId="2698"/>
    <cellStyle name="20% - Accent1 47 5" xfId="2699"/>
    <cellStyle name="20% - Accent1 47 6" xfId="2700"/>
    <cellStyle name="20% - Accent1 47 7" xfId="2701"/>
    <cellStyle name="20% - Accent1 48" xfId="2702"/>
    <cellStyle name="20% - Accent1 48 2" xfId="2703"/>
    <cellStyle name="20% - Accent1 48 2 2" xfId="2704"/>
    <cellStyle name="20% - Accent1 48 2 3" xfId="2705"/>
    <cellStyle name="20% - Accent1 48 2 4" xfId="2706"/>
    <cellStyle name="20% - Accent1 48 3" xfId="2707"/>
    <cellStyle name="20% - Accent1 48 3 2" xfId="2708"/>
    <cellStyle name="20% - Accent1 48 3 3" xfId="2709"/>
    <cellStyle name="20% - Accent1 48 4" xfId="2710"/>
    <cellStyle name="20% - Accent1 48 4 2" xfId="2711"/>
    <cellStyle name="20% - Accent1 48 5" xfId="2712"/>
    <cellStyle name="20% - Accent1 48 6" xfId="2713"/>
    <cellStyle name="20% - Accent1 48 7" xfId="2714"/>
    <cellStyle name="20% - Accent1 49" xfId="2715"/>
    <cellStyle name="20% - Accent1 49 2" xfId="2716"/>
    <cellStyle name="20% - Accent1 49 2 2" xfId="2717"/>
    <cellStyle name="20% - Accent1 49 2 3" xfId="2718"/>
    <cellStyle name="20% - Accent1 49 2 4" xfId="2719"/>
    <cellStyle name="20% - Accent1 49 3" xfId="2720"/>
    <cellStyle name="20% - Accent1 49 3 2" xfId="2721"/>
    <cellStyle name="20% - Accent1 49 3 3" xfId="2722"/>
    <cellStyle name="20% - Accent1 49 4" xfId="2723"/>
    <cellStyle name="20% - Accent1 49 4 2" xfId="2724"/>
    <cellStyle name="20% - Accent1 49 5" xfId="2725"/>
    <cellStyle name="20% - Accent1 49 6" xfId="2726"/>
    <cellStyle name="20% - Accent1 49 7" xfId="2727"/>
    <cellStyle name="20% - Accent1 5" xfId="2728"/>
    <cellStyle name="20% - Accent1 5 2" xfId="2729"/>
    <cellStyle name="20% - Accent1 5 3" xfId="2730"/>
    <cellStyle name="20% - Accent1 5 4" xfId="2731"/>
    <cellStyle name="20% - Accent1 5 5" xfId="2732"/>
    <cellStyle name="20% - Accent1 5 6" xfId="2733"/>
    <cellStyle name="20% - Accent1 5 7" xfId="2734"/>
    <cellStyle name="20% - Accent1 5 8" xfId="2735"/>
    <cellStyle name="20% - Accent1 50" xfId="2736"/>
    <cellStyle name="20% - Accent1 50 2" xfId="2737"/>
    <cellStyle name="20% - Accent1 50 2 2" xfId="2738"/>
    <cellStyle name="20% - Accent1 50 2 3" xfId="2739"/>
    <cellStyle name="20% - Accent1 50 2 4" xfId="2740"/>
    <cellStyle name="20% - Accent1 50 3" xfId="2741"/>
    <cellStyle name="20% - Accent1 50 3 2" xfId="2742"/>
    <cellStyle name="20% - Accent1 50 3 3" xfId="2743"/>
    <cellStyle name="20% - Accent1 50 4" xfId="2744"/>
    <cellStyle name="20% - Accent1 50 4 2" xfId="2745"/>
    <cellStyle name="20% - Accent1 50 5" xfId="2746"/>
    <cellStyle name="20% - Accent1 50 6" xfId="2747"/>
    <cellStyle name="20% - Accent1 50 7" xfId="2748"/>
    <cellStyle name="20% - Accent1 51" xfId="2749"/>
    <cellStyle name="20% - Accent1 51 2" xfId="2750"/>
    <cellStyle name="20% - Accent1 51 2 2" xfId="2751"/>
    <cellStyle name="20% - Accent1 51 2 3" xfId="2752"/>
    <cellStyle name="20% - Accent1 51 2 4" xfId="2753"/>
    <cellStyle name="20% - Accent1 51 3" xfId="2754"/>
    <cellStyle name="20% - Accent1 51 3 2" xfId="2755"/>
    <cellStyle name="20% - Accent1 51 3 3" xfId="2756"/>
    <cellStyle name="20% - Accent1 51 4" xfId="2757"/>
    <cellStyle name="20% - Accent1 51 4 2" xfId="2758"/>
    <cellStyle name="20% - Accent1 51 5" xfId="2759"/>
    <cellStyle name="20% - Accent1 51 6" xfId="2760"/>
    <cellStyle name="20% - Accent1 51 7" xfId="2761"/>
    <cellStyle name="20% - Accent1 52" xfId="2762"/>
    <cellStyle name="20% - Accent1 52 2" xfId="2763"/>
    <cellStyle name="20% - Accent1 52 2 2" xfId="2764"/>
    <cellStyle name="20% - Accent1 52 2 3" xfId="2765"/>
    <cellStyle name="20% - Accent1 52 2 4" xfId="2766"/>
    <cellStyle name="20% - Accent1 52 3" xfId="2767"/>
    <cellStyle name="20% - Accent1 52 3 2" xfId="2768"/>
    <cellStyle name="20% - Accent1 52 3 3" xfId="2769"/>
    <cellStyle name="20% - Accent1 52 4" xfId="2770"/>
    <cellStyle name="20% - Accent1 52 4 2" xfId="2771"/>
    <cellStyle name="20% - Accent1 52 5" xfId="2772"/>
    <cellStyle name="20% - Accent1 52 6" xfId="2773"/>
    <cellStyle name="20% - Accent1 52 7" xfId="2774"/>
    <cellStyle name="20% - Accent1 53" xfId="2775"/>
    <cellStyle name="20% - Accent1 53 2" xfId="2776"/>
    <cellStyle name="20% - Accent1 53 2 2" xfId="2777"/>
    <cellStyle name="20% - Accent1 53 2 3" xfId="2778"/>
    <cellStyle name="20% - Accent1 53 2 4" xfId="2779"/>
    <cellStyle name="20% - Accent1 53 3" xfId="2780"/>
    <cellStyle name="20% - Accent1 53 3 2" xfId="2781"/>
    <cellStyle name="20% - Accent1 53 3 3" xfId="2782"/>
    <cellStyle name="20% - Accent1 53 4" xfId="2783"/>
    <cellStyle name="20% - Accent1 53 4 2" xfId="2784"/>
    <cellStyle name="20% - Accent1 53 5" xfId="2785"/>
    <cellStyle name="20% - Accent1 53 6" xfId="2786"/>
    <cellStyle name="20% - Accent1 53 7" xfId="2787"/>
    <cellStyle name="20% - Accent1 54" xfId="2788"/>
    <cellStyle name="20% - Accent1 54 2" xfId="2789"/>
    <cellStyle name="20% - Accent1 54 2 2" xfId="2790"/>
    <cellStyle name="20% - Accent1 54 2 3" xfId="2791"/>
    <cellStyle name="20% - Accent1 54 2 4" xfId="2792"/>
    <cellStyle name="20% - Accent1 54 3" xfId="2793"/>
    <cellStyle name="20% - Accent1 54 3 2" xfId="2794"/>
    <cellStyle name="20% - Accent1 54 3 3" xfId="2795"/>
    <cellStyle name="20% - Accent1 54 4" xfId="2796"/>
    <cellStyle name="20% - Accent1 54 4 2" xfId="2797"/>
    <cellStyle name="20% - Accent1 54 5" xfId="2798"/>
    <cellStyle name="20% - Accent1 54 6" xfId="2799"/>
    <cellStyle name="20% - Accent1 54 7" xfId="2800"/>
    <cellStyle name="20% - Accent1 55" xfId="2801"/>
    <cellStyle name="20% - Accent1 55 2" xfId="2802"/>
    <cellStyle name="20% - Accent1 55 2 2" xfId="2803"/>
    <cellStyle name="20% - Accent1 55 2 3" xfId="2804"/>
    <cellStyle name="20% - Accent1 55 2 4" xfId="2805"/>
    <cellStyle name="20% - Accent1 55 3" xfId="2806"/>
    <cellStyle name="20% - Accent1 55 3 2" xfId="2807"/>
    <cellStyle name="20% - Accent1 55 3 3" xfId="2808"/>
    <cellStyle name="20% - Accent1 55 4" xfId="2809"/>
    <cellStyle name="20% - Accent1 55 4 2" xfId="2810"/>
    <cellStyle name="20% - Accent1 55 5" xfId="2811"/>
    <cellStyle name="20% - Accent1 55 6" xfId="2812"/>
    <cellStyle name="20% - Accent1 55 7" xfId="2813"/>
    <cellStyle name="20% - Accent1 56" xfId="2814"/>
    <cellStyle name="20% - Accent1 56 2" xfId="2815"/>
    <cellStyle name="20% - Accent1 56 2 2" xfId="2816"/>
    <cellStyle name="20% - Accent1 56 2 3" xfId="2817"/>
    <cellStyle name="20% - Accent1 56 2 4" xfId="2818"/>
    <cellStyle name="20% - Accent1 56 3" xfId="2819"/>
    <cellStyle name="20% - Accent1 56 3 2" xfId="2820"/>
    <cellStyle name="20% - Accent1 56 3 3" xfId="2821"/>
    <cellStyle name="20% - Accent1 56 4" xfId="2822"/>
    <cellStyle name="20% - Accent1 56 4 2" xfId="2823"/>
    <cellStyle name="20% - Accent1 56 5" xfId="2824"/>
    <cellStyle name="20% - Accent1 56 6" xfId="2825"/>
    <cellStyle name="20% - Accent1 56 7" xfId="2826"/>
    <cellStyle name="20% - Accent1 57" xfId="2827"/>
    <cellStyle name="20% - Accent1 57 2" xfId="2828"/>
    <cellStyle name="20% - Accent1 57 2 2" xfId="2829"/>
    <cellStyle name="20% - Accent1 57 2 3" xfId="2830"/>
    <cellStyle name="20% - Accent1 57 2 4" xfId="2831"/>
    <cellStyle name="20% - Accent1 57 3" xfId="2832"/>
    <cellStyle name="20% - Accent1 57 3 2" xfId="2833"/>
    <cellStyle name="20% - Accent1 57 3 3" xfId="2834"/>
    <cellStyle name="20% - Accent1 57 4" xfId="2835"/>
    <cellStyle name="20% - Accent1 57 4 2" xfId="2836"/>
    <cellStyle name="20% - Accent1 57 5" xfId="2837"/>
    <cellStyle name="20% - Accent1 57 6" xfId="2838"/>
    <cellStyle name="20% - Accent1 57 7" xfId="2839"/>
    <cellStyle name="20% - Accent1 58" xfId="2840"/>
    <cellStyle name="20% - Accent1 59" xfId="2841"/>
    <cellStyle name="20% - Accent1 6" xfId="2842"/>
    <cellStyle name="20% - Accent1 6 10" xfId="2843"/>
    <cellStyle name="20% - Accent1 6 10 2" xfId="2844"/>
    <cellStyle name="20% - Accent1 6 10 3" xfId="2845"/>
    <cellStyle name="20% - Accent1 6 11" xfId="2846"/>
    <cellStyle name="20% - Accent1 6 11 2" xfId="2847"/>
    <cellStyle name="20% - Accent1 6 12" xfId="2848"/>
    <cellStyle name="20% - Accent1 6 13" xfId="2849"/>
    <cellStyle name="20% - Accent1 6 14" xfId="2850"/>
    <cellStyle name="20% - Accent1 6 2" xfId="2851"/>
    <cellStyle name="20% - Accent1 6 3" xfId="2852"/>
    <cellStyle name="20% - Accent1 6 4" xfId="2853"/>
    <cellStyle name="20% - Accent1 6 5" xfId="2854"/>
    <cellStyle name="20% - Accent1 6 6" xfId="2855"/>
    <cellStyle name="20% - Accent1 6 7" xfId="2856"/>
    <cellStyle name="20% - Accent1 6 8" xfId="2857"/>
    <cellStyle name="20% - Accent1 6 9" xfId="2858"/>
    <cellStyle name="20% - Accent1 6 9 2" xfId="2859"/>
    <cellStyle name="20% - Accent1 6 9 3" xfId="2860"/>
    <cellStyle name="20% - Accent1 6 9 4" xfId="2861"/>
    <cellStyle name="20% - Accent1 60" xfId="2862"/>
    <cellStyle name="20% - Accent1 61" xfId="2863"/>
    <cellStyle name="20% - Accent1 62" xfId="2864"/>
    <cellStyle name="20% - Accent1 63" xfId="2865"/>
    <cellStyle name="20% - Accent1 64" xfId="2866"/>
    <cellStyle name="20% - Accent1 65" xfId="2867"/>
    <cellStyle name="20% - Accent1 65 2" xfId="2868"/>
    <cellStyle name="20% - Accent1 65 2 2" xfId="2869"/>
    <cellStyle name="20% - Accent1 65 2 3" xfId="2870"/>
    <cellStyle name="20% - Accent1 65 2 4" xfId="2871"/>
    <cellStyle name="20% - Accent1 65 3" xfId="2872"/>
    <cellStyle name="20% - Accent1 65 3 2" xfId="2873"/>
    <cellStyle name="20% - Accent1 65 3 3" xfId="2874"/>
    <cellStyle name="20% - Accent1 65 4" xfId="2875"/>
    <cellStyle name="20% - Accent1 65 4 2" xfId="2876"/>
    <cellStyle name="20% - Accent1 65 5" xfId="2877"/>
    <cellStyle name="20% - Accent1 65 6" xfId="2878"/>
    <cellStyle name="20% - Accent1 65 7" xfId="2879"/>
    <cellStyle name="20% - Accent1 66" xfId="2880"/>
    <cellStyle name="20% - Accent1 66 2" xfId="2881"/>
    <cellStyle name="20% - Accent1 66 2 2" xfId="2882"/>
    <cellStyle name="20% - Accent1 66 2 3" xfId="2883"/>
    <cellStyle name="20% - Accent1 66 2 4" xfId="2884"/>
    <cellStyle name="20% - Accent1 66 3" xfId="2885"/>
    <cellStyle name="20% - Accent1 66 3 2" xfId="2886"/>
    <cellStyle name="20% - Accent1 66 3 3" xfId="2887"/>
    <cellStyle name="20% - Accent1 66 4" xfId="2888"/>
    <cellStyle name="20% - Accent1 66 4 2" xfId="2889"/>
    <cellStyle name="20% - Accent1 66 5" xfId="2890"/>
    <cellStyle name="20% - Accent1 66 6" xfId="2891"/>
    <cellStyle name="20% - Accent1 66 7" xfId="2892"/>
    <cellStyle name="20% - Accent1 67" xfId="2893"/>
    <cellStyle name="20% - Accent1 67 2" xfId="2894"/>
    <cellStyle name="20% - Accent1 67 2 2" xfId="2895"/>
    <cellStyle name="20% - Accent1 67 2 3" xfId="2896"/>
    <cellStyle name="20% - Accent1 67 2 4" xfId="2897"/>
    <cellStyle name="20% - Accent1 67 3" xfId="2898"/>
    <cellStyle name="20% - Accent1 67 3 2" xfId="2899"/>
    <cellStyle name="20% - Accent1 67 3 3" xfId="2900"/>
    <cellStyle name="20% - Accent1 67 4" xfId="2901"/>
    <cellStyle name="20% - Accent1 67 4 2" xfId="2902"/>
    <cellStyle name="20% - Accent1 67 5" xfId="2903"/>
    <cellStyle name="20% - Accent1 67 6" xfId="2904"/>
    <cellStyle name="20% - Accent1 67 7" xfId="2905"/>
    <cellStyle name="20% - Accent1 68" xfId="2906"/>
    <cellStyle name="20% - Accent1 68 2" xfId="2907"/>
    <cellStyle name="20% - Accent1 68 2 2" xfId="2908"/>
    <cellStyle name="20% - Accent1 68 2 3" xfId="2909"/>
    <cellStyle name="20% - Accent1 68 2 4" xfId="2910"/>
    <cellStyle name="20% - Accent1 68 3" xfId="2911"/>
    <cellStyle name="20% - Accent1 68 3 2" xfId="2912"/>
    <cellStyle name="20% - Accent1 68 3 3" xfId="2913"/>
    <cellStyle name="20% - Accent1 68 4" xfId="2914"/>
    <cellStyle name="20% - Accent1 68 4 2" xfId="2915"/>
    <cellStyle name="20% - Accent1 68 5" xfId="2916"/>
    <cellStyle name="20% - Accent1 68 6" xfId="2917"/>
    <cellStyle name="20% - Accent1 68 7" xfId="2918"/>
    <cellStyle name="20% - Accent1 69" xfId="2919"/>
    <cellStyle name="20% - Accent1 69 2" xfId="2920"/>
    <cellStyle name="20% - Accent1 69 2 2" xfId="2921"/>
    <cellStyle name="20% - Accent1 69 2 3" xfId="2922"/>
    <cellStyle name="20% - Accent1 69 2 4" xfId="2923"/>
    <cellStyle name="20% - Accent1 69 3" xfId="2924"/>
    <cellStyle name="20% - Accent1 69 3 2" xfId="2925"/>
    <cellStyle name="20% - Accent1 69 3 3" xfId="2926"/>
    <cellStyle name="20% - Accent1 69 4" xfId="2927"/>
    <cellStyle name="20% - Accent1 69 4 2" xfId="2928"/>
    <cellStyle name="20% - Accent1 69 5" xfId="2929"/>
    <cellStyle name="20% - Accent1 69 6" xfId="2930"/>
    <cellStyle name="20% - Accent1 69 7" xfId="2931"/>
    <cellStyle name="20% - Accent1 7" xfId="2932"/>
    <cellStyle name="20% - Accent1 7 2" xfId="2933"/>
    <cellStyle name="20% - Accent1 7 3" xfId="2934"/>
    <cellStyle name="20% - Accent1 7 3 2" xfId="2935"/>
    <cellStyle name="20% - Accent1 7 3 3" xfId="2936"/>
    <cellStyle name="20% - Accent1 7 3 4" xfId="2937"/>
    <cellStyle name="20% - Accent1 7 4" xfId="2938"/>
    <cellStyle name="20% - Accent1 7 4 2" xfId="2939"/>
    <cellStyle name="20% - Accent1 7 4 3" xfId="2940"/>
    <cellStyle name="20% - Accent1 7 5" xfId="2941"/>
    <cellStyle name="20% - Accent1 7 5 2" xfId="2942"/>
    <cellStyle name="20% - Accent1 7 6" xfId="2943"/>
    <cellStyle name="20% - Accent1 7 7" xfId="2944"/>
    <cellStyle name="20% - Accent1 7 8" xfId="2945"/>
    <cellStyle name="20% - Accent1 70" xfId="2946"/>
    <cellStyle name="20% - Accent1 70 2" xfId="2947"/>
    <cellStyle name="20% - Accent1 70 2 2" xfId="2948"/>
    <cellStyle name="20% - Accent1 70 2 3" xfId="2949"/>
    <cellStyle name="20% - Accent1 70 2 4" xfId="2950"/>
    <cellStyle name="20% - Accent1 70 3" xfId="2951"/>
    <cellStyle name="20% - Accent1 70 3 2" xfId="2952"/>
    <cellStyle name="20% - Accent1 70 3 3" xfId="2953"/>
    <cellStyle name="20% - Accent1 70 4" xfId="2954"/>
    <cellStyle name="20% - Accent1 70 4 2" xfId="2955"/>
    <cellStyle name="20% - Accent1 70 5" xfId="2956"/>
    <cellStyle name="20% - Accent1 70 6" xfId="2957"/>
    <cellStyle name="20% - Accent1 70 7" xfId="2958"/>
    <cellStyle name="20% - Accent1 71" xfId="2959"/>
    <cellStyle name="20% - Accent1 71 2" xfId="2960"/>
    <cellStyle name="20% - Accent1 71 2 2" xfId="2961"/>
    <cellStyle name="20% - Accent1 71 2 3" xfId="2962"/>
    <cellStyle name="20% - Accent1 71 2 4" xfId="2963"/>
    <cellStyle name="20% - Accent1 71 3" xfId="2964"/>
    <cellStyle name="20% - Accent1 71 3 2" xfId="2965"/>
    <cellStyle name="20% - Accent1 71 3 3" xfId="2966"/>
    <cellStyle name="20% - Accent1 71 4" xfId="2967"/>
    <cellStyle name="20% - Accent1 71 4 2" xfId="2968"/>
    <cellStyle name="20% - Accent1 71 5" xfId="2969"/>
    <cellStyle name="20% - Accent1 71 6" xfId="2970"/>
    <cellStyle name="20% - Accent1 71 7" xfId="2971"/>
    <cellStyle name="20% - Accent1 72" xfId="2972"/>
    <cellStyle name="20% - Accent1 72 2" xfId="2973"/>
    <cellStyle name="20% - Accent1 72 2 2" xfId="2974"/>
    <cellStyle name="20% - Accent1 72 2 3" xfId="2975"/>
    <cellStyle name="20% - Accent1 72 2 4" xfId="2976"/>
    <cellStyle name="20% - Accent1 72 3" xfId="2977"/>
    <cellStyle name="20% - Accent1 72 3 2" xfId="2978"/>
    <cellStyle name="20% - Accent1 72 3 3" xfId="2979"/>
    <cellStyle name="20% - Accent1 72 4" xfId="2980"/>
    <cellStyle name="20% - Accent1 72 4 2" xfId="2981"/>
    <cellStyle name="20% - Accent1 72 5" xfId="2982"/>
    <cellStyle name="20% - Accent1 72 6" xfId="2983"/>
    <cellStyle name="20% - Accent1 72 7" xfId="2984"/>
    <cellStyle name="20% - Accent1 73" xfId="2985"/>
    <cellStyle name="20% - Accent1 73 2" xfId="2986"/>
    <cellStyle name="20% - Accent1 73 2 2" xfId="2987"/>
    <cellStyle name="20% - Accent1 73 2 3" xfId="2988"/>
    <cellStyle name="20% - Accent1 73 2 4" xfId="2989"/>
    <cellStyle name="20% - Accent1 73 3" xfId="2990"/>
    <cellStyle name="20% - Accent1 73 3 2" xfId="2991"/>
    <cellStyle name="20% - Accent1 73 3 3" xfId="2992"/>
    <cellStyle name="20% - Accent1 73 4" xfId="2993"/>
    <cellStyle name="20% - Accent1 73 4 2" xfId="2994"/>
    <cellStyle name="20% - Accent1 73 5" xfId="2995"/>
    <cellStyle name="20% - Accent1 73 6" xfId="2996"/>
    <cellStyle name="20% - Accent1 73 7" xfId="2997"/>
    <cellStyle name="20% - Accent1 74" xfId="2998"/>
    <cellStyle name="20% - Accent1 74 2" xfId="2999"/>
    <cellStyle name="20% - Accent1 74 2 2" xfId="3000"/>
    <cellStyle name="20% - Accent1 74 2 3" xfId="3001"/>
    <cellStyle name="20% - Accent1 74 2 4" xfId="3002"/>
    <cellStyle name="20% - Accent1 74 3" xfId="3003"/>
    <cellStyle name="20% - Accent1 74 3 2" xfId="3004"/>
    <cellStyle name="20% - Accent1 74 3 3" xfId="3005"/>
    <cellStyle name="20% - Accent1 74 4" xfId="3006"/>
    <cellStyle name="20% - Accent1 74 4 2" xfId="3007"/>
    <cellStyle name="20% - Accent1 74 5" xfId="3008"/>
    <cellStyle name="20% - Accent1 74 6" xfId="3009"/>
    <cellStyle name="20% - Accent1 74 7" xfId="3010"/>
    <cellStyle name="20% - Accent1 75" xfId="3011"/>
    <cellStyle name="20% - Accent1 75 2" xfId="3012"/>
    <cellStyle name="20% - Accent1 75 2 2" xfId="3013"/>
    <cellStyle name="20% - Accent1 75 2 3" xfId="3014"/>
    <cellStyle name="20% - Accent1 75 2 4" xfId="3015"/>
    <cellStyle name="20% - Accent1 75 3" xfId="3016"/>
    <cellStyle name="20% - Accent1 75 3 2" xfId="3017"/>
    <cellStyle name="20% - Accent1 75 3 3" xfId="3018"/>
    <cellStyle name="20% - Accent1 75 4" xfId="3019"/>
    <cellStyle name="20% - Accent1 75 4 2" xfId="3020"/>
    <cellStyle name="20% - Accent1 75 5" xfId="3021"/>
    <cellStyle name="20% - Accent1 75 6" xfId="3022"/>
    <cellStyle name="20% - Accent1 75 7" xfId="3023"/>
    <cellStyle name="20% - Accent1 76" xfId="3024"/>
    <cellStyle name="20% - Accent1 76 2" xfId="3025"/>
    <cellStyle name="20% - Accent1 76 2 2" xfId="3026"/>
    <cellStyle name="20% - Accent1 76 2 3" xfId="3027"/>
    <cellStyle name="20% - Accent1 76 2 4" xfId="3028"/>
    <cellStyle name="20% - Accent1 76 3" xfId="3029"/>
    <cellStyle name="20% - Accent1 76 3 2" xfId="3030"/>
    <cellStyle name="20% - Accent1 76 3 3" xfId="3031"/>
    <cellStyle name="20% - Accent1 76 4" xfId="3032"/>
    <cellStyle name="20% - Accent1 76 4 2" xfId="3033"/>
    <cellStyle name="20% - Accent1 76 5" xfId="3034"/>
    <cellStyle name="20% - Accent1 76 6" xfId="3035"/>
    <cellStyle name="20% - Accent1 76 7" xfId="3036"/>
    <cellStyle name="20% - Accent1 77" xfId="3037"/>
    <cellStyle name="20% - Accent1 77 2" xfId="3038"/>
    <cellStyle name="20% - Accent1 77 2 2" xfId="3039"/>
    <cellStyle name="20% - Accent1 77 2 3" xfId="3040"/>
    <cellStyle name="20% - Accent1 77 2 4" xfId="3041"/>
    <cellStyle name="20% - Accent1 77 3" xfId="3042"/>
    <cellStyle name="20% - Accent1 77 3 2" xfId="3043"/>
    <cellStyle name="20% - Accent1 77 3 3" xfId="3044"/>
    <cellStyle name="20% - Accent1 77 4" xfId="3045"/>
    <cellStyle name="20% - Accent1 77 4 2" xfId="3046"/>
    <cellStyle name="20% - Accent1 77 5" xfId="3047"/>
    <cellStyle name="20% - Accent1 77 6" xfId="3048"/>
    <cellStyle name="20% - Accent1 77 7" xfId="3049"/>
    <cellStyle name="20% - Accent1 78" xfId="3050"/>
    <cellStyle name="20% - Accent1 79" xfId="3051"/>
    <cellStyle name="20% - Accent1 79 2" xfId="3052"/>
    <cellStyle name="20% - Accent1 79 3" xfId="3053"/>
    <cellStyle name="20% - Accent1 8" xfId="3054"/>
    <cellStyle name="20% - Accent1 8 10" xfId="3055"/>
    <cellStyle name="20% - Accent1 8 11" xfId="3056"/>
    <cellStyle name="20% - Accent1 8 2" xfId="3057"/>
    <cellStyle name="20% - Accent1 8 2 10" xfId="3058"/>
    <cellStyle name="20% - Accent1 8 2 2" xfId="3059"/>
    <cellStyle name="20% - Accent1 8 2 2 2" xfId="3060"/>
    <cellStyle name="20% - Accent1 8 2 2 2 2" xfId="3061"/>
    <cellStyle name="20% - Accent1 8 2 2 2 3" xfId="3062"/>
    <cellStyle name="20% - Accent1 8 2 2 2 4" xfId="3063"/>
    <cellStyle name="20% - Accent1 8 2 2 3" xfId="3064"/>
    <cellStyle name="20% - Accent1 8 2 2 3 2" xfId="3065"/>
    <cellStyle name="20% - Accent1 8 2 2 3 3" xfId="3066"/>
    <cellStyle name="20% - Accent1 8 2 2 4" xfId="3067"/>
    <cellStyle name="20% - Accent1 8 2 2 4 2" xfId="3068"/>
    <cellStyle name="20% - Accent1 8 2 2 5" xfId="3069"/>
    <cellStyle name="20% - Accent1 8 2 2 6" xfId="3070"/>
    <cellStyle name="20% - Accent1 8 2 2 7" xfId="3071"/>
    <cellStyle name="20% - Accent1 8 2 3" xfId="3072"/>
    <cellStyle name="20% - Accent1 8 2 3 2" xfId="3073"/>
    <cellStyle name="20% - Accent1 8 2 3 2 2" xfId="3074"/>
    <cellStyle name="20% - Accent1 8 2 3 2 3" xfId="3075"/>
    <cellStyle name="20% - Accent1 8 2 3 2 4" xfId="3076"/>
    <cellStyle name="20% - Accent1 8 2 3 3" xfId="3077"/>
    <cellStyle name="20% - Accent1 8 2 3 3 2" xfId="3078"/>
    <cellStyle name="20% - Accent1 8 2 3 3 3" xfId="3079"/>
    <cellStyle name="20% - Accent1 8 2 3 4" xfId="3080"/>
    <cellStyle name="20% - Accent1 8 2 3 4 2" xfId="3081"/>
    <cellStyle name="20% - Accent1 8 2 3 5" xfId="3082"/>
    <cellStyle name="20% - Accent1 8 2 3 6" xfId="3083"/>
    <cellStyle name="20% - Accent1 8 2 3 7" xfId="3084"/>
    <cellStyle name="20% - Accent1 8 2 4" xfId="3085"/>
    <cellStyle name="20% - Accent1 8 2 4 2" xfId="3086"/>
    <cellStyle name="20% - Accent1 8 2 4 2 2" xfId="3087"/>
    <cellStyle name="20% - Accent1 8 2 4 2 3" xfId="3088"/>
    <cellStyle name="20% - Accent1 8 2 4 2 4" xfId="3089"/>
    <cellStyle name="20% - Accent1 8 2 4 3" xfId="3090"/>
    <cellStyle name="20% - Accent1 8 2 4 3 2" xfId="3091"/>
    <cellStyle name="20% - Accent1 8 2 4 3 3" xfId="3092"/>
    <cellStyle name="20% - Accent1 8 2 4 4" xfId="3093"/>
    <cellStyle name="20% - Accent1 8 2 4 4 2" xfId="3094"/>
    <cellStyle name="20% - Accent1 8 2 4 5" xfId="3095"/>
    <cellStyle name="20% - Accent1 8 2 4 6" xfId="3096"/>
    <cellStyle name="20% - Accent1 8 2 4 7" xfId="3097"/>
    <cellStyle name="20% - Accent1 8 2 5" xfId="3098"/>
    <cellStyle name="20% - Accent1 8 2 5 2" xfId="3099"/>
    <cellStyle name="20% - Accent1 8 2 5 3" xfId="3100"/>
    <cellStyle name="20% - Accent1 8 2 5 4" xfId="3101"/>
    <cellStyle name="20% - Accent1 8 2 6" xfId="3102"/>
    <cellStyle name="20% - Accent1 8 2 6 2" xfId="3103"/>
    <cellStyle name="20% - Accent1 8 2 6 3" xfId="3104"/>
    <cellStyle name="20% - Accent1 8 2 7" xfId="3105"/>
    <cellStyle name="20% - Accent1 8 2 7 2" xfId="3106"/>
    <cellStyle name="20% - Accent1 8 2 8" xfId="3107"/>
    <cellStyle name="20% - Accent1 8 2 9" xfId="3108"/>
    <cellStyle name="20% - Accent1 8 3" xfId="3109"/>
    <cellStyle name="20% - Accent1 8 3 2" xfId="3110"/>
    <cellStyle name="20% - Accent1 8 3 2 2" xfId="3111"/>
    <cellStyle name="20% - Accent1 8 3 2 3" xfId="3112"/>
    <cellStyle name="20% - Accent1 8 3 2 4" xfId="3113"/>
    <cellStyle name="20% - Accent1 8 3 3" xfId="3114"/>
    <cellStyle name="20% - Accent1 8 3 3 2" xfId="3115"/>
    <cellStyle name="20% - Accent1 8 3 3 3" xfId="3116"/>
    <cellStyle name="20% - Accent1 8 3 4" xfId="3117"/>
    <cellStyle name="20% - Accent1 8 3 4 2" xfId="3118"/>
    <cellStyle name="20% - Accent1 8 3 5" xfId="3119"/>
    <cellStyle name="20% - Accent1 8 3 6" xfId="3120"/>
    <cellStyle name="20% - Accent1 8 3 7" xfId="3121"/>
    <cellStyle name="20% - Accent1 8 4" xfId="3122"/>
    <cellStyle name="20% - Accent1 8 4 2" xfId="3123"/>
    <cellStyle name="20% - Accent1 8 4 2 2" xfId="3124"/>
    <cellStyle name="20% - Accent1 8 4 2 3" xfId="3125"/>
    <cellStyle name="20% - Accent1 8 4 2 4" xfId="3126"/>
    <cellStyle name="20% - Accent1 8 4 3" xfId="3127"/>
    <cellStyle name="20% - Accent1 8 4 3 2" xfId="3128"/>
    <cellStyle name="20% - Accent1 8 4 3 3" xfId="3129"/>
    <cellStyle name="20% - Accent1 8 4 4" xfId="3130"/>
    <cellStyle name="20% - Accent1 8 4 4 2" xfId="3131"/>
    <cellStyle name="20% - Accent1 8 4 5" xfId="3132"/>
    <cellStyle name="20% - Accent1 8 4 6" xfId="3133"/>
    <cellStyle name="20% - Accent1 8 4 7" xfId="3134"/>
    <cellStyle name="20% - Accent1 8 5" xfId="3135"/>
    <cellStyle name="20% - Accent1 8 5 2" xfId="3136"/>
    <cellStyle name="20% - Accent1 8 5 2 2" xfId="3137"/>
    <cellStyle name="20% - Accent1 8 5 2 3" xfId="3138"/>
    <cellStyle name="20% - Accent1 8 5 2 4" xfId="3139"/>
    <cellStyle name="20% - Accent1 8 5 3" xfId="3140"/>
    <cellStyle name="20% - Accent1 8 5 3 2" xfId="3141"/>
    <cellStyle name="20% - Accent1 8 5 3 3" xfId="3142"/>
    <cellStyle name="20% - Accent1 8 5 4" xfId="3143"/>
    <cellStyle name="20% - Accent1 8 5 4 2" xfId="3144"/>
    <cellStyle name="20% - Accent1 8 5 5" xfId="3145"/>
    <cellStyle name="20% - Accent1 8 5 6" xfId="3146"/>
    <cellStyle name="20% - Accent1 8 5 7" xfId="3147"/>
    <cellStyle name="20% - Accent1 8 6" xfId="3148"/>
    <cellStyle name="20% - Accent1 8 6 2" xfId="3149"/>
    <cellStyle name="20% - Accent1 8 6 3" xfId="3150"/>
    <cellStyle name="20% - Accent1 8 6 4" xfId="3151"/>
    <cellStyle name="20% - Accent1 8 7" xfId="3152"/>
    <cellStyle name="20% - Accent1 8 7 2" xfId="3153"/>
    <cellStyle name="20% - Accent1 8 7 3" xfId="3154"/>
    <cellStyle name="20% - Accent1 8 8" xfId="3155"/>
    <cellStyle name="20% - Accent1 8 8 2" xfId="3156"/>
    <cellStyle name="20% - Accent1 8 9" xfId="3157"/>
    <cellStyle name="20% - Accent1 80" xfId="3158"/>
    <cellStyle name="20% - Accent1 80 2" xfId="3159"/>
    <cellStyle name="20% - Accent1 80 3" xfId="3160"/>
    <cellStyle name="20% - Accent1 81" xfId="3161"/>
    <cellStyle name="20% - Accent1 81 2" xfId="3162"/>
    <cellStyle name="20% - Accent1 82" xfId="3163"/>
    <cellStyle name="20% - Accent1 83" xfId="3164"/>
    <cellStyle name="20% - Accent1 9" xfId="3165"/>
    <cellStyle name="20% - Accent1 9 10" xfId="3166"/>
    <cellStyle name="20% - Accent1 9 2" xfId="3167"/>
    <cellStyle name="20% - Accent1 9 2 2" xfId="3168"/>
    <cellStyle name="20% - Accent1 9 2 2 2" xfId="3169"/>
    <cellStyle name="20% - Accent1 9 2 2 3" xfId="3170"/>
    <cellStyle name="20% - Accent1 9 2 2 4" xfId="3171"/>
    <cellStyle name="20% - Accent1 9 2 3" xfId="3172"/>
    <cellStyle name="20% - Accent1 9 2 3 2" xfId="3173"/>
    <cellStyle name="20% - Accent1 9 2 3 3" xfId="3174"/>
    <cellStyle name="20% - Accent1 9 2 4" xfId="3175"/>
    <cellStyle name="20% - Accent1 9 2 4 2" xfId="3176"/>
    <cellStyle name="20% - Accent1 9 2 5" xfId="3177"/>
    <cellStyle name="20% - Accent1 9 2 6" xfId="3178"/>
    <cellStyle name="20% - Accent1 9 2 7" xfId="3179"/>
    <cellStyle name="20% - Accent1 9 3" xfId="3180"/>
    <cellStyle name="20% - Accent1 9 3 2" xfId="3181"/>
    <cellStyle name="20% - Accent1 9 3 2 2" xfId="3182"/>
    <cellStyle name="20% - Accent1 9 3 2 3" xfId="3183"/>
    <cellStyle name="20% - Accent1 9 3 2 4" xfId="3184"/>
    <cellStyle name="20% - Accent1 9 3 3" xfId="3185"/>
    <cellStyle name="20% - Accent1 9 3 3 2" xfId="3186"/>
    <cellStyle name="20% - Accent1 9 3 3 3" xfId="3187"/>
    <cellStyle name="20% - Accent1 9 3 4" xfId="3188"/>
    <cellStyle name="20% - Accent1 9 3 4 2" xfId="3189"/>
    <cellStyle name="20% - Accent1 9 3 5" xfId="3190"/>
    <cellStyle name="20% - Accent1 9 3 6" xfId="3191"/>
    <cellStyle name="20% - Accent1 9 3 7" xfId="3192"/>
    <cellStyle name="20% - Accent1 9 4" xfId="3193"/>
    <cellStyle name="20% - Accent1 9 4 2" xfId="3194"/>
    <cellStyle name="20% - Accent1 9 4 2 2" xfId="3195"/>
    <cellStyle name="20% - Accent1 9 4 2 3" xfId="3196"/>
    <cellStyle name="20% - Accent1 9 4 2 4" xfId="3197"/>
    <cellStyle name="20% - Accent1 9 4 3" xfId="3198"/>
    <cellStyle name="20% - Accent1 9 4 3 2" xfId="3199"/>
    <cellStyle name="20% - Accent1 9 4 3 3" xfId="3200"/>
    <cellStyle name="20% - Accent1 9 4 4" xfId="3201"/>
    <cellStyle name="20% - Accent1 9 4 4 2" xfId="3202"/>
    <cellStyle name="20% - Accent1 9 4 5" xfId="3203"/>
    <cellStyle name="20% - Accent1 9 4 6" xfId="3204"/>
    <cellStyle name="20% - Accent1 9 4 7" xfId="3205"/>
    <cellStyle name="20% - Accent1 9 5" xfId="3206"/>
    <cellStyle name="20% - Accent1 9 5 2" xfId="3207"/>
    <cellStyle name="20% - Accent1 9 5 3" xfId="3208"/>
    <cellStyle name="20% - Accent1 9 6" xfId="3209"/>
    <cellStyle name="20% - Accent1 9 6 2" xfId="3210"/>
    <cellStyle name="20% - Accent1 9 6 3" xfId="3211"/>
    <cellStyle name="20% - Accent1 9 7" xfId="3212"/>
    <cellStyle name="20% - Accent1 9 7 2" xfId="3213"/>
    <cellStyle name="20% - Accent1 9 8" xfId="3214"/>
    <cellStyle name="20% - Accent1 9 9" xfId="3215"/>
    <cellStyle name="20% - Accent2 10" xfId="3216"/>
    <cellStyle name="20% - Accent2 10 2" xfId="3217"/>
    <cellStyle name="20% - Accent2 10 2 2" xfId="3218"/>
    <cellStyle name="20% - Accent2 10 2 3" xfId="3219"/>
    <cellStyle name="20% - Accent2 10 2 4" xfId="3220"/>
    <cellStyle name="20% - Accent2 10 3" xfId="3221"/>
    <cellStyle name="20% - Accent2 10 3 2" xfId="3222"/>
    <cellStyle name="20% - Accent2 10 3 3" xfId="3223"/>
    <cellStyle name="20% - Accent2 10 4" xfId="3224"/>
    <cellStyle name="20% - Accent2 10 4 2" xfId="3225"/>
    <cellStyle name="20% - Accent2 10 5" xfId="3226"/>
    <cellStyle name="20% - Accent2 10 6" xfId="3227"/>
    <cellStyle name="20% - Accent2 10 7" xfId="3228"/>
    <cellStyle name="20% - Accent2 11" xfId="3229"/>
    <cellStyle name="20% - Accent2 11 2" xfId="3230"/>
    <cellStyle name="20% - Accent2 11 2 2" xfId="3231"/>
    <cellStyle name="20% - Accent2 11 2 3" xfId="3232"/>
    <cellStyle name="20% - Accent2 11 2 4" xfId="3233"/>
    <cellStyle name="20% - Accent2 11 3" xfId="3234"/>
    <cellStyle name="20% - Accent2 11 3 2" xfId="3235"/>
    <cellStyle name="20% - Accent2 11 3 3" xfId="3236"/>
    <cellStyle name="20% - Accent2 11 4" xfId="3237"/>
    <cellStyle name="20% - Accent2 11 4 2" xfId="3238"/>
    <cellStyle name="20% - Accent2 11 5" xfId="3239"/>
    <cellStyle name="20% - Accent2 11 6" xfId="3240"/>
    <cellStyle name="20% - Accent2 11 7" xfId="3241"/>
    <cellStyle name="20% - Accent2 12" xfId="3242"/>
    <cellStyle name="20% - Accent2 12 2" xfId="3243"/>
    <cellStyle name="20% - Accent2 12 2 2" xfId="3244"/>
    <cellStyle name="20% - Accent2 12 2 3" xfId="3245"/>
    <cellStyle name="20% - Accent2 12 2 4" xfId="3246"/>
    <cellStyle name="20% - Accent2 12 3" xfId="3247"/>
    <cellStyle name="20% - Accent2 12 3 2" xfId="3248"/>
    <cellStyle name="20% - Accent2 12 3 3" xfId="3249"/>
    <cellStyle name="20% - Accent2 12 4" xfId="3250"/>
    <cellStyle name="20% - Accent2 12 4 2" xfId="3251"/>
    <cellStyle name="20% - Accent2 12 5" xfId="3252"/>
    <cellStyle name="20% - Accent2 12 6" xfId="3253"/>
    <cellStyle name="20% - Accent2 12 7" xfId="3254"/>
    <cellStyle name="20% - Accent2 13" xfId="3255"/>
    <cellStyle name="20% - Accent2 13 2" xfId="3256"/>
    <cellStyle name="20% - Accent2 13 3" xfId="3257"/>
    <cellStyle name="20% - Accent2 13 4" xfId="3258"/>
    <cellStyle name="20% - Accent2 14" xfId="3259"/>
    <cellStyle name="20% - Accent2 14 10" xfId="3260"/>
    <cellStyle name="20% - Accent2 14 2" xfId="3261"/>
    <cellStyle name="20% - Accent2 14 2 2" xfId="3262"/>
    <cellStyle name="20% - Accent2 14 2 2 2" xfId="3263"/>
    <cellStyle name="20% - Accent2 14 2 2 2 2" xfId="3264"/>
    <cellStyle name="20% - Accent2 14 2 2 2 2 2" xfId="3265"/>
    <cellStyle name="20% - Accent2 14 2 2 2 2 2 2" xfId="3266"/>
    <cellStyle name="20% - Accent2 14 2 2 2 3" xfId="3267"/>
    <cellStyle name="20% - Accent2 14 2 2 2 3 2" xfId="3268"/>
    <cellStyle name="20% - Accent2 14 2 2 3" xfId="3269"/>
    <cellStyle name="20% - Accent2 14 2 2 3 2" xfId="3270"/>
    <cellStyle name="20% - Accent2 14 2 2 3 2 2" xfId="3271"/>
    <cellStyle name="20% - Accent2 14 2 2 4" xfId="3272"/>
    <cellStyle name="20% - Accent2 14 2 2 4 2" xfId="3273"/>
    <cellStyle name="20% - Accent2 14 2 2 5" xfId="3274"/>
    <cellStyle name="20% - Accent2 14 2 2 6" xfId="3275"/>
    <cellStyle name="20% - Accent2 14 2 2 7" xfId="3276"/>
    <cellStyle name="20% - Accent2 14 2 3" xfId="3277"/>
    <cellStyle name="20% - Accent2 14 2 3 2" xfId="3278"/>
    <cellStyle name="20% - Accent2 14 2 3 2 2" xfId="3279"/>
    <cellStyle name="20% - Accent2 14 2 3 2 2 2" xfId="3280"/>
    <cellStyle name="20% - Accent2 14 2 3 3" xfId="3281"/>
    <cellStyle name="20% - Accent2 14 2 3 3 2" xfId="3282"/>
    <cellStyle name="20% - Accent2 14 2 3 4" xfId="3283"/>
    <cellStyle name="20% - Accent2 14 2 3 5" xfId="3284"/>
    <cellStyle name="20% - Accent2 14 2 3 6" xfId="3285"/>
    <cellStyle name="20% - Accent2 14 2 4" xfId="3286"/>
    <cellStyle name="20% - Accent2 14 2 4 2" xfId="3287"/>
    <cellStyle name="20% - Accent2 14 2 4 2 2" xfId="3288"/>
    <cellStyle name="20% - Accent2 14 2 4 3" xfId="3289"/>
    <cellStyle name="20% - Accent2 14 2 5" xfId="3290"/>
    <cellStyle name="20% - Accent2 14 2 5 2" xfId="3291"/>
    <cellStyle name="20% - Accent2 14 2 6" xfId="3292"/>
    <cellStyle name="20% - Accent2 14 2 7" xfId="3293"/>
    <cellStyle name="20% - Accent2 14 2 8" xfId="3294"/>
    <cellStyle name="20% - Accent2 14 2 9" xfId="3295"/>
    <cellStyle name="20% - Accent2 14 3" xfId="3296"/>
    <cellStyle name="20% - Accent2 14 3 2" xfId="3297"/>
    <cellStyle name="20% - Accent2 14 3 2 2" xfId="3298"/>
    <cellStyle name="20% - Accent2 14 3 2 2 2" xfId="3299"/>
    <cellStyle name="20% - Accent2 14 3 2 2 2 2" xfId="3300"/>
    <cellStyle name="20% - Accent2 14 3 2 3" xfId="3301"/>
    <cellStyle name="20% - Accent2 14 3 2 3 2" xfId="3302"/>
    <cellStyle name="20% - Accent2 14 3 2 4" xfId="3303"/>
    <cellStyle name="20% - Accent2 14 3 2 5" xfId="3304"/>
    <cellStyle name="20% - Accent2 14 3 2 6" xfId="3305"/>
    <cellStyle name="20% - Accent2 14 3 3" xfId="3306"/>
    <cellStyle name="20% - Accent2 14 3 3 2" xfId="3307"/>
    <cellStyle name="20% - Accent2 14 3 3 2 2" xfId="3308"/>
    <cellStyle name="20% - Accent2 14 3 3 3" xfId="3309"/>
    <cellStyle name="20% - Accent2 14 3 3 4" xfId="3310"/>
    <cellStyle name="20% - Accent2 14 3 3 5" xfId="3311"/>
    <cellStyle name="20% - Accent2 14 3 4" xfId="3312"/>
    <cellStyle name="20% - Accent2 14 3 4 2" xfId="3313"/>
    <cellStyle name="20% - Accent2 14 3 4 3" xfId="3314"/>
    <cellStyle name="20% - Accent2 14 3 5" xfId="3315"/>
    <cellStyle name="20% - Accent2 14 3 6" xfId="3316"/>
    <cellStyle name="20% - Accent2 14 3 7" xfId="3317"/>
    <cellStyle name="20% - Accent2 14 3 8" xfId="3318"/>
    <cellStyle name="20% - Accent2 14 4" xfId="3319"/>
    <cellStyle name="20% - Accent2 14 4 2" xfId="3320"/>
    <cellStyle name="20% - Accent2 14 4 2 2" xfId="3321"/>
    <cellStyle name="20% - Accent2 14 4 2 2 2" xfId="3322"/>
    <cellStyle name="20% - Accent2 14 4 3" xfId="3323"/>
    <cellStyle name="20% - Accent2 14 4 3 2" xfId="3324"/>
    <cellStyle name="20% - Accent2 14 4 4" xfId="3325"/>
    <cellStyle name="20% - Accent2 14 4 5" xfId="3326"/>
    <cellStyle name="20% - Accent2 14 4 6" xfId="3327"/>
    <cellStyle name="20% - Accent2 14 5" xfId="3328"/>
    <cellStyle name="20% - Accent2 14 5 2" xfId="3329"/>
    <cellStyle name="20% - Accent2 14 5 2 2" xfId="3330"/>
    <cellStyle name="20% - Accent2 14 5 3" xfId="3331"/>
    <cellStyle name="20% - Accent2 14 5 4" xfId="3332"/>
    <cellStyle name="20% - Accent2 14 5 5" xfId="3333"/>
    <cellStyle name="20% - Accent2 14 6" xfId="3334"/>
    <cellStyle name="20% - Accent2 14 6 2" xfId="3335"/>
    <cellStyle name="20% - Accent2 14 6 3" xfId="3336"/>
    <cellStyle name="20% - Accent2 14 7" xfId="3337"/>
    <cellStyle name="20% - Accent2 14 8" xfId="3338"/>
    <cellStyle name="20% - Accent2 14 9" xfId="3339"/>
    <cellStyle name="20% - Accent2 15" xfId="3340"/>
    <cellStyle name="20% - Accent2 15 2" xfId="3341"/>
    <cellStyle name="20% - Accent2 15 2 2" xfId="3342"/>
    <cellStyle name="20% - Accent2 15 2 3" xfId="3343"/>
    <cellStyle name="20% - Accent2 15 2 4" xfId="3344"/>
    <cellStyle name="20% - Accent2 15 3" xfId="3345"/>
    <cellStyle name="20% - Accent2 15 3 2" xfId="3346"/>
    <cellStyle name="20% - Accent2 15 3 3" xfId="3347"/>
    <cellStyle name="20% - Accent2 15 4" xfId="3348"/>
    <cellStyle name="20% - Accent2 15 4 2" xfId="3349"/>
    <cellStyle name="20% - Accent2 15 5" xfId="3350"/>
    <cellStyle name="20% - Accent2 15 6" xfId="3351"/>
    <cellStyle name="20% - Accent2 15 7" xfId="3352"/>
    <cellStyle name="20% - Accent2 16" xfId="3353"/>
    <cellStyle name="20% - Accent2 16 2" xfId="3354"/>
    <cellStyle name="20% - Accent2 16 2 2" xfId="3355"/>
    <cellStyle name="20% - Accent2 16 2 3" xfId="3356"/>
    <cellStyle name="20% - Accent2 16 2 4" xfId="3357"/>
    <cellStyle name="20% - Accent2 16 3" xfId="3358"/>
    <cellStyle name="20% - Accent2 16 3 2" xfId="3359"/>
    <cellStyle name="20% - Accent2 16 3 3" xfId="3360"/>
    <cellStyle name="20% - Accent2 16 4" xfId="3361"/>
    <cellStyle name="20% - Accent2 16 4 2" xfId="3362"/>
    <cellStyle name="20% - Accent2 16 5" xfId="3363"/>
    <cellStyle name="20% - Accent2 16 6" xfId="3364"/>
    <cellStyle name="20% - Accent2 16 7" xfId="3365"/>
    <cellStyle name="20% - Accent2 17" xfId="3366"/>
    <cellStyle name="20% - Accent2 17 2" xfId="3367"/>
    <cellStyle name="20% - Accent2 17 2 2" xfId="3368"/>
    <cellStyle name="20% - Accent2 17 2 3" xfId="3369"/>
    <cellStyle name="20% - Accent2 17 2 4" xfId="3370"/>
    <cellStyle name="20% - Accent2 17 3" xfId="3371"/>
    <cellStyle name="20% - Accent2 17 3 2" xfId="3372"/>
    <cellStyle name="20% - Accent2 17 3 3" xfId="3373"/>
    <cellStyle name="20% - Accent2 17 4" xfId="3374"/>
    <cellStyle name="20% - Accent2 17 4 2" xfId="3375"/>
    <cellStyle name="20% - Accent2 17 5" xfId="3376"/>
    <cellStyle name="20% - Accent2 17 6" xfId="3377"/>
    <cellStyle name="20% - Accent2 17 7" xfId="3378"/>
    <cellStyle name="20% - Accent2 18" xfId="3379"/>
    <cellStyle name="20% - Accent2 18 2" xfId="3380"/>
    <cellStyle name="20% - Accent2 18 2 2" xfId="3381"/>
    <cellStyle name="20% - Accent2 18 2 3" xfId="3382"/>
    <cellStyle name="20% - Accent2 18 2 4" xfId="3383"/>
    <cellStyle name="20% - Accent2 18 3" xfId="3384"/>
    <cellStyle name="20% - Accent2 18 3 2" xfId="3385"/>
    <cellStyle name="20% - Accent2 18 3 3" xfId="3386"/>
    <cellStyle name="20% - Accent2 18 4" xfId="3387"/>
    <cellStyle name="20% - Accent2 18 4 2" xfId="3388"/>
    <cellStyle name="20% - Accent2 18 5" xfId="3389"/>
    <cellStyle name="20% - Accent2 18 6" xfId="3390"/>
    <cellStyle name="20% - Accent2 18 7" xfId="3391"/>
    <cellStyle name="20% - Accent2 19" xfId="3392"/>
    <cellStyle name="20% - Accent2 19 2" xfId="3393"/>
    <cellStyle name="20% - Accent2 19 2 2" xfId="3394"/>
    <cellStyle name="20% - Accent2 19 2 3" xfId="3395"/>
    <cellStyle name="20% - Accent2 19 2 4" xfId="3396"/>
    <cellStyle name="20% - Accent2 19 3" xfId="3397"/>
    <cellStyle name="20% - Accent2 19 3 2" xfId="3398"/>
    <cellStyle name="20% - Accent2 19 3 3" xfId="3399"/>
    <cellStyle name="20% - Accent2 19 4" xfId="3400"/>
    <cellStyle name="20% - Accent2 19 4 2" xfId="3401"/>
    <cellStyle name="20% - Accent2 19 5" xfId="3402"/>
    <cellStyle name="20% - Accent2 19 6" xfId="3403"/>
    <cellStyle name="20% - Accent2 19 7" xfId="3404"/>
    <cellStyle name="20% - Accent2 2" xfId="3405"/>
    <cellStyle name="20% - Accent2 2 10" xfId="3406"/>
    <cellStyle name="20% - Accent2 2 10 2" xfId="3407"/>
    <cellStyle name="20% - Accent2 2 10 2 2" xfId="3408"/>
    <cellStyle name="20% - Accent2 2 10 2 2 2" xfId="3409"/>
    <cellStyle name="20% - Accent2 2 10 2 2 2 2" xfId="3410"/>
    <cellStyle name="20% - Accent2 2 10 2 2 2 2 2" xfId="3411"/>
    <cellStyle name="20% - Accent2 2 10 2 2 2 2 2 2" xfId="3412"/>
    <cellStyle name="20% - Accent2 2 10 2 2 2 3" xfId="3413"/>
    <cellStyle name="20% - Accent2 2 10 2 2 2 3 2" xfId="3414"/>
    <cellStyle name="20% - Accent2 2 10 2 2 3" xfId="3415"/>
    <cellStyle name="20% - Accent2 2 10 2 2 3 2" xfId="3416"/>
    <cellStyle name="20% - Accent2 2 10 2 2 3 2 2" xfId="3417"/>
    <cellStyle name="20% - Accent2 2 10 2 2 4" xfId="3418"/>
    <cellStyle name="20% - Accent2 2 10 2 2 4 2" xfId="3419"/>
    <cellStyle name="20% - Accent2 2 10 2 3" xfId="3420"/>
    <cellStyle name="20% - Accent2 2 10 2 3 2" xfId="3421"/>
    <cellStyle name="20% - Accent2 2 10 2 3 2 2" xfId="3422"/>
    <cellStyle name="20% - Accent2 2 10 2 3 2 2 2" xfId="3423"/>
    <cellStyle name="20% - Accent2 2 10 2 3 3" xfId="3424"/>
    <cellStyle name="20% - Accent2 2 10 2 3 3 2" xfId="3425"/>
    <cellStyle name="20% - Accent2 2 10 2 4" xfId="3426"/>
    <cellStyle name="20% - Accent2 2 10 2 4 2" xfId="3427"/>
    <cellStyle name="20% - Accent2 2 10 2 4 2 2" xfId="3428"/>
    <cellStyle name="20% - Accent2 2 10 2 5" xfId="3429"/>
    <cellStyle name="20% - Accent2 2 10 2 5 2" xfId="3430"/>
    <cellStyle name="20% - Accent2 2 10 3" xfId="3431"/>
    <cellStyle name="20% - Accent2 2 10 3 2" xfId="3432"/>
    <cellStyle name="20% - Accent2 2 10 3 2 2" xfId="3433"/>
    <cellStyle name="20% - Accent2 2 10 3 2 2 2" xfId="3434"/>
    <cellStyle name="20% - Accent2 2 10 3 2 2 2 2" xfId="3435"/>
    <cellStyle name="20% - Accent2 2 10 3 2 3" xfId="3436"/>
    <cellStyle name="20% - Accent2 2 10 3 2 3 2" xfId="3437"/>
    <cellStyle name="20% - Accent2 2 10 3 3" xfId="3438"/>
    <cellStyle name="20% - Accent2 2 10 3 3 2" xfId="3439"/>
    <cellStyle name="20% - Accent2 2 10 3 3 2 2" xfId="3440"/>
    <cellStyle name="20% - Accent2 2 10 3 4" xfId="3441"/>
    <cellStyle name="20% - Accent2 2 10 3 4 2" xfId="3442"/>
    <cellStyle name="20% - Accent2 2 10 4" xfId="3443"/>
    <cellStyle name="20% - Accent2 2 10 4 2" xfId="3444"/>
    <cellStyle name="20% - Accent2 2 10 4 2 2" xfId="3445"/>
    <cellStyle name="20% - Accent2 2 10 4 2 2 2" xfId="3446"/>
    <cellStyle name="20% - Accent2 2 10 4 3" xfId="3447"/>
    <cellStyle name="20% - Accent2 2 10 4 3 2" xfId="3448"/>
    <cellStyle name="20% - Accent2 2 10 5" xfId="3449"/>
    <cellStyle name="20% - Accent2 2 10 5 2" xfId="3450"/>
    <cellStyle name="20% - Accent2 2 10 5 2 2" xfId="3451"/>
    <cellStyle name="20% - Accent2 2 10 6" xfId="3452"/>
    <cellStyle name="20% - Accent2 2 10 6 2" xfId="3453"/>
    <cellStyle name="20% - Accent2 2 11" xfId="3454"/>
    <cellStyle name="20% - Accent2 2 11 2" xfId="3455"/>
    <cellStyle name="20% - Accent2 2 11 2 2" xfId="3456"/>
    <cellStyle name="20% - Accent2 2 11 2 2 2" xfId="3457"/>
    <cellStyle name="20% - Accent2 2 11 2 2 2 2" xfId="3458"/>
    <cellStyle name="20% - Accent2 2 11 2 2 2 2 2" xfId="3459"/>
    <cellStyle name="20% - Accent2 2 11 2 2 2 2 2 2" xfId="3460"/>
    <cellStyle name="20% - Accent2 2 11 2 2 2 3" xfId="3461"/>
    <cellStyle name="20% - Accent2 2 11 2 2 2 3 2" xfId="3462"/>
    <cellStyle name="20% - Accent2 2 11 2 2 3" xfId="3463"/>
    <cellStyle name="20% - Accent2 2 11 2 2 3 2" xfId="3464"/>
    <cellStyle name="20% - Accent2 2 11 2 2 3 2 2" xfId="3465"/>
    <cellStyle name="20% - Accent2 2 11 2 2 4" xfId="3466"/>
    <cellStyle name="20% - Accent2 2 11 2 2 4 2" xfId="3467"/>
    <cellStyle name="20% - Accent2 2 11 2 3" xfId="3468"/>
    <cellStyle name="20% - Accent2 2 11 2 3 2" xfId="3469"/>
    <cellStyle name="20% - Accent2 2 11 2 3 2 2" xfId="3470"/>
    <cellStyle name="20% - Accent2 2 11 2 3 2 2 2" xfId="3471"/>
    <cellStyle name="20% - Accent2 2 11 2 3 3" xfId="3472"/>
    <cellStyle name="20% - Accent2 2 11 2 3 3 2" xfId="3473"/>
    <cellStyle name="20% - Accent2 2 11 2 4" xfId="3474"/>
    <cellStyle name="20% - Accent2 2 11 2 4 2" xfId="3475"/>
    <cellStyle name="20% - Accent2 2 11 2 4 2 2" xfId="3476"/>
    <cellStyle name="20% - Accent2 2 11 2 5" xfId="3477"/>
    <cellStyle name="20% - Accent2 2 11 2 5 2" xfId="3478"/>
    <cellStyle name="20% - Accent2 2 11 3" xfId="3479"/>
    <cellStyle name="20% - Accent2 2 11 3 2" xfId="3480"/>
    <cellStyle name="20% - Accent2 2 11 3 2 2" xfId="3481"/>
    <cellStyle name="20% - Accent2 2 11 3 2 2 2" xfId="3482"/>
    <cellStyle name="20% - Accent2 2 11 3 2 2 2 2" xfId="3483"/>
    <cellStyle name="20% - Accent2 2 11 3 2 3" xfId="3484"/>
    <cellStyle name="20% - Accent2 2 11 3 2 3 2" xfId="3485"/>
    <cellStyle name="20% - Accent2 2 11 3 3" xfId="3486"/>
    <cellStyle name="20% - Accent2 2 11 3 3 2" xfId="3487"/>
    <cellStyle name="20% - Accent2 2 11 3 3 2 2" xfId="3488"/>
    <cellStyle name="20% - Accent2 2 11 3 4" xfId="3489"/>
    <cellStyle name="20% - Accent2 2 11 3 4 2" xfId="3490"/>
    <cellStyle name="20% - Accent2 2 11 4" xfId="3491"/>
    <cellStyle name="20% - Accent2 2 11 4 2" xfId="3492"/>
    <cellStyle name="20% - Accent2 2 11 4 2 2" xfId="3493"/>
    <cellStyle name="20% - Accent2 2 11 4 2 2 2" xfId="3494"/>
    <cellStyle name="20% - Accent2 2 11 4 3" xfId="3495"/>
    <cellStyle name="20% - Accent2 2 11 4 3 2" xfId="3496"/>
    <cellStyle name="20% - Accent2 2 11 5" xfId="3497"/>
    <cellStyle name="20% - Accent2 2 11 5 2" xfId="3498"/>
    <cellStyle name="20% - Accent2 2 11 5 2 2" xfId="3499"/>
    <cellStyle name="20% - Accent2 2 11 6" xfId="3500"/>
    <cellStyle name="20% - Accent2 2 11 6 2" xfId="3501"/>
    <cellStyle name="20% - Accent2 2 12" xfId="3502"/>
    <cellStyle name="20% - Accent2 2 12 2" xfId="3503"/>
    <cellStyle name="20% - Accent2 2 12 2 2" xfId="3504"/>
    <cellStyle name="20% - Accent2 2 12 2 2 2" xfId="3505"/>
    <cellStyle name="20% - Accent2 2 12 2 2 2 2" xfId="3506"/>
    <cellStyle name="20% - Accent2 2 12 2 2 2 2 2" xfId="3507"/>
    <cellStyle name="20% - Accent2 2 12 2 2 2 2 2 2" xfId="3508"/>
    <cellStyle name="20% - Accent2 2 12 2 2 2 3" xfId="3509"/>
    <cellStyle name="20% - Accent2 2 12 2 2 2 3 2" xfId="3510"/>
    <cellStyle name="20% - Accent2 2 12 2 2 3" xfId="3511"/>
    <cellStyle name="20% - Accent2 2 12 2 2 3 2" xfId="3512"/>
    <cellStyle name="20% - Accent2 2 12 2 2 3 2 2" xfId="3513"/>
    <cellStyle name="20% - Accent2 2 12 2 2 4" xfId="3514"/>
    <cellStyle name="20% - Accent2 2 12 2 2 4 2" xfId="3515"/>
    <cellStyle name="20% - Accent2 2 12 2 3" xfId="3516"/>
    <cellStyle name="20% - Accent2 2 12 2 3 2" xfId="3517"/>
    <cellStyle name="20% - Accent2 2 12 2 3 2 2" xfId="3518"/>
    <cellStyle name="20% - Accent2 2 12 2 3 2 2 2" xfId="3519"/>
    <cellStyle name="20% - Accent2 2 12 2 3 3" xfId="3520"/>
    <cellStyle name="20% - Accent2 2 12 2 3 3 2" xfId="3521"/>
    <cellStyle name="20% - Accent2 2 12 2 4" xfId="3522"/>
    <cellStyle name="20% - Accent2 2 12 2 4 2" xfId="3523"/>
    <cellStyle name="20% - Accent2 2 12 2 4 2 2" xfId="3524"/>
    <cellStyle name="20% - Accent2 2 12 2 5" xfId="3525"/>
    <cellStyle name="20% - Accent2 2 12 2 5 2" xfId="3526"/>
    <cellStyle name="20% - Accent2 2 12 3" xfId="3527"/>
    <cellStyle name="20% - Accent2 2 12 3 2" xfId="3528"/>
    <cellStyle name="20% - Accent2 2 12 3 2 2" xfId="3529"/>
    <cellStyle name="20% - Accent2 2 12 3 2 2 2" xfId="3530"/>
    <cellStyle name="20% - Accent2 2 12 3 2 2 2 2" xfId="3531"/>
    <cellStyle name="20% - Accent2 2 12 3 2 3" xfId="3532"/>
    <cellStyle name="20% - Accent2 2 12 3 2 3 2" xfId="3533"/>
    <cellStyle name="20% - Accent2 2 12 3 3" xfId="3534"/>
    <cellStyle name="20% - Accent2 2 12 3 3 2" xfId="3535"/>
    <cellStyle name="20% - Accent2 2 12 3 3 2 2" xfId="3536"/>
    <cellStyle name="20% - Accent2 2 12 3 4" xfId="3537"/>
    <cellStyle name="20% - Accent2 2 12 3 4 2" xfId="3538"/>
    <cellStyle name="20% - Accent2 2 12 4" xfId="3539"/>
    <cellStyle name="20% - Accent2 2 12 4 2" xfId="3540"/>
    <cellStyle name="20% - Accent2 2 12 4 2 2" xfId="3541"/>
    <cellStyle name="20% - Accent2 2 12 4 2 2 2" xfId="3542"/>
    <cellStyle name="20% - Accent2 2 12 4 3" xfId="3543"/>
    <cellStyle name="20% - Accent2 2 12 4 3 2" xfId="3544"/>
    <cellStyle name="20% - Accent2 2 12 5" xfId="3545"/>
    <cellStyle name="20% - Accent2 2 12 5 2" xfId="3546"/>
    <cellStyle name="20% - Accent2 2 12 5 2 2" xfId="3547"/>
    <cellStyle name="20% - Accent2 2 12 6" xfId="3548"/>
    <cellStyle name="20% - Accent2 2 12 6 2" xfId="3549"/>
    <cellStyle name="20% - Accent2 2 13" xfId="3550"/>
    <cellStyle name="20% - Accent2 2 13 2" xfId="3551"/>
    <cellStyle name="20% - Accent2 2 13 2 2" xfId="3552"/>
    <cellStyle name="20% - Accent2 2 13 2 2 2" xfId="3553"/>
    <cellStyle name="20% - Accent2 2 13 2 2 2 2" xfId="3554"/>
    <cellStyle name="20% - Accent2 2 13 2 2 2 2 2" xfId="3555"/>
    <cellStyle name="20% - Accent2 2 13 2 2 2 2 2 2" xfId="3556"/>
    <cellStyle name="20% - Accent2 2 13 2 2 2 3" xfId="3557"/>
    <cellStyle name="20% - Accent2 2 13 2 2 2 3 2" xfId="3558"/>
    <cellStyle name="20% - Accent2 2 13 2 2 3" xfId="3559"/>
    <cellStyle name="20% - Accent2 2 13 2 2 3 2" xfId="3560"/>
    <cellStyle name="20% - Accent2 2 13 2 2 3 2 2" xfId="3561"/>
    <cellStyle name="20% - Accent2 2 13 2 2 4" xfId="3562"/>
    <cellStyle name="20% - Accent2 2 13 2 2 4 2" xfId="3563"/>
    <cellStyle name="20% - Accent2 2 13 2 3" xfId="3564"/>
    <cellStyle name="20% - Accent2 2 13 2 3 2" xfId="3565"/>
    <cellStyle name="20% - Accent2 2 13 2 3 2 2" xfId="3566"/>
    <cellStyle name="20% - Accent2 2 13 2 3 2 2 2" xfId="3567"/>
    <cellStyle name="20% - Accent2 2 13 2 3 3" xfId="3568"/>
    <cellStyle name="20% - Accent2 2 13 2 3 3 2" xfId="3569"/>
    <cellStyle name="20% - Accent2 2 13 2 4" xfId="3570"/>
    <cellStyle name="20% - Accent2 2 13 2 4 2" xfId="3571"/>
    <cellStyle name="20% - Accent2 2 13 2 4 2 2" xfId="3572"/>
    <cellStyle name="20% - Accent2 2 13 2 5" xfId="3573"/>
    <cellStyle name="20% - Accent2 2 13 2 5 2" xfId="3574"/>
    <cellStyle name="20% - Accent2 2 13 3" xfId="3575"/>
    <cellStyle name="20% - Accent2 2 13 3 2" xfId="3576"/>
    <cellStyle name="20% - Accent2 2 13 3 2 2" xfId="3577"/>
    <cellStyle name="20% - Accent2 2 13 3 2 2 2" xfId="3578"/>
    <cellStyle name="20% - Accent2 2 13 3 2 2 2 2" xfId="3579"/>
    <cellStyle name="20% - Accent2 2 13 3 2 3" xfId="3580"/>
    <cellStyle name="20% - Accent2 2 13 3 2 3 2" xfId="3581"/>
    <cellStyle name="20% - Accent2 2 13 3 3" xfId="3582"/>
    <cellStyle name="20% - Accent2 2 13 3 3 2" xfId="3583"/>
    <cellStyle name="20% - Accent2 2 13 3 3 2 2" xfId="3584"/>
    <cellStyle name="20% - Accent2 2 13 3 4" xfId="3585"/>
    <cellStyle name="20% - Accent2 2 13 3 4 2" xfId="3586"/>
    <cellStyle name="20% - Accent2 2 13 4" xfId="3587"/>
    <cellStyle name="20% - Accent2 2 13 4 2" xfId="3588"/>
    <cellStyle name="20% - Accent2 2 13 4 2 2" xfId="3589"/>
    <cellStyle name="20% - Accent2 2 13 4 2 2 2" xfId="3590"/>
    <cellStyle name="20% - Accent2 2 13 4 3" xfId="3591"/>
    <cellStyle name="20% - Accent2 2 13 4 3 2" xfId="3592"/>
    <cellStyle name="20% - Accent2 2 13 5" xfId="3593"/>
    <cellStyle name="20% - Accent2 2 13 5 2" xfId="3594"/>
    <cellStyle name="20% - Accent2 2 13 5 2 2" xfId="3595"/>
    <cellStyle name="20% - Accent2 2 13 6" xfId="3596"/>
    <cellStyle name="20% - Accent2 2 13 6 2" xfId="3597"/>
    <cellStyle name="20% - Accent2 2 14" xfId="3598"/>
    <cellStyle name="20% - Accent2 2 14 2" xfId="3599"/>
    <cellStyle name="20% - Accent2 2 14 2 2" xfId="3600"/>
    <cellStyle name="20% - Accent2 2 14 2 2 2" xfId="3601"/>
    <cellStyle name="20% - Accent2 2 14 2 2 2 2" xfId="3602"/>
    <cellStyle name="20% - Accent2 2 14 2 2 2 2 2" xfId="3603"/>
    <cellStyle name="20% - Accent2 2 14 2 2 3" xfId="3604"/>
    <cellStyle name="20% - Accent2 2 14 2 2 3 2" xfId="3605"/>
    <cellStyle name="20% - Accent2 2 14 2 3" xfId="3606"/>
    <cellStyle name="20% - Accent2 2 14 2 3 2" xfId="3607"/>
    <cellStyle name="20% - Accent2 2 14 2 3 2 2" xfId="3608"/>
    <cellStyle name="20% - Accent2 2 14 2 4" xfId="3609"/>
    <cellStyle name="20% - Accent2 2 14 2 4 2" xfId="3610"/>
    <cellStyle name="20% - Accent2 2 14 3" xfId="3611"/>
    <cellStyle name="20% - Accent2 2 14 3 2" xfId="3612"/>
    <cellStyle name="20% - Accent2 2 14 3 2 2" xfId="3613"/>
    <cellStyle name="20% - Accent2 2 14 3 2 2 2" xfId="3614"/>
    <cellStyle name="20% - Accent2 2 14 3 3" xfId="3615"/>
    <cellStyle name="20% - Accent2 2 14 3 3 2" xfId="3616"/>
    <cellStyle name="20% - Accent2 2 14 4" xfId="3617"/>
    <cellStyle name="20% - Accent2 2 14 4 2" xfId="3618"/>
    <cellStyle name="20% - Accent2 2 14 4 2 2" xfId="3619"/>
    <cellStyle name="20% - Accent2 2 14 5" xfId="3620"/>
    <cellStyle name="20% - Accent2 2 14 5 2" xfId="3621"/>
    <cellStyle name="20% - Accent2 2 15" xfId="3622"/>
    <cellStyle name="20% - Accent2 2 15 2" xfId="3623"/>
    <cellStyle name="20% - Accent2 2 15 2 2" xfId="3624"/>
    <cellStyle name="20% - Accent2 2 15 2 2 2" xfId="3625"/>
    <cellStyle name="20% - Accent2 2 15 2 2 2 2" xfId="3626"/>
    <cellStyle name="20% - Accent2 2 15 2 3" xfId="3627"/>
    <cellStyle name="20% - Accent2 2 15 2 3 2" xfId="3628"/>
    <cellStyle name="20% - Accent2 2 15 3" xfId="3629"/>
    <cellStyle name="20% - Accent2 2 15 3 2" xfId="3630"/>
    <cellStyle name="20% - Accent2 2 15 3 2 2" xfId="3631"/>
    <cellStyle name="20% - Accent2 2 15 4" xfId="3632"/>
    <cellStyle name="20% - Accent2 2 15 4 2" xfId="3633"/>
    <cellStyle name="20% - Accent2 2 16" xfId="3634"/>
    <cellStyle name="20% - Accent2 2 16 2" xfId="3635"/>
    <cellStyle name="20% - Accent2 2 16 2 2" xfId="3636"/>
    <cellStyle name="20% - Accent2 2 16 2 2 2" xfId="3637"/>
    <cellStyle name="20% - Accent2 2 16 3" xfId="3638"/>
    <cellStyle name="20% - Accent2 2 16 3 2" xfId="3639"/>
    <cellStyle name="20% - Accent2 2 17" xfId="3640"/>
    <cellStyle name="20% - Accent2 2 17 2" xfId="3641"/>
    <cellStyle name="20% - Accent2 2 17 2 2" xfId="3642"/>
    <cellStyle name="20% - Accent2 2 18" xfId="3643"/>
    <cellStyle name="20% - Accent2 2 19" xfId="3644"/>
    <cellStyle name="20% - Accent2 2 19 2" xfId="3645"/>
    <cellStyle name="20% - Accent2 2 2" xfId="3646"/>
    <cellStyle name="20% - Accent2 2 2 2" xfId="3647"/>
    <cellStyle name="20% - Accent2 2 2 2 2" xfId="3648"/>
    <cellStyle name="20% - Accent2 2 2 2 2 2" xfId="3649"/>
    <cellStyle name="20% - Accent2 2 2 2 2 2 2" xfId="3650"/>
    <cellStyle name="20% - Accent2 2 2 2 2 2 2 2" xfId="3651"/>
    <cellStyle name="20% - Accent2 2 2 2 2 2 2 2 2" xfId="3652"/>
    <cellStyle name="20% - Accent2 2 2 2 2 2 3" xfId="3653"/>
    <cellStyle name="20% - Accent2 2 2 2 2 2 3 2" xfId="3654"/>
    <cellStyle name="20% - Accent2 2 2 2 2 3" xfId="3655"/>
    <cellStyle name="20% - Accent2 2 2 2 2 3 2" xfId="3656"/>
    <cellStyle name="20% - Accent2 2 2 2 2 3 2 2" xfId="3657"/>
    <cellStyle name="20% - Accent2 2 2 2 2 4" xfId="3658"/>
    <cellStyle name="20% - Accent2 2 2 2 2 4 2" xfId="3659"/>
    <cellStyle name="20% - Accent2 2 2 2 3" xfId="3660"/>
    <cellStyle name="20% - Accent2 2 2 2 3 2" xfId="3661"/>
    <cellStyle name="20% - Accent2 2 2 2 3 2 2" xfId="3662"/>
    <cellStyle name="20% - Accent2 2 2 2 3 2 2 2" xfId="3663"/>
    <cellStyle name="20% - Accent2 2 2 2 3 3" xfId="3664"/>
    <cellStyle name="20% - Accent2 2 2 2 3 3 2" xfId="3665"/>
    <cellStyle name="20% - Accent2 2 2 2 4" xfId="3666"/>
    <cellStyle name="20% - Accent2 2 2 2 4 2" xfId="3667"/>
    <cellStyle name="20% - Accent2 2 2 2 4 2 2" xfId="3668"/>
    <cellStyle name="20% - Accent2 2 2 2 5" xfId="3669"/>
    <cellStyle name="20% - Accent2 2 2 2 5 2" xfId="3670"/>
    <cellStyle name="20% - Accent2 2 2 3" xfId="3671"/>
    <cellStyle name="20% - Accent2 2 2 3 2" xfId="3672"/>
    <cellStyle name="20% - Accent2 2 2 3 2 2" xfId="3673"/>
    <cellStyle name="20% - Accent2 2 2 3 2 2 2" xfId="3674"/>
    <cellStyle name="20% - Accent2 2 2 3 2 2 2 2" xfId="3675"/>
    <cellStyle name="20% - Accent2 2 2 3 2 3" xfId="3676"/>
    <cellStyle name="20% - Accent2 2 2 3 2 3 2" xfId="3677"/>
    <cellStyle name="20% - Accent2 2 2 3 3" xfId="3678"/>
    <cellStyle name="20% - Accent2 2 2 3 3 2" xfId="3679"/>
    <cellStyle name="20% - Accent2 2 2 3 3 2 2" xfId="3680"/>
    <cellStyle name="20% - Accent2 2 2 3 4" xfId="3681"/>
    <cellStyle name="20% - Accent2 2 2 3 4 2" xfId="3682"/>
    <cellStyle name="20% - Accent2 2 2 4" xfId="3683"/>
    <cellStyle name="20% - Accent2 2 2 4 2" xfId="3684"/>
    <cellStyle name="20% - Accent2 2 2 4 2 2" xfId="3685"/>
    <cellStyle name="20% - Accent2 2 2 4 2 2 2" xfId="3686"/>
    <cellStyle name="20% - Accent2 2 2 4 3" xfId="3687"/>
    <cellStyle name="20% - Accent2 2 2 4 3 2" xfId="3688"/>
    <cellStyle name="20% - Accent2 2 2 5" xfId="3689"/>
    <cellStyle name="20% - Accent2 2 2 5 2" xfId="3690"/>
    <cellStyle name="20% - Accent2 2 2 5 2 2" xfId="3691"/>
    <cellStyle name="20% - Accent2 2 2 6" xfId="3692"/>
    <cellStyle name="20% - Accent2 2 2 6 2" xfId="3693"/>
    <cellStyle name="20% - Accent2 2 2 7" xfId="3694"/>
    <cellStyle name="20% - Accent2 2 3" xfId="3695"/>
    <cellStyle name="20% - Accent2 2 3 2" xfId="3696"/>
    <cellStyle name="20% - Accent2 2 3 2 2" xfId="3697"/>
    <cellStyle name="20% - Accent2 2 3 2 2 2" xfId="3698"/>
    <cellStyle name="20% - Accent2 2 3 2 2 2 2" xfId="3699"/>
    <cellStyle name="20% - Accent2 2 3 2 2 2 2 2" xfId="3700"/>
    <cellStyle name="20% - Accent2 2 3 2 2 2 2 2 2" xfId="3701"/>
    <cellStyle name="20% - Accent2 2 3 2 2 2 3" xfId="3702"/>
    <cellStyle name="20% - Accent2 2 3 2 2 2 3 2" xfId="3703"/>
    <cellStyle name="20% - Accent2 2 3 2 2 3" xfId="3704"/>
    <cellStyle name="20% - Accent2 2 3 2 2 3 2" xfId="3705"/>
    <cellStyle name="20% - Accent2 2 3 2 2 3 2 2" xfId="3706"/>
    <cellStyle name="20% - Accent2 2 3 2 2 4" xfId="3707"/>
    <cellStyle name="20% - Accent2 2 3 2 2 4 2" xfId="3708"/>
    <cellStyle name="20% - Accent2 2 3 2 3" xfId="3709"/>
    <cellStyle name="20% - Accent2 2 3 2 3 2" xfId="3710"/>
    <cellStyle name="20% - Accent2 2 3 2 3 2 2" xfId="3711"/>
    <cellStyle name="20% - Accent2 2 3 2 3 2 2 2" xfId="3712"/>
    <cellStyle name="20% - Accent2 2 3 2 3 3" xfId="3713"/>
    <cellStyle name="20% - Accent2 2 3 2 3 3 2" xfId="3714"/>
    <cellStyle name="20% - Accent2 2 3 2 4" xfId="3715"/>
    <cellStyle name="20% - Accent2 2 3 2 4 2" xfId="3716"/>
    <cellStyle name="20% - Accent2 2 3 2 4 2 2" xfId="3717"/>
    <cellStyle name="20% - Accent2 2 3 2 5" xfId="3718"/>
    <cellStyle name="20% - Accent2 2 3 2 5 2" xfId="3719"/>
    <cellStyle name="20% - Accent2 2 3 3" xfId="3720"/>
    <cellStyle name="20% - Accent2 2 3 3 2" xfId="3721"/>
    <cellStyle name="20% - Accent2 2 3 3 2 2" xfId="3722"/>
    <cellStyle name="20% - Accent2 2 3 3 2 2 2" xfId="3723"/>
    <cellStyle name="20% - Accent2 2 3 3 2 2 2 2" xfId="3724"/>
    <cellStyle name="20% - Accent2 2 3 3 2 3" xfId="3725"/>
    <cellStyle name="20% - Accent2 2 3 3 2 3 2" xfId="3726"/>
    <cellStyle name="20% - Accent2 2 3 3 3" xfId="3727"/>
    <cellStyle name="20% - Accent2 2 3 3 3 2" xfId="3728"/>
    <cellStyle name="20% - Accent2 2 3 3 3 2 2" xfId="3729"/>
    <cellStyle name="20% - Accent2 2 3 3 4" xfId="3730"/>
    <cellStyle name="20% - Accent2 2 3 3 4 2" xfId="3731"/>
    <cellStyle name="20% - Accent2 2 3 4" xfId="3732"/>
    <cellStyle name="20% - Accent2 2 3 4 2" xfId="3733"/>
    <cellStyle name="20% - Accent2 2 3 4 2 2" xfId="3734"/>
    <cellStyle name="20% - Accent2 2 3 4 2 2 2" xfId="3735"/>
    <cellStyle name="20% - Accent2 2 3 4 3" xfId="3736"/>
    <cellStyle name="20% - Accent2 2 3 4 3 2" xfId="3737"/>
    <cellStyle name="20% - Accent2 2 3 5" xfId="3738"/>
    <cellStyle name="20% - Accent2 2 3 5 2" xfId="3739"/>
    <cellStyle name="20% - Accent2 2 3 5 2 2" xfId="3740"/>
    <cellStyle name="20% - Accent2 2 3 6" xfId="3741"/>
    <cellStyle name="20% - Accent2 2 3 6 2" xfId="3742"/>
    <cellStyle name="20% - Accent2 2 3 7" xfId="3743"/>
    <cellStyle name="20% - Accent2 2 4" xfId="3744"/>
    <cellStyle name="20% - Accent2 2 4 2" xfId="3745"/>
    <cellStyle name="20% - Accent2 2 4 2 2" xfId="3746"/>
    <cellStyle name="20% - Accent2 2 4 2 2 2" xfId="3747"/>
    <cellStyle name="20% - Accent2 2 4 2 2 2 2" xfId="3748"/>
    <cellStyle name="20% - Accent2 2 4 2 2 2 2 2" xfId="3749"/>
    <cellStyle name="20% - Accent2 2 4 2 2 2 2 2 2" xfId="3750"/>
    <cellStyle name="20% - Accent2 2 4 2 2 2 3" xfId="3751"/>
    <cellStyle name="20% - Accent2 2 4 2 2 2 3 2" xfId="3752"/>
    <cellStyle name="20% - Accent2 2 4 2 2 3" xfId="3753"/>
    <cellStyle name="20% - Accent2 2 4 2 2 3 2" xfId="3754"/>
    <cellStyle name="20% - Accent2 2 4 2 2 3 2 2" xfId="3755"/>
    <cellStyle name="20% - Accent2 2 4 2 2 4" xfId="3756"/>
    <cellStyle name="20% - Accent2 2 4 2 2 4 2" xfId="3757"/>
    <cellStyle name="20% - Accent2 2 4 2 3" xfId="3758"/>
    <cellStyle name="20% - Accent2 2 4 2 3 2" xfId="3759"/>
    <cellStyle name="20% - Accent2 2 4 2 3 2 2" xfId="3760"/>
    <cellStyle name="20% - Accent2 2 4 2 3 2 2 2" xfId="3761"/>
    <cellStyle name="20% - Accent2 2 4 2 3 3" xfId="3762"/>
    <cellStyle name="20% - Accent2 2 4 2 3 3 2" xfId="3763"/>
    <cellStyle name="20% - Accent2 2 4 2 4" xfId="3764"/>
    <cellStyle name="20% - Accent2 2 4 2 4 2" xfId="3765"/>
    <cellStyle name="20% - Accent2 2 4 2 4 2 2" xfId="3766"/>
    <cellStyle name="20% - Accent2 2 4 2 5" xfId="3767"/>
    <cellStyle name="20% - Accent2 2 4 2 5 2" xfId="3768"/>
    <cellStyle name="20% - Accent2 2 4 3" xfId="3769"/>
    <cellStyle name="20% - Accent2 2 4 3 2" xfId="3770"/>
    <cellStyle name="20% - Accent2 2 4 3 2 2" xfId="3771"/>
    <cellStyle name="20% - Accent2 2 4 3 2 2 2" xfId="3772"/>
    <cellStyle name="20% - Accent2 2 4 3 2 2 2 2" xfId="3773"/>
    <cellStyle name="20% - Accent2 2 4 3 2 3" xfId="3774"/>
    <cellStyle name="20% - Accent2 2 4 3 2 3 2" xfId="3775"/>
    <cellStyle name="20% - Accent2 2 4 3 3" xfId="3776"/>
    <cellStyle name="20% - Accent2 2 4 3 3 2" xfId="3777"/>
    <cellStyle name="20% - Accent2 2 4 3 3 2 2" xfId="3778"/>
    <cellStyle name="20% - Accent2 2 4 3 4" xfId="3779"/>
    <cellStyle name="20% - Accent2 2 4 3 4 2" xfId="3780"/>
    <cellStyle name="20% - Accent2 2 4 4" xfId="3781"/>
    <cellStyle name="20% - Accent2 2 4 4 2" xfId="3782"/>
    <cellStyle name="20% - Accent2 2 4 4 2 2" xfId="3783"/>
    <cellStyle name="20% - Accent2 2 4 4 2 2 2" xfId="3784"/>
    <cellStyle name="20% - Accent2 2 4 4 3" xfId="3785"/>
    <cellStyle name="20% - Accent2 2 4 4 3 2" xfId="3786"/>
    <cellStyle name="20% - Accent2 2 4 5" xfId="3787"/>
    <cellStyle name="20% - Accent2 2 4 5 2" xfId="3788"/>
    <cellStyle name="20% - Accent2 2 4 5 2 2" xfId="3789"/>
    <cellStyle name="20% - Accent2 2 4 6" xfId="3790"/>
    <cellStyle name="20% - Accent2 2 4 6 2" xfId="3791"/>
    <cellStyle name="20% - Accent2 2 4 7" xfId="3792"/>
    <cellStyle name="20% - Accent2 2 5" xfId="3793"/>
    <cellStyle name="20% - Accent2 2 5 2" xfId="3794"/>
    <cellStyle name="20% - Accent2 2 5 2 2" xfId="3795"/>
    <cellStyle name="20% - Accent2 2 5 2 2 2" xfId="3796"/>
    <cellStyle name="20% - Accent2 2 5 2 2 2 2" xfId="3797"/>
    <cellStyle name="20% - Accent2 2 5 2 2 2 2 2" xfId="3798"/>
    <cellStyle name="20% - Accent2 2 5 2 2 2 2 2 2" xfId="3799"/>
    <cellStyle name="20% - Accent2 2 5 2 2 2 3" xfId="3800"/>
    <cellStyle name="20% - Accent2 2 5 2 2 2 3 2" xfId="3801"/>
    <cellStyle name="20% - Accent2 2 5 2 2 3" xfId="3802"/>
    <cellStyle name="20% - Accent2 2 5 2 2 3 2" xfId="3803"/>
    <cellStyle name="20% - Accent2 2 5 2 2 3 2 2" xfId="3804"/>
    <cellStyle name="20% - Accent2 2 5 2 2 4" xfId="3805"/>
    <cellStyle name="20% - Accent2 2 5 2 2 4 2" xfId="3806"/>
    <cellStyle name="20% - Accent2 2 5 2 3" xfId="3807"/>
    <cellStyle name="20% - Accent2 2 5 2 3 2" xfId="3808"/>
    <cellStyle name="20% - Accent2 2 5 2 3 2 2" xfId="3809"/>
    <cellStyle name="20% - Accent2 2 5 2 3 2 2 2" xfId="3810"/>
    <cellStyle name="20% - Accent2 2 5 2 3 3" xfId="3811"/>
    <cellStyle name="20% - Accent2 2 5 2 3 3 2" xfId="3812"/>
    <cellStyle name="20% - Accent2 2 5 2 4" xfId="3813"/>
    <cellStyle name="20% - Accent2 2 5 2 4 2" xfId="3814"/>
    <cellStyle name="20% - Accent2 2 5 2 4 2 2" xfId="3815"/>
    <cellStyle name="20% - Accent2 2 5 2 5" xfId="3816"/>
    <cellStyle name="20% - Accent2 2 5 2 5 2" xfId="3817"/>
    <cellStyle name="20% - Accent2 2 5 3" xfId="3818"/>
    <cellStyle name="20% - Accent2 2 5 3 2" xfId="3819"/>
    <cellStyle name="20% - Accent2 2 5 3 2 2" xfId="3820"/>
    <cellStyle name="20% - Accent2 2 5 3 2 2 2" xfId="3821"/>
    <cellStyle name="20% - Accent2 2 5 3 2 2 2 2" xfId="3822"/>
    <cellStyle name="20% - Accent2 2 5 3 2 3" xfId="3823"/>
    <cellStyle name="20% - Accent2 2 5 3 2 3 2" xfId="3824"/>
    <cellStyle name="20% - Accent2 2 5 3 3" xfId="3825"/>
    <cellStyle name="20% - Accent2 2 5 3 3 2" xfId="3826"/>
    <cellStyle name="20% - Accent2 2 5 3 3 2 2" xfId="3827"/>
    <cellStyle name="20% - Accent2 2 5 3 4" xfId="3828"/>
    <cellStyle name="20% - Accent2 2 5 3 4 2" xfId="3829"/>
    <cellStyle name="20% - Accent2 2 5 4" xfId="3830"/>
    <cellStyle name="20% - Accent2 2 5 4 2" xfId="3831"/>
    <cellStyle name="20% - Accent2 2 5 4 2 2" xfId="3832"/>
    <cellStyle name="20% - Accent2 2 5 4 2 2 2" xfId="3833"/>
    <cellStyle name="20% - Accent2 2 5 4 3" xfId="3834"/>
    <cellStyle name="20% - Accent2 2 5 4 3 2" xfId="3835"/>
    <cellStyle name="20% - Accent2 2 5 5" xfId="3836"/>
    <cellStyle name="20% - Accent2 2 5 5 2" xfId="3837"/>
    <cellStyle name="20% - Accent2 2 5 5 2 2" xfId="3838"/>
    <cellStyle name="20% - Accent2 2 5 6" xfId="3839"/>
    <cellStyle name="20% - Accent2 2 5 6 2" xfId="3840"/>
    <cellStyle name="20% - Accent2 2 5 7" xfId="3841"/>
    <cellStyle name="20% - Accent2 2 6" xfId="3842"/>
    <cellStyle name="20% - Accent2 2 6 2" xfId="3843"/>
    <cellStyle name="20% - Accent2 2 6 2 2" xfId="3844"/>
    <cellStyle name="20% - Accent2 2 6 2 2 2" xfId="3845"/>
    <cellStyle name="20% - Accent2 2 6 2 2 2 2" xfId="3846"/>
    <cellStyle name="20% - Accent2 2 6 2 2 2 2 2" xfId="3847"/>
    <cellStyle name="20% - Accent2 2 6 2 2 2 2 2 2" xfId="3848"/>
    <cellStyle name="20% - Accent2 2 6 2 2 2 3" xfId="3849"/>
    <cellStyle name="20% - Accent2 2 6 2 2 2 3 2" xfId="3850"/>
    <cellStyle name="20% - Accent2 2 6 2 2 3" xfId="3851"/>
    <cellStyle name="20% - Accent2 2 6 2 2 3 2" xfId="3852"/>
    <cellStyle name="20% - Accent2 2 6 2 2 3 2 2" xfId="3853"/>
    <cellStyle name="20% - Accent2 2 6 2 2 4" xfId="3854"/>
    <cellStyle name="20% - Accent2 2 6 2 2 4 2" xfId="3855"/>
    <cellStyle name="20% - Accent2 2 6 2 3" xfId="3856"/>
    <cellStyle name="20% - Accent2 2 6 2 3 2" xfId="3857"/>
    <cellStyle name="20% - Accent2 2 6 2 3 2 2" xfId="3858"/>
    <cellStyle name="20% - Accent2 2 6 2 3 2 2 2" xfId="3859"/>
    <cellStyle name="20% - Accent2 2 6 2 3 3" xfId="3860"/>
    <cellStyle name="20% - Accent2 2 6 2 3 3 2" xfId="3861"/>
    <cellStyle name="20% - Accent2 2 6 2 4" xfId="3862"/>
    <cellStyle name="20% - Accent2 2 6 2 4 2" xfId="3863"/>
    <cellStyle name="20% - Accent2 2 6 2 4 2 2" xfId="3864"/>
    <cellStyle name="20% - Accent2 2 6 2 5" xfId="3865"/>
    <cellStyle name="20% - Accent2 2 6 2 5 2" xfId="3866"/>
    <cellStyle name="20% - Accent2 2 6 3" xfId="3867"/>
    <cellStyle name="20% - Accent2 2 6 3 2" xfId="3868"/>
    <cellStyle name="20% - Accent2 2 6 3 2 2" xfId="3869"/>
    <cellStyle name="20% - Accent2 2 6 3 2 2 2" xfId="3870"/>
    <cellStyle name="20% - Accent2 2 6 3 2 2 2 2" xfId="3871"/>
    <cellStyle name="20% - Accent2 2 6 3 2 3" xfId="3872"/>
    <cellStyle name="20% - Accent2 2 6 3 2 3 2" xfId="3873"/>
    <cellStyle name="20% - Accent2 2 6 3 3" xfId="3874"/>
    <cellStyle name="20% - Accent2 2 6 3 3 2" xfId="3875"/>
    <cellStyle name="20% - Accent2 2 6 3 3 2 2" xfId="3876"/>
    <cellStyle name="20% - Accent2 2 6 3 4" xfId="3877"/>
    <cellStyle name="20% - Accent2 2 6 3 4 2" xfId="3878"/>
    <cellStyle name="20% - Accent2 2 6 4" xfId="3879"/>
    <cellStyle name="20% - Accent2 2 6 4 2" xfId="3880"/>
    <cellStyle name="20% - Accent2 2 6 4 2 2" xfId="3881"/>
    <cellStyle name="20% - Accent2 2 6 4 2 2 2" xfId="3882"/>
    <cellStyle name="20% - Accent2 2 6 4 3" xfId="3883"/>
    <cellStyle name="20% - Accent2 2 6 4 3 2" xfId="3884"/>
    <cellStyle name="20% - Accent2 2 6 5" xfId="3885"/>
    <cellStyle name="20% - Accent2 2 6 5 2" xfId="3886"/>
    <cellStyle name="20% - Accent2 2 6 5 2 2" xfId="3887"/>
    <cellStyle name="20% - Accent2 2 6 6" xfId="3888"/>
    <cellStyle name="20% - Accent2 2 6 6 2" xfId="3889"/>
    <cellStyle name="20% - Accent2 2 6 7" xfId="3890"/>
    <cellStyle name="20% - Accent2 2 7" xfId="3891"/>
    <cellStyle name="20% - Accent2 2 7 2" xfId="3892"/>
    <cellStyle name="20% - Accent2 2 7 2 2" xfId="3893"/>
    <cellStyle name="20% - Accent2 2 7 2 2 2" xfId="3894"/>
    <cellStyle name="20% - Accent2 2 7 2 2 2 2" xfId="3895"/>
    <cellStyle name="20% - Accent2 2 7 2 2 2 2 2" xfId="3896"/>
    <cellStyle name="20% - Accent2 2 7 2 2 2 2 2 2" xfId="3897"/>
    <cellStyle name="20% - Accent2 2 7 2 2 2 3" xfId="3898"/>
    <cellStyle name="20% - Accent2 2 7 2 2 2 3 2" xfId="3899"/>
    <cellStyle name="20% - Accent2 2 7 2 2 3" xfId="3900"/>
    <cellStyle name="20% - Accent2 2 7 2 2 3 2" xfId="3901"/>
    <cellStyle name="20% - Accent2 2 7 2 2 3 2 2" xfId="3902"/>
    <cellStyle name="20% - Accent2 2 7 2 2 4" xfId="3903"/>
    <cellStyle name="20% - Accent2 2 7 2 2 4 2" xfId="3904"/>
    <cellStyle name="20% - Accent2 2 7 2 3" xfId="3905"/>
    <cellStyle name="20% - Accent2 2 7 2 3 2" xfId="3906"/>
    <cellStyle name="20% - Accent2 2 7 2 3 2 2" xfId="3907"/>
    <cellStyle name="20% - Accent2 2 7 2 3 2 2 2" xfId="3908"/>
    <cellStyle name="20% - Accent2 2 7 2 3 3" xfId="3909"/>
    <cellStyle name="20% - Accent2 2 7 2 3 3 2" xfId="3910"/>
    <cellStyle name="20% - Accent2 2 7 2 4" xfId="3911"/>
    <cellStyle name="20% - Accent2 2 7 2 4 2" xfId="3912"/>
    <cellStyle name="20% - Accent2 2 7 2 4 2 2" xfId="3913"/>
    <cellStyle name="20% - Accent2 2 7 2 5" xfId="3914"/>
    <cellStyle name="20% - Accent2 2 7 2 5 2" xfId="3915"/>
    <cellStyle name="20% - Accent2 2 7 3" xfId="3916"/>
    <cellStyle name="20% - Accent2 2 7 3 2" xfId="3917"/>
    <cellStyle name="20% - Accent2 2 7 3 2 2" xfId="3918"/>
    <cellStyle name="20% - Accent2 2 7 3 2 2 2" xfId="3919"/>
    <cellStyle name="20% - Accent2 2 7 3 2 2 2 2" xfId="3920"/>
    <cellStyle name="20% - Accent2 2 7 3 2 3" xfId="3921"/>
    <cellStyle name="20% - Accent2 2 7 3 2 3 2" xfId="3922"/>
    <cellStyle name="20% - Accent2 2 7 3 3" xfId="3923"/>
    <cellStyle name="20% - Accent2 2 7 3 3 2" xfId="3924"/>
    <cellStyle name="20% - Accent2 2 7 3 3 2 2" xfId="3925"/>
    <cellStyle name="20% - Accent2 2 7 3 4" xfId="3926"/>
    <cellStyle name="20% - Accent2 2 7 3 4 2" xfId="3927"/>
    <cellStyle name="20% - Accent2 2 7 4" xfId="3928"/>
    <cellStyle name="20% - Accent2 2 7 4 2" xfId="3929"/>
    <cellStyle name="20% - Accent2 2 7 4 2 2" xfId="3930"/>
    <cellStyle name="20% - Accent2 2 7 4 2 2 2" xfId="3931"/>
    <cellStyle name="20% - Accent2 2 7 4 3" xfId="3932"/>
    <cellStyle name="20% - Accent2 2 7 4 3 2" xfId="3933"/>
    <cellStyle name="20% - Accent2 2 7 5" xfId="3934"/>
    <cellStyle name="20% - Accent2 2 7 5 2" xfId="3935"/>
    <cellStyle name="20% - Accent2 2 7 5 2 2" xfId="3936"/>
    <cellStyle name="20% - Accent2 2 7 6" xfId="3937"/>
    <cellStyle name="20% - Accent2 2 7 6 2" xfId="3938"/>
    <cellStyle name="20% - Accent2 2 7 7" xfId="3939"/>
    <cellStyle name="20% - Accent2 2 8" xfId="3940"/>
    <cellStyle name="20% - Accent2 2 8 2" xfId="3941"/>
    <cellStyle name="20% - Accent2 2 8 2 2" xfId="3942"/>
    <cellStyle name="20% - Accent2 2 8 2 2 2" xfId="3943"/>
    <cellStyle name="20% - Accent2 2 8 2 2 2 2" xfId="3944"/>
    <cellStyle name="20% - Accent2 2 8 2 2 2 2 2" xfId="3945"/>
    <cellStyle name="20% - Accent2 2 8 2 2 2 2 2 2" xfId="3946"/>
    <cellStyle name="20% - Accent2 2 8 2 2 2 3" xfId="3947"/>
    <cellStyle name="20% - Accent2 2 8 2 2 2 3 2" xfId="3948"/>
    <cellStyle name="20% - Accent2 2 8 2 2 3" xfId="3949"/>
    <cellStyle name="20% - Accent2 2 8 2 2 3 2" xfId="3950"/>
    <cellStyle name="20% - Accent2 2 8 2 2 3 2 2" xfId="3951"/>
    <cellStyle name="20% - Accent2 2 8 2 2 4" xfId="3952"/>
    <cellStyle name="20% - Accent2 2 8 2 2 4 2" xfId="3953"/>
    <cellStyle name="20% - Accent2 2 8 2 3" xfId="3954"/>
    <cellStyle name="20% - Accent2 2 8 2 3 2" xfId="3955"/>
    <cellStyle name="20% - Accent2 2 8 2 3 2 2" xfId="3956"/>
    <cellStyle name="20% - Accent2 2 8 2 3 2 2 2" xfId="3957"/>
    <cellStyle name="20% - Accent2 2 8 2 3 3" xfId="3958"/>
    <cellStyle name="20% - Accent2 2 8 2 3 3 2" xfId="3959"/>
    <cellStyle name="20% - Accent2 2 8 2 4" xfId="3960"/>
    <cellStyle name="20% - Accent2 2 8 2 4 2" xfId="3961"/>
    <cellStyle name="20% - Accent2 2 8 2 4 2 2" xfId="3962"/>
    <cellStyle name="20% - Accent2 2 8 2 5" xfId="3963"/>
    <cellStyle name="20% - Accent2 2 8 2 5 2" xfId="3964"/>
    <cellStyle name="20% - Accent2 2 8 3" xfId="3965"/>
    <cellStyle name="20% - Accent2 2 8 3 2" xfId="3966"/>
    <cellStyle name="20% - Accent2 2 8 3 2 2" xfId="3967"/>
    <cellStyle name="20% - Accent2 2 8 3 2 2 2" xfId="3968"/>
    <cellStyle name="20% - Accent2 2 8 3 2 2 2 2" xfId="3969"/>
    <cellStyle name="20% - Accent2 2 8 3 2 3" xfId="3970"/>
    <cellStyle name="20% - Accent2 2 8 3 2 3 2" xfId="3971"/>
    <cellStyle name="20% - Accent2 2 8 3 3" xfId="3972"/>
    <cellStyle name="20% - Accent2 2 8 3 3 2" xfId="3973"/>
    <cellStyle name="20% - Accent2 2 8 3 3 2 2" xfId="3974"/>
    <cellStyle name="20% - Accent2 2 8 3 4" xfId="3975"/>
    <cellStyle name="20% - Accent2 2 8 3 4 2" xfId="3976"/>
    <cellStyle name="20% - Accent2 2 8 4" xfId="3977"/>
    <cellStyle name="20% - Accent2 2 8 4 2" xfId="3978"/>
    <cellStyle name="20% - Accent2 2 8 4 2 2" xfId="3979"/>
    <cellStyle name="20% - Accent2 2 8 4 2 2 2" xfId="3980"/>
    <cellStyle name="20% - Accent2 2 8 4 3" xfId="3981"/>
    <cellStyle name="20% - Accent2 2 8 4 3 2" xfId="3982"/>
    <cellStyle name="20% - Accent2 2 8 5" xfId="3983"/>
    <cellStyle name="20% - Accent2 2 8 5 2" xfId="3984"/>
    <cellStyle name="20% - Accent2 2 8 5 2 2" xfId="3985"/>
    <cellStyle name="20% - Accent2 2 8 6" xfId="3986"/>
    <cellStyle name="20% - Accent2 2 8 6 2" xfId="3987"/>
    <cellStyle name="20% - Accent2 2 9" xfId="3988"/>
    <cellStyle name="20% - Accent2 2 9 2" xfId="3989"/>
    <cellStyle name="20% - Accent2 2 9 2 2" xfId="3990"/>
    <cellStyle name="20% - Accent2 2 9 2 2 2" xfId="3991"/>
    <cellStyle name="20% - Accent2 2 9 2 2 2 2" xfId="3992"/>
    <cellStyle name="20% - Accent2 2 9 2 2 2 2 2" xfId="3993"/>
    <cellStyle name="20% - Accent2 2 9 2 2 2 2 2 2" xfId="3994"/>
    <cellStyle name="20% - Accent2 2 9 2 2 2 3" xfId="3995"/>
    <cellStyle name="20% - Accent2 2 9 2 2 2 3 2" xfId="3996"/>
    <cellStyle name="20% - Accent2 2 9 2 2 3" xfId="3997"/>
    <cellStyle name="20% - Accent2 2 9 2 2 3 2" xfId="3998"/>
    <cellStyle name="20% - Accent2 2 9 2 2 3 2 2" xfId="3999"/>
    <cellStyle name="20% - Accent2 2 9 2 2 4" xfId="4000"/>
    <cellStyle name="20% - Accent2 2 9 2 2 4 2" xfId="4001"/>
    <cellStyle name="20% - Accent2 2 9 2 3" xfId="4002"/>
    <cellStyle name="20% - Accent2 2 9 2 3 2" xfId="4003"/>
    <cellStyle name="20% - Accent2 2 9 2 3 2 2" xfId="4004"/>
    <cellStyle name="20% - Accent2 2 9 2 3 2 2 2" xfId="4005"/>
    <cellStyle name="20% - Accent2 2 9 2 3 3" xfId="4006"/>
    <cellStyle name="20% - Accent2 2 9 2 3 3 2" xfId="4007"/>
    <cellStyle name="20% - Accent2 2 9 2 4" xfId="4008"/>
    <cellStyle name="20% - Accent2 2 9 2 4 2" xfId="4009"/>
    <cellStyle name="20% - Accent2 2 9 2 4 2 2" xfId="4010"/>
    <cellStyle name="20% - Accent2 2 9 2 5" xfId="4011"/>
    <cellStyle name="20% - Accent2 2 9 2 5 2" xfId="4012"/>
    <cellStyle name="20% - Accent2 2 9 3" xfId="4013"/>
    <cellStyle name="20% - Accent2 2 9 3 2" xfId="4014"/>
    <cellStyle name="20% - Accent2 2 9 3 2 2" xfId="4015"/>
    <cellStyle name="20% - Accent2 2 9 3 2 2 2" xfId="4016"/>
    <cellStyle name="20% - Accent2 2 9 3 2 2 2 2" xfId="4017"/>
    <cellStyle name="20% - Accent2 2 9 3 2 3" xfId="4018"/>
    <cellStyle name="20% - Accent2 2 9 3 2 3 2" xfId="4019"/>
    <cellStyle name="20% - Accent2 2 9 3 3" xfId="4020"/>
    <cellStyle name="20% - Accent2 2 9 3 3 2" xfId="4021"/>
    <cellStyle name="20% - Accent2 2 9 3 3 2 2" xfId="4022"/>
    <cellStyle name="20% - Accent2 2 9 3 4" xfId="4023"/>
    <cellStyle name="20% - Accent2 2 9 3 4 2" xfId="4024"/>
    <cellStyle name="20% - Accent2 2 9 4" xfId="4025"/>
    <cellStyle name="20% - Accent2 2 9 4 2" xfId="4026"/>
    <cellStyle name="20% - Accent2 2 9 4 2 2" xfId="4027"/>
    <cellStyle name="20% - Accent2 2 9 4 2 2 2" xfId="4028"/>
    <cellStyle name="20% - Accent2 2 9 4 3" xfId="4029"/>
    <cellStyle name="20% - Accent2 2 9 4 3 2" xfId="4030"/>
    <cellStyle name="20% - Accent2 2 9 5" xfId="4031"/>
    <cellStyle name="20% - Accent2 2 9 5 2" xfId="4032"/>
    <cellStyle name="20% - Accent2 2 9 5 2 2" xfId="4033"/>
    <cellStyle name="20% - Accent2 2 9 6" xfId="4034"/>
    <cellStyle name="20% - Accent2 2 9 6 2" xfId="4035"/>
    <cellStyle name="20% - Accent2 20" xfId="4036"/>
    <cellStyle name="20% - Accent2 20 2" xfId="4037"/>
    <cellStyle name="20% - Accent2 21" xfId="4038"/>
    <cellStyle name="20% - Accent2 21 2" xfId="4039"/>
    <cellStyle name="20% - Accent2 21 2 2" xfId="4040"/>
    <cellStyle name="20% - Accent2 21 2 2 2" xfId="4041"/>
    <cellStyle name="20% - Accent2 21 2 2 2 2" xfId="4042"/>
    <cellStyle name="20% - Accent2 21 2 2 2 2 2" xfId="4043"/>
    <cellStyle name="20% - Accent2 21 2 2 2 2 2 2" xfId="4044"/>
    <cellStyle name="20% - Accent2 21 2 2 2 3" xfId="4045"/>
    <cellStyle name="20% - Accent2 21 2 2 2 3 2" xfId="4046"/>
    <cellStyle name="20% - Accent2 21 2 2 3" xfId="4047"/>
    <cellStyle name="20% - Accent2 21 2 2 3 2" xfId="4048"/>
    <cellStyle name="20% - Accent2 21 2 2 3 2 2" xfId="4049"/>
    <cellStyle name="20% - Accent2 21 2 2 4" xfId="4050"/>
    <cellStyle name="20% - Accent2 21 2 2 4 2" xfId="4051"/>
    <cellStyle name="20% - Accent2 21 2 3" xfId="4052"/>
    <cellStyle name="20% - Accent2 21 2 3 2" xfId="4053"/>
    <cellStyle name="20% - Accent2 21 2 3 2 2" xfId="4054"/>
    <cellStyle name="20% - Accent2 21 2 3 2 2 2" xfId="4055"/>
    <cellStyle name="20% - Accent2 21 2 3 3" xfId="4056"/>
    <cellStyle name="20% - Accent2 21 2 3 3 2" xfId="4057"/>
    <cellStyle name="20% - Accent2 21 2 4" xfId="4058"/>
    <cellStyle name="20% - Accent2 21 2 4 2" xfId="4059"/>
    <cellStyle name="20% - Accent2 21 2 4 2 2" xfId="4060"/>
    <cellStyle name="20% - Accent2 21 2 5" xfId="4061"/>
    <cellStyle name="20% - Accent2 21 2 5 2" xfId="4062"/>
    <cellStyle name="20% - Accent2 21 3" xfId="4063"/>
    <cellStyle name="20% - Accent2 21 3 2" xfId="4064"/>
    <cellStyle name="20% - Accent2 21 3 2 2" xfId="4065"/>
    <cellStyle name="20% - Accent2 21 3 2 2 2" xfId="4066"/>
    <cellStyle name="20% - Accent2 21 3 2 2 2 2" xfId="4067"/>
    <cellStyle name="20% - Accent2 21 3 2 3" xfId="4068"/>
    <cellStyle name="20% - Accent2 21 3 2 3 2" xfId="4069"/>
    <cellStyle name="20% - Accent2 21 3 3" xfId="4070"/>
    <cellStyle name="20% - Accent2 21 3 3 2" xfId="4071"/>
    <cellStyle name="20% - Accent2 21 3 3 2 2" xfId="4072"/>
    <cellStyle name="20% - Accent2 21 3 4" xfId="4073"/>
    <cellStyle name="20% - Accent2 21 3 4 2" xfId="4074"/>
    <cellStyle name="20% - Accent2 21 4" xfId="4075"/>
    <cellStyle name="20% - Accent2 21 4 2" xfId="4076"/>
    <cellStyle name="20% - Accent2 21 4 2 2" xfId="4077"/>
    <cellStyle name="20% - Accent2 21 4 2 2 2" xfId="4078"/>
    <cellStyle name="20% - Accent2 21 4 3" xfId="4079"/>
    <cellStyle name="20% - Accent2 21 4 3 2" xfId="4080"/>
    <cellStyle name="20% - Accent2 21 5" xfId="4081"/>
    <cellStyle name="20% - Accent2 21 5 2" xfId="4082"/>
    <cellStyle name="20% - Accent2 21 5 2 2" xfId="4083"/>
    <cellStyle name="20% - Accent2 21 6" xfId="4084"/>
    <cellStyle name="20% - Accent2 21 6 2" xfId="4085"/>
    <cellStyle name="20% - Accent2 21 7" xfId="4086"/>
    <cellStyle name="20% - Accent2 22" xfId="4087"/>
    <cellStyle name="20% - Accent2 22 10" xfId="4088"/>
    <cellStyle name="20% - Accent2 22 2" xfId="4089"/>
    <cellStyle name="20% - Accent2 22 2 2" xfId="4090"/>
    <cellStyle name="20% - Accent2 22 2 2 2" xfId="4091"/>
    <cellStyle name="20% - Accent2 22 2 2 2 2" xfId="4092"/>
    <cellStyle name="20% - Accent2 22 2 2 2 2 2" xfId="4093"/>
    <cellStyle name="20% - Accent2 22 2 2 2 2 2 2" xfId="4094"/>
    <cellStyle name="20% - Accent2 22 2 2 2 3" xfId="4095"/>
    <cellStyle name="20% - Accent2 22 2 2 2 3 2" xfId="4096"/>
    <cellStyle name="20% - Accent2 22 2 2 3" xfId="4097"/>
    <cellStyle name="20% - Accent2 22 2 2 3 2" xfId="4098"/>
    <cellStyle name="20% - Accent2 22 2 2 3 2 2" xfId="4099"/>
    <cellStyle name="20% - Accent2 22 2 2 4" xfId="4100"/>
    <cellStyle name="20% - Accent2 22 2 2 4 2" xfId="4101"/>
    <cellStyle name="20% - Accent2 22 2 3" xfId="4102"/>
    <cellStyle name="20% - Accent2 22 2 3 2" xfId="4103"/>
    <cellStyle name="20% - Accent2 22 2 3 2 2" xfId="4104"/>
    <cellStyle name="20% - Accent2 22 2 3 2 2 2" xfId="4105"/>
    <cellStyle name="20% - Accent2 22 2 3 3" xfId="4106"/>
    <cellStyle name="20% - Accent2 22 2 3 3 2" xfId="4107"/>
    <cellStyle name="20% - Accent2 22 2 4" xfId="4108"/>
    <cellStyle name="20% - Accent2 22 2 4 2" xfId="4109"/>
    <cellStyle name="20% - Accent2 22 2 4 2 2" xfId="4110"/>
    <cellStyle name="20% - Accent2 22 2 5" xfId="4111"/>
    <cellStyle name="20% - Accent2 22 2 5 2" xfId="4112"/>
    <cellStyle name="20% - Accent2 22 2 6" xfId="4113"/>
    <cellStyle name="20% - Accent2 22 2 7" xfId="4114"/>
    <cellStyle name="20% - Accent2 22 2 8" xfId="4115"/>
    <cellStyle name="20% - Accent2 22 3" xfId="4116"/>
    <cellStyle name="20% - Accent2 22 3 2" xfId="4117"/>
    <cellStyle name="20% - Accent2 22 3 2 2" xfId="4118"/>
    <cellStyle name="20% - Accent2 22 3 2 2 2" xfId="4119"/>
    <cellStyle name="20% - Accent2 22 3 2 2 2 2" xfId="4120"/>
    <cellStyle name="20% - Accent2 22 3 2 3" xfId="4121"/>
    <cellStyle name="20% - Accent2 22 3 2 3 2" xfId="4122"/>
    <cellStyle name="20% - Accent2 22 3 3" xfId="4123"/>
    <cellStyle name="20% - Accent2 22 3 3 2" xfId="4124"/>
    <cellStyle name="20% - Accent2 22 3 3 2 2" xfId="4125"/>
    <cellStyle name="20% - Accent2 22 3 4" xfId="4126"/>
    <cellStyle name="20% - Accent2 22 3 4 2" xfId="4127"/>
    <cellStyle name="20% - Accent2 22 3 5" xfId="4128"/>
    <cellStyle name="20% - Accent2 22 3 6" xfId="4129"/>
    <cellStyle name="20% - Accent2 22 3 7" xfId="4130"/>
    <cellStyle name="20% - Accent2 22 4" xfId="4131"/>
    <cellStyle name="20% - Accent2 22 4 2" xfId="4132"/>
    <cellStyle name="20% - Accent2 22 4 2 2" xfId="4133"/>
    <cellStyle name="20% - Accent2 22 4 2 2 2" xfId="4134"/>
    <cellStyle name="20% - Accent2 22 4 3" xfId="4135"/>
    <cellStyle name="20% - Accent2 22 4 3 2" xfId="4136"/>
    <cellStyle name="20% - Accent2 22 4 4" xfId="4137"/>
    <cellStyle name="20% - Accent2 22 5" xfId="4138"/>
    <cellStyle name="20% - Accent2 22 5 2" xfId="4139"/>
    <cellStyle name="20% - Accent2 22 5 2 2" xfId="4140"/>
    <cellStyle name="20% - Accent2 22 6" xfId="4141"/>
    <cellStyle name="20% - Accent2 22 6 2" xfId="4142"/>
    <cellStyle name="20% - Accent2 22 7" xfId="4143"/>
    <cellStyle name="20% - Accent2 22 8" xfId="4144"/>
    <cellStyle name="20% - Accent2 22 9" xfId="4145"/>
    <cellStyle name="20% - Accent2 23" xfId="4146"/>
    <cellStyle name="20% - Accent2 23 2" xfId="4147"/>
    <cellStyle name="20% - Accent2 23 2 2" xfId="4148"/>
    <cellStyle name="20% - Accent2 23 2 2 2" xfId="4149"/>
    <cellStyle name="20% - Accent2 23 2 2 2 2" xfId="4150"/>
    <cellStyle name="20% - Accent2 23 2 2 2 2 2" xfId="4151"/>
    <cellStyle name="20% - Accent2 23 2 2 2 2 2 2" xfId="4152"/>
    <cellStyle name="20% - Accent2 23 2 2 2 3" xfId="4153"/>
    <cellStyle name="20% - Accent2 23 2 2 2 3 2" xfId="4154"/>
    <cellStyle name="20% - Accent2 23 2 2 3" xfId="4155"/>
    <cellStyle name="20% - Accent2 23 2 2 3 2" xfId="4156"/>
    <cellStyle name="20% - Accent2 23 2 2 3 2 2" xfId="4157"/>
    <cellStyle name="20% - Accent2 23 2 2 4" xfId="4158"/>
    <cellStyle name="20% - Accent2 23 2 2 4 2" xfId="4159"/>
    <cellStyle name="20% - Accent2 23 2 3" xfId="4160"/>
    <cellStyle name="20% - Accent2 23 2 3 2" xfId="4161"/>
    <cellStyle name="20% - Accent2 23 2 3 2 2" xfId="4162"/>
    <cellStyle name="20% - Accent2 23 2 3 2 2 2" xfId="4163"/>
    <cellStyle name="20% - Accent2 23 2 3 3" xfId="4164"/>
    <cellStyle name="20% - Accent2 23 2 3 3 2" xfId="4165"/>
    <cellStyle name="20% - Accent2 23 2 4" xfId="4166"/>
    <cellStyle name="20% - Accent2 23 2 4 2" xfId="4167"/>
    <cellStyle name="20% - Accent2 23 2 4 2 2" xfId="4168"/>
    <cellStyle name="20% - Accent2 23 2 5" xfId="4169"/>
    <cellStyle name="20% - Accent2 23 2 5 2" xfId="4170"/>
    <cellStyle name="20% - Accent2 23 3" xfId="4171"/>
    <cellStyle name="20% - Accent2 23 3 2" xfId="4172"/>
    <cellStyle name="20% - Accent2 23 3 2 2" xfId="4173"/>
    <cellStyle name="20% - Accent2 23 3 2 2 2" xfId="4174"/>
    <cellStyle name="20% - Accent2 23 3 2 2 2 2" xfId="4175"/>
    <cellStyle name="20% - Accent2 23 3 2 3" xfId="4176"/>
    <cellStyle name="20% - Accent2 23 3 2 3 2" xfId="4177"/>
    <cellStyle name="20% - Accent2 23 3 3" xfId="4178"/>
    <cellStyle name="20% - Accent2 23 3 3 2" xfId="4179"/>
    <cellStyle name="20% - Accent2 23 3 3 2 2" xfId="4180"/>
    <cellStyle name="20% - Accent2 23 3 4" xfId="4181"/>
    <cellStyle name="20% - Accent2 23 3 4 2" xfId="4182"/>
    <cellStyle name="20% - Accent2 23 4" xfId="4183"/>
    <cellStyle name="20% - Accent2 23 4 2" xfId="4184"/>
    <cellStyle name="20% - Accent2 23 4 2 2" xfId="4185"/>
    <cellStyle name="20% - Accent2 23 4 2 2 2" xfId="4186"/>
    <cellStyle name="20% - Accent2 23 4 3" xfId="4187"/>
    <cellStyle name="20% - Accent2 23 4 3 2" xfId="4188"/>
    <cellStyle name="20% - Accent2 23 5" xfId="4189"/>
    <cellStyle name="20% - Accent2 23 5 2" xfId="4190"/>
    <cellStyle name="20% - Accent2 23 5 2 2" xfId="4191"/>
    <cellStyle name="20% - Accent2 23 6" xfId="4192"/>
    <cellStyle name="20% - Accent2 23 6 2" xfId="4193"/>
    <cellStyle name="20% - Accent2 23 7" xfId="4194"/>
    <cellStyle name="20% - Accent2 24" xfId="4195"/>
    <cellStyle name="20% - Accent2 24 2" xfId="4196"/>
    <cellStyle name="20% - Accent2 24 2 2" xfId="4197"/>
    <cellStyle name="20% - Accent2 24 2 2 2" xfId="4198"/>
    <cellStyle name="20% - Accent2 24 2 2 2 2" xfId="4199"/>
    <cellStyle name="20% - Accent2 24 2 2 2 2 2" xfId="4200"/>
    <cellStyle name="20% - Accent2 24 2 2 3" xfId="4201"/>
    <cellStyle name="20% - Accent2 24 2 2 3 2" xfId="4202"/>
    <cellStyle name="20% - Accent2 24 2 3" xfId="4203"/>
    <cellStyle name="20% - Accent2 24 2 3 2" xfId="4204"/>
    <cellStyle name="20% - Accent2 24 2 3 2 2" xfId="4205"/>
    <cellStyle name="20% - Accent2 24 2 4" xfId="4206"/>
    <cellStyle name="20% - Accent2 24 2 4 2" xfId="4207"/>
    <cellStyle name="20% - Accent2 24 3" xfId="4208"/>
    <cellStyle name="20% - Accent2 24 3 2" xfId="4209"/>
    <cellStyle name="20% - Accent2 24 3 2 2" xfId="4210"/>
    <cellStyle name="20% - Accent2 24 3 2 2 2" xfId="4211"/>
    <cellStyle name="20% - Accent2 24 3 3" xfId="4212"/>
    <cellStyle name="20% - Accent2 24 3 3 2" xfId="4213"/>
    <cellStyle name="20% - Accent2 24 4" xfId="4214"/>
    <cellStyle name="20% - Accent2 24 4 2" xfId="4215"/>
    <cellStyle name="20% - Accent2 24 4 2 2" xfId="4216"/>
    <cellStyle name="20% - Accent2 24 5" xfId="4217"/>
    <cellStyle name="20% - Accent2 24 5 2" xfId="4218"/>
    <cellStyle name="20% - Accent2 24 6" xfId="4219"/>
    <cellStyle name="20% - Accent2 25" xfId="4220"/>
    <cellStyle name="20% - Accent2 25 2" xfId="4221"/>
    <cellStyle name="20% - Accent2 25 2 2" xfId="4222"/>
    <cellStyle name="20% - Accent2 25 2 2 2" xfId="4223"/>
    <cellStyle name="20% - Accent2 25 2 2 2 2" xfId="4224"/>
    <cellStyle name="20% - Accent2 25 2 2 2 2 2" xfId="4225"/>
    <cellStyle name="20% - Accent2 25 2 2 3" xfId="4226"/>
    <cellStyle name="20% - Accent2 25 2 2 3 2" xfId="4227"/>
    <cellStyle name="20% - Accent2 25 2 3" xfId="4228"/>
    <cellStyle name="20% - Accent2 25 2 3 2" xfId="4229"/>
    <cellStyle name="20% - Accent2 25 2 3 2 2" xfId="4230"/>
    <cellStyle name="20% - Accent2 25 2 4" xfId="4231"/>
    <cellStyle name="20% - Accent2 25 2 4 2" xfId="4232"/>
    <cellStyle name="20% - Accent2 25 3" xfId="4233"/>
    <cellStyle name="20% - Accent2 25 3 2" xfId="4234"/>
    <cellStyle name="20% - Accent2 25 3 2 2" xfId="4235"/>
    <cellStyle name="20% - Accent2 25 3 2 2 2" xfId="4236"/>
    <cellStyle name="20% - Accent2 25 3 3" xfId="4237"/>
    <cellStyle name="20% - Accent2 25 3 3 2" xfId="4238"/>
    <cellStyle name="20% - Accent2 25 4" xfId="4239"/>
    <cellStyle name="20% - Accent2 25 4 2" xfId="4240"/>
    <cellStyle name="20% - Accent2 25 4 2 2" xfId="4241"/>
    <cellStyle name="20% - Accent2 25 5" xfId="4242"/>
    <cellStyle name="20% - Accent2 25 5 2" xfId="4243"/>
    <cellStyle name="20% - Accent2 25 6" xfId="4244"/>
    <cellStyle name="20% - Accent2 26" xfId="4245"/>
    <cellStyle name="20% - Accent2 26 2" xfId="4246"/>
    <cellStyle name="20% - Accent2 26 2 2" xfId="4247"/>
    <cellStyle name="20% - Accent2 26 2 2 2" xfId="4248"/>
    <cellStyle name="20% - Accent2 26 2 2 2 2" xfId="4249"/>
    <cellStyle name="20% - Accent2 26 2 2 2 2 2" xfId="4250"/>
    <cellStyle name="20% - Accent2 26 2 2 3" xfId="4251"/>
    <cellStyle name="20% - Accent2 26 2 2 3 2" xfId="4252"/>
    <cellStyle name="20% - Accent2 26 2 3" xfId="4253"/>
    <cellStyle name="20% - Accent2 26 2 3 2" xfId="4254"/>
    <cellStyle name="20% - Accent2 26 2 3 2 2" xfId="4255"/>
    <cellStyle name="20% - Accent2 26 2 4" xfId="4256"/>
    <cellStyle name="20% - Accent2 26 2 4 2" xfId="4257"/>
    <cellStyle name="20% - Accent2 26 3" xfId="4258"/>
    <cellStyle name="20% - Accent2 26 3 2" xfId="4259"/>
    <cellStyle name="20% - Accent2 26 3 2 2" xfId="4260"/>
    <cellStyle name="20% - Accent2 26 3 2 2 2" xfId="4261"/>
    <cellStyle name="20% - Accent2 26 3 3" xfId="4262"/>
    <cellStyle name="20% - Accent2 26 3 3 2" xfId="4263"/>
    <cellStyle name="20% - Accent2 26 4" xfId="4264"/>
    <cellStyle name="20% - Accent2 26 4 2" xfId="4265"/>
    <cellStyle name="20% - Accent2 26 4 2 2" xfId="4266"/>
    <cellStyle name="20% - Accent2 26 5" xfId="4267"/>
    <cellStyle name="20% - Accent2 26 5 2" xfId="4268"/>
    <cellStyle name="20% - Accent2 26 6" xfId="4269"/>
    <cellStyle name="20% - Accent2 27" xfId="4270"/>
    <cellStyle name="20% - Accent2 27 2" xfId="4271"/>
    <cellStyle name="20% - Accent2 27 2 2" xfId="4272"/>
    <cellStyle name="20% - Accent2 27 2 2 2" xfId="4273"/>
    <cellStyle name="20% - Accent2 27 2 2 2 2" xfId="4274"/>
    <cellStyle name="20% - Accent2 27 2 2 2 2 2" xfId="4275"/>
    <cellStyle name="20% - Accent2 27 2 2 3" xfId="4276"/>
    <cellStyle name="20% - Accent2 27 2 2 3 2" xfId="4277"/>
    <cellStyle name="20% - Accent2 27 2 3" xfId="4278"/>
    <cellStyle name="20% - Accent2 27 2 3 2" xfId="4279"/>
    <cellStyle name="20% - Accent2 27 2 3 2 2" xfId="4280"/>
    <cellStyle name="20% - Accent2 27 2 4" xfId="4281"/>
    <cellStyle name="20% - Accent2 27 2 4 2" xfId="4282"/>
    <cellStyle name="20% - Accent2 27 3" xfId="4283"/>
    <cellStyle name="20% - Accent2 27 3 2" xfId="4284"/>
    <cellStyle name="20% - Accent2 27 3 2 2" xfId="4285"/>
    <cellStyle name="20% - Accent2 27 3 2 2 2" xfId="4286"/>
    <cellStyle name="20% - Accent2 27 3 3" xfId="4287"/>
    <cellStyle name="20% - Accent2 27 3 3 2" xfId="4288"/>
    <cellStyle name="20% - Accent2 27 4" xfId="4289"/>
    <cellStyle name="20% - Accent2 27 4 2" xfId="4290"/>
    <cellStyle name="20% - Accent2 27 4 2 2" xfId="4291"/>
    <cellStyle name="20% - Accent2 27 5" xfId="4292"/>
    <cellStyle name="20% - Accent2 27 5 2" xfId="4293"/>
    <cellStyle name="20% - Accent2 27 6" xfId="4294"/>
    <cellStyle name="20% - Accent2 28" xfId="4295"/>
    <cellStyle name="20% - Accent2 28 2" xfId="4296"/>
    <cellStyle name="20% - Accent2 28 2 2" xfId="4297"/>
    <cellStyle name="20% - Accent2 28 2 2 2" xfId="4298"/>
    <cellStyle name="20% - Accent2 28 2 2 2 2" xfId="4299"/>
    <cellStyle name="20% - Accent2 28 2 3" xfId="4300"/>
    <cellStyle name="20% - Accent2 28 2 3 2" xfId="4301"/>
    <cellStyle name="20% - Accent2 28 3" xfId="4302"/>
    <cellStyle name="20% - Accent2 28 3 2" xfId="4303"/>
    <cellStyle name="20% - Accent2 28 3 2 2" xfId="4304"/>
    <cellStyle name="20% - Accent2 28 4" xfId="4305"/>
    <cellStyle name="20% - Accent2 28 4 2" xfId="4306"/>
    <cellStyle name="20% - Accent2 28 5" xfId="4307"/>
    <cellStyle name="20% - Accent2 29" xfId="4308"/>
    <cellStyle name="20% - Accent2 29 2" xfId="4309"/>
    <cellStyle name="20% - Accent2 29 2 2" xfId="4310"/>
    <cellStyle name="20% - Accent2 29 2 2 2" xfId="4311"/>
    <cellStyle name="20% - Accent2 29 3" xfId="4312"/>
    <cellStyle name="20% - Accent2 29 3 2" xfId="4313"/>
    <cellStyle name="20% - Accent2 29 4" xfId="4314"/>
    <cellStyle name="20% - Accent2 3" xfId="4315"/>
    <cellStyle name="20% - Accent2 3 10" xfId="4316"/>
    <cellStyle name="20% - Accent2 3 10 2" xfId="4317"/>
    <cellStyle name="20% - Accent2 3 10 2 2" xfId="4318"/>
    <cellStyle name="20% - Accent2 3 10 2 2 2" xfId="4319"/>
    <cellStyle name="20% - Accent2 3 10 2 2 2 2" xfId="4320"/>
    <cellStyle name="20% - Accent2 3 10 2 2 2 2 2" xfId="4321"/>
    <cellStyle name="20% - Accent2 3 10 2 2 2 2 2 2" xfId="4322"/>
    <cellStyle name="20% - Accent2 3 10 2 2 2 3" xfId="4323"/>
    <cellStyle name="20% - Accent2 3 10 2 2 2 3 2" xfId="4324"/>
    <cellStyle name="20% - Accent2 3 10 2 2 3" xfId="4325"/>
    <cellStyle name="20% - Accent2 3 10 2 2 3 2" xfId="4326"/>
    <cellStyle name="20% - Accent2 3 10 2 2 3 2 2" xfId="4327"/>
    <cellStyle name="20% - Accent2 3 10 2 2 4" xfId="4328"/>
    <cellStyle name="20% - Accent2 3 10 2 2 4 2" xfId="4329"/>
    <cellStyle name="20% - Accent2 3 10 2 3" xfId="4330"/>
    <cellStyle name="20% - Accent2 3 10 2 3 2" xfId="4331"/>
    <cellStyle name="20% - Accent2 3 10 2 3 2 2" xfId="4332"/>
    <cellStyle name="20% - Accent2 3 10 2 3 2 2 2" xfId="4333"/>
    <cellStyle name="20% - Accent2 3 10 2 3 3" xfId="4334"/>
    <cellStyle name="20% - Accent2 3 10 2 3 3 2" xfId="4335"/>
    <cellStyle name="20% - Accent2 3 10 2 4" xfId="4336"/>
    <cellStyle name="20% - Accent2 3 10 2 4 2" xfId="4337"/>
    <cellStyle name="20% - Accent2 3 10 2 4 2 2" xfId="4338"/>
    <cellStyle name="20% - Accent2 3 10 2 5" xfId="4339"/>
    <cellStyle name="20% - Accent2 3 10 2 5 2" xfId="4340"/>
    <cellStyle name="20% - Accent2 3 10 3" xfId="4341"/>
    <cellStyle name="20% - Accent2 3 10 3 2" xfId="4342"/>
    <cellStyle name="20% - Accent2 3 10 3 2 2" xfId="4343"/>
    <cellStyle name="20% - Accent2 3 10 3 2 2 2" xfId="4344"/>
    <cellStyle name="20% - Accent2 3 10 3 2 2 2 2" xfId="4345"/>
    <cellStyle name="20% - Accent2 3 10 3 2 3" xfId="4346"/>
    <cellStyle name="20% - Accent2 3 10 3 2 3 2" xfId="4347"/>
    <cellStyle name="20% - Accent2 3 10 3 3" xfId="4348"/>
    <cellStyle name="20% - Accent2 3 10 3 3 2" xfId="4349"/>
    <cellStyle name="20% - Accent2 3 10 3 3 2 2" xfId="4350"/>
    <cellStyle name="20% - Accent2 3 10 3 4" xfId="4351"/>
    <cellStyle name="20% - Accent2 3 10 3 4 2" xfId="4352"/>
    <cellStyle name="20% - Accent2 3 10 4" xfId="4353"/>
    <cellStyle name="20% - Accent2 3 10 4 2" xfId="4354"/>
    <cellStyle name="20% - Accent2 3 10 4 2 2" xfId="4355"/>
    <cellStyle name="20% - Accent2 3 10 4 2 2 2" xfId="4356"/>
    <cellStyle name="20% - Accent2 3 10 4 3" xfId="4357"/>
    <cellStyle name="20% - Accent2 3 10 4 3 2" xfId="4358"/>
    <cellStyle name="20% - Accent2 3 10 5" xfId="4359"/>
    <cellStyle name="20% - Accent2 3 10 5 2" xfId="4360"/>
    <cellStyle name="20% - Accent2 3 10 5 2 2" xfId="4361"/>
    <cellStyle name="20% - Accent2 3 10 6" xfId="4362"/>
    <cellStyle name="20% - Accent2 3 10 6 2" xfId="4363"/>
    <cellStyle name="20% - Accent2 3 10 7" xfId="4364"/>
    <cellStyle name="20% - Accent2 3 10 8" xfId="4365"/>
    <cellStyle name="20% - Accent2 3 10 9" xfId="4366"/>
    <cellStyle name="20% - Accent2 3 11" xfId="4367"/>
    <cellStyle name="20% - Accent2 3 11 2" xfId="4368"/>
    <cellStyle name="20% - Accent2 3 11 2 2" xfId="4369"/>
    <cellStyle name="20% - Accent2 3 11 2 2 2" xfId="4370"/>
    <cellStyle name="20% - Accent2 3 11 2 2 2 2" xfId="4371"/>
    <cellStyle name="20% - Accent2 3 11 2 2 2 2 2" xfId="4372"/>
    <cellStyle name="20% - Accent2 3 11 2 2 2 2 2 2" xfId="4373"/>
    <cellStyle name="20% - Accent2 3 11 2 2 2 3" xfId="4374"/>
    <cellStyle name="20% - Accent2 3 11 2 2 2 3 2" xfId="4375"/>
    <cellStyle name="20% - Accent2 3 11 2 2 3" xfId="4376"/>
    <cellStyle name="20% - Accent2 3 11 2 2 3 2" xfId="4377"/>
    <cellStyle name="20% - Accent2 3 11 2 2 3 2 2" xfId="4378"/>
    <cellStyle name="20% - Accent2 3 11 2 2 4" xfId="4379"/>
    <cellStyle name="20% - Accent2 3 11 2 2 4 2" xfId="4380"/>
    <cellStyle name="20% - Accent2 3 11 2 3" xfId="4381"/>
    <cellStyle name="20% - Accent2 3 11 2 3 2" xfId="4382"/>
    <cellStyle name="20% - Accent2 3 11 2 3 2 2" xfId="4383"/>
    <cellStyle name="20% - Accent2 3 11 2 3 2 2 2" xfId="4384"/>
    <cellStyle name="20% - Accent2 3 11 2 3 3" xfId="4385"/>
    <cellStyle name="20% - Accent2 3 11 2 3 3 2" xfId="4386"/>
    <cellStyle name="20% - Accent2 3 11 2 4" xfId="4387"/>
    <cellStyle name="20% - Accent2 3 11 2 4 2" xfId="4388"/>
    <cellStyle name="20% - Accent2 3 11 2 4 2 2" xfId="4389"/>
    <cellStyle name="20% - Accent2 3 11 2 5" xfId="4390"/>
    <cellStyle name="20% - Accent2 3 11 2 5 2" xfId="4391"/>
    <cellStyle name="20% - Accent2 3 11 3" xfId="4392"/>
    <cellStyle name="20% - Accent2 3 11 3 2" xfId="4393"/>
    <cellStyle name="20% - Accent2 3 11 3 2 2" xfId="4394"/>
    <cellStyle name="20% - Accent2 3 11 3 2 2 2" xfId="4395"/>
    <cellStyle name="20% - Accent2 3 11 3 2 2 2 2" xfId="4396"/>
    <cellStyle name="20% - Accent2 3 11 3 2 3" xfId="4397"/>
    <cellStyle name="20% - Accent2 3 11 3 2 3 2" xfId="4398"/>
    <cellStyle name="20% - Accent2 3 11 3 3" xfId="4399"/>
    <cellStyle name="20% - Accent2 3 11 3 3 2" xfId="4400"/>
    <cellStyle name="20% - Accent2 3 11 3 3 2 2" xfId="4401"/>
    <cellStyle name="20% - Accent2 3 11 3 4" xfId="4402"/>
    <cellStyle name="20% - Accent2 3 11 3 4 2" xfId="4403"/>
    <cellStyle name="20% - Accent2 3 11 4" xfId="4404"/>
    <cellStyle name="20% - Accent2 3 11 4 2" xfId="4405"/>
    <cellStyle name="20% - Accent2 3 11 4 2 2" xfId="4406"/>
    <cellStyle name="20% - Accent2 3 11 4 2 2 2" xfId="4407"/>
    <cellStyle name="20% - Accent2 3 11 4 3" xfId="4408"/>
    <cellStyle name="20% - Accent2 3 11 4 3 2" xfId="4409"/>
    <cellStyle name="20% - Accent2 3 11 5" xfId="4410"/>
    <cellStyle name="20% - Accent2 3 11 5 2" xfId="4411"/>
    <cellStyle name="20% - Accent2 3 11 5 2 2" xfId="4412"/>
    <cellStyle name="20% - Accent2 3 11 6" xfId="4413"/>
    <cellStyle name="20% - Accent2 3 11 6 2" xfId="4414"/>
    <cellStyle name="20% - Accent2 3 11 7" xfId="4415"/>
    <cellStyle name="20% - Accent2 3 12" xfId="4416"/>
    <cellStyle name="20% - Accent2 3 12 2" xfId="4417"/>
    <cellStyle name="20% - Accent2 3 12 2 2" xfId="4418"/>
    <cellStyle name="20% - Accent2 3 12 2 2 2" xfId="4419"/>
    <cellStyle name="20% - Accent2 3 12 2 2 2 2" xfId="4420"/>
    <cellStyle name="20% - Accent2 3 12 2 2 2 2 2" xfId="4421"/>
    <cellStyle name="20% - Accent2 3 12 2 2 2 2 2 2" xfId="4422"/>
    <cellStyle name="20% - Accent2 3 12 2 2 2 3" xfId="4423"/>
    <cellStyle name="20% - Accent2 3 12 2 2 2 3 2" xfId="4424"/>
    <cellStyle name="20% - Accent2 3 12 2 2 3" xfId="4425"/>
    <cellStyle name="20% - Accent2 3 12 2 2 3 2" xfId="4426"/>
    <cellStyle name="20% - Accent2 3 12 2 2 3 2 2" xfId="4427"/>
    <cellStyle name="20% - Accent2 3 12 2 2 4" xfId="4428"/>
    <cellStyle name="20% - Accent2 3 12 2 2 4 2" xfId="4429"/>
    <cellStyle name="20% - Accent2 3 12 2 3" xfId="4430"/>
    <cellStyle name="20% - Accent2 3 12 2 3 2" xfId="4431"/>
    <cellStyle name="20% - Accent2 3 12 2 3 2 2" xfId="4432"/>
    <cellStyle name="20% - Accent2 3 12 2 3 2 2 2" xfId="4433"/>
    <cellStyle name="20% - Accent2 3 12 2 3 3" xfId="4434"/>
    <cellStyle name="20% - Accent2 3 12 2 3 3 2" xfId="4435"/>
    <cellStyle name="20% - Accent2 3 12 2 4" xfId="4436"/>
    <cellStyle name="20% - Accent2 3 12 2 4 2" xfId="4437"/>
    <cellStyle name="20% - Accent2 3 12 2 4 2 2" xfId="4438"/>
    <cellStyle name="20% - Accent2 3 12 2 5" xfId="4439"/>
    <cellStyle name="20% - Accent2 3 12 2 5 2" xfId="4440"/>
    <cellStyle name="20% - Accent2 3 12 3" xfId="4441"/>
    <cellStyle name="20% - Accent2 3 12 3 2" xfId="4442"/>
    <cellStyle name="20% - Accent2 3 12 3 2 2" xfId="4443"/>
    <cellStyle name="20% - Accent2 3 12 3 2 2 2" xfId="4444"/>
    <cellStyle name="20% - Accent2 3 12 3 2 2 2 2" xfId="4445"/>
    <cellStyle name="20% - Accent2 3 12 3 2 3" xfId="4446"/>
    <cellStyle name="20% - Accent2 3 12 3 2 3 2" xfId="4447"/>
    <cellStyle name="20% - Accent2 3 12 3 3" xfId="4448"/>
    <cellStyle name="20% - Accent2 3 12 3 3 2" xfId="4449"/>
    <cellStyle name="20% - Accent2 3 12 3 3 2 2" xfId="4450"/>
    <cellStyle name="20% - Accent2 3 12 3 4" xfId="4451"/>
    <cellStyle name="20% - Accent2 3 12 3 4 2" xfId="4452"/>
    <cellStyle name="20% - Accent2 3 12 4" xfId="4453"/>
    <cellStyle name="20% - Accent2 3 12 4 2" xfId="4454"/>
    <cellStyle name="20% - Accent2 3 12 4 2 2" xfId="4455"/>
    <cellStyle name="20% - Accent2 3 12 4 2 2 2" xfId="4456"/>
    <cellStyle name="20% - Accent2 3 12 4 3" xfId="4457"/>
    <cellStyle name="20% - Accent2 3 12 4 3 2" xfId="4458"/>
    <cellStyle name="20% - Accent2 3 12 5" xfId="4459"/>
    <cellStyle name="20% - Accent2 3 12 5 2" xfId="4460"/>
    <cellStyle name="20% - Accent2 3 12 5 2 2" xfId="4461"/>
    <cellStyle name="20% - Accent2 3 12 6" xfId="4462"/>
    <cellStyle name="20% - Accent2 3 12 6 2" xfId="4463"/>
    <cellStyle name="20% - Accent2 3 13" xfId="4464"/>
    <cellStyle name="20% - Accent2 3 13 2" xfId="4465"/>
    <cellStyle name="20% - Accent2 3 13 2 2" xfId="4466"/>
    <cellStyle name="20% - Accent2 3 13 2 2 2" xfId="4467"/>
    <cellStyle name="20% - Accent2 3 13 2 2 2 2" xfId="4468"/>
    <cellStyle name="20% - Accent2 3 13 2 2 2 2 2" xfId="4469"/>
    <cellStyle name="20% - Accent2 3 13 2 2 2 2 2 2" xfId="4470"/>
    <cellStyle name="20% - Accent2 3 13 2 2 2 3" xfId="4471"/>
    <cellStyle name="20% - Accent2 3 13 2 2 2 3 2" xfId="4472"/>
    <cellStyle name="20% - Accent2 3 13 2 2 3" xfId="4473"/>
    <cellStyle name="20% - Accent2 3 13 2 2 3 2" xfId="4474"/>
    <cellStyle name="20% - Accent2 3 13 2 2 3 2 2" xfId="4475"/>
    <cellStyle name="20% - Accent2 3 13 2 2 4" xfId="4476"/>
    <cellStyle name="20% - Accent2 3 13 2 2 4 2" xfId="4477"/>
    <cellStyle name="20% - Accent2 3 13 2 3" xfId="4478"/>
    <cellStyle name="20% - Accent2 3 13 2 3 2" xfId="4479"/>
    <cellStyle name="20% - Accent2 3 13 2 3 2 2" xfId="4480"/>
    <cellStyle name="20% - Accent2 3 13 2 3 2 2 2" xfId="4481"/>
    <cellStyle name="20% - Accent2 3 13 2 3 3" xfId="4482"/>
    <cellStyle name="20% - Accent2 3 13 2 3 3 2" xfId="4483"/>
    <cellStyle name="20% - Accent2 3 13 2 4" xfId="4484"/>
    <cellStyle name="20% - Accent2 3 13 2 4 2" xfId="4485"/>
    <cellStyle name="20% - Accent2 3 13 2 4 2 2" xfId="4486"/>
    <cellStyle name="20% - Accent2 3 13 2 5" xfId="4487"/>
    <cellStyle name="20% - Accent2 3 13 2 5 2" xfId="4488"/>
    <cellStyle name="20% - Accent2 3 13 3" xfId="4489"/>
    <cellStyle name="20% - Accent2 3 13 3 2" xfId="4490"/>
    <cellStyle name="20% - Accent2 3 13 3 2 2" xfId="4491"/>
    <cellStyle name="20% - Accent2 3 13 3 2 2 2" xfId="4492"/>
    <cellStyle name="20% - Accent2 3 13 3 2 2 2 2" xfId="4493"/>
    <cellStyle name="20% - Accent2 3 13 3 2 3" xfId="4494"/>
    <cellStyle name="20% - Accent2 3 13 3 2 3 2" xfId="4495"/>
    <cellStyle name="20% - Accent2 3 13 3 3" xfId="4496"/>
    <cellStyle name="20% - Accent2 3 13 3 3 2" xfId="4497"/>
    <cellStyle name="20% - Accent2 3 13 3 3 2 2" xfId="4498"/>
    <cellStyle name="20% - Accent2 3 13 3 4" xfId="4499"/>
    <cellStyle name="20% - Accent2 3 13 3 4 2" xfId="4500"/>
    <cellStyle name="20% - Accent2 3 13 4" xfId="4501"/>
    <cellStyle name="20% - Accent2 3 13 4 2" xfId="4502"/>
    <cellStyle name="20% - Accent2 3 13 4 2 2" xfId="4503"/>
    <cellStyle name="20% - Accent2 3 13 4 2 2 2" xfId="4504"/>
    <cellStyle name="20% - Accent2 3 13 4 3" xfId="4505"/>
    <cellStyle name="20% - Accent2 3 13 4 3 2" xfId="4506"/>
    <cellStyle name="20% - Accent2 3 13 5" xfId="4507"/>
    <cellStyle name="20% - Accent2 3 13 5 2" xfId="4508"/>
    <cellStyle name="20% - Accent2 3 13 5 2 2" xfId="4509"/>
    <cellStyle name="20% - Accent2 3 13 6" xfId="4510"/>
    <cellStyle name="20% - Accent2 3 13 6 2" xfId="4511"/>
    <cellStyle name="20% - Accent2 3 14" xfId="4512"/>
    <cellStyle name="20% - Accent2 3 14 2" xfId="4513"/>
    <cellStyle name="20% - Accent2 3 14 2 2" xfId="4514"/>
    <cellStyle name="20% - Accent2 3 14 2 2 2" xfId="4515"/>
    <cellStyle name="20% - Accent2 3 14 2 2 2 2" xfId="4516"/>
    <cellStyle name="20% - Accent2 3 14 2 2 2 2 2" xfId="4517"/>
    <cellStyle name="20% - Accent2 3 14 2 2 3" xfId="4518"/>
    <cellStyle name="20% - Accent2 3 14 2 2 3 2" xfId="4519"/>
    <cellStyle name="20% - Accent2 3 14 2 3" xfId="4520"/>
    <cellStyle name="20% - Accent2 3 14 2 3 2" xfId="4521"/>
    <cellStyle name="20% - Accent2 3 14 2 3 2 2" xfId="4522"/>
    <cellStyle name="20% - Accent2 3 14 2 4" xfId="4523"/>
    <cellStyle name="20% - Accent2 3 14 2 4 2" xfId="4524"/>
    <cellStyle name="20% - Accent2 3 14 3" xfId="4525"/>
    <cellStyle name="20% - Accent2 3 14 3 2" xfId="4526"/>
    <cellStyle name="20% - Accent2 3 14 3 2 2" xfId="4527"/>
    <cellStyle name="20% - Accent2 3 14 3 2 2 2" xfId="4528"/>
    <cellStyle name="20% - Accent2 3 14 3 3" xfId="4529"/>
    <cellStyle name="20% - Accent2 3 14 3 3 2" xfId="4530"/>
    <cellStyle name="20% - Accent2 3 14 4" xfId="4531"/>
    <cellStyle name="20% - Accent2 3 14 4 2" xfId="4532"/>
    <cellStyle name="20% - Accent2 3 14 4 2 2" xfId="4533"/>
    <cellStyle name="20% - Accent2 3 14 5" xfId="4534"/>
    <cellStyle name="20% - Accent2 3 14 5 2" xfId="4535"/>
    <cellStyle name="20% - Accent2 3 15" xfId="4536"/>
    <cellStyle name="20% - Accent2 3 15 2" xfId="4537"/>
    <cellStyle name="20% - Accent2 3 15 2 2" xfId="4538"/>
    <cellStyle name="20% - Accent2 3 15 2 2 2" xfId="4539"/>
    <cellStyle name="20% - Accent2 3 15 2 2 2 2" xfId="4540"/>
    <cellStyle name="20% - Accent2 3 15 2 3" xfId="4541"/>
    <cellStyle name="20% - Accent2 3 15 2 3 2" xfId="4542"/>
    <cellStyle name="20% - Accent2 3 15 3" xfId="4543"/>
    <cellStyle name="20% - Accent2 3 15 3 2" xfId="4544"/>
    <cellStyle name="20% - Accent2 3 15 3 2 2" xfId="4545"/>
    <cellStyle name="20% - Accent2 3 15 4" xfId="4546"/>
    <cellStyle name="20% - Accent2 3 15 4 2" xfId="4547"/>
    <cellStyle name="20% - Accent2 3 16" xfId="4548"/>
    <cellStyle name="20% - Accent2 3 16 2" xfId="4549"/>
    <cellStyle name="20% - Accent2 3 16 2 2" xfId="4550"/>
    <cellStyle name="20% - Accent2 3 16 2 2 2" xfId="4551"/>
    <cellStyle name="20% - Accent2 3 16 3" xfId="4552"/>
    <cellStyle name="20% - Accent2 3 16 3 2" xfId="4553"/>
    <cellStyle name="20% - Accent2 3 17" xfId="4554"/>
    <cellStyle name="20% - Accent2 3 17 2" xfId="4555"/>
    <cellStyle name="20% - Accent2 3 17 2 2" xfId="4556"/>
    <cellStyle name="20% - Accent2 3 18" xfId="4557"/>
    <cellStyle name="20% - Accent2 3 18 2" xfId="4558"/>
    <cellStyle name="20% - Accent2 3 19" xfId="4559"/>
    <cellStyle name="20% - Accent2 3 2" xfId="4560"/>
    <cellStyle name="20% - Accent2 3 2 10" xfId="4561"/>
    <cellStyle name="20% - Accent2 3 2 11" xfId="4562"/>
    <cellStyle name="20% - Accent2 3 2 2" xfId="4563"/>
    <cellStyle name="20% - Accent2 3 2 2 2" xfId="4564"/>
    <cellStyle name="20% - Accent2 3 2 2 2 2" xfId="4565"/>
    <cellStyle name="20% - Accent2 3 2 2 2 2 2" xfId="4566"/>
    <cellStyle name="20% - Accent2 3 2 2 2 2 2 2" xfId="4567"/>
    <cellStyle name="20% - Accent2 3 2 2 2 2 2 2 2" xfId="4568"/>
    <cellStyle name="20% - Accent2 3 2 2 2 2 3" xfId="4569"/>
    <cellStyle name="20% - Accent2 3 2 2 2 2 3 2" xfId="4570"/>
    <cellStyle name="20% - Accent2 3 2 2 2 3" xfId="4571"/>
    <cellStyle name="20% - Accent2 3 2 2 2 3 2" xfId="4572"/>
    <cellStyle name="20% - Accent2 3 2 2 2 3 2 2" xfId="4573"/>
    <cellStyle name="20% - Accent2 3 2 2 2 4" xfId="4574"/>
    <cellStyle name="20% - Accent2 3 2 2 2 4 2" xfId="4575"/>
    <cellStyle name="20% - Accent2 3 2 2 3" xfId="4576"/>
    <cellStyle name="20% - Accent2 3 2 2 3 2" xfId="4577"/>
    <cellStyle name="20% - Accent2 3 2 2 3 2 2" xfId="4578"/>
    <cellStyle name="20% - Accent2 3 2 2 3 2 2 2" xfId="4579"/>
    <cellStyle name="20% - Accent2 3 2 2 3 3" xfId="4580"/>
    <cellStyle name="20% - Accent2 3 2 2 3 3 2" xfId="4581"/>
    <cellStyle name="20% - Accent2 3 2 2 4" xfId="4582"/>
    <cellStyle name="20% - Accent2 3 2 2 4 2" xfId="4583"/>
    <cellStyle name="20% - Accent2 3 2 2 4 2 2" xfId="4584"/>
    <cellStyle name="20% - Accent2 3 2 2 5" xfId="4585"/>
    <cellStyle name="20% - Accent2 3 2 2 5 2" xfId="4586"/>
    <cellStyle name="20% - Accent2 3 2 2 6" xfId="4587"/>
    <cellStyle name="20% - Accent2 3 2 2 7" xfId="4588"/>
    <cellStyle name="20% - Accent2 3 2 2 8" xfId="4589"/>
    <cellStyle name="20% - Accent2 3 2 3" xfId="4590"/>
    <cellStyle name="20% - Accent2 3 2 3 2" xfId="4591"/>
    <cellStyle name="20% - Accent2 3 2 3 2 2" xfId="4592"/>
    <cellStyle name="20% - Accent2 3 2 3 2 2 2" xfId="4593"/>
    <cellStyle name="20% - Accent2 3 2 3 2 2 2 2" xfId="4594"/>
    <cellStyle name="20% - Accent2 3 2 3 2 3" xfId="4595"/>
    <cellStyle name="20% - Accent2 3 2 3 2 3 2" xfId="4596"/>
    <cellStyle name="20% - Accent2 3 2 3 3" xfId="4597"/>
    <cellStyle name="20% - Accent2 3 2 3 3 2" xfId="4598"/>
    <cellStyle name="20% - Accent2 3 2 3 3 2 2" xfId="4599"/>
    <cellStyle name="20% - Accent2 3 2 3 4" xfId="4600"/>
    <cellStyle name="20% - Accent2 3 2 3 4 2" xfId="4601"/>
    <cellStyle name="20% - Accent2 3 2 3 5" xfId="4602"/>
    <cellStyle name="20% - Accent2 3 2 3 6" xfId="4603"/>
    <cellStyle name="20% - Accent2 3 2 3 7" xfId="4604"/>
    <cellStyle name="20% - Accent2 3 2 4" xfId="4605"/>
    <cellStyle name="20% - Accent2 3 2 4 2" xfId="4606"/>
    <cellStyle name="20% - Accent2 3 2 4 2 2" xfId="4607"/>
    <cellStyle name="20% - Accent2 3 2 4 2 2 2" xfId="4608"/>
    <cellStyle name="20% - Accent2 3 2 4 3" xfId="4609"/>
    <cellStyle name="20% - Accent2 3 2 4 3 2" xfId="4610"/>
    <cellStyle name="20% - Accent2 3 2 4 4" xfId="4611"/>
    <cellStyle name="20% - Accent2 3 2 5" xfId="4612"/>
    <cellStyle name="20% - Accent2 3 2 5 2" xfId="4613"/>
    <cellStyle name="20% - Accent2 3 2 5 2 2" xfId="4614"/>
    <cellStyle name="20% - Accent2 3 2 6" xfId="4615"/>
    <cellStyle name="20% - Accent2 3 2 6 2" xfId="4616"/>
    <cellStyle name="20% - Accent2 3 2 7" xfId="4617"/>
    <cellStyle name="20% - Accent2 3 2 8" xfId="4618"/>
    <cellStyle name="20% - Accent2 3 2 9" xfId="4619"/>
    <cellStyle name="20% - Accent2 3 20" xfId="4620"/>
    <cellStyle name="20% - Accent2 3 21" xfId="4621"/>
    <cellStyle name="20% - Accent2 3 22" xfId="4622"/>
    <cellStyle name="20% - Accent2 3 3" xfId="4623"/>
    <cellStyle name="20% - Accent2 3 3 10" xfId="4624"/>
    <cellStyle name="20% - Accent2 3 3 11" xfId="4625"/>
    <cellStyle name="20% - Accent2 3 3 2" xfId="4626"/>
    <cellStyle name="20% - Accent2 3 3 2 2" xfId="4627"/>
    <cellStyle name="20% - Accent2 3 3 2 2 2" xfId="4628"/>
    <cellStyle name="20% - Accent2 3 3 2 2 2 2" xfId="4629"/>
    <cellStyle name="20% - Accent2 3 3 2 2 2 2 2" xfId="4630"/>
    <cellStyle name="20% - Accent2 3 3 2 2 2 2 2 2" xfId="4631"/>
    <cellStyle name="20% - Accent2 3 3 2 2 2 3" xfId="4632"/>
    <cellStyle name="20% - Accent2 3 3 2 2 2 3 2" xfId="4633"/>
    <cellStyle name="20% - Accent2 3 3 2 2 3" xfId="4634"/>
    <cellStyle name="20% - Accent2 3 3 2 2 3 2" xfId="4635"/>
    <cellStyle name="20% - Accent2 3 3 2 2 3 2 2" xfId="4636"/>
    <cellStyle name="20% - Accent2 3 3 2 2 4" xfId="4637"/>
    <cellStyle name="20% - Accent2 3 3 2 2 4 2" xfId="4638"/>
    <cellStyle name="20% - Accent2 3 3 2 3" xfId="4639"/>
    <cellStyle name="20% - Accent2 3 3 2 3 2" xfId="4640"/>
    <cellStyle name="20% - Accent2 3 3 2 3 2 2" xfId="4641"/>
    <cellStyle name="20% - Accent2 3 3 2 3 2 2 2" xfId="4642"/>
    <cellStyle name="20% - Accent2 3 3 2 3 3" xfId="4643"/>
    <cellStyle name="20% - Accent2 3 3 2 3 3 2" xfId="4644"/>
    <cellStyle name="20% - Accent2 3 3 2 4" xfId="4645"/>
    <cellStyle name="20% - Accent2 3 3 2 4 2" xfId="4646"/>
    <cellStyle name="20% - Accent2 3 3 2 4 2 2" xfId="4647"/>
    <cellStyle name="20% - Accent2 3 3 2 5" xfId="4648"/>
    <cellStyle name="20% - Accent2 3 3 2 5 2" xfId="4649"/>
    <cellStyle name="20% - Accent2 3 3 2 6" xfId="4650"/>
    <cellStyle name="20% - Accent2 3 3 2 7" xfId="4651"/>
    <cellStyle name="20% - Accent2 3 3 2 8" xfId="4652"/>
    <cellStyle name="20% - Accent2 3 3 3" xfId="4653"/>
    <cellStyle name="20% - Accent2 3 3 3 2" xfId="4654"/>
    <cellStyle name="20% - Accent2 3 3 3 2 2" xfId="4655"/>
    <cellStyle name="20% - Accent2 3 3 3 2 2 2" xfId="4656"/>
    <cellStyle name="20% - Accent2 3 3 3 2 2 2 2" xfId="4657"/>
    <cellStyle name="20% - Accent2 3 3 3 2 3" xfId="4658"/>
    <cellStyle name="20% - Accent2 3 3 3 2 3 2" xfId="4659"/>
    <cellStyle name="20% - Accent2 3 3 3 3" xfId="4660"/>
    <cellStyle name="20% - Accent2 3 3 3 3 2" xfId="4661"/>
    <cellStyle name="20% - Accent2 3 3 3 3 2 2" xfId="4662"/>
    <cellStyle name="20% - Accent2 3 3 3 4" xfId="4663"/>
    <cellStyle name="20% - Accent2 3 3 3 4 2" xfId="4664"/>
    <cellStyle name="20% - Accent2 3 3 3 5" xfId="4665"/>
    <cellStyle name="20% - Accent2 3 3 3 6" xfId="4666"/>
    <cellStyle name="20% - Accent2 3 3 3 7" xfId="4667"/>
    <cellStyle name="20% - Accent2 3 3 4" xfId="4668"/>
    <cellStyle name="20% - Accent2 3 3 4 2" xfId="4669"/>
    <cellStyle name="20% - Accent2 3 3 4 2 2" xfId="4670"/>
    <cellStyle name="20% - Accent2 3 3 4 2 2 2" xfId="4671"/>
    <cellStyle name="20% - Accent2 3 3 4 3" xfId="4672"/>
    <cellStyle name="20% - Accent2 3 3 4 3 2" xfId="4673"/>
    <cellStyle name="20% - Accent2 3 3 4 4" xfId="4674"/>
    <cellStyle name="20% - Accent2 3 3 5" xfId="4675"/>
    <cellStyle name="20% - Accent2 3 3 5 2" xfId="4676"/>
    <cellStyle name="20% - Accent2 3 3 5 2 2" xfId="4677"/>
    <cellStyle name="20% - Accent2 3 3 6" xfId="4678"/>
    <cellStyle name="20% - Accent2 3 3 6 2" xfId="4679"/>
    <cellStyle name="20% - Accent2 3 3 7" xfId="4680"/>
    <cellStyle name="20% - Accent2 3 3 8" xfId="4681"/>
    <cellStyle name="20% - Accent2 3 3 9" xfId="4682"/>
    <cellStyle name="20% - Accent2 3 4" xfId="4683"/>
    <cellStyle name="20% - Accent2 3 4 2" xfId="4684"/>
    <cellStyle name="20% - Accent2 3 4 2 2" xfId="4685"/>
    <cellStyle name="20% - Accent2 3 4 2 2 2" xfId="4686"/>
    <cellStyle name="20% - Accent2 3 4 2 2 2 2" xfId="4687"/>
    <cellStyle name="20% - Accent2 3 4 2 2 2 2 2" xfId="4688"/>
    <cellStyle name="20% - Accent2 3 4 2 2 2 2 2 2" xfId="4689"/>
    <cellStyle name="20% - Accent2 3 4 2 2 2 3" xfId="4690"/>
    <cellStyle name="20% - Accent2 3 4 2 2 2 3 2" xfId="4691"/>
    <cellStyle name="20% - Accent2 3 4 2 2 3" xfId="4692"/>
    <cellStyle name="20% - Accent2 3 4 2 2 3 2" xfId="4693"/>
    <cellStyle name="20% - Accent2 3 4 2 2 3 2 2" xfId="4694"/>
    <cellStyle name="20% - Accent2 3 4 2 2 4" xfId="4695"/>
    <cellStyle name="20% - Accent2 3 4 2 2 4 2" xfId="4696"/>
    <cellStyle name="20% - Accent2 3 4 2 3" xfId="4697"/>
    <cellStyle name="20% - Accent2 3 4 2 3 2" xfId="4698"/>
    <cellStyle name="20% - Accent2 3 4 2 3 2 2" xfId="4699"/>
    <cellStyle name="20% - Accent2 3 4 2 3 2 2 2" xfId="4700"/>
    <cellStyle name="20% - Accent2 3 4 2 3 3" xfId="4701"/>
    <cellStyle name="20% - Accent2 3 4 2 3 3 2" xfId="4702"/>
    <cellStyle name="20% - Accent2 3 4 2 4" xfId="4703"/>
    <cellStyle name="20% - Accent2 3 4 2 4 2" xfId="4704"/>
    <cellStyle name="20% - Accent2 3 4 2 4 2 2" xfId="4705"/>
    <cellStyle name="20% - Accent2 3 4 2 5" xfId="4706"/>
    <cellStyle name="20% - Accent2 3 4 2 5 2" xfId="4707"/>
    <cellStyle name="20% - Accent2 3 4 3" xfId="4708"/>
    <cellStyle name="20% - Accent2 3 4 3 2" xfId="4709"/>
    <cellStyle name="20% - Accent2 3 4 3 2 2" xfId="4710"/>
    <cellStyle name="20% - Accent2 3 4 3 2 2 2" xfId="4711"/>
    <cellStyle name="20% - Accent2 3 4 3 2 2 2 2" xfId="4712"/>
    <cellStyle name="20% - Accent2 3 4 3 2 3" xfId="4713"/>
    <cellStyle name="20% - Accent2 3 4 3 2 3 2" xfId="4714"/>
    <cellStyle name="20% - Accent2 3 4 3 3" xfId="4715"/>
    <cellStyle name="20% - Accent2 3 4 3 3 2" xfId="4716"/>
    <cellStyle name="20% - Accent2 3 4 3 3 2 2" xfId="4717"/>
    <cellStyle name="20% - Accent2 3 4 3 4" xfId="4718"/>
    <cellStyle name="20% - Accent2 3 4 3 4 2" xfId="4719"/>
    <cellStyle name="20% - Accent2 3 4 4" xfId="4720"/>
    <cellStyle name="20% - Accent2 3 4 4 2" xfId="4721"/>
    <cellStyle name="20% - Accent2 3 4 4 2 2" xfId="4722"/>
    <cellStyle name="20% - Accent2 3 4 4 2 2 2" xfId="4723"/>
    <cellStyle name="20% - Accent2 3 4 4 3" xfId="4724"/>
    <cellStyle name="20% - Accent2 3 4 4 3 2" xfId="4725"/>
    <cellStyle name="20% - Accent2 3 4 5" xfId="4726"/>
    <cellStyle name="20% - Accent2 3 4 5 2" xfId="4727"/>
    <cellStyle name="20% - Accent2 3 4 5 2 2" xfId="4728"/>
    <cellStyle name="20% - Accent2 3 4 6" xfId="4729"/>
    <cellStyle name="20% - Accent2 3 4 6 2" xfId="4730"/>
    <cellStyle name="20% - Accent2 3 4 7" xfId="4731"/>
    <cellStyle name="20% - Accent2 3 5" xfId="4732"/>
    <cellStyle name="20% - Accent2 3 5 2" xfId="4733"/>
    <cellStyle name="20% - Accent2 3 5 2 2" xfId="4734"/>
    <cellStyle name="20% - Accent2 3 5 2 2 2" xfId="4735"/>
    <cellStyle name="20% - Accent2 3 5 2 2 2 2" xfId="4736"/>
    <cellStyle name="20% - Accent2 3 5 2 2 2 2 2" xfId="4737"/>
    <cellStyle name="20% - Accent2 3 5 2 2 2 2 2 2" xfId="4738"/>
    <cellStyle name="20% - Accent2 3 5 2 2 2 3" xfId="4739"/>
    <cellStyle name="20% - Accent2 3 5 2 2 2 3 2" xfId="4740"/>
    <cellStyle name="20% - Accent2 3 5 2 2 3" xfId="4741"/>
    <cellStyle name="20% - Accent2 3 5 2 2 3 2" xfId="4742"/>
    <cellStyle name="20% - Accent2 3 5 2 2 3 2 2" xfId="4743"/>
    <cellStyle name="20% - Accent2 3 5 2 2 4" xfId="4744"/>
    <cellStyle name="20% - Accent2 3 5 2 2 4 2" xfId="4745"/>
    <cellStyle name="20% - Accent2 3 5 2 3" xfId="4746"/>
    <cellStyle name="20% - Accent2 3 5 2 3 2" xfId="4747"/>
    <cellStyle name="20% - Accent2 3 5 2 3 2 2" xfId="4748"/>
    <cellStyle name="20% - Accent2 3 5 2 3 2 2 2" xfId="4749"/>
    <cellStyle name="20% - Accent2 3 5 2 3 3" xfId="4750"/>
    <cellStyle name="20% - Accent2 3 5 2 3 3 2" xfId="4751"/>
    <cellStyle name="20% - Accent2 3 5 2 4" xfId="4752"/>
    <cellStyle name="20% - Accent2 3 5 2 4 2" xfId="4753"/>
    <cellStyle name="20% - Accent2 3 5 2 4 2 2" xfId="4754"/>
    <cellStyle name="20% - Accent2 3 5 2 5" xfId="4755"/>
    <cellStyle name="20% - Accent2 3 5 2 5 2" xfId="4756"/>
    <cellStyle name="20% - Accent2 3 5 3" xfId="4757"/>
    <cellStyle name="20% - Accent2 3 5 3 2" xfId="4758"/>
    <cellStyle name="20% - Accent2 3 5 3 2 2" xfId="4759"/>
    <cellStyle name="20% - Accent2 3 5 3 2 2 2" xfId="4760"/>
    <cellStyle name="20% - Accent2 3 5 3 2 2 2 2" xfId="4761"/>
    <cellStyle name="20% - Accent2 3 5 3 2 3" xfId="4762"/>
    <cellStyle name="20% - Accent2 3 5 3 2 3 2" xfId="4763"/>
    <cellStyle name="20% - Accent2 3 5 3 3" xfId="4764"/>
    <cellStyle name="20% - Accent2 3 5 3 3 2" xfId="4765"/>
    <cellStyle name="20% - Accent2 3 5 3 3 2 2" xfId="4766"/>
    <cellStyle name="20% - Accent2 3 5 3 4" xfId="4767"/>
    <cellStyle name="20% - Accent2 3 5 3 4 2" xfId="4768"/>
    <cellStyle name="20% - Accent2 3 5 4" xfId="4769"/>
    <cellStyle name="20% - Accent2 3 5 4 2" xfId="4770"/>
    <cellStyle name="20% - Accent2 3 5 4 2 2" xfId="4771"/>
    <cellStyle name="20% - Accent2 3 5 4 2 2 2" xfId="4772"/>
    <cellStyle name="20% - Accent2 3 5 4 3" xfId="4773"/>
    <cellStyle name="20% - Accent2 3 5 4 3 2" xfId="4774"/>
    <cellStyle name="20% - Accent2 3 5 5" xfId="4775"/>
    <cellStyle name="20% - Accent2 3 5 5 2" xfId="4776"/>
    <cellStyle name="20% - Accent2 3 5 5 2 2" xfId="4777"/>
    <cellStyle name="20% - Accent2 3 5 6" xfId="4778"/>
    <cellStyle name="20% - Accent2 3 5 6 2" xfId="4779"/>
    <cellStyle name="20% - Accent2 3 5 7" xfId="4780"/>
    <cellStyle name="20% - Accent2 3 6" xfId="4781"/>
    <cellStyle name="20% - Accent2 3 6 2" xfId="4782"/>
    <cellStyle name="20% - Accent2 3 6 2 2" xfId="4783"/>
    <cellStyle name="20% - Accent2 3 6 2 2 2" xfId="4784"/>
    <cellStyle name="20% - Accent2 3 6 2 2 2 2" xfId="4785"/>
    <cellStyle name="20% - Accent2 3 6 2 2 2 2 2" xfId="4786"/>
    <cellStyle name="20% - Accent2 3 6 2 2 2 2 2 2" xfId="4787"/>
    <cellStyle name="20% - Accent2 3 6 2 2 2 3" xfId="4788"/>
    <cellStyle name="20% - Accent2 3 6 2 2 2 3 2" xfId="4789"/>
    <cellStyle name="20% - Accent2 3 6 2 2 3" xfId="4790"/>
    <cellStyle name="20% - Accent2 3 6 2 2 3 2" xfId="4791"/>
    <cellStyle name="20% - Accent2 3 6 2 2 3 2 2" xfId="4792"/>
    <cellStyle name="20% - Accent2 3 6 2 2 4" xfId="4793"/>
    <cellStyle name="20% - Accent2 3 6 2 2 4 2" xfId="4794"/>
    <cellStyle name="20% - Accent2 3 6 2 3" xfId="4795"/>
    <cellStyle name="20% - Accent2 3 6 2 3 2" xfId="4796"/>
    <cellStyle name="20% - Accent2 3 6 2 3 2 2" xfId="4797"/>
    <cellStyle name="20% - Accent2 3 6 2 3 2 2 2" xfId="4798"/>
    <cellStyle name="20% - Accent2 3 6 2 3 3" xfId="4799"/>
    <cellStyle name="20% - Accent2 3 6 2 3 3 2" xfId="4800"/>
    <cellStyle name="20% - Accent2 3 6 2 4" xfId="4801"/>
    <cellStyle name="20% - Accent2 3 6 2 4 2" xfId="4802"/>
    <cellStyle name="20% - Accent2 3 6 2 4 2 2" xfId="4803"/>
    <cellStyle name="20% - Accent2 3 6 2 5" xfId="4804"/>
    <cellStyle name="20% - Accent2 3 6 2 5 2" xfId="4805"/>
    <cellStyle name="20% - Accent2 3 6 3" xfId="4806"/>
    <cellStyle name="20% - Accent2 3 6 3 2" xfId="4807"/>
    <cellStyle name="20% - Accent2 3 6 3 2 2" xfId="4808"/>
    <cellStyle name="20% - Accent2 3 6 3 2 2 2" xfId="4809"/>
    <cellStyle name="20% - Accent2 3 6 3 2 2 2 2" xfId="4810"/>
    <cellStyle name="20% - Accent2 3 6 3 2 3" xfId="4811"/>
    <cellStyle name="20% - Accent2 3 6 3 2 3 2" xfId="4812"/>
    <cellStyle name="20% - Accent2 3 6 3 3" xfId="4813"/>
    <cellStyle name="20% - Accent2 3 6 3 3 2" xfId="4814"/>
    <cellStyle name="20% - Accent2 3 6 3 3 2 2" xfId="4815"/>
    <cellStyle name="20% - Accent2 3 6 3 4" xfId="4816"/>
    <cellStyle name="20% - Accent2 3 6 3 4 2" xfId="4817"/>
    <cellStyle name="20% - Accent2 3 6 4" xfId="4818"/>
    <cellStyle name="20% - Accent2 3 6 4 2" xfId="4819"/>
    <cellStyle name="20% - Accent2 3 6 4 2 2" xfId="4820"/>
    <cellStyle name="20% - Accent2 3 6 4 2 2 2" xfId="4821"/>
    <cellStyle name="20% - Accent2 3 6 4 3" xfId="4822"/>
    <cellStyle name="20% - Accent2 3 6 4 3 2" xfId="4823"/>
    <cellStyle name="20% - Accent2 3 6 5" xfId="4824"/>
    <cellStyle name="20% - Accent2 3 6 5 2" xfId="4825"/>
    <cellStyle name="20% - Accent2 3 6 5 2 2" xfId="4826"/>
    <cellStyle name="20% - Accent2 3 6 6" xfId="4827"/>
    <cellStyle name="20% - Accent2 3 6 6 2" xfId="4828"/>
    <cellStyle name="20% - Accent2 3 6 7" xfId="4829"/>
    <cellStyle name="20% - Accent2 3 7" xfId="4830"/>
    <cellStyle name="20% - Accent2 3 7 2" xfId="4831"/>
    <cellStyle name="20% - Accent2 3 7 2 2" xfId="4832"/>
    <cellStyle name="20% - Accent2 3 7 2 2 2" xfId="4833"/>
    <cellStyle name="20% - Accent2 3 7 2 2 2 2" xfId="4834"/>
    <cellStyle name="20% - Accent2 3 7 2 2 2 2 2" xfId="4835"/>
    <cellStyle name="20% - Accent2 3 7 2 2 2 2 2 2" xfId="4836"/>
    <cellStyle name="20% - Accent2 3 7 2 2 2 3" xfId="4837"/>
    <cellStyle name="20% - Accent2 3 7 2 2 2 3 2" xfId="4838"/>
    <cellStyle name="20% - Accent2 3 7 2 2 3" xfId="4839"/>
    <cellStyle name="20% - Accent2 3 7 2 2 3 2" xfId="4840"/>
    <cellStyle name="20% - Accent2 3 7 2 2 3 2 2" xfId="4841"/>
    <cellStyle name="20% - Accent2 3 7 2 2 4" xfId="4842"/>
    <cellStyle name="20% - Accent2 3 7 2 2 4 2" xfId="4843"/>
    <cellStyle name="20% - Accent2 3 7 2 3" xfId="4844"/>
    <cellStyle name="20% - Accent2 3 7 2 3 2" xfId="4845"/>
    <cellStyle name="20% - Accent2 3 7 2 3 2 2" xfId="4846"/>
    <cellStyle name="20% - Accent2 3 7 2 3 2 2 2" xfId="4847"/>
    <cellStyle name="20% - Accent2 3 7 2 3 3" xfId="4848"/>
    <cellStyle name="20% - Accent2 3 7 2 3 3 2" xfId="4849"/>
    <cellStyle name="20% - Accent2 3 7 2 4" xfId="4850"/>
    <cellStyle name="20% - Accent2 3 7 2 4 2" xfId="4851"/>
    <cellStyle name="20% - Accent2 3 7 2 4 2 2" xfId="4852"/>
    <cellStyle name="20% - Accent2 3 7 2 5" xfId="4853"/>
    <cellStyle name="20% - Accent2 3 7 2 5 2" xfId="4854"/>
    <cellStyle name="20% - Accent2 3 7 3" xfId="4855"/>
    <cellStyle name="20% - Accent2 3 7 3 2" xfId="4856"/>
    <cellStyle name="20% - Accent2 3 7 3 2 2" xfId="4857"/>
    <cellStyle name="20% - Accent2 3 7 3 2 2 2" xfId="4858"/>
    <cellStyle name="20% - Accent2 3 7 3 2 2 2 2" xfId="4859"/>
    <cellStyle name="20% - Accent2 3 7 3 2 3" xfId="4860"/>
    <cellStyle name="20% - Accent2 3 7 3 2 3 2" xfId="4861"/>
    <cellStyle name="20% - Accent2 3 7 3 3" xfId="4862"/>
    <cellStyle name="20% - Accent2 3 7 3 3 2" xfId="4863"/>
    <cellStyle name="20% - Accent2 3 7 3 3 2 2" xfId="4864"/>
    <cellStyle name="20% - Accent2 3 7 3 4" xfId="4865"/>
    <cellStyle name="20% - Accent2 3 7 3 4 2" xfId="4866"/>
    <cellStyle name="20% - Accent2 3 7 4" xfId="4867"/>
    <cellStyle name="20% - Accent2 3 7 4 2" xfId="4868"/>
    <cellStyle name="20% - Accent2 3 7 4 2 2" xfId="4869"/>
    <cellStyle name="20% - Accent2 3 7 4 2 2 2" xfId="4870"/>
    <cellStyle name="20% - Accent2 3 7 4 3" xfId="4871"/>
    <cellStyle name="20% - Accent2 3 7 4 3 2" xfId="4872"/>
    <cellStyle name="20% - Accent2 3 7 5" xfId="4873"/>
    <cellStyle name="20% - Accent2 3 7 5 2" xfId="4874"/>
    <cellStyle name="20% - Accent2 3 7 5 2 2" xfId="4875"/>
    <cellStyle name="20% - Accent2 3 7 6" xfId="4876"/>
    <cellStyle name="20% - Accent2 3 7 6 2" xfId="4877"/>
    <cellStyle name="20% - Accent2 3 7 7" xfId="4878"/>
    <cellStyle name="20% - Accent2 3 8" xfId="4879"/>
    <cellStyle name="20% - Accent2 3 8 2" xfId="4880"/>
    <cellStyle name="20% - Accent2 3 8 2 2" xfId="4881"/>
    <cellStyle name="20% - Accent2 3 8 2 2 2" xfId="4882"/>
    <cellStyle name="20% - Accent2 3 8 2 2 2 2" xfId="4883"/>
    <cellStyle name="20% - Accent2 3 8 2 2 2 2 2" xfId="4884"/>
    <cellStyle name="20% - Accent2 3 8 2 2 2 2 2 2" xfId="4885"/>
    <cellStyle name="20% - Accent2 3 8 2 2 2 3" xfId="4886"/>
    <cellStyle name="20% - Accent2 3 8 2 2 2 3 2" xfId="4887"/>
    <cellStyle name="20% - Accent2 3 8 2 2 3" xfId="4888"/>
    <cellStyle name="20% - Accent2 3 8 2 2 3 2" xfId="4889"/>
    <cellStyle name="20% - Accent2 3 8 2 2 3 2 2" xfId="4890"/>
    <cellStyle name="20% - Accent2 3 8 2 2 4" xfId="4891"/>
    <cellStyle name="20% - Accent2 3 8 2 2 4 2" xfId="4892"/>
    <cellStyle name="20% - Accent2 3 8 2 3" xfId="4893"/>
    <cellStyle name="20% - Accent2 3 8 2 3 2" xfId="4894"/>
    <cellStyle name="20% - Accent2 3 8 2 3 2 2" xfId="4895"/>
    <cellStyle name="20% - Accent2 3 8 2 3 2 2 2" xfId="4896"/>
    <cellStyle name="20% - Accent2 3 8 2 3 3" xfId="4897"/>
    <cellStyle name="20% - Accent2 3 8 2 3 3 2" xfId="4898"/>
    <cellStyle name="20% - Accent2 3 8 2 4" xfId="4899"/>
    <cellStyle name="20% - Accent2 3 8 2 4 2" xfId="4900"/>
    <cellStyle name="20% - Accent2 3 8 2 4 2 2" xfId="4901"/>
    <cellStyle name="20% - Accent2 3 8 2 5" xfId="4902"/>
    <cellStyle name="20% - Accent2 3 8 2 5 2" xfId="4903"/>
    <cellStyle name="20% - Accent2 3 8 3" xfId="4904"/>
    <cellStyle name="20% - Accent2 3 8 3 2" xfId="4905"/>
    <cellStyle name="20% - Accent2 3 8 3 2 2" xfId="4906"/>
    <cellStyle name="20% - Accent2 3 8 3 2 2 2" xfId="4907"/>
    <cellStyle name="20% - Accent2 3 8 3 2 2 2 2" xfId="4908"/>
    <cellStyle name="20% - Accent2 3 8 3 2 3" xfId="4909"/>
    <cellStyle name="20% - Accent2 3 8 3 2 3 2" xfId="4910"/>
    <cellStyle name="20% - Accent2 3 8 3 3" xfId="4911"/>
    <cellStyle name="20% - Accent2 3 8 3 3 2" xfId="4912"/>
    <cellStyle name="20% - Accent2 3 8 3 3 2 2" xfId="4913"/>
    <cellStyle name="20% - Accent2 3 8 3 4" xfId="4914"/>
    <cellStyle name="20% - Accent2 3 8 3 4 2" xfId="4915"/>
    <cellStyle name="20% - Accent2 3 8 4" xfId="4916"/>
    <cellStyle name="20% - Accent2 3 8 4 2" xfId="4917"/>
    <cellStyle name="20% - Accent2 3 8 4 2 2" xfId="4918"/>
    <cellStyle name="20% - Accent2 3 8 4 2 2 2" xfId="4919"/>
    <cellStyle name="20% - Accent2 3 8 4 3" xfId="4920"/>
    <cellStyle name="20% - Accent2 3 8 4 3 2" xfId="4921"/>
    <cellStyle name="20% - Accent2 3 8 5" xfId="4922"/>
    <cellStyle name="20% - Accent2 3 8 5 2" xfId="4923"/>
    <cellStyle name="20% - Accent2 3 8 5 2 2" xfId="4924"/>
    <cellStyle name="20% - Accent2 3 8 6" xfId="4925"/>
    <cellStyle name="20% - Accent2 3 8 6 2" xfId="4926"/>
    <cellStyle name="20% - Accent2 3 9" xfId="4927"/>
    <cellStyle name="20% - Accent2 3 9 2" xfId="4928"/>
    <cellStyle name="20% - Accent2 3 9 2 2" xfId="4929"/>
    <cellStyle name="20% - Accent2 3 9 2 2 2" xfId="4930"/>
    <cellStyle name="20% - Accent2 3 9 2 2 2 2" xfId="4931"/>
    <cellStyle name="20% - Accent2 3 9 2 2 2 2 2" xfId="4932"/>
    <cellStyle name="20% - Accent2 3 9 2 2 2 2 2 2" xfId="4933"/>
    <cellStyle name="20% - Accent2 3 9 2 2 2 3" xfId="4934"/>
    <cellStyle name="20% - Accent2 3 9 2 2 2 3 2" xfId="4935"/>
    <cellStyle name="20% - Accent2 3 9 2 2 3" xfId="4936"/>
    <cellStyle name="20% - Accent2 3 9 2 2 3 2" xfId="4937"/>
    <cellStyle name="20% - Accent2 3 9 2 2 3 2 2" xfId="4938"/>
    <cellStyle name="20% - Accent2 3 9 2 2 4" xfId="4939"/>
    <cellStyle name="20% - Accent2 3 9 2 2 4 2" xfId="4940"/>
    <cellStyle name="20% - Accent2 3 9 2 3" xfId="4941"/>
    <cellStyle name="20% - Accent2 3 9 2 3 2" xfId="4942"/>
    <cellStyle name="20% - Accent2 3 9 2 3 2 2" xfId="4943"/>
    <cellStyle name="20% - Accent2 3 9 2 3 2 2 2" xfId="4944"/>
    <cellStyle name="20% - Accent2 3 9 2 3 3" xfId="4945"/>
    <cellStyle name="20% - Accent2 3 9 2 3 3 2" xfId="4946"/>
    <cellStyle name="20% - Accent2 3 9 2 4" xfId="4947"/>
    <cellStyle name="20% - Accent2 3 9 2 4 2" xfId="4948"/>
    <cellStyle name="20% - Accent2 3 9 2 4 2 2" xfId="4949"/>
    <cellStyle name="20% - Accent2 3 9 2 5" xfId="4950"/>
    <cellStyle name="20% - Accent2 3 9 2 5 2" xfId="4951"/>
    <cellStyle name="20% - Accent2 3 9 3" xfId="4952"/>
    <cellStyle name="20% - Accent2 3 9 3 2" xfId="4953"/>
    <cellStyle name="20% - Accent2 3 9 3 2 2" xfId="4954"/>
    <cellStyle name="20% - Accent2 3 9 3 2 2 2" xfId="4955"/>
    <cellStyle name="20% - Accent2 3 9 3 2 2 2 2" xfId="4956"/>
    <cellStyle name="20% - Accent2 3 9 3 2 3" xfId="4957"/>
    <cellStyle name="20% - Accent2 3 9 3 2 3 2" xfId="4958"/>
    <cellStyle name="20% - Accent2 3 9 3 3" xfId="4959"/>
    <cellStyle name="20% - Accent2 3 9 3 3 2" xfId="4960"/>
    <cellStyle name="20% - Accent2 3 9 3 3 2 2" xfId="4961"/>
    <cellStyle name="20% - Accent2 3 9 3 4" xfId="4962"/>
    <cellStyle name="20% - Accent2 3 9 3 4 2" xfId="4963"/>
    <cellStyle name="20% - Accent2 3 9 4" xfId="4964"/>
    <cellStyle name="20% - Accent2 3 9 4 2" xfId="4965"/>
    <cellStyle name="20% - Accent2 3 9 4 2 2" xfId="4966"/>
    <cellStyle name="20% - Accent2 3 9 4 2 2 2" xfId="4967"/>
    <cellStyle name="20% - Accent2 3 9 4 3" xfId="4968"/>
    <cellStyle name="20% - Accent2 3 9 4 3 2" xfId="4969"/>
    <cellStyle name="20% - Accent2 3 9 5" xfId="4970"/>
    <cellStyle name="20% - Accent2 3 9 5 2" xfId="4971"/>
    <cellStyle name="20% - Accent2 3 9 5 2 2" xfId="4972"/>
    <cellStyle name="20% - Accent2 3 9 6" xfId="4973"/>
    <cellStyle name="20% - Accent2 3 9 6 2" xfId="4974"/>
    <cellStyle name="20% - Accent2 3 9 7" xfId="4975"/>
    <cellStyle name="20% - Accent2 3 9 8" xfId="4976"/>
    <cellStyle name="20% - Accent2 3 9 9" xfId="4977"/>
    <cellStyle name="20% - Accent2 30" xfId="4978"/>
    <cellStyle name="20% - Accent2 30 2" xfId="4979"/>
    <cellStyle name="20% - Accent2 30 2 2" xfId="4980"/>
    <cellStyle name="20% - Accent2 30 2 2 2" xfId="4981"/>
    <cellStyle name="20% - Accent2 30 3" xfId="4982"/>
    <cellStyle name="20% - Accent2 30 3 2" xfId="4983"/>
    <cellStyle name="20% - Accent2 30 4" xfId="4984"/>
    <cellStyle name="20% - Accent2 31" xfId="4985"/>
    <cellStyle name="20% - Accent2 31 2" xfId="4986"/>
    <cellStyle name="20% - Accent2 31 2 2" xfId="4987"/>
    <cellStyle name="20% - Accent2 31 2 2 2" xfId="4988"/>
    <cellStyle name="20% - Accent2 31 3" xfId="4989"/>
    <cellStyle name="20% - Accent2 31 3 2" xfId="4990"/>
    <cellStyle name="20% - Accent2 31 4" xfId="4991"/>
    <cellStyle name="20% - Accent2 32" xfId="4992"/>
    <cellStyle name="20% - Accent2 32 2" xfId="4993"/>
    <cellStyle name="20% - Accent2 32 2 2" xfId="4994"/>
    <cellStyle name="20% - Accent2 32 3" xfId="4995"/>
    <cellStyle name="20% - Accent2 33" xfId="4996"/>
    <cellStyle name="20% - Accent2 33 2" xfId="4997"/>
    <cellStyle name="20% - Accent2 33 2 2" xfId="4998"/>
    <cellStyle name="20% - Accent2 33 3" xfId="4999"/>
    <cellStyle name="20% - Accent2 34" xfId="5000"/>
    <cellStyle name="20% - Accent2 34 2" xfId="5001"/>
    <cellStyle name="20% - Accent2 34 2 2" xfId="5002"/>
    <cellStyle name="20% - Accent2 34 3" xfId="5003"/>
    <cellStyle name="20% - Accent2 35" xfId="5004"/>
    <cellStyle name="20% - Accent2 35 2" xfId="5005"/>
    <cellStyle name="20% - Accent2 35 3" xfId="5006"/>
    <cellStyle name="20% - Accent2 36" xfId="5007"/>
    <cellStyle name="20% - Accent2 36 2" xfId="5008"/>
    <cellStyle name="20% - Accent2 36 2 2" xfId="5009"/>
    <cellStyle name="20% - Accent2 36 2 3" xfId="5010"/>
    <cellStyle name="20% - Accent2 36 2 4" xfId="5011"/>
    <cellStyle name="20% - Accent2 36 3" xfId="5012"/>
    <cellStyle name="20% - Accent2 36 3 2" xfId="5013"/>
    <cellStyle name="20% - Accent2 36 3 3" xfId="5014"/>
    <cellStyle name="20% - Accent2 36 4" xfId="5015"/>
    <cellStyle name="20% - Accent2 36 4 2" xfId="5016"/>
    <cellStyle name="20% - Accent2 36 5" xfId="5017"/>
    <cellStyle name="20% - Accent2 36 6" xfId="5018"/>
    <cellStyle name="20% - Accent2 36 7" xfId="5019"/>
    <cellStyle name="20% - Accent2 37" xfId="5020"/>
    <cellStyle name="20% - Accent2 38" xfId="5021"/>
    <cellStyle name="20% - Accent2 39" xfId="5022"/>
    <cellStyle name="20% - Accent2 4" xfId="5023"/>
    <cellStyle name="20% - Accent2 4 10" xfId="5024"/>
    <cellStyle name="20% - Accent2 4 10 2" xfId="5025"/>
    <cellStyle name="20% - Accent2 4 10 2 2" xfId="5026"/>
    <cellStyle name="20% - Accent2 4 10 2 2 2" xfId="5027"/>
    <cellStyle name="20% - Accent2 4 10 2 2 2 2" xfId="5028"/>
    <cellStyle name="20% - Accent2 4 10 2 2 2 2 2" xfId="5029"/>
    <cellStyle name="20% - Accent2 4 10 2 2 2 2 2 2" xfId="5030"/>
    <cellStyle name="20% - Accent2 4 10 2 2 2 3" xfId="5031"/>
    <cellStyle name="20% - Accent2 4 10 2 2 2 3 2" xfId="5032"/>
    <cellStyle name="20% - Accent2 4 10 2 2 3" xfId="5033"/>
    <cellStyle name="20% - Accent2 4 10 2 2 3 2" xfId="5034"/>
    <cellStyle name="20% - Accent2 4 10 2 2 3 2 2" xfId="5035"/>
    <cellStyle name="20% - Accent2 4 10 2 2 4" xfId="5036"/>
    <cellStyle name="20% - Accent2 4 10 2 2 4 2" xfId="5037"/>
    <cellStyle name="20% - Accent2 4 10 2 3" xfId="5038"/>
    <cellStyle name="20% - Accent2 4 10 2 3 2" xfId="5039"/>
    <cellStyle name="20% - Accent2 4 10 2 3 2 2" xfId="5040"/>
    <cellStyle name="20% - Accent2 4 10 2 3 2 2 2" xfId="5041"/>
    <cellStyle name="20% - Accent2 4 10 2 3 3" xfId="5042"/>
    <cellStyle name="20% - Accent2 4 10 2 3 3 2" xfId="5043"/>
    <cellStyle name="20% - Accent2 4 10 2 4" xfId="5044"/>
    <cellStyle name="20% - Accent2 4 10 2 4 2" xfId="5045"/>
    <cellStyle name="20% - Accent2 4 10 2 4 2 2" xfId="5046"/>
    <cellStyle name="20% - Accent2 4 10 2 5" xfId="5047"/>
    <cellStyle name="20% - Accent2 4 10 2 5 2" xfId="5048"/>
    <cellStyle name="20% - Accent2 4 10 3" xfId="5049"/>
    <cellStyle name="20% - Accent2 4 10 3 2" xfId="5050"/>
    <cellStyle name="20% - Accent2 4 10 3 2 2" xfId="5051"/>
    <cellStyle name="20% - Accent2 4 10 3 2 2 2" xfId="5052"/>
    <cellStyle name="20% - Accent2 4 10 3 2 2 2 2" xfId="5053"/>
    <cellStyle name="20% - Accent2 4 10 3 2 3" xfId="5054"/>
    <cellStyle name="20% - Accent2 4 10 3 2 3 2" xfId="5055"/>
    <cellStyle name="20% - Accent2 4 10 3 3" xfId="5056"/>
    <cellStyle name="20% - Accent2 4 10 3 3 2" xfId="5057"/>
    <cellStyle name="20% - Accent2 4 10 3 3 2 2" xfId="5058"/>
    <cellStyle name="20% - Accent2 4 10 3 4" xfId="5059"/>
    <cellStyle name="20% - Accent2 4 10 3 4 2" xfId="5060"/>
    <cellStyle name="20% - Accent2 4 10 4" xfId="5061"/>
    <cellStyle name="20% - Accent2 4 10 4 2" xfId="5062"/>
    <cellStyle name="20% - Accent2 4 10 4 2 2" xfId="5063"/>
    <cellStyle name="20% - Accent2 4 10 4 2 2 2" xfId="5064"/>
    <cellStyle name="20% - Accent2 4 10 4 3" xfId="5065"/>
    <cellStyle name="20% - Accent2 4 10 4 3 2" xfId="5066"/>
    <cellStyle name="20% - Accent2 4 10 5" xfId="5067"/>
    <cellStyle name="20% - Accent2 4 10 5 2" xfId="5068"/>
    <cellStyle name="20% - Accent2 4 10 5 2 2" xfId="5069"/>
    <cellStyle name="20% - Accent2 4 10 6" xfId="5070"/>
    <cellStyle name="20% - Accent2 4 10 6 2" xfId="5071"/>
    <cellStyle name="20% - Accent2 4 10 7" xfId="5072"/>
    <cellStyle name="20% - Accent2 4 10 8" xfId="5073"/>
    <cellStyle name="20% - Accent2 4 10 9" xfId="5074"/>
    <cellStyle name="20% - Accent2 4 11" xfId="5075"/>
    <cellStyle name="20% - Accent2 4 11 2" xfId="5076"/>
    <cellStyle name="20% - Accent2 4 11 2 2" xfId="5077"/>
    <cellStyle name="20% - Accent2 4 11 2 2 2" xfId="5078"/>
    <cellStyle name="20% - Accent2 4 11 2 2 2 2" xfId="5079"/>
    <cellStyle name="20% - Accent2 4 11 2 2 2 2 2" xfId="5080"/>
    <cellStyle name="20% - Accent2 4 11 2 2 2 2 2 2" xfId="5081"/>
    <cellStyle name="20% - Accent2 4 11 2 2 2 3" xfId="5082"/>
    <cellStyle name="20% - Accent2 4 11 2 2 2 3 2" xfId="5083"/>
    <cellStyle name="20% - Accent2 4 11 2 2 3" xfId="5084"/>
    <cellStyle name="20% - Accent2 4 11 2 2 3 2" xfId="5085"/>
    <cellStyle name="20% - Accent2 4 11 2 2 3 2 2" xfId="5086"/>
    <cellStyle name="20% - Accent2 4 11 2 2 4" xfId="5087"/>
    <cellStyle name="20% - Accent2 4 11 2 2 4 2" xfId="5088"/>
    <cellStyle name="20% - Accent2 4 11 2 3" xfId="5089"/>
    <cellStyle name="20% - Accent2 4 11 2 3 2" xfId="5090"/>
    <cellStyle name="20% - Accent2 4 11 2 3 2 2" xfId="5091"/>
    <cellStyle name="20% - Accent2 4 11 2 3 2 2 2" xfId="5092"/>
    <cellStyle name="20% - Accent2 4 11 2 3 3" xfId="5093"/>
    <cellStyle name="20% - Accent2 4 11 2 3 3 2" xfId="5094"/>
    <cellStyle name="20% - Accent2 4 11 2 4" xfId="5095"/>
    <cellStyle name="20% - Accent2 4 11 2 4 2" xfId="5096"/>
    <cellStyle name="20% - Accent2 4 11 2 4 2 2" xfId="5097"/>
    <cellStyle name="20% - Accent2 4 11 2 5" xfId="5098"/>
    <cellStyle name="20% - Accent2 4 11 2 5 2" xfId="5099"/>
    <cellStyle name="20% - Accent2 4 11 3" xfId="5100"/>
    <cellStyle name="20% - Accent2 4 11 3 2" xfId="5101"/>
    <cellStyle name="20% - Accent2 4 11 3 2 2" xfId="5102"/>
    <cellStyle name="20% - Accent2 4 11 3 2 2 2" xfId="5103"/>
    <cellStyle name="20% - Accent2 4 11 3 2 2 2 2" xfId="5104"/>
    <cellStyle name="20% - Accent2 4 11 3 2 3" xfId="5105"/>
    <cellStyle name="20% - Accent2 4 11 3 2 3 2" xfId="5106"/>
    <cellStyle name="20% - Accent2 4 11 3 3" xfId="5107"/>
    <cellStyle name="20% - Accent2 4 11 3 3 2" xfId="5108"/>
    <cellStyle name="20% - Accent2 4 11 3 3 2 2" xfId="5109"/>
    <cellStyle name="20% - Accent2 4 11 3 4" xfId="5110"/>
    <cellStyle name="20% - Accent2 4 11 3 4 2" xfId="5111"/>
    <cellStyle name="20% - Accent2 4 11 4" xfId="5112"/>
    <cellStyle name="20% - Accent2 4 11 4 2" xfId="5113"/>
    <cellStyle name="20% - Accent2 4 11 4 2 2" xfId="5114"/>
    <cellStyle name="20% - Accent2 4 11 4 2 2 2" xfId="5115"/>
    <cellStyle name="20% - Accent2 4 11 4 3" xfId="5116"/>
    <cellStyle name="20% - Accent2 4 11 4 3 2" xfId="5117"/>
    <cellStyle name="20% - Accent2 4 11 5" xfId="5118"/>
    <cellStyle name="20% - Accent2 4 11 5 2" xfId="5119"/>
    <cellStyle name="20% - Accent2 4 11 5 2 2" xfId="5120"/>
    <cellStyle name="20% - Accent2 4 11 6" xfId="5121"/>
    <cellStyle name="20% - Accent2 4 11 6 2" xfId="5122"/>
    <cellStyle name="20% - Accent2 4 11 7" xfId="5123"/>
    <cellStyle name="20% - Accent2 4 12" xfId="5124"/>
    <cellStyle name="20% - Accent2 4 12 2" xfId="5125"/>
    <cellStyle name="20% - Accent2 4 12 2 2" xfId="5126"/>
    <cellStyle name="20% - Accent2 4 12 2 2 2" xfId="5127"/>
    <cellStyle name="20% - Accent2 4 12 2 2 2 2" xfId="5128"/>
    <cellStyle name="20% - Accent2 4 12 2 2 2 2 2" xfId="5129"/>
    <cellStyle name="20% - Accent2 4 12 2 2 2 2 2 2" xfId="5130"/>
    <cellStyle name="20% - Accent2 4 12 2 2 2 3" xfId="5131"/>
    <cellStyle name="20% - Accent2 4 12 2 2 2 3 2" xfId="5132"/>
    <cellStyle name="20% - Accent2 4 12 2 2 3" xfId="5133"/>
    <cellStyle name="20% - Accent2 4 12 2 2 3 2" xfId="5134"/>
    <cellStyle name="20% - Accent2 4 12 2 2 3 2 2" xfId="5135"/>
    <cellStyle name="20% - Accent2 4 12 2 2 4" xfId="5136"/>
    <cellStyle name="20% - Accent2 4 12 2 2 4 2" xfId="5137"/>
    <cellStyle name="20% - Accent2 4 12 2 3" xfId="5138"/>
    <cellStyle name="20% - Accent2 4 12 2 3 2" xfId="5139"/>
    <cellStyle name="20% - Accent2 4 12 2 3 2 2" xfId="5140"/>
    <cellStyle name="20% - Accent2 4 12 2 3 2 2 2" xfId="5141"/>
    <cellStyle name="20% - Accent2 4 12 2 3 3" xfId="5142"/>
    <cellStyle name="20% - Accent2 4 12 2 3 3 2" xfId="5143"/>
    <cellStyle name="20% - Accent2 4 12 2 4" xfId="5144"/>
    <cellStyle name="20% - Accent2 4 12 2 4 2" xfId="5145"/>
    <cellStyle name="20% - Accent2 4 12 2 4 2 2" xfId="5146"/>
    <cellStyle name="20% - Accent2 4 12 2 5" xfId="5147"/>
    <cellStyle name="20% - Accent2 4 12 2 5 2" xfId="5148"/>
    <cellStyle name="20% - Accent2 4 12 3" xfId="5149"/>
    <cellStyle name="20% - Accent2 4 12 3 2" xfId="5150"/>
    <cellStyle name="20% - Accent2 4 12 3 2 2" xfId="5151"/>
    <cellStyle name="20% - Accent2 4 12 3 2 2 2" xfId="5152"/>
    <cellStyle name="20% - Accent2 4 12 3 2 2 2 2" xfId="5153"/>
    <cellStyle name="20% - Accent2 4 12 3 2 3" xfId="5154"/>
    <cellStyle name="20% - Accent2 4 12 3 2 3 2" xfId="5155"/>
    <cellStyle name="20% - Accent2 4 12 3 3" xfId="5156"/>
    <cellStyle name="20% - Accent2 4 12 3 3 2" xfId="5157"/>
    <cellStyle name="20% - Accent2 4 12 3 3 2 2" xfId="5158"/>
    <cellStyle name="20% - Accent2 4 12 3 4" xfId="5159"/>
    <cellStyle name="20% - Accent2 4 12 3 4 2" xfId="5160"/>
    <cellStyle name="20% - Accent2 4 12 4" xfId="5161"/>
    <cellStyle name="20% - Accent2 4 12 4 2" xfId="5162"/>
    <cellStyle name="20% - Accent2 4 12 4 2 2" xfId="5163"/>
    <cellStyle name="20% - Accent2 4 12 4 2 2 2" xfId="5164"/>
    <cellStyle name="20% - Accent2 4 12 4 3" xfId="5165"/>
    <cellStyle name="20% - Accent2 4 12 4 3 2" xfId="5166"/>
    <cellStyle name="20% - Accent2 4 12 5" xfId="5167"/>
    <cellStyle name="20% - Accent2 4 12 5 2" xfId="5168"/>
    <cellStyle name="20% - Accent2 4 12 5 2 2" xfId="5169"/>
    <cellStyle name="20% - Accent2 4 12 6" xfId="5170"/>
    <cellStyle name="20% - Accent2 4 12 6 2" xfId="5171"/>
    <cellStyle name="20% - Accent2 4 13" xfId="5172"/>
    <cellStyle name="20% - Accent2 4 13 2" xfId="5173"/>
    <cellStyle name="20% - Accent2 4 13 2 2" xfId="5174"/>
    <cellStyle name="20% - Accent2 4 13 2 2 2" xfId="5175"/>
    <cellStyle name="20% - Accent2 4 13 2 2 2 2" xfId="5176"/>
    <cellStyle name="20% - Accent2 4 13 2 2 2 2 2" xfId="5177"/>
    <cellStyle name="20% - Accent2 4 13 2 2 2 2 2 2" xfId="5178"/>
    <cellStyle name="20% - Accent2 4 13 2 2 2 3" xfId="5179"/>
    <cellStyle name="20% - Accent2 4 13 2 2 2 3 2" xfId="5180"/>
    <cellStyle name="20% - Accent2 4 13 2 2 3" xfId="5181"/>
    <cellStyle name="20% - Accent2 4 13 2 2 3 2" xfId="5182"/>
    <cellStyle name="20% - Accent2 4 13 2 2 3 2 2" xfId="5183"/>
    <cellStyle name="20% - Accent2 4 13 2 2 4" xfId="5184"/>
    <cellStyle name="20% - Accent2 4 13 2 2 4 2" xfId="5185"/>
    <cellStyle name="20% - Accent2 4 13 2 3" xfId="5186"/>
    <cellStyle name="20% - Accent2 4 13 2 3 2" xfId="5187"/>
    <cellStyle name="20% - Accent2 4 13 2 3 2 2" xfId="5188"/>
    <cellStyle name="20% - Accent2 4 13 2 3 2 2 2" xfId="5189"/>
    <cellStyle name="20% - Accent2 4 13 2 3 3" xfId="5190"/>
    <cellStyle name="20% - Accent2 4 13 2 3 3 2" xfId="5191"/>
    <cellStyle name="20% - Accent2 4 13 2 4" xfId="5192"/>
    <cellStyle name="20% - Accent2 4 13 2 4 2" xfId="5193"/>
    <cellStyle name="20% - Accent2 4 13 2 4 2 2" xfId="5194"/>
    <cellStyle name="20% - Accent2 4 13 2 5" xfId="5195"/>
    <cellStyle name="20% - Accent2 4 13 2 5 2" xfId="5196"/>
    <cellStyle name="20% - Accent2 4 13 3" xfId="5197"/>
    <cellStyle name="20% - Accent2 4 13 3 2" xfId="5198"/>
    <cellStyle name="20% - Accent2 4 13 3 2 2" xfId="5199"/>
    <cellStyle name="20% - Accent2 4 13 3 2 2 2" xfId="5200"/>
    <cellStyle name="20% - Accent2 4 13 3 2 2 2 2" xfId="5201"/>
    <cellStyle name="20% - Accent2 4 13 3 2 3" xfId="5202"/>
    <cellStyle name="20% - Accent2 4 13 3 2 3 2" xfId="5203"/>
    <cellStyle name="20% - Accent2 4 13 3 3" xfId="5204"/>
    <cellStyle name="20% - Accent2 4 13 3 3 2" xfId="5205"/>
    <cellStyle name="20% - Accent2 4 13 3 3 2 2" xfId="5206"/>
    <cellStyle name="20% - Accent2 4 13 3 4" xfId="5207"/>
    <cellStyle name="20% - Accent2 4 13 3 4 2" xfId="5208"/>
    <cellStyle name="20% - Accent2 4 13 4" xfId="5209"/>
    <cellStyle name="20% - Accent2 4 13 4 2" xfId="5210"/>
    <cellStyle name="20% - Accent2 4 13 4 2 2" xfId="5211"/>
    <cellStyle name="20% - Accent2 4 13 4 2 2 2" xfId="5212"/>
    <cellStyle name="20% - Accent2 4 13 4 3" xfId="5213"/>
    <cellStyle name="20% - Accent2 4 13 4 3 2" xfId="5214"/>
    <cellStyle name="20% - Accent2 4 13 5" xfId="5215"/>
    <cellStyle name="20% - Accent2 4 13 5 2" xfId="5216"/>
    <cellStyle name="20% - Accent2 4 13 5 2 2" xfId="5217"/>
    <cellStyle name="20% - Accent2 4 13 6" xfId="5218"/>
    <cellStyle name="20% - Accent2 4 13 6 2" xfId="5219"/>
    <cellStyle name="20% - Accent2 4 14" xfId="5220"/>
    <cellStyle name="20% - Accent2 4 15" xfId="5221"/>
    <cellStyle name="20% - Accent2 4 16" xfId="5222"/>
    <cellStyle name="20% - Accent2 4 17" xfId="5223"/>
    <cellStyle name="20% - Accent2 4 18" xfId="5224"/>
    <cellStyle name="20% - Accent2 4 2" xfId="5225"/>
    <cellStyle name="20% - Accent2 4 2 10" xfId="5226"/>
    <cellStyle name="20% - Accent2 4 2 11" xfId="5227"/>
    <cellStyle name="20% - Accent2 4 2 2" xfId="5228"/>
    <cellStyle name="20% - Accent2 4 2 2 2" xfId="5229"/>
    <cellStyle name="20% - Accent2 4 2 2 2 2" xfId="5230"/>
    <cellStyle name="20% - Accent2 4 2 2 2 2 2" xfId="5231"/>
    <cellStyle name="20% - Accent2 4 2 2 2 2 2 2" xfId="5232"/>
    <cellStyle name="20% - Accent2 4 2 2 2 2 2 2 2" xfId="5233"/>
    <cellStyle name="20% - Accent2 4 2 2 2 2 3" xfId="5234"/>
    <cellStyle name="20% - Accent2 4 2 2 2 2 3 2" xfId="5235"/>
    <cellStyle name="20% - Accent2 4 2 2 2 3" xfId="5236"/>
    <cellStyle name="20% - Accent2 4 2 2 2 3 2" xfId="5237"/>
    <cellStyle name="20% - Accent2 4 2 2 2 3 2 2" xfId="5238"/>
    <cellStyle name="20% - Accent2 4 2 2 2 4" xfId="5239"/>
    <cellStyle name="20% - Accent2 4 2 2 2 4 2" xfId="5240"/>
    <cellStyle name="20% - Accent2 4 2 2 3" xfId="5241"/>
    <cellStyle name="20% - Accent2 4 2 2 3 2" xfId="5242"/>
    <cellStyle name="20% - Accent2 4 2 2 3 2 2" xfId="5243"/>
    <cellStyle name="20% - Accent2 4 2 2 3 2 2 2" xfId="5244"/>
    <cellStyle name="20% - Accent2 4 2 2 3 3" xfId="5245"/>
    <cellStyle name="20% - Accent2 4 2 2 3 3 2" xfId="5246"/>
    <cellStyle name="20% - Accent2 4 2 2 4" xfId="5247"/>
    <cellStyle name="20% - Accent2 4 2 2 4 2" xfId="5248"/>
    <cellStyle name="20% - Accent2 4 2 2 4 2 2" xfId="5249"/>
    <cellStyle name="20% - Accent2 4 2 2 5" xfId="5250"/>
    <cellStyle name="20% - Accent2 4 2 2 5 2" xfId="5251"/>
    <cellStyle name="20% - Accent2 4 2 2 6" xfId="5252"/>
    <cellStyle name="20% - Accent2 4 2 2 7" xfId="5253"/>
    <cellStyle name="20% - Accent2 4 2 2 8" xfId="5254"/>
    <cellStyle name="20% - Accent2 4 2 3" xfId="5255"/>
    <cellStyle name="20% - Accent2 4 2 3 2" xfId="5256"/>
    <cellStyle name="20% - Accent2 4 2 3 2 2" xfId="5257"/>
    <cellStyle name="20% - Accent2 4 2 3 2 2 2" xfId="5258"/>
    <cellStyle name="20% - Accent2 4 2 3 2 2 2 2" xfId="5259"/>
    <cellStyle name="20% - Accent2 4 2 3 2 3" xfId="5260"/>
    <cellStyle name="20% - Accent2 4 2 3 2 3 2" xfId="5261"/>
    <cellStyle name="20% - Accent2 4 2 3 3" xfId="5262"/>
    <cellStyle name="20% - Accent2 4 2 3 3 2" xfId="5263"/>
    <cellStyle name="20% - Accent2 4 2 3 3 2 2" xfId="5264"/>
    <cellStyle name="20% - Accent2 4 2 3 4" xfId="5265"/>
    <cellStyle name="20% - Accent2 4 2 3 4 2" xfId="5266"/>
    <cellStyle name="20% - Accent2 4 2 3 5" xfId="5267"/>
    <cellStyle name="20% - Accent2 4 2 3 6" xfId="5268"/>
    <cellStyle name="20% - Accent2 4 2 3 7" xfId="5269"/>
    <cellStyle name="20% - Accent2 4 2 4" xfId="5270"/>
    <cellStyle name="20% - Accent2 4 2 4 2" xfId="5271"/>
    <cellStyle name="20% - Accent2 4 2 4 2 2" xfId="5272"/>
    <cellStyle name="20% - Accent2 4 2 4 2 2 2" xfId="5273"/>
    <cellStyle name="20% - Accent2 4 2 4 3" xfId="5274"/>
    <cellStyle name="20% - Accent2 4 2 4 3 2" xfId="5275"/>
    <cellStyle name="20% - Accent2 4 2 4 4" xfId="5276"/>
    <cellStyle name="20% - Accent2 4 2 5" xfId="5277"/>
    <cellStyle name="20% - Accent2 4 2 5 2" xfId="5278"/>
    <cellStyle name="20% - Accent2 4 2 5 2 2" xfId="5279"/>
    <cellStyle name="20% - Accent2 4 2 6" xfId="5280"/>
    <cellStyle name="20% - Accent2 4 2 6 2" xfId="5281"/>
    <cellStyle name="20% - Accent2 4 2 7" xfId="5282"/>
    <cellStyle name="20% - Accent2 4 2 8" xfId="5283"/>
    <cellStyle name="20% - Accent2 4 2 9" xfId="5284"/>
    <cellStyle name="20% - Accent2 4 3" xfId="5285"/>
    <cellStyle name="20% - Accent2 4 3 10" xfId="5286"/>
    <cellStyle name="20% - Accent2 4 3 11" xfId="5287"/>
    <cellStyle name="20% - Accent2 4 3 2" xfId="5288"/>
    <cellStyle name="20% - Accent2 4 3 2 2" xfId="5289"/>
    <cellStyle name="20% - Accent2 4 3 2 2 2" xfId="5290"/>
    <cellStyle name="20% - Accent2 4 3 2 2 2 2" xfId="5291"/>
    <cellStyle name="20% - Accent2 4 3 2 2 2 2 2" xfId="5292"/>
    <cellStyle name="20% - Accent2 4 3 2 2 2 2 2 2" xfId="5293"/>
    <cellStyle name="20% - Accent2 4 3 2 2 2 3" xfId="5294"/>
    <cellStyle name="20% - Accent2 4 3 2 2 2 3 2" xfId="5295"/>
    <cellStyle name="20% - Accent2 4 3 2 2 3" xfId="5296"/>
    <cellStyle name="20% - Accent2 4 3 2 2 3 2" xfId="5297"/>
    <cellStyle name="20% - Accent2 4 3 2 2 3 2 2" xfId="5298"/>
    <cellStyle name="20% - Accent2 4 3 2 2 4" xfId="5299"/>
    <cellStyle name="20% - Accent2 4 3 2 2 4 2" xfId="5300"/>
    <cellStyle name="20% - Accent2 4 3 2 3" xfId="5301"/>
    <cellStyle name="20% - Accent2 4 3 2 3 2" xfId="5302"/>
    <cellStyle name="20% - Accent2 4 3 2 3 2 2" xfId="5303"/>
    <cellStyle name="20% - Accent2 4 3 2 3 2 2 2" xfId="5304"/>
    <cellStyle name="20% - Accent2 4 3 2 3 3" xfId="5305"/>
    <cellStyle name="20% - Accent2 4 3 2 3 3 2" xfId="5306"/>
    <cellStyle name="20% - Accent2 4 3 2 4" xfId="5307"/>
    <cellStyle name="20% - Accent2 4 3 2 4 2" xfId="5308"/>
    <cellStyle name="20% - Accent2 4 3 2 4 2 2" xfId="5309"/>
    <cellStyle name="20% - Accent2 4 3 2 5" xfId="5310"/>
    <cellStyle name="20% - Accent2 4 3 2 5 2" xfId="5311"/>
    <cellStyle name="20% - Accent2 4 3 2 6" xfId="5312"/>
    <cellStyle name="20% - Accent2 4 3 2 7" xfId="5313"/>
    <cellStyle name="20% - Accent2 4 3 2 8" xfId="5314"/>
    <cellStyle name="20% - Accent2 4 3 3" xfId="5315"/>
    <cellStyle name="20% - Accent2 4 3 3 2" xfId="5316"/>
    <cellStyle name="20% - Accent2 4 3 3 2 2" xfId="5317"/>
    <cellStyle name="20% - Accent2 4 3 3 2 2 2" xfId="5318"/>
    <cellStyle name="20% - Accent2 4 3 3 2 2 2 2" xfId="5319"/>
    <cellStyle name="20% - Accent2 4 3 3 2 3" xfId="5320"/>
    <cellStyle name="20% - Accent2 4 3 3 2 3 2" xfId="5321"/>
    <cellStyle name="20% - Accent2 4 3 3 3" xfId="5322"/>
    <cellStyle name="20% - Accent2 4 3 3 3 2" xfId="5323"/>
    <cellStyle name="20% - Accent2 4 3 3 3 2 2" xfId="5324"/>
    <cellStyle name="20% - Accent2 4 3 3 4" xfId="5325"/>
    <cellStyle name="20% - Accent2 4 3 3 4 2" xfId="5326"/>
    <cellStyle name="20% - Accent2 4 3 3 5" xfId="5327"/>
    <cellStyle name="20% - Accent2 4 3 3 6" xfId="5328"/>
    <cellStyle name="20% - Accent2 4 3 3 7" xfId="5329"/>
    <cellStyle name="20% - Accent2 4 3 4" xfId="5330"/>
    <cellStyle name="20% - Accent2 4 3 4 2" xfId="5331"/>
    <cellStyle name="20% - Accent2 4 3 4 2 2" xfId="5332"/>
    <cellStyle name="20% - Accent2 4 3 4 2 2 2" xfId="5333"/>
    <cellStyle name="20% - Accent2 4 3 4 3" xfId="5334"/>
    <cellStyle name="20% - Accent2 4 3 4 3 2" xfId="5335"/>
    <cellStyle name="20% - Accent2 4 3 4 4" xfId="5336"/>
    <cellStyle name="20% - Accent2 4 3 5" xfId="5337"/>
    <cellStyle name="20% - Accent2 4 3 5 2" xfId="5338"/>
    <cellStyle name="20% - Accent2 4 3 5 2 2" xfId="5339"/>
    <cellStyle name="20% - Accent2 4 3 6" xfId="5340"/>
    <cellStyle name="20% - Accent2 4 3 6 2" xfId="5341"/>
    <cellStyle name="20% - Accent2 4 3 7" xfId="5342"/>
    <cellStyle name="20% - Accent2 4 3 8" xfId="5343"/>
    <cellStyle name="20% - Accent2 4 3 9" xfId="5344"/>
    <cellStyle name="20% - Accent2 4 4" xfId="5345"/>
    <cellStyle name="20% - Accent2 4 4 2" xfId="5346"/>
    <cellStyle name="20% - Accent2 4 4 2 2" xfId="5347"/>
    <cellStyle name="20% - Accent2 4 4 2 2 2" xfId="5348"/>
    <cellStyle name="20% - Accent2 4 4 2 2 2 2" xfId="5349"/>
    <cellStyle name="20% - Accent2 4 4 2 2 2 2 2" xfId="5350"/>
    <cellStyle name="20% - Accent2 4 4 2 2 2 2 2 2" xfId="5351"/>
    <cellStyle name="20% - Accent2 4 4 2 2 2 3" xfId="5352"/>
    <cellStyle name="20% - Accent2 4 4 2 2 2 3 2" xfId="5353"/>
    <cellStyle name="20% - Accent2 4 4 2 2 3" xfId="5354"/>
    <cellStyle name="20% - Accent2 4 4 2 2 3 2" xfId="5355"/>
    <cellStyle name="20% - Accent2 4 4 2 2 3 2 2" xfId="5356"/>
    <cellStyle name="20% - Accent2 4 4 2 2 4" xfId="5357"/>
    <cellStyle name="20% - Accent2 4 4 2 2 4 2" xfId="5358"/>
    <cellStyle name="20% - Accent2 4 4 2 3" xfId="5359"/>
    <cellStyle name="20% - Accent2 4 4 2 3 2" xfId="5360"/>
    <cellStyle name="20% - Accent2 4 4 2 3 2 2" xfId="5361"/>
    <cellStyle name="20% - Accent2 4 4 2 3 2 2 2" xfId="5362"/>
    <cellStyle name="20% - Accent2 4 4 2 3 3" xfId="5363"/>
    <cellStyle name="20% - Accent2 4 4 2 3 3 2" xfId="5364"/>
    <cellStyle name="20% - Accent2 4 4 2 4" xfId="5365"/>
    <cellStyle name="20% - Accent2 4 4 2 4 2" xfId="5366"/>
    <cellStyle name="20% - Accent2 4 4 2 4 2 2" xfId="5367"/>
    <cellStyle name="20% - Accent2 4 4 2 5" xfId="5368"/>
    <cellStyle name="20% - Accent2 4 4 2 5 2" xfId="5369"/>
    <cellStyle name="20% - Accent2 4 4 3" xfId="5370"/>
    <cellStyle name="20% - Accent2 4 4 3 2" xfId="5371"/>
    <cellStyle name="20% - Accent2 4 4 3 2 2" xfId="5372"/>
    <cellStyle name="20% - Accent2 4 4 3 2 2 2" xfId="5373"/>
    <cellStyle name="20% - Accent2 4 4 3 2 2 2 2" xfId="5374"/>
    <cellStyle name="20% - Accent2 4 4 3 2 3" xfId="5375"/>
    <cellStyle name="20% - Accent2 4 4 3 2 3 2" xfId="5376"/>
    <cellStyle name="20% - Accent2 4 4 3 3" xfId="5377"/>
    <cellStyle name="20% - Accent2 4 4 3 3 2" xfId="5378"/>
    <cellStyle name="20% - Accent2 4 4 3 3 2 2" xfId="5379"/>
    <cellStyle name="20% - Accent2 4 4 3 4" xfId="5380"/>
    <cellStyle name="20% - Accent2 4 4 3 4 2" xfId="5381"/>
    <cellStyle name="20% - Accent2 4 4 4" xfId="5382"/>
    <cellStyle name="20% - Accent2 4 4 4 2" xfId="5383"/>
    <cellStyle name="20% - Accent2 4 4 4 2 2" xfId="5384"/>
    <cellStyle name="20% - Accent2 4 4 4 2 2 2" xfId="5385"/>
    <cellStyle name="20% - Accent2 4 4 4 3" xfId="5386"/>
    <cellStyle name="20% - Accent2 4 4 4 3 2" xfId="5387"/>
    <cellStyle name="20% - Accent2 4 4 5" xfId="5388"/>
    <cellStyle name="20% - Accent2 4 4 5 2" xfId="5389"/>
    <cellStyle name="20% - Accent2 4 4 5 2 2" xfId="5390"/>
    <cellStyle name="20% - Accent2 4 4 6" xfId="5391"/>
    <cellStyle name="20% - Accent2 4 4 6 2" xfId="5392"/>
    <cellStyle name="20% - Accent2 4 4 7" xfId="5393"/>
    <cellStyle name="20% - Accent2 4 5" xfId="5394"/>
    <cellStyle name="20% - Accent2 4 5 2" xfId="5395"/>
    <cellStyle name="20% - Accent2 4 5 2 2" xfId="5396"/>
    <cellStyle name="20% - Accent2 4 5 2 2 2" xfId="5397"/>
    <cellStyle name="20% - Accent2 4 5 2 2 2 2" xfId="5398"/>
    <cellStyle name="20% - Accent2 4 5 2 2 2 2 2" xfId="5399"/>
    <cellStyle name="20% - Accent2 4 5 2 2 2 2 2 2" xfId="5400"/>
    <cellStyle name="20% - Accent2 4 5 2 2 2 3" xfId="5401"/>
    <cellStyle name="20% - Accent2 4 5 2 2 2 3 2" xfId="5402"/>
    <cellStyle name="20% - Accent2 4 5 2 2 3" xfId="5403"/>
    <cellStyle name="20% - Accent2 4 5 2 2 3 2" xfId="5404"/>
    <cellStyle name="20% - Accent2 4 5 2 2 3 2 2" xfId="5405"/>
    <cellStyle name="20% - Accent2 4 5 2 2 4" xfId="5406"/>
    <cellStyle name="20% - Accent2 4 5 2 2 4 2" xfId="5407"/>
    <cellStyle name="20% - Accent2 4 5 2 3" xfId="5408"/>
    <cellStyle name="20% - Accent2 4 5 2 3 2" xfId="5409"/>
    <cellStyle name="20% - Accent2 4 5 2 3 2 2" xfId="5410"/>
    <cellStyle name="20% - Accent2 4 5 2 3 2 2 2" xfId="5411"/>
    <cellStyle name="20% - Accent2 4 5 2 3 3" xfId="5412"/>
    <cellStyle name="20% - Accent2 4 5 2 3 3 2" xfId="5413"/>
    <cellStyle name="20% - Accent2 4 5 2 4" xfId="5414"/>
    <cellStyle name="20% - Accent2 4 5 2 4 2" xfId="5415"/>
    <cellStyle name="20% - Accent2 4 5 2 4 2 2" xfId="5416"/>
    <cellStyle name="20% - Accent2 4 5 2 5" xfId="5417"/>
    <cellStyle name="20% - Accent2 4 5 2 5 2" xfId="5418"/>
    <cellStyle name="20% - Accent2 4 5 3" xfId="5419"/>
    <cellStyle name="20% - Accent2 4 5 3 2" xfId="5420"/>
    <cellStyle name="20% - Accent2 4 5 3 2 2" xfId="5421"/>
    <cellStyle name="20% - Accent2 4 5 3 2 2 2" xfId="5422"/>
    <cellStyle name="20% - Accent2 4 5 3 2 2 2 2" xfId="5423"/>
    <cellStyle name="20% - Accent2 4 5 3 2 3" xfId="5424"/>
    <cellStyle name="20% - Accent2 4 5 3 2 3 2" xfId="5425"/>
    <cellStyle name="20% - Accent2 4 5 3 3" xfId="5426"/>
    <cellStyle name="20% - Accent2 4 5 3 3 2" xfId="5427"/>
    <cellStyle name="20% - Accent2 4 5 3 3 2 2" xfId="5428"/>
    <cellStyle name="20% - Accent2 4 5 3 4" xfId="5429"/>
    <cellStyle name="20% - Accent2 4 5 3 4 2" xfId="5430"/>
    <cellStyle name="20% - Accent2 4 5 4" xfId="5431"/>
    <cellStyle name="20% - Accent2 4 5 4 2" xfId="5432"/>
    <cellStyle name="20% - Accent2 4 5 4 2 2" xfId="5433"/>
    <cellStyle name="20% - Accent2 4 5 4 2 2 2" xfId="5434"/>
    <cellStyle name="20% - Accent2 4 5 4 3" xfId="5435"/>
    <cellStyle name="20% - Accent2 4 5 4 3 2" xfId="5436"/>
    <cellStyle name="20% - Accent2 4 5 5" xfId="5437"/>
    <cellStyle name="20% - Accent2 4 5 5 2" xfId="5438"/>
    <cellStyle name="20% - Accent2 4 5 5 2 2" xfId="5439"/>
    <cellStyle name="20% - Accent2 4 5 6" xfId="5440"/>
    <cellStyle name="20% - Accent2 4 5 6 2" xfId="5441"/>
    <cellStyle name="20% - Accent2 4 5 7" xfId="5442"/>
    <cellStyle name="20% - Accent2 4 6" xfId="5443"/>
    <cellStyle name="20% - Accent2 4 6 2" xfId="5444"/>
    <cellStyle name="20% - Accent2 4 6 2 2" xfId="5445"/>
    <cellStyle name="20% - Accent2 4 6 2 2 2" xfId="5446"/>
    <cellStyle name="20% - Accent2 4 6 2 2 2 2" xfId="5447"/>
    <cellStyle name="20% - Accent2 4 6 2 2 2 2 2" xfId="5448"/>
    <cellStyle name="20% - Accent2 4 6 2 2 2 2 2 2" xfId="5449"/>
    <cellStyle name="20% - Accent2 4 6 2 2 2 3" xfId="5450"/>
    <cellStyle name="20% - Accent2 4 6 2 2 2 3 2" xfId="5451"/>
    <cellStyle name="20% - Accent2 4 6 2 2 3" xfId="5452"/>
    <cellStyle name="20% - Accent2 4 6 2 2 3 2" xfId="5453"/>
    <cellStyle name="20% - Accent2 4 6 2 2 3 2 2" xfId="5454"/>
    <cellStyle name="20% - Accent2 4 6 2 2 4" xfId="5455"/>
    <cellStyle name="20% - Accent2 4 6 2 2 4 2" xfId="5456"/>
    <cellStyle name="20% - Accent2 4 6 2 3" xfId="5457"/>
    <cellStyle name="20% - Accent2 4 6 2 3 2" xfId="5458"/>
    <cellStyle name="20% - Accent2 4 6 2 3 2 2" xfId="5459"/>
    <cellStyle name="20% - Accent2 4 6 2 3 2 2 2" xfId="5460"/>
    <cellStyle name="20% - Accent2 4 6 2 3 3" xfId="5461"/>
    <cellStyle name="20% - Accent2 4 6 2 3 3 2" xfId="5462"/>
    <cellStyle name="20% - Accent2 4 6 2 4" xfId="5463"/>
    <cellStyle name="20% - Accent2 4 6 2 4 2" xfId="5464"/>
    <cellStyle name="20% - Accent2 4 6 2 4 2 2" xfId="5465"/>
    <cellStyle name="20% - Accent2 4 6 2 5" xfId="5466"/>
    <cellStyle name="20% - Accent2 4 6 2 5 2" xfId="5467"/>
    <cellStyle name="20% - Accent2 4 6 3" xfId="5468"/>
    <cellStyle name="20% - Accent2 4 6 3 2" xfId="5469"/>
    <cellStyle name="20% - Accent2 4 6 3 2 2" xfId="5470"/>
    <cellStyle name="20% - Accent2 4 6 3 2 2 2" xfId="5471"/>
    <cellStyle name="20% - Accent2 4 6 3 2 2 2 2" xfId="5472"/>
    <cellStyle name="20% - Accent2 4 6 3 2 3" xfId="5473"/>
    <cellStyle name="20% - Accent2 4 6 3 2 3 2" xfId="5474"/>
    <cellStyle name="20% - Accent2 4 6 3 3" xfId="5475"/>
    <cellStyle name="20% - Accent2 4 6 3 3 2" xfId="5476"/>
    <cellStyle name="20% - Accent2 4 6 3 3 2 2" xfId="5477"/>
    <cellStyle name="20% - Accent2 4 6 3 4" xfId="5478"/>
    <cellStyle name="20% - Accent2 4 6 3 4 2" xfId="5479"/>
    <cellStyle name="20% - Accent2 4 6 4" xfId="5480"/>
    <cellStyle name="20% - Accent2 4 6 4 2" xfId="5481"/>
    <cellStyle name="20% - Accent2 4 6 4 2 2" xfId="5482"/>
    <cellStyle name="20% - Accent2 4 6 4 2 2 2" xfId="5483"/>
    <cellStyle name="20% - Accent2 4 6 4 3" xfId="5484"/>
    <cellStyle name="20% - Accent2 4 6 4 3 2" xfId="5485"/>
    <cellStyle name="20% - Accent2 4 6 5" xfId="5486"/>
    <cellStyle name="20% - Accent2 4 6 5 2" xfId="5487"/>
    <cellStyle name="20% - Accent2 4 6 5 2 2" xfId="5488"/>
    <cellStyle name="20% - Accent2 4 6 6" xfId="5489"/>
    <cellStyle name="20% - Accent2 4 6 6 2" xfId="5490"/>
    <cellStyle name="20% - Accent2 4 6 7" xfId="5491"/>
    <cellStyle name="20% - Accent2 4 7" xfId="5492"/>
    <cellStyle name="20% - Accent2 4 7 2" xfId="5493"/>
    <cellStyle name="20% - Accent2 4 7 2 2" xfId="5494"/>
    <cellStyle name="20% - Accent2 4 7 2 2 2" xfId="5495"/>
    <cellStyle name="20% - Accent2 4 7 2 2 2 2" xfId="5496"/>
    <cellStyle name="20% - Accent2 4 7 2 2 2 2 2" xfId="5497"/>
    <cellStyle name="20% - Accent2 4 7 2 2 2 2 2 2" xfId="5498"/>
    <cellStyle name="20% - Accent2 4 7 2 2 2 3" xfId="5499"/>
    <cellStyle name="20% - Accent2 4 7 2 2 2 3 2" xfId="5500"/>
    <cellStyle name="20% - Accent2 4 7 2 2 3" xfId="5501"/>
    <cellStyle name="20% - Accent2 4 7 2 2 3 2" xfId="5502"/>
    <cellStyle name="20% - Accent2 4 7 2 2 3 2 2" xfId="5503"/>
    <cellStyle name="20% - Accent2 4 7 2 2 4" xfId="5504"/>
    <cellStyle name="20% - Accent2 4 7 2 2 4 2" xfId="5505"/>
    <cellStyle name="20% - Accent2 4 7 2 3" xfId="5506"/>
    <cellStyle name="20% - Accent2 4 7 2 3 2" xfId="5507"/>
    <cellStyle name="20% - Accent2 4 7 2 3 2 2" xfId="5508"/>
    <cellStyle name="20% - Accent2 4 7 2 3 2 2 2" xfId="5509"/>
    <cellStyle name="20% - Accent2 4 7 2 3 3" xfId="5510"/>
    <cellStyle name="20% - Accent2 4 7 2 3 3 2" xfId="5511"/>
    <cellStyle name="20% - Accent2 4 7 2 4" xfId="5512"/>
    <cellStyle name="20% - Accent2 4 7 2 4 2" xfId="5513"/>
    <cellStyle name="20% - Accent2 4 7 2 4 2 2" xfId="5514"/>
    <cellStyle name="20% - Accent2 4 7 2 5" xfId="5515"/>
    <cellStyle name="20% - Accent2 4 7 2 5 2" xfId="5516"/>
    <cellStyle name="20% - Accent2 4 7 3" xfId="5517"/>
    <cellStyle name="20% - Accent2 4 7 3 2" xfId="5518"/>
    <cellStyle name="20% - Accent2 4 7 3 2 2" xfId="5519"/>
    <cellStyle name="20% - Accent2 4 7 3 2 2 2" xfId="5520"/>
    <cellStyle name="20% - Accent2 4 7 3 2 2 2 2" xfId="5521"/>
    <cellStyle name="20% - Accent2 4 7 3 2 3" xfId="5522"/>
    <cellStyle name="20% - Accent2 4 7 3 2 3 2" xfId="5523"/>
    <cellStyle name="20% - Accent2 4 7 3 3" xfId="5524"/>
    <cellStyle name="20% - Accent2 4 7 3 3 2" xfId="5525"/>
    <cellStyle name="20% - Accent2 4 7 3 3 2 2" xfId="5526"/>
    <cellStyle name="20% - Accent2 4 7 3 4" xfId="5527"/>
    <cellStyle name="20% - Accent2 4 7 3 4 2" xfId="5528"/>
    <cellStyle name="20% - Accent2 4 7 4" xfId="5529"/>
    <cellStyle name="20% - Accent2 4 7 4 2" xfId="5530"/>
    <cellStyle name="20% - Accent2 4 7 4 2 2" xfId="5531"/>
    <cellStyle name="20% - Accent2 4 7 4 2 2 2" xfId="5532"/>
    <cellStyle name="20% - Accent2 4 7 4 3" xfId="5533"/>
    <cellStyle name="20% - Accent2 4 7 4 3 2" xfId="5534"/>
    <cellStyle name="20% - Accent2 4 7 5" xfId="5535"/>
    <cellStyle name="20% - Accent2 4 7 5 2" xfId="5536"/>
    <cellStyle name="20% - Accent2 4 7 5 2 2" xfId="5537"/>
    <cellStyle name="20% - Accent2 4 7 6" xfId="5538"/>
    <cellStyle name="20% - Accent2 4 7 6 2" xfId="5539"/>
    <cellStyle name="20% - Accent2 4 7 7" xfId="5540"/>
    <cellStyle name="20% - Accent2 4 8" xfId="5541"/>
    <cellStyle name="20% - Accent2 4 8 2" xfId="5542"/>
    <cellStyle name="20% - Accent2 4 8 2 2" xfId="5543"/>
    <cellStyle name="20% - Accent2 4 8 2 2 2" xfId="5544"/>
    <cellStyle name="20% - Accent2 4 8 2 2 2 2" xfId="5545"/>
    <cellStyle name="20% - Accent2 4 8 2 2 2 2 2" xfId="5546"/>
    <cellStyle name="20% - Accent2 4 8 2 2 2 2 2 2" xfId="5547"/>
    <cellStyle name="20% - Accent2 4 8 2 2 2 3" xfId="5548"/>
    <cellStyle name="20% - Accent2 4 8 2 2 2 3 2" xfId="5549"/>
    <cellStyle name="20% - Accent2 4 8 2 2 3" xfId="5550"/>
    <cellStyle name="20% - Accent2 4 8 2 2 3 2" xfId="5551"/>
    <cellStyle name="20% - Accent2 4 8 2 2 3 2 2" xfId="5552"/>
    <cellStyle name="20% - Accent2 4 8 2 2 4" xfId="5553"/>
    <cellStyle name="20% - Accent2 4 8 2 2 4 2" xfId="5554"/>
    <cellStyle name="20% - Accent2 4 8 2 3" xfId="5555"/>
    <cellStyle name="20% - Accent2 4 8 2 3 2" xfId="5556"/>
    <cellStyle name="20% - Accent2 4 8 2 3 2 2" xfId="5557"/>
    <cellStyle name="20% - Accent2 4 8 2 3 2 2 2" xfId="5558"/>
    <cellStyle name="20% - Accent2 4 8 2 3 3" xfId="5559"/>
    <cellStyle name="20% - Accent2 4 8 2 3 3 2" xfId="5560"/>
    <cellStyle name="20% - Accent2 4 8 2 4" xfId="5561"/>
    <cellStyle name="20% - Accent2 4 8 2 4 2" xfId="5562"/>
    <cellStyle name="20% - Accent2 4 8 2 4 2 2" xfId="5563"/>
    <cellStyle name="20% - Accent2 4 8 2 5" xfId="5564"/>
    <cellStyle name="20% - Accent2 4 8 2 5 2" xfId="5565"/>
    <cellStyle name="20% - Accent2 4 8 3" xfId="5566"/>
    <cellStyle name="20% - Accent2 4 8 3 2" xfId="5567"/>
    <cellStyle name="20% - Accent2 4 8 3 2 2" xfId="5568"/>
    <cellStyle name="20% - Accent2 4 8 3 2 2 2" xfId="5569"/>
    <cellStyle name="20% - Accent2 4 8 3 2 2 2 2" xfId="5570"/>
    <cellStyle name="20% - Accent2 4 8 3 2 3" xfId="5571"/>
    <cellStyle name="20% - Accent2 4 8 3 2 3 2" xfId="5572"/>
    <cellStyle name="20% - Accent2 4 8 3 3" xfId="5573"/>
    <cellStyle name="20% - Accent2 4 8 3 3 2" xfId="5574"/>
    <cellStyle name="20% - Accent2 4 8 3 3 2 2" xfId="5575"/>
    <cellStyle name="20% - Accent2 4 8 3 4" xfId="5576"/>
    <cellStyle name="20% - Accent2 4 8 3 4 2" xfId="5577"/>
    <cellStyle name="20% - Accent2 4 8 4" xfId="5578"/>
    <cellStyle name="20% - Accent2 4 8 4 2" xfId="5579"/>
    <cellStyle name="20% - Accent2 4 8 4 2 2" xfId="5580"/>
    <cellStyle name="20% - Accent2 4 8 4 2 2 2" xfId="5581"/>
    <cellStyle name="20% - Accent2 4 8 4 3" xfId="5582"/>
    <cellStyle name="20% - Accent2 4 8 4 3 2" xfId="5583"/>
    <cellStyle name="20% - Accent2 4 8 5" xfId="5584"/>
    <cellStyle name="20% - Accent2 4 8 5 2" xfId="5585"/>
    <cellStyle name="20% - Accent2 4 8 5 2 2" xfId="5586"/>
    <cellStyle name="20% - Accent2 4 8 6" xfId="5587"/>
    <cellStyle name="20% - Accent2 4 8 6 2" xfId="5588"/>
    <cellStyle name="20% - Accent2 4 9" xfId="5589"/>
    <cellStyle name="20% - Accent2 4 9 2" xfId="5590"/>
    <cellStyle name="20% - Accent2 4 9 2 2" xfId="5591"/>
    <cellStyle name="20% - Accent2 4 9 2 2 2" xfId="5592"/>
    <cellStyle name="20% - Accent2 4 9 2 2 2 2" xfId="5593"/>
    <cellStyle name="20% - Accent2 4 9 2 2 2 2 2" xfId="5594"/>
    <cellStyle name="20% - Accent2 4 9 2 2 2 2 2 2" xfId="5595"/>
    <cellStyle name="20% - Accent2 4 9 2 2 2 3" xfId="5596"/>
    <cellStyle name="20% - Accent2 4 9 2 2 2 3 2" xfId="5597"/>
    <cellStyle name="20% - Accent2 4 9 2 2 3" xfId="5598"/>
    <cellStyle name="20% - Accent2 4 9 2 2 3 2" xfId="5599"/>
    <cellStyle name="20% - Accent2 4 9 2 2 3 2 2" xfId="5600"/>
    <cellStyle name="20% - Accent2 4 9 2 2 4" xfId="5601"/>
    <cellStyle name="20% - Accent2 4 9 2 2 4 2" xfId="5602"/>
    <cellStyle name="20% - Accent2 4 9 2 3" xfId="5603"/>
    <cellStyle name="20% - Accent2 4 9 2 3 2" xfId="5604"/>
    <cellStyle name="20% - Accent2 4 9 2 3 2 2" xfId="5605"/>
    <cellStyle name="20% - Accent2 4 9 2 3 2 2 2" xfId="5606"/>
    <cellStyle name="20% - Accent2 4 9 2 3 3" xfId="5607"/>
    <cellStyle name="20% - Accent2 4 9 2 3 3 2" xfId="5608"/>
    <cellStyle name="20% - Accent2 4 9 2 4" xfId="5609"/>
    <cellStyle name="20% - Accent2 4 9 2 4 2" xfId="5610"/>
    <cellStyle name="20% - Accent2 4 9 2 4 2 2" xfId="5611"/>
    <cellStyle name="20% - Accent2 4 9 2 5" xfId="5612"/>
    <cellStyle name="20% - Accent2 4 9 2 5 2" xfId="5613"/>
    <cellStyle name="20% - Accent2 4 9 3" xfId="5614"/>
    <cellStyle name="20% - Accent2 4 9 3 2" xfId="5615"/>
    <cellStyle name="20% - Accent2 4 9 3 2 2" xfId="5616"/>
    <cellStyle name="20% - Accent2 4 9 3 2 2 2" xfId="5617"/>
    <cellStyle name="20% - Accent2 4 9 3 2 2 2 2" xfId="5618"/>
    <cellStyle name="20% - Accent2 4 9 3 2 3" xfId="5619"/>
    <cellStyle name="20% - Accent2 4 9 3 2 3 2" xfId="5620"/>
    <cellStyle name="20% - Accent2 4 9 3 3" xfId="5621"/>
    <cellStyle name="20% - Accent2 4 9 3 3 2" xfId="5622"/>
    <cellStyle name="20% - Accent2 4 9 3 3 2 2" xfId="5623"/>
    <cellStyle name="20% - Accent2 4 9 3 4" xfId="5624"/>
    <cellStyle name="20% - Accent2 4 9 3 4 2" xfId="5625"/>
    <cellStyle name="20% - Accent2 4 9 4" xfId="5626"/>
    <cellStyle name="20% - Accent2 4 9 4 2" xfId="5627"/>
    <cellStyle name="20% - Accent2 4 9 4 2 2" xfId="5628"/>
    <cellStyle name="20% - Accent2 4 9 4 2 2 2" xfId="5629"/>
    <cellStyle name="20% - Accent2 4 9 4 3" xfId="5630"/>
    <cellStyle name="20% - Accent2 4 9 4 3 2" xfId="5631"/>
    <cellStyle name="20% - Accent2 4 9 5" xfId="5632"/>
    <cellStyle name="20% - Accent2 4 9 5 2" xfId="5633"/>
    <cellStyle name="20% - Accent2 4 9 5 2 2" xfId="5634"/>
    <cellStyle name="20% - Accent2 4 9 6" xfId="5635"/>
    <cellStyle name="20% - Accent2 4 9 6 2" xfId="5636"/>
    <cellStyle name="20% - Accent2 4 9 7" xfId="5637"/>
    <cellStyle name="20% - Accent2 4 9 8" xfId="5638"/>
    <cellStyle name="20% - Accent2 4 9 9" xfId="5639"/>
    <cellStyle name="20% - Accent2 40" xfId="5640"/>
    <cellStyle name="20% - Accent2 40 2" xfId="5641"/>
    <cellStyle name="20% - Accent2 40 2 2" xfId="5642"/>
    <cellStyle name="20% - Accent2 40 2 3" xfId="5643"/>
    <cellStyle name="20% - Accent2 40 2 4" xfId="5644"/>
    <cellStyle name="20% - Accent2 40 3" xfId="5645"/>
    <cellStyle name="20% - Accent2 40 3 2" xfId="5646"/>
    <cellStyle name="20% - Accent2 40 3 3" xfId="5647"/>
    <cellStyle name="20% - Accent2 40 4" xfId="5648"/>
    <cellStyle name="20% - Accent2 40 4 2" xfId="5649"/>
    <cellStyle name="20% - Accent2 40 5" xfId="5650"/>
    <cellStyle name="20% - Accent2 40 6" xfId="5651"/>
    <cellStyle name="20% - Accent2 40 7" xfId="5652"/>
    <cellStyle name="20% - Accent2 41" xfId="5653"/>
    <cellStyle name="20% - Accent2 41 2" xfId="5654"/>
    <cellStyle name="20% - Accent2 41 2 2" xfId="5655"/>
    <cellStyle name="20% - Accent2 41 2 3" xfId="5656"/>
    <cellStyle name="20% - Accent2 41 2 4" xfId="5657"/>
    <cellStyle name="20% - Accent2 41 3" xfId="5658"/>
    <cellStyle name="20% - Accent2 41 3 2" xfId="5659"/>
    <cellStyle name="20% - Accent2 41 3 3" xfId="5660"/>
    <cellStyle name="20% - Accent2 41 4" xfId="5661"/>
    <cellStyle name="20% - Accent2 41 4 2" xfId="5662"/>
    <cellStyle name="20% - Accent2 41 5" xfId="5663"/>
    <cellStyle name="20% - Accent2 41 6" xfId="5664"/>
    <cellStyle name="20% - Accent2 41 7" xfId="5665"/>
    <cellStyle name="20% - Accent2 42" xfId="5666"/>
    <cellStyle name="20% - Accent2 42 2" xfId="5667"/>
    <cellStyle name="20% - Accent2 42 2 2" xfId="5668"/>
    <cellStyle name="20% - Accent2 42 2 3" xfId="5669"/>
    <cellStyle name="20% - Accent2 42 2 4" xfId="5670"/>
    <cellStyle name="20% - Accent2 42 3" xfId="5671"/>
    <cellStyle name="20% - Accent2 42 3 2" xfId="5672"/>
    <cellStyle name="20% - Accent2 42 3 3" xfId="5673"/>
    <cellStyle name="20% - Accent2 42 4" xfId="5674"/>
    <cellStyle name="20% - Accent2 42 4 2" xfId="5675"/>
    <cellStyle name="20% - Accent2 42 5" xfId="5676"/>
    <cellStyle name="20% - Accent2 42 6" xfId="5677"/>
    <cellStyle name="20% - Accent2 42 7" xfId="5678"/>
    <cellStyle name="20% - Accent2 43" xfId="5679"/>
    <cellStyle name="20% - Accent2 43 2" xfId="5680"/>
    <cellStyle name="20% - Accent2 43 2 2" xfId="5681"/>
    <cellStyle name="20% - Accent2 43 2 3" xfId="5682"/>
    <cellStyle name="20% - Accent2 43 2 4" xfId="5683"/>
    <cellStyle name="20% - Accent2 43 3" xfId="5684"/>
    <cellStyle name="20% - Accent2 43 3 2" xfId="5685"/>
    <cellStyle name="20% - Accent2 43 3 3" xfId="5686"/>
    <cellStyle name="20% - Accent2 43 4" xfId="5687"/>
    <cellStyle name="20% - Accent2 43 4 2" xfId="5688"/>
    <cellStyle name="20% - Accent2 43 5" xfId="5689"/>
    <cellStyle name="20% - Accent2 43 6" xfId="5690"/>
    <cellStyle name="20% - Accent2 43 7" xfId="5691"/>
    <cellStyle name="20% - Accent2 44" xfId="5692"/>
    <cellStyle name="20% - Accent2 44 2" xfId="5693"/>
    <cellStyle name="20% - Accent2 44 2 2" xfId="5694"/>
    <cellStyle name="20% - Accent2 44 2 3" xfId="5695"/>
    <cellStyle name="20% - Accent2 44 2 4" xfId="5696"/>
    <cellStyle name="20% - Accent2 44 3" xfId="5697"/>
    <cellStyle name="20% - Accent2 44 3 2" xfId="5698"/>
    <cellStyle name="20% - Accent2 44 3 3" xfId="5699"/>
    <cellStyle name="20% - Accent2 44 4" xfId="5700"/>
    <cellStyle name="20% - Accent2 44 4 2" xfId="5701"/>
    <cellStyle name="20% - Accent2 44 5" xfId="5702"/>
    <cellStyle name="20% - Accent2 44 6" xfId="5703"/>
    <cellStyle name="20% - Accent2 44 7" xfId="5704"/>
    <cellStyle name="20% - Accent2 45" xfId="5705"/>
    <cellStyle name="20% - Accent2 45 2" xfId="5706"/>
    <cellStyle name="20% - Accent2 45 2 2" xfId="5707"/>
    <cellStyle name="20% - Accent2 45 2 3" xfId="5708"/>
    <cellStyle name="20% - Accent2 45 2 4" xfId="5709"/>
    <cellStyle name="20% - Accent2 45 3" xfId="5710"/>
    <cellStyle name="20% - Accent2 45 3 2" xfId="5711"/>
    <cellStyle name="20% - Accent2 45 3 3" xfId="5712"/>
    <cellStyle name="20% - Accent2 45 4" xfId="5713"/>
    <cellStyle name="20% - Accent2 45 4 2" xfId="5714"/>
    <cellStyle name="20% - Accent2 45 5" xfId="5715"/>
    <cellStyle name="20% - Accent2 45 6" xfId="5716"/>
    <cellStyle name="20% - Accent2 45 7" xfId="5717"/>
    <cellStyle name="20% - Accent2 46" xfId="5718"/>
    <cellStyle name="20% - Accent2 46 2" xfId="5719"/>
    <cellStyle name="20% - Accent2 46 2 2" xfId="5720"/>
    <cellStyle name="20% - Accent2 46 2 3" xfId="5721"/>
    <cellStyle name="20% - Accent2 46 2 4" xfId="5722"/>
    <cellStyle name="20% - Accent2 46 3" xfId="5723"/>
    <cellStyle name="20% - Accent2 46 3 2" xfId="5724"/>
    <cellStyle name="20% - Accent2 46 3 3" xfId="5725"/>
    <cellStyle name="20% - Accent2 46 4" xfId="5726"/>
    <cellStyle name="20% - Accent2 46 4 2" xfId="5727"/>
    <cellStyle name="20% - Accent2 46 5" xfId="5728"/>
    <cellStyle name="20% - Accent2 46 6" xfId="5729"/>
    <cellStyle name="20% - Accent2 46 7" xfId="5730"/>
    <cellStyle name="20% - Accent2 47" xfId="5731"/>
    <cellStyle name="20% - Accent2 47 2" xfId="5732"/>
    <cellStyle name="20% - Accent2 47 2 2" xfId="5733"/>
    <cellStyle name="20% - Accent2 47 2 3" xfId="5734"/>
    <cellStyle name="20% - Accent2 47 2 4" xfId="5735"/>
    <cellStyle name="20% - Accent2 47 3" xfId="5736"/>
    <cellStyle name="20% - Accent2 47 3 2" xfId="5737"/>
    <cellStyle name="20% - Accent2 47 3 3" xfId="5738"/>
    <cellStyle name="20% - Accent2 47 4" xfId="5739"/>
    <cellStyle name="20% - Accent2 47 4 2" xfId="5740"/>
    <cellStyle name="20% - Accent2 47 5" xfId="5741"/>
    <cellStyle name="20% - Accent2 47 6" xfId="5742"/>
    <cellStyle name="20% - Accent2 47 7" xfId="5743"/>
    <cellStyle name="20% - Accent2 48" xfId="5744"/>
    <cellStyle name="20% - Accent2 48 2" xfId="5745"/>
    <cellStyle name="20% - Accent2 48 2 2" xfId="5746"/>
    <cellStyle name="20% - Accent2 48 2 3" xfId="5747"/>
    <cellStyle name="20% - Accent2 48 2 4" xfId="5748"/>
    <cellStyle name="20% - Accent2 48 3" xfId="5749"/>
    <cellStyle name="20% - Accent2 48 3 2" xfId="5750"/>
    <cellStyle name="20% - Accent2 48 3 3" xfId="5751"/>
    <cellStyle name="20% - Accent2 48 4" xfId="5752"/>
    <cellStyle name="20% - Accent2 48 4 2" xfId="5753"/>
    <cellStyle name="20% - Accent2 48 5" xfId="5754"/>
    <cellStyle name="20% - Accent2 48 6" xfId="5755"/>
    <cellStyle name="20% - Accent2 48 7" xfId="5756"/>
    <cellStyle name="20% - Accent2 49" xfId="5757"/>
    <cellStyle name="20% - Accent2 49 2" xfId="5758"/>
    <cellStyle name="20% - Accent2 49 2 2" xfId="5759"/>
    <cellStyle name="20% - Accent2 49 2 3" xfId="5760"/>
    <cellStyle name="20% - Accent2 49 2 4" xfId="5761"/>
    <cellStyle name="20% - Accent2 49 3" xfId="5762"/>
    <cellStyle name="20% - Accent2 49 3 2" xfId="5763"/>
    <cellStyle name="20% - Accent2 49 3 3" xfId="5764"/>
    <cellStyle name="20% - Accent2 49 4" xfId="5765"/>
    <cellStyle name="20% - Accent2 49 4 2" xfId="5766"/>
    <cellStyle name="20% - Accent2 49 5" xfId="5767"/>
    <cellStyle name="20% - Accent2 49 6" xfId="5768"/>
    <cellStyle name="20% - Accent2 49 7" xfId="5769"/>
    <cellStyle name="20% - Accent2 5" xfId="5770"/>
    <cellStyle name="20% - Accent2 5 2" xfId="5771"/>
    <cellStyle name="20% - Accent2 5 3" xfId="5772"/>
    <cellStyle name="20% - Accent2 5 4" xfId="5773"/>
    <cellStyle name="20% - Accent2 5 5" xfId="5774"/>
    <cellStyle name="20% - Accent2 5 6" xfId="5775"/>
    <cellStyle name="20% - Accent2 5 7" xfId="5776"/>
    <cellStyle name="20% - Accent2 5 8" xfId="5777"/>
    <cellStyle name="20% - Accent2 50" xfId="5778"/>
    <cellStyle name="20% - Accent2 50 2" xfId="5779"/>
    <cellStyle name="20% - Accent2 50 2 2" xfId="5780"/>
    <cellStyle name="20% - Accent2 50 2 3" xfId="5781"/>
    <cellStyle name="20% - Accent2 50 2 4" xfId="5782"/>
    <cellStyle name="20% - Accent2 50 3" xfId="5783"/>
    <cellStyle name="20% - Accent2 50 3 2" xfId="5784"/>
    <cellStyle name="20% - Accent2 50 3 3" xfId="5785"/>
    <cellStyle name="20% - Accent2 50 4" xfId="5786"/>
    <cellStyle name="20% - Accent2 50 4 2" xfId="5787"/>
    <cellStyle name="20% - Accent2 50 5" xfId="5788"/>
    <cellStyle name="20% - Accent2 50 6" xfId="5789"/>
    <cellStyle name="20% - Accent2 50 7" xfId="5790"/>
    <cellStyle name="20% - Accent2 51" xfId="5791"/>
    <cellStyle name="20% - Accent2 51 2" xfId="5792"/>
    <cellStyle name="20% - Accent2 51 2 2" xfId="5793"/>
    <cellStyle name="20% - Accent2 51 2 3" xfId="5794"/>
    <cellStyle name="20% - Accent2 51 2 4" xfId="5795"/>
    <cellStyle name="20% - Accent2 51 3" xfId="5796"/>
    <cellStyle name="20% - Accent2 51 3 2" xfId="5797"/>
    <cellStyle name="20% - Accent2 51 3 3" xfId="5798"/>
    <cellStyle name="20% - Accent2 51 4" xfId="5799"/>
    <cellStyle name="20% - Accent2 51 4 2" xfId="5800"/>
    <cellStyle name="20% - Accent2 51 5" xfId="5801"/>
    <cellStyle name="20% - Accent2 51 6" xfId="5802"/>
    <cellStyle name="20% - Accent2 51 7" xfId="5803"/>
    <cellStyle name="20% - Accent2 52" xfId="5804"/>
    <cellStyle name="20% - Accent2 52 2" xfId="5805"/>
    <cellStyle name="20% - Accent2 52 2 2" xfId="5806"/>
    <cellStyle name="20% - Accent2 52 2 3" xfId="5807"/>
    <cellStyle name="20% - Accent2 52 2 4" xfId="5808"/>
    <cellStyle name="20% - Accent2 52 3" xfId="5809"/>
    <cellStyle name="20% - Accent2 52 3 2" xfId="5810"/>
    <cellStyle name="20% - Accent2 52 3 3" xfId="5811"/>
    <cellStyle name="20% - Accent2 52 4" xfId="5812"/>
    <cellStyle name="20% - Accent2 52 4 2" xfId="5813"/>
    <cellStyle name="20% - Accent2 52 5" xfId="5814"/>
    <cellStyle name="20% - Accent2 52 6" xfId="5815"/>
    <cellStyle name="20% - Accent2 52 7" xfId="5816"/>
    <cellStyle name="20% - Accent2 53" xfId="5817"/>
    <cellStyle name="20% - Accent2 53 2" xfId="5818"/>
    <cellStyle name="20% - Accent2 53 2 2" xfId="5819"/>
    <cellStyle name="20% - Accent2 53 2 3" xfId="5820"/>
    <cellStyle name="20% - Accent2 53 2 4" xfId="5821"/>
    <cellStyle name="20% - Accent2 53 3" xfId="5822"/>
    <cellStyle name="20% - Accent2 53 3 2" xfId="5823"/>
    <cellStyle name="20% - Accent2 53 3 3" xfId="5824"/>
    <cellStyle name="20% - Accent2 53 4" xfId="5825"/>
    <cellStyle name="20% - Accent2 53 4 2" xfId="5826"/>
    <cellStyle name="20% - Accent2 53 5" xfId="5827"/>
    <cellStyle name="20% - Accent2 53 6" xfId="5828"/>
    <cellStyle name="20% - Accent2 53 7" xfId="5829"/>
    <cellStyle name="20% - Accent2 54" xfId="5830"/>
    <cellStyle name="20% - Accent2 54 2" xfId="5831"/>
    <cellStyle name="20% - Accent2 54 2 2" xfId="5832"/>
    <cellStyle name="20% - Accent2 54 2 3" xfId="5833"/>
    <cellStyle name="20% - Accent2 54 2 4" xfId="5834"/>
    <cellStyle name="20% - Accent2 54 3" xfId="5835"/>
    <cellStyle name="20% - Accent2 54 3 2" xfId="5836"/>
    <cellStyle name="20% - Accent2 54 3 3" xfId="5837"/>
    <cellStyle name="20% - Accent2 54 4" xfId="5838"/>
    <cellStyle name="20% - Accent2 54 4 2" xfId="5839"/>
    <cellStyle name="20% - Accent2 54 5" xfId="5840"/>
    <cellStyle name="20% - Accent2 54 6" xfId="5841"/>
    <cellStyle name="20% - Accent2 54 7" xfId="5842"/>
    <cellStyle name="20% - Accent2 55" xfId="5843"/>
    <cellStyle name="20% - Accent2 55 2" xfId="5844"/>
    <cellStyle name="20% - Accent2 55 2 2" xfId="5845"/>
    <cellStyle name="20% - Accent2 55 2 3" xfId="5846"/>
    <cellStyle name="20% - Accent2 55 2 4" xfId="5847"/>
    <cellStyle name="20% - Accent2 55 3" xfId="5848"/>
    <cellStyle name="20% - Accent2 55 3 2" xfId="5849"/>
    <cellStyle name="20% - Accent2 55 3 3" xfId="5850"/>
    <cellStyle name="20% - Accent2 55 4" xfId="5851"/>
    <cellStyle name="20% - Accent2 55 4 2" xfId="5852"/>
    <cellStyle name="20% - Accent2 55 5" xfId="5853"/>
    <cellStyle name="20% - Accent2 55 6" xfId="5854"/>
    <cellStyle name="20% - Accent2 55 7" xfId="5855"/>
    <cellStyle name="20% - Accent2 56" xfId="5856"/>
    <cellStyle name="20% - Accent2 56 2" xfId="5857"/>
    <cellStyle name="20% - Accent2 56 2 2" xfId="5858"/>
    <cellStyle name="20% - Accent2 56 2 3" xfId="5859"/>
    <cellStyle name="20% - Accent2 56 2 4" xfId="5860"/>
    <cellStyle name="20% - Accent2 56 3" xfId="5861"/>
    <cellStyle name="20% - Accent2 56 3 2" xfId="5862"/>
    <cellStyle name="20% - Accent2 56 3 3" xfId="5863"/>
    <cellStyle name="20% - Accent2 56 4" xfId="5864"/>
    <cellStyle name="20% - Accent2 56 4 2" xfId="5865"/>
    <cellStyle name="20% - Accent2 56 5" xfId="5866"/>
    <cellStyle name="20% - Accent2 56 6" xfId="5867"/>
    <cellStyle name="20% - Accent2 56 7" xfId="5868"/>
    <cellStyle name="20% - Accent2 57" xfId="5869"/>
    <cellStyle name="20% - Accent2 57 2" xfId="5870"/>
    <cellStyle name="20% - Accent2 57 2 2" xfId="5871"/>
    <cellStyle name="20% - Accent2 57 2 3" xfId="5872"/>
    <cellStyle name="20% - Accent2 57 2 4" xfId="5873"/>
    <cellStyle name="20% - Accent2 57 3" xfId="5874"/>
    <cellStyle name="20% - Accent2 57 3 2" xfId="5875"/>
    <cellStyle name="20% - Accent2 57 3 3" xfId="5876"/>
    <cellStyle name="20% - Accent2 57 4" xfId="5877"/>
    <cellStyle name="20% - Accent2 57 4 2" xfId="5878"/>
    <cellStyle name="20% - Accent2 57 5" xfId="5879"/>
    <cellStyle name="20% - Accent2 57 6" xfId="5880"/>
    <cellStyle name="20% - Accent2 57 7" xfId="5881"/>
    <cellStyle name="20% - Accent2 58" xfId="5882"/>
    <cellStyle name="20% - Accent2 59" xfId="5883"/>
    <cellStyle name="20% - Accent2 6" xfId="5884"/>
    <cellStyle name="20% - Accent2 6 10" xfId="5885"/>
    <cellStyle name="20% - Accent2 6 10 2" xfId="5886"/>
    <cellStyle name="20% - Accent2 6 10 3" xfId="5887"/>
    <cellStyle name="20% - Accent2 6 11" xfId="5888"/>
    <cellStyle name="20% - Accent2 6 11 2" xfId="5889"/>
    <cellStyle name="20% - Accent2 6 12" xfId="5890"/>
    <cellStyle name="20% - Accent2 6 13" xfId="5891"/>
    <cellStyle name="20% - Accent2 6 14" xfId="5892"/>
    <cellStyle name="20% - Accent2 6 2" xfId="5893"/>
    <cellStyle name="20% - Accent2 6 3" xfId="5894"/>
    <cellStyle name="20% - Accent2 6 4" xfId="5895"/>
    <cellStyle name="20% - Accent2 6 5" xfId="5896"/>
    <cellStyle name="20% - Accent2 6 6" xfId="5897"/>
    <cellStyle name="20% - Accent2 6 7" xfId="5898"/>
    <cellStyle name="20% - Accent2 6 8" xfId="5899"/>
    <cellStyle name="20% - Accent2 6 9" xfId="5900"/>
    <cellStyle name="20% - Accent2 6 9 2" xfId="5901"/>
    <cellStyle name="20% - Accent2 6 9 3" xfId="5902"/>
    <cellStyle name="20% - Accent2 6 9 4" xfId="5903"/>
    <cellStyle name="20% - Accent2 60" xfId="5904"/>
    <cellStyle name="20% - Accent2 61" xfId="5905"/>
    <cellStyle name="20% - Accent2 62" xfId="5906"/>
    <cellStyle name="20% - Accent2 63" xfId="5907"/>
    <cellStyle name="20% - Accent2 64" xfId="5908"/>
    <cellStyle name="20% - Accent2 65" xfId="5909"/>
    <cellStyle name="20% - Accent2 65 2" xfId="5910"/>
    <cellStyle name="20% - Accent2 65 2 2" xfId="5911"/>
    <cellStyle name="20% - Accent2 65 2 3" xfId="5912"/>
    <cellStyle name="20% - Accent2 65 2 4" xfId="5913"/>
    <cellStyle name="20% - Accent2 65 3" xfId="5914"/>
    <cellStyle name="20% - Accent2 65 3 2" xfId="5915"/>
    <cellStyle name="20% - Accent2 65 3 3" xfId="5916"/>
    <cellStyle name="20% - Accent2 65 4" xfId="5917"/>
    <cellStyle name="20% - Accent2 65 4 2" xfId="5918"/>
    <cellStyle name="20% - Accent2 65 5" xfId="5919"/>
    <cellStyle name="20% - Accent2 65 6" xfId="5920"/>
    <cellStyle name="20% - Accent2 65 7" xfId="5921"/>
    <cellStyle name="20% - Accent2 66" xfId="5922"/>
    <cellStyle name="20% - Accent2 66 2" xfId="5923"/>
    <cellStyle name="20% - Accent2 66 2 2" xfId="5924"/>
    <cellStyle name="20% - Accent2 66 2 3" xfId="5925"/>
    <cellStyle name="20% - Accent2 66 2 4" xfId="5926"/>
    <cellStyle name="20% - Accent2 66 3" xfId="5927"/>
    <cellStyle name="20% - Accent2 66 3 2" xfId="5928"/>
    <cellStyle name="20% - Accent2 66 3 3" xfId="5929"/>
    <cellStyle name="20% - Accent2 66 4" xfId="5930"/>
    <cellStyle name="20% - Accent2 66 4 2" xfId="5931"/>
    <cellStyle name="20% - Accent2 66 5" xfId="5932"/>
    <cellStyle name="20% - Accent2 66 6" xfId="5933"/>
    <cellStyle name="20% - Accent2 66 7" xfId="5934"/>
    <cellStyle name="20% - Accent2 67" xfId="5935"/>
    <cellStyle name="20% - Accent2 67 2" xfId="5936"/>
    <cellStyle name="20% - Accent2 67 2 2" xfId="5937"/>
    <cellStyle name="20% - Accent2 67 2 3" xfId="5938"/>
    <cellStyle name="20% - Accent2 67 2 4" xfId="5939"/>
    <cellStyle name="20% - Accent2 67 3" xfId="5940"/>
    <cellStyle name="20% - Accent2 67 3 2" xfId="5941"/>
    <cellStyle name="20% - Accent2 67 3 3" xfId="5942"/>
    <cellStyle name="20% - Accent2 67 4" xfId="5943"/>
    <cellStyle name="20% - Accent2 67 4 2" xfId="5944"/>
    <cellStyle name="20% - Accent2 67 5" xfId="5945"/>
    <cellStyle name="20% - Accent2 67 6" xfId="5946"/>
    <cellStyle name="20% - Accent2 67 7" xfId="5947"/>
    <cellStyle name="20% - Accent2 68" xfId="5948"/>
    <cellStyle name="20% - Accent2 68 2" xfId="5949"/>
    <cellStyle name="20% - Accent2 68 2 2" xfId="5950"/>
    <cellStyle name="20% - Accent2 68 2 3" xfId="5951"/>
    <cellStyle name="20% - Accent2 68 2 4" xfId="5952"/>
    <cellStyle name="20% - Accent2 68 3" xfId="5953"/>
    <cellStyle name="20% - Accent2 68 3 2" xfId="5954"/>
    <cellStyle name="20% - Accent2 68 3 3" xfId="5955"/>
    <cellStyle name="20% - Accent2 68 4" xfId="5956"/>
    <cellStyle name="20% - Accent2 68 4 2" xfId="5957"/>
    <cellStyle name="20% - Accent2 68 5" xfId="5958"/>
    <cellStyle name="20% - Accent2 68 6" xfId="5959"/>
    <cellStyle name="20% - Accent2 68 7" xfId="5960"/>
    <cellStyle name="20% - Accent2 69" xfId="5961"/>
    <cellStyle name="20% - Accent2 69 2" xfId="5962"/>
    <cellStyle name="20% - Accent2 69 2 2" xfId="5963"/>
    <cellStyle name="20% - Accent2 69 2 3" xfId="5964"/>
    <cellStyle name="20% - Accent2 69 2 4" xfId="5965"/>
    <cellStyle name="20% - Accent2 69 3" xfId="5966"/>
    <cellStyle name="20% - Accent2 69 3 2" xfId="5967"/>
    <cellStyle name="20% - Accent2 69 3 3" xfId="5968"/>
    <cellStyle name="20% - Accent2 69 4" xfId="5969"/>
    <cellStyle name="20% - Accent2 69 4 2" xfId="5970"/>
    <cellStyle name="20% - Accent2 69 5" xfId="5971"/>
    <cellStyle name="20% - Accent2 69 6" xfId="5972"/>
    <cellStyle name="20% - Accent2 69 7" xfId="5973"/>
    <cellStyle name="20% - Accent2 7" xfId="5974"/>
    <cellStyle name="20% - Accent2 7 2" xfId="5975"/>
    <cellStyle name="20% - Accent2 7 3" xfId="5976"/>
    <cellStyle name="20% - Accent2 7 3 2" xfId="5977"/>
    <cellStyle name="20% - Accent2 7 3 3" xfId="5978"/>
    <cellStyle name="20% - Accent2 7 3 4" xfId="5979"/>
    <cellStyle name="20% - Accent2 7 4" xfId="5980"/>
    <cellStyle name="20% - Accent2 7 4 2" xfId="5981"/>
    <cellStyle name="20% - Accent2 7 4 3" xfId="5982"/>
    <cellStyle name="20% - Accent2 7 5" xfId="5983"/>
    <cellStyle name="20% - Accent2 7 5 2" xfId="5984"/>
    <cellStyle name="20% - Accent2 7 6" xfId="5985"/>
    <cellStyle name="20% - Accent2 7 7" xfId="5986"/>
    <cellStyle name="20% - Accent2 7 8" xfId="5987"/>
    <cellStyle name="20% - Accent2 70" xfId="5988"/>
    <cellStyle name="20% - Accent2 70 2" xfId="5989"/>
    <cellStyle name="20% - Accent2 70 2 2" xfId="5990"/>
    <cellStyle name="20% - Accent2 70 2 3" xfId="5991"/>
    <cellStyle name="20% - Accent2 70 2 4" xfId="5992"/>
    <cellStyle name="20% - Accent2 70 3" xfId="5993"/>
    <cellStyle name="20% - Accent2 70 3 2" xfId="5994"/>
    <cellStyle name="20% - Accent2 70 3 3" xfId="5995"/>
    <cellStyle name="20% - Accent2 70 4" xfId="5996"/>
    <cellStyle name="20% - Accent2 70 4 2" xfId="5997"/>
    <cellStyle name="20% - Accent2 70 5" xfId="5998"/>
    <cellStyle name="20% - Accent2 70 6" xfId="5999"/>
    <cellStyle name="20% - Accent2 70 7" xfId="6000"/>
    <cellStyle name="20% - Accent2 71" xfId="6001"/>
    <cellStyle name="20% - Accent2 71 2" xfId="6002"/>
    <cellStyle name="20% - Accent2 71 2 2" xfId="6003"/>
    <cellStyle name="20% - Accent2 71 2 3" xfId="6004"/>
    <cellStyle name="20% - Accent2 71 2 4" xfId="6005"/>
    <cellStyle name="20% - Accent2 71 3" xfId="6006"/>
    <cellStyle name="20% - Accent2 71 3 2" xfId="6007"/>
    <cellStyle name="20% - Accent2 71 3 3" xfId="6008"/>
    <cellStyle name="20% - Accent2 71 4" xfId="6009"/>
    <cellStyle name="20% - Accent2 71 4 2" xfId="6010"/>
    <cellStyle name="20% - Accent2 71 5" xfId="6011"/>
    <cellStyle name="20% - Accent2 71 6" xfId="6012"/>
    <cellStyle name="20% - Accent2 71 7" xfId="6013"/>
    <cellStyle name="20% - Accent2 72" xfId="6014"/>
    <cellStyle name="20% - Accent2 72 2" xfId="6015"/>
    <cellStyle name="20% - Accent2 72 2 2" xfId="6016"/>
    <cellStyle name="20% - Accent2 72 2 3" xfId="6017"/>
    <cellStyle name="20% - Accent2 72 2 4" xfId="6018"/>
    <cellStyle name="20% - Accent2 72 3" xfId="6019"/>
    <cellStyle name="20% - Accent2 72 3 2" xfId="6020"/>
    <cellStyle name="20% - Accent2 72 3 3" xfId="6021"/>
    <cellStyle name="20% - Accent2 72 4" xfId="6022"/>
    <cellStyle name="20% - Accent2 72 4 2" xfId="6023"/>
    <cellStyle name="20% - Accent2 72 5" xfId="6024"/>
    <cellStyle name="20% - Accent2 72 6" xfId="6025"/>
    <cellStyle name="20% - Accent2 72 7" xfId="6026"/>
    <cellStyle name="20% - Accent2 73" xfId="6027"/>
    <cellStyle name="20% - Accent2 73 2" xfId="6028"/>
    <cellStyle name="20% - Accent2 73 2 2" xfId="6029"/>
    <cellStyle name="20% - Accent2 73 2 3" xfId="6030"/>
    <cellStyle name="20% - Accent2 73 2 4" xfId="6031"/>
    <cellStyle name="20% - Accent2 73 3" xfId="6032"/>
    <cellStyle name="20% - Accent2 73 3 2" xfId="6033"/>
    <cellStyle name="20% - Accent2 73 3 3" xfId="6034"/>
    <cellStyle name="20% - Accent2 73 4" xfId="6035"/>
    <cellStyle name="20% - Accent2 73 4 2" xfId="6036"/>
    <cellStyle name="20% - Accent2 73 5" xfId="6037"/>
    <cellStyle name="20% - Accent2 73 6" xfId="6038"/>
    <cellStyle name="20% - Accent2 73 7" xfId="6039"/>
    <cellStyle name="20% - Accent2 74" xfId="6040"/>
    <cellStyle name="20% - Accent2 74 2" xfId="6041"/>
    <cellStyle name="20% - Accent2 74 2 2" xfId="6042"/>
    <cellStyle name="20% - Accent2 74 2 3" xfId="6043"/>
    <cellStyle name="20% - Accent2 74 2 4" xfId="6044"/>
    <cellStyle name="20% - Accent2 74 3" xfId="6045"/>
    <cellStyle name="20% - Accent2 74 3 2" xfId="6046"/>
    <cellStyle name="20% - Accent2 74 3 3" xfId="6047"/>
    <cellStyle name="20% - Accent2 74 4" xfId="6048"/>
    <cellStyle name="20% - Accent2 74 4 2" xfId="6049"/>
    <cellStyle name="20% - Accent2 74 5" xfId="6050"/>
    <cellStyle name="20% - Accent2 74 6" xfId="6051"/>
    <cellStyle name="20% - Accent2 74 7" xfId="6052"/>
    <cellStyle name="20% - Accent2 75" xfId="6053"/>
    <cellStyle name="20% - Accent2 75 2" xfId="6054"/>
    <cellStyle name="20% - Accent2 75 2 2" xfId="6055"/>
    <cellStyle name="20% - Accent2 75 2 3" xfId="6056"/>
    <cellStyle name="20% - Accent2 75 2 4" xfId="6057"/>
    <cellStyle name="20% - Accent2 75 3" xfId="6058"/>
    <cellStyle name="20% - Accent2 75 3 2" xfId="6059"/>
    <cellStyle name="20% - Accent2 75 3 3" xfId="6060"/>
    <cellStyle name="20% - Accent2 75 4" xfId="6061"/>
    <cellStyle name="20% - Accent2 75 4 2" xfId="6062"/>
    <cellStyle name="20% - Accent2 75 5" xfId="6063"/>
    <cellStyle name="20% - Accent2 75 6" xfId="6064"/>
    <cellStyle name="20% - Accent2 75 7" xfId="6065"/>
    <cellStyle name="20% - Accent2 76" xfId="6066"/>
    <cellStyle name="20% - Accent2 76 2" xfId="6067"/>
    <cellStyle name="20% - Accent2 76 2 2" xfId="6068"/>
    <cellStyle name="20% - Accent2 76 2 3" xfId="6069"/>
    <cellStyle name="20% - Accent2 76 2 4" xfId="6070"/>
    <cellStyle name="20% - Accent2 76 3" xfId="6071"/>
    <cellStyle name="20% - Accent2 76 3 2" xfId="6072"/>
    <cellStyle name="20% - Accent2 76 3 3" xfId="6073"/>
    <cellStyle name="20% - Accent2 76 4" xfId="6074"/>
    <cellStyle name="20% - Accent2 76 4 2" xfId="6075"/>
    <cellStyle name="20% - Accent2 76 5" xfId="6076"/>
    <cellStyle name="20% - Accent2 76 6" xfId="6077"/>
    <cellStyle name="20% - Accent2 76 7" xfId="6078"/>
    <cellStyle name="20% - Accent2 77" xfId="6079"/>
    <cellStyle name="20% - Accent2 77 2" xfId="6080"/>
    <cellStyle name="20% - Accent2 77 2 2" xfId="6081"/>
    <cellStyle name="20% - Accent2 77 2 3" xfId="6082"/>
    <cellStyle name="20% - Accent2 77 2 4" xfId="6083"/>
    <cellStyle name="20% - Accent2 77 3" xfId="6084"/>
    <cellStyle name="20% - Accent2 77 3 2" xfId="6085"/>
    <cellStyle name="20% - Accent2 77 3 3" xfId="6086"/>
    <cellStyle name="20% - Accent2 77 4" xfId="6087"/>
    <cellStyle name="20% - Accent2 77 4 2" xfId="6088"/>
    <cellStyle name="20% - Accent2 77 5" xfId="6089"/>
    <cellStyle name="20% - Accent2 77 6" xfId="6090"/>
    <cellStyle name="20% - Accent2 77 7" xfId="6091"/>
    <cellStyle name="20% - Accent2 78" xfId="6092"/>
    <cellStyle name="20% - Accent2 79" xfId="6093"/>
    <cellStyle name="20% - Accent2 79 2" xfId="6094"/>
    <cellStyle name="20% - Accent2 79 3" xfId="6095"/>
    <cellStyle name="20% - Accent2 8" xfId="6096"/>
    <cellStyle name="20% - Accent2 8 10" xfId="6097"/>
    <cellStyle name="20% - Accent2 8 11" xfId="6098"/>
    <cellStyle name="20% - Accent2 8 2" xfId="6099"/>
    <cellStyle name="20% - Accent2 8 2 10" xfId="6100"/>
    <cellStyle name="20% - Accent2 8 2 2" xfId="6101"/>
    <cellStyle name="20% - Accent2 8 2 2 2" xfId="6102"/>
    <cellStyle name="20% - Accent2 8 2 2 2 2" xfId="6103"/>
    <cellStyle name="20% - Accent2 8 2 2 2 3" xfId="6104"/>
    <cellStyle name="20% - Accent2 8 2 2 2 4" xfId="6105"/>
    <cellStyle name="20% - Accent2 8 2 2 3" xfId="6106"/>
    <cellStyle name="20% - Accent2 8 2 2 3 2" xfId="6107"/>
    <cellStyle name="20% - Accent2 8 2 2 3 3" xfId="6108"/>
    <cellStyle name="20% - Accent2 8 2 2 4" xfId="6109"/>
    <cellStyle name="20% - Accent2 8 2 2 4 2" xfId="6110"/>
    <cellStyle name="20% - Accent2 8 2 2 5" xfId="6111"/>
    <cellStyle name="20% - Accent2 8 2 2 6" xfId="6112"/>
    <cellStyle name="20% - Accent2 8 2 2 7" xfId="6113"/>
    <cellStyle name="20% - Accent2 8 2 3" xfId="6114"/>
    <cellStyle name="20% - Accent2 8 2 3 2" xfId="6115"/>
    <cellStyle name="20% - Accent2 8 2 3 2 2" xfId="6116"/>
    <cellStyle name="20% - Accent2 8 2 3 2 3" xfId="6117"/>
    <cellStyle name="20% - Accent2 8 2 3 2 4" xfId="6118"/>
    <cellStyle name="20% - Accent2 8 2 3 3" xfId="6119"/>
    <cellStyle name="20% - Accent2 8 2 3 3 2" xfId="6120"/>
    <cellStyle name="20% - Accent2 8 2 3 3 3" xfId="6121"/>
    <cellStyle name="20% - Accent2 8 2 3 4" xfId="6122"/>
    <cellStyle name="20% - Accent2 8 2 3 4 2" xfId="6123"/>
    <cellStyle name="20% - Accent2 8 2 3 5" xfId="6124"/>
    <cellStyle name="20% - Accent2 8 2 3 6" xfId="6125"/>
    <cellStyle name="20% - Accent2 8 2 3 7" xfId="6126"/>
    <cellStyle name="20% - Accent2 8 2 4" xfId="6127"/>
    <cellStyle name="20% - Accent2 8 2 4 2" xfId="6128"/>
    <cellStyle name="20% - Accent2 8 2 4 2 2" xfId="6129"/>
    <cellStyle name="20% - Accent2 8 2 4 2 3" xfId="6130"/>
    <cellStyle name="20% - Accent2 8 2 4 2 4" xfId="6131"/>
    <cellStyle name="20% - Accent2 8 2 4 3" xfId="6132"/>
    <cellStyle name="20% - Accent2 8 2 4 3 2" xfId="6133"/>
    <cellStyle name="20% - Accent2 8 2 4 3 3" xfId="6134"/>
    <cellStyle name="20% - Accent2 8 2 4 4" xfId="6135"/>
    <cellStyle name="20% - Accent2 8 2 4 4 2" xfId="6136"/>
    <cellStyle name="20% - Accent2 8 2 4 5" xfId="6137"/>
    <cellStyle name="20% - Accent2 8 2 4 6" xfId="6138"/>
    <cellStyle name="20% - Accent2 8 2 4 7" xfId="6139"/>
    <cellStyle name="20% - Accent2 8 2 5" xfId="6140"/>
    <cellStyle name="20% - Accent2 8 2 5 2" xfId="6141"/>
    <cellStyle name="20% - Accent2 8 2 5 3" xfId="6142"/>
    <cellStyle name="20% - Accent2 8 2 5 4" xfId="6143"/>
    <cellStyle name="20% - Accent2 8 2 6" xfId="6144"/>
    <cellStyle name="20% - Accent2 8 2 6 2" xfId="6145"/>
    <cellStyle name="20% - Accent2 8 2 6 3" xfId="6146"/>
    <cellStyle name="20% - Accent2 8 2 7" xfId="6147"/>
    <cellStyle name="20% - Accent2 8 2 7 2" xfId="6148"/>
    <cellStyle name="20% - Accent2 8 2 8" xfId="6149"/>
    <cellStyle name="20% - Accent2 8 2 9" xfId="6150"/>
    <cellStyle name="20% - Accent2 8 3" xfId="6151"/>
    <cellStyle name="20% - Accent2 8 3 2" xfId="6152"/>
    <cellStyle name="20% - Accent2 8 3 2 2" xfId="6153"/>
    <cellStyle name="20% - Accent2 8 3 2 3" xfId="6154"/>
    <cellStyle name="20% - Accent2 8 3 2 4" xfId="6155"/>
    <cellStyle name="20% - Accent2 8 3 3" xfId="6156"/>
    <cellStyle name="20% - Accent2 8 3 3 2" xfId="6157"/>
    <cellStyle name="20% - Accent2 8 3 3 3" xfId="6158"/>
    <cellStyle name="20% - Accent2 8 3 4" xfId="6159"/>
    <cellStyle name="20% - Accent2 8 3 4 2" xfId="6160"/>
    <cellStyle name="20% - Accent2 8 3 5" xfId="6161"/>
    <cellStyle name="20% - Accent2 8 3 6" xfId="6162"/>
    <cellStyle name="20% - Accent2 8 3 7" xfId="6163"/>
    <cellStyle name="20% - Accent2 8 4" xfId="6164"/>
    <cellStyle name="20% - Accent2 8 4 2" xfId="6165"/>
    <cellStyle name="20% - Accent2 8 4 2 2" xfId="6166"/>
    <cellStyle name="20% - Accent2 8 4 2 3" xfId="6167"/>
    <cellStyle name="20% - Accent2 8 4 2 4" xfId="6168"/>
    <cellStyle name="20% - Accent2 8 4 3" xfId="6169"/>
    <cellStyle name="20% - Accent2 8 4 3 2" xfId="6170"/>
    <cellStyle name="20% - Accent2 8 4 3 3" xfId="6171"/>
    <cellStyle name="20% - Accent2 8 4 4" xfId="6172"/>
    <cellStyle name="20% - Accent2 8 4 4 2" xfId="6173"/>
    <cellStyle name="20% - Accent2 8 4 5" xfId="6174"/>
    <cellStyle name="20% - Accent2 8 4 6" xfId="6175"/>
    <cellStyle name="20% - Accent2 8 4 7" xfId="6176"/>
    <cellStyle name="20% - Accent2 8 5" xfId="6177"/>
    <cellStyle name="20% - Accent2 8 5 2" xfId="6178"/>
    <cellStyle name="20% - Accent2 8 5 2 2" xfId="6179"/>
    <cellStyle name="20% - Accent2 8 5 2 3" xfId="6180"/>
    <cellStyle name="20% - Accent2 8 5 2 4" xfId="6181"/>
    <cellStyle name="20% - Accent2 8 5 3" xfId="6182"/>
    <cellStyle name="20% - Accent2 8 5 3 2" xfId="6183"/>
    <cellStyle name="20% - Accent2 8 5 3 3" xfId="6184"/>
    <cellStyle name="20% - Accent2 8 5 4" xfId="6185"/>
    <cellStyle name="20% - Accent2 8 5 4 2" xfId="6186"/>
    <cellStyle name="20% - Accent2 8 5 5" xfId="6187"/>
    <cellStyle name="20% - Accent2 8 5 6" xfId="6188"/>
    <cellStyle name="20% - Accent2 8 5 7" xfId="6189"/>
    <cellStyle name="20% - Accent2 8 6" xfId="6190"/>
    <cellStyle name="20% - Accent2 8 6 2" xfId="6191"/>
    <cellStyle name="20% - Accent2 8 6 3" xfId="6192"/>
    <cellStyle name="20% - Accent2 8 6 4" xfId="6193"/>
    <cellStyle name="20% - Accent2 8 7" xfId="6194"/>
    <cellStyle name="20% - Accent2 8 7 2" xfId="6195"/>
    <cellStyle name="20% - Accent2 8 7 3" xfId="6196"/>
    <cellStyle name="20% - Accent2 8 8" xfId="6197"/>
    <cellStyle name="20% - Accent2 8 8 2" xfId="6198"/>
    <cellStyle name="20% - Accent2 8 9" xfId="6199"/>
    <cellStyle name="20% - Accent2 80" xfId="6200"/>
    <cellStyle name="20% - Accent2 80 2" xfId="6201"/>
    <cellStyle name="20% - Accent2 80 3" xfId="6202"/>
    <cellStyle name="20% - Accent2 81" xfId="6203"/>
    <cellStyle name="20% - Accent2 81 2" xfId="6204"/>
    <cellStyle name="20% - Accent2 82" xfId="6205"/>
    <cellStyle name="20% - Accent2 83" xfId="6206"/>
    <cellStyle name="20% - Accent2 9" xfId="6207"/>
    <cellStyle name="20% - Accent2 9 10" xfId="6208"/>
    <cellStyle name="20% - Accent2 9 2" xfId="6209"/>
    <cellStyle name="20% - Accent2 9 2 2" xfId="6210"/>
    <cellStyle name="20% - Accent2 9 2 2 2" xfId="6211"/>
    <cellStyle name="20% - Accent2 9 2 2 3" xfId="6212"/>
    <cellStyle name="20% - Accent2 9 2 2 4" xfId="6213"/>
    <cellStyle name="20% - Accent2 9 2 3" xfId="6214"/>
    <cellStyle name="20% - Accent2 9 2 3 2" xfId="6215"/>
    <cellStyle name="20% - Accent2 9 2 3 3" xfId="6216"/>
    <cellStyle name="20% - Accent2 9 2 4" xfId="6217"/>
    <cellStyle name="20% - Accent2 9 2 4 2" xfId="6218"/>
    <cellStyle name="20% - Accent2 9 2 5" xfId="6219"/>
    <cellStyle name="20% - Accent2 9 2 6" xfId="6220"/>
    <cellStyle name="20% - Accent2 9 2 7" xfId="6221"/>
    <cellStyle name="20% - Accent2 9 3" xfId="6222"/>
    <cellStyle name="20% - Accent2 9 3 2" xfId="6223"/>
    <cellStyle name="20% - Accent2 9 3 2 2" xfId="6224"/>
    <cellStyle name="20% - Accent2 9 3 2 3" xfId="6225"/>
    <cellStyle name="20% - Accent2 9 3 2 4" xfId="6226"/>
    <cellStyle name="20% - Accent2 9 3 3" xfId="6227"/>
    <cellStyle name="20% - Accent2 9 3 3 2" xfId="6228"/>
    <cellStyle name="20% - Accent2 9 3 3 3" xfId="6229"/>
    <cellStyle name="20% - Accent2 9 3 4" xfId="6230"/>
    <cellStyle name="20% - Accent2 9 3 4 2" xfId="6231"/>
    <cellStyle name="20% - Accent2 9 3 5" xfId="6232"/>
    <cellStyle name="20% - Accent2 9 3 6" xfId="6233"/>
    <cellStyle name="20% - Accent2 9 3 7" xfId="6234"/>
    <cellStyle name="20% - Accent2 9 4" xfId="6235"/>
    <cellStyle name="20% - Accent2 9 4 2" xfId="6236"/>
    <cellStyle name="20% - Accent2 9 4 2 2" xfId="6237"/>
    <cellStyle name="20% - Accent2 9 4 2 3" xfId="6238"/>
    <cellStyle name="20% - Accent2 9 4 2 4" xfId="6239"/>
    <cellStyle name="20% - Accent2 9 4 3" xfId="6240"/>
    <cellStyle name="20% - Accent2 9 4 3 2" xfId="6241"/>
    <cellStyle name="20% - Accent2 9 4 3 3" xfId="6242"/>
    <cellStyle name="20% - Accent2 9 4 4" xfId="6243"/>
    <cellStyle name="20% - Accent2 9 4 4 2" xfId="6244"/>
    <cellStyle name="20% - Accent2 9 4 5" xfId="6245"/>
    <cellStyle name="20% - Accent2 9 4 6" xfId="6246"/>
    <cellStyle name="20% - Accent2 9 4 7" xfId="6247"/>
    <cellStyle name="20% - Accent2 9 5" xfId="6248"/>
    <cellStyle name="20% - Accent2 9 5 2" xfId="6249"/>
    <cellStyle name="20% - Accent2 9 5 3" xfId="6250"/>
    <cellStyle name="20% - Accent2 9 6" xfId="6251"/>
    <cellStyle name="20% - Accent2 9 6 2" xfId="6252"/>
    <cellStyle name="20% - Accent2 9 6 3" xfId="6253"/>
    <cellStyle name="20% - Accent2 9 7" xfId="6254"/>
    <cellStyle name="20% - Accent2 9 7 2" xfId="6255"/>
    <cellStyle name="20% - Accent2 9 8" xfId="6256"/>
    <cellStyle name="20% - Accent2 9 9" xfId="6257"/>
    <cellStyle name="20% - Accent3 10" xfId="6258"/>
    <cellStyle name="20% - Accent3 10 2" xfId="6259"/>
    <cellStyle name="20% - Accent3 10 2 2" xfId="6260"/>
    <cellStyle name="20% - Accent3 10 2 3" xfId="6261"/>
    <cellStyle name="20% - Accent3 10 2 4" xfId="6262"/>
    <cellStyle name="20% - Accent3 10 3" xfId="6263"/>
    <cellStyle name="20% - Accent3 10 3 2" xfId="6264"/>
    <cellStyle name="20% - Accent3 10 3 3" xfId="6265"/>
    <cellStyle name="20% - Accent3 10 4" xfId="6266"/>
    <cellStyle name="20% - Accent3 10 4 2" xfId="6267"/>
    <cellStyle name="20% - Accent3 10 5" xfId="6268"/>
    <cellStyle name="20% - Accent3 10 6" xfId="6269"/>
    <cellStyle name="20% - Accent3 10 7" xfId="6270"/>
    <cellStyle name="20% - Accent3 11" xfId="6271"/>
    <cellStyle name="20% - Accent3 11 2" xfId="6272"/>
    <cellStyle name="20% - Accent3 11 2 2" xfId="6273"/>
    <cellStyle name="20% - Accent3 11 2 3" xfId="6274"/>
    <cellStyle name="20% - Accent3 11 2 4" xfId="6275"/>
    <cellStyle name="20% - Accent3 11 3" xfId="6276"/>
    <cellStyle name="20% - Accent3 11 3 2" xfId="6277"/>
    <cellStyle name="20% - Accent3 11 3 3" xfId="6278"/>
    <cellStyle name="20% - Accent3 11 4" xfId="6279"/>
    <cellStyle name="20% - Accent3 11 4 2" xfId="6280"/>
    <cellStyle name="20% - Accent3 11 5" xfId="6281"/>
    <cellStyle name="20% - Accent3 11 6" xfId="6282"/>
    <cellStyle name="20% - Accent3 11 7" xfId="6283"/>
    <cellStyle name="20% - Accent3 12" xfId="6284"/>
    <cellStyle name="20% - Accent3 12 2" xfId="6285"/>
    <cellStyle name="20% - Accent3 12 2 2" xfId="6286"/>
    <cellStyle name="20% - Accent3 12 2 3" xfId="6287"/>
    <cellStyle name="20% - Accent3 12 2 4" xfId="6288"/>
    <cellStyle name="20% - Accent3 12 3" xfId="6289"/>
    <cellStyle name="20% - Accent3 12 3 2" xfId="6290"/>
    <cellStyle name="20% - Accent3 12 3 3" xfId="6291"/>
    <cellStyle name="20% - Accent3 12 4" xfId="6292"/>
    <cellStyle name="20% - Accent3 12 4 2" xfId="6293"/>
    <cellStyle name="20% - Accent3 12 5" xfId="6294"/>
    <cellStyle name="20% - Accent3 12 6" xfId="6295"/>
    <cellStyle name="20% - Accent3 12 7" xfId="6296"/>
    <cellStyle name="20% - Accent3 13" xfId="6297"/>
    <cellStyle name="20% - Accent3 13 2" xfId="6298"/>
    <cellStyle name="20% - Accent3 13 3" xfId="6299"/>
    <cellStyle name="20% - Accent3 13 4" xfId="6300"/>
    <cellStyle name="20% - Accent3 14" xfId="6301"/>
    <cellStyle name="20% - Accent3 14 10" xfId="6302"/>
    <cellStyle name="20% - Accent3 14 2" xfId="6303"/>
    <cellStyle name="20% - Accent3 14 2 2" xfId="6304"/>
    <cellStyle name="20% - Accent3 14 2 2 2" xfId="6305"/>
    <cellStyle name="20% - Accent3 14 2 2 2 2" xfId="6306"/>
    <cellStyle name="20% - Accent3 14 2 2 2 2 2" xfId="6307"/>
    <cellStyle name="20% - Accent3 14 2 2 2 2 2 2" xfId="6308"/>
    <cellStyle name="20% - Accent3 14 2 2 2 3" xfId="6309"/>
    <cellStyle name="20% - Accent3 14 2 2 2 3 2" xfId="6310"/>
    <cellStyle name="20% - Accent3 14 2 2 3" xfId="6311"/>
    <cellStyle name="20% - Accent3 14 2 2 3 2" xfId="6312"/>
    <cellStyle name="20% - Accent3 14 2 2 3 2 2" xfId="6313"/>
    <cellStyle name="20% - Accent3 14 2 2 4" xfId="6314"/>
    <cellStyle name="20% - Accent3 14 2 2 4 2" xfId="6315"/>
    <cellStyle name="20% - Accent3 14 2 2 5" xfId="6316"/>
    <cellStyle name="20% - Accent3 14 2 2 6" xfId="6317"/>
    <cellStyle name="20% - Accent3 14 2 2 7" xfId="6318"/>
    <cellStyle name="20% - Accent3 14 2 3" xfId="6319"/>
    <cellStyle name="20% - Accent3 14 2 3 2" xfId="6320"/>
    <cellStyle name="20% - Accent3 14 2 3 2 2" xfId="6321"/>
    <cellStyle name="20% - Accent3 14 2 3 2 2 2" xfId="6322"/>
    <cellStyle name="20% - Accent3 14 2 3 3" xfId="6323"/>
    <cellStyle name="20% - Accent3 14 2 3 3 2" xfId="6324"/>
    <cellStyle name="20% - Accent3 14 2 3 4" xfId="6325"/>
    <cellStyle name="20% - Accent3 14 2 3 5" xfId="6326"/>
    <cellStyle name="20% - Accent3 14 2 3 6" xfId="6327"/>
    <cellStyle name="20% - Accent3 14 2 4" xfId="6328"/>
    <cellStyle name="20% - Accent3 14 2 4 2" xfId="6329"/>
    <cellStyle name="20% - Accent3 14 2 4 2 2" xfId="6330"/>
    <cellStyle name="20% - Accent3 14 2 4 3" xfId="6331"/>
    <cellStyle name="20% - Accent3 14 2 5" xfId="6332"/>
    <cellStyle name="20% - Accent3 14 2 5 2" xfId="6333"/>
    <cellStyle name="20% - Accent3 14 2 6" xfId="6334"/>
    <cellStyle name="20% - Accent3 14 2 7" xfId="6335"/>
    <cellStyle name="20% - Accent3 14 2 8" xfId="6336"/>
    <cellStyle name="20% - Accent3 14 2 9" xfId="6337"/>
    <cellStyle name="20% - Accent3 14 3" xfId="6338"/>
    <cellStyle name="20% - Accent3 14 3 2" xfId="6339"/>
    <cellStyle name="20% - Accent3 14 3 2 2" xfId="6340"/>
    <cellStyle name="20% - Accent3 14 3 2 2 2" xfId="6341"/>
    <cellStyle name="20% - Accent3 14 3 2 2 2 2" xfId="6342"/>
    <cellStyle name="20% - Accent3 14 3 2 3" xfId="6343"/>
    <cellStyle name="20% - Accent3 14 3 2 3 2" xfId="6344"/>
    <cellStyle name="20% - Accent3 14 3 2 4" xfId="6345"/>
    <cellStyle name="20% - Accent3 14 3 2 5" xfId="6346"/>
    <cellStyle name="20% - Accent3 14 3 2 6" xfId="6347"/>
    <cellStyle name="20% - Accent3 14 3 3" xfId="6348"/>
    <cellStyle name="20% - Accent3 14 3 3 2" xfId="6349"/>
    <cellStyle name="20% - Accent3 14 3 3 2 2" xfId="6350"/>
    <cellStyle name="20% - Accent3 14 3 3 3" xfId="6351"/>
    <cellStyle name="20% - Accent3 14 3 3 4" xfId="6352"/>
    <cellStyle name="20% - Accent3 14 3 3 5" xfId="6353"/>
    <cellStyle name="20% - Accent3 14 3 4" xfId="6354"/>
    <cellStyle name="20% - Accent3 14 3 4 2" xfId="6355"/>
    <cellStyle name="20% - Accent3 14 3 4 3" xfId="6356"/>
    <cellStyle name="20% - Accent3 14 3 5" xfId="6357"/>
    <cellStyle name="20% - Accent3 14 3 6" xfId="6358"/>
    <cellStyle name="20% - Accent3 14 3 7" xfId="6359"/>
    <cellStyle name="20% - Accent3 14 3 8" xfId="6360"/>
    <cellStyle name="20% - Accent3 14 4" xfId="6361"/>
    <cellStyle name="20% - Accent3 14 4 2" xfId="6362"/>
    <cellStyle name="20% - Accent3 14 4 2 2" xfId="6363"/>
    <cellStyle name="20% - Accent3 14 4 2 2 2" xfId="6364"/>
    <cellStyle name="20% - Accent3 14 4 3" xfId="6365"/>
    <cellStyle name="20% - Accent3 14 4 3 2" xfId="6366"/>
    <cellStyle name="20% - Accent3 14 4 4" xfId="6367"/>
    <cellStyle name="20% - Accent3 14 4 5" xfId="6368"/>
    <cellStyle name="20% - Accent3 14 4 6" xfId="6369"/>
    <cellStyle name="20% - Accent3 14 5" xfId="6370"/>
    <cellStyle name="20% - Accent3 14 5 2" xfId="6371"/>
    <cellStyle name="20% - Accent3 14 5 2 2" xfId="6372"/>
    <cellStyle name="20% - Accent3 14 5 3" xfId="6373"/>
    <cellStyle name="20% - Accent3 14 5 4" xfId="6374"/>
    <cellStyle name="20% - Accent3 14 5 5" xfId="6375"/>
    <cellStyle name="20% - Accent3 14 6" xfId="6376"/>
    <cellStyle name="20% - Accent3 14 6 2" xfId="6377"/>
    <cellStyle name="20% - Accent3 14 6 3" xfId="6378"/>
    <cellStyle name="20% - Accent3 14 7" xfId="6379"/>
    <cellStyle name="20% - Accent3 14 8" xfId="6380"/>
    <cellStyle name="20% - Accent3 14 9" xfId="6381"/>
    <cellStyle name="20% - Accent3 15" xfId="6382"/>
    <cellStyle name="20% - Accent3 15 2" xfId="6383"/>
    <cellStyle name="20% - Accent3 15 2 2" xfId="6384"/>
    <cellStyle name="20% - Accent3 15 2 3" xfId="6385"/>
    <cellStyle name="20% - Accent3 15 2 4" xfId="6386"/>
    <cellStyle name="20% - Accent3 15 3" xfId="6387"/>
    <cellStyle name="20% - Accent3 15 3 2" xfId="6388"/>
    <cellStyle name="20% - Accent3 15 3 3" xfId="6389"/>
    <cellStyle name="20% - Accent3 15 4" xfId="6390"/>
    <cellStyle name="20% - Accent3 15 4 2" xfId="6391"/>
    <cellStyle name="20% - Accent3 15 5" xfId="6392"/>
    <cellStyle name="20% - Accent3 15 6" xfId="6393"/>
    <cellStyle name="20% - Accent3 15 7" xfId="6394"/>
    <cellStyle name="20% - Accent3 16" xfId="6395"/>
    <cellStyle name="20% - Accent3 16 2" xfId="6396"/>
    <cellStyle name="20% - Accent3 16 2 2" xfId="6397"/>
    <cellStyle name="20% - Accent3 16 2 3" xfId="6398"/>
    <cellStyle name="20% - Accent3 16 2 4" xfId="6399"/>
    <cellStyle name="20% - Accent3 16 3" xfId="6400"/>
    <cellStyle name="20% - Accent3 16 3 2" xfId="6401"/>
    <cellStyle name="20% - Accent3 16 3 3" xfId="6402"/>
    <cellStyle name="20% - Accent3 16 4" xfId="6403"/>
    <cellStyle name="20% - Accent3 16 4 2" xfId="6404"/>
    <cellStyle name="20% - Accent3 16 5" xfId="6405"/>
    <cellStyle name="20% - Accent3 16 6" xfId="6406"/>
    <cellStyle name="20% - Accent3 16 7" xfId="6407"/>
    <cellStyle name="20% - Accent3 17" xfId="6408"/>
    <cellStyle name="20% - Accent3 17 2" xfId="6409"/>
    <cellStyle name="20% - Accent3 17 2 2" xfId="6410"/>
    <cellStyle name="20% - Accent3 17 2 3" xfId="6411"/>
    <cellStyle name="20% - Accent3 17 2 4" xfId="6412"/>
    <cellStyle name="20% - Accent3 17 3" xfId="6413"/>
    <cellStyle name="20% - Accent3 17 3 2" xfId="6414"/>
    <cellStyle name="20% - Accent3 17 3 3" xfId="6415"/>
    <cellStyle name="20% - Accent3 17 4" xfId="6416"/>
    <cellStyle name="20% - Accent3 17 4 2" xfId="6417"/>
    <cellStyle name="20% - Accent3 17 5" xfId="6418"/>
    <cellStyle name="20% - Accent3 17 6" xfId="6419"/>
    <cellStyle name="20% - Accent3 17 7" xfId="6420"/>
    <cellStyle name="20% - Accent3 18" xfId="6421"/>
    <cellStyle name="20% - Accent3 18 2" xfId="6422"/>
    <cellStyle name="20% - Accent3 18 2 2" xfId="6423"/>
    <cellStyle name="20% - Accent3 18 2 3" xfId="6424"/>
    <cellStyle name="20% - Accent3 18 2 4" xfId="6425"/>
    <cellStyle name="20% - Accent3 18 3" xfId="6426"/>
    <cellStyle name="20% - Accent3 18 3 2" xfId="6427"/>
    <cellStyle name="20% - Accent3 18 3 3" xfId="6428"/>
    <cellStyle name="20% - Accent3 18 4" xfId="6429"/>
    <cellStyle name="20% - Accent3 18 4 2" xfId="6430"/>
    <cellStyle name="20% - Accent3 18 5" xfId="6431"/>
    <cellStyle name="20% - Accent3 18 6" xfId="6432"/>
    <cellStyle name="20% - Accent3 18 7" xfId="6433"/>
    <cellStyle name="20% - Accent3 19" xfId="6434"/>
    <cellStyle name="20% - Accent3 19 2" xfId="6435"/>
    <cellStyle name="20% - Accent3 19 2 2" xfId="6436"/>
    <cellStyle name="20% - Accent3 19 2 3" xfId="6437"/>
    <cellStyle name="20% - Accent3 19 2 4" xfId="6438"/>
    <cellStyle name="20% - Accent3 19 3" xfId="6439"/>
    <cellStyle name="20% - Accent3 19 3 2" xfId="6440"/>
    <cellStyle name="20% - Accent3 19 3 3" xfId="6441"/>
    <cellStyle name="20% - Accent3 19 4" xfId="6442"/>
    <cellStyle name="20% - Accent3 19 4 2" xfId="6443"/>
    <cellStyle name="20% - Accent3 19 5" xfId="6444"/>
    <cellStyle name="20% - Accent3 19 6" xfId="6445"/>
    <cellStyle name="20% - Accent3 19 7" xfId="6446"/>
    <cellStyle name="20% - Accent3 2" xfId="6447"/>
    <cellStyle name="20% - Accent3 2 10" xfId="6448"/>
    <cellStyle name="20% - Accent3 2 10 2" xfId="6449"/>
    <cellStyle name="20% - Accent3 2 10 2 2" xfId="6450"/>
    <cellStyle name="20% - Accent3 2 10 2 2 2" xfId="6451"/>
    <cellStyle name="20% - Accent3 2 10 2 2 2 2" xfId="6452"/>
    <cellStyle name="20% - Accent3 2 10 2 2 2 2 2" xfId="6453"/>
    <cellStyle name="20% - Accent3 2 10 2 2 2 2 2 2" xfId="6454"/>
    <cellStyle name="20% - Accent3 2 10 2 2 2 3" xfId="6455"/>
    <cellStyle name="20% - Accent3 2 10 2 2 2 3 2" xfId="6456"/>
    <cellStyle name="20% - Accent3 2 10 2 2 3" xfId="6457"/>
    <cellStyle name="20% - Accent3 2 10 2 2 3 2" xfId="6458"/>
    <cellStyle name="20% - Accent3 2 10 2 2 3 2 2" xfId="6459"/>
    <cellStyle name="20% - Accent3 2 10 2 2 4" xfId="6460"/>
    <cellStyle name="20% - Accent3 2 10 2 2 4 2" xfId="6461"/>
    <cellStyle name="20% - Accent3 2 10 2 3" xfId="6462"/>
    <cellStyle name="20% - Accent3 2 10 2 3 2" xfId="6463"/>
    <cellStyle name="20% - Accent3 2 10 2 3 2 2" xfId="6464"/>
    <cellStyle name="20% - Accent3 2 10 2 3 2 2 2" xfId="6465"/>
    <cellStyle name="20% - Accent3 2 10 2 3 3" xfId="6466"/>
    <cellStyle name="20% - Accent3 2 10 2 3 3 2" xfId="6467"/>
    <cellStyle name="20% - Accent3 2 10 2 4" xfId="6468"/>
    <cellStyle name="20% - Accent3 2 10 2 4 2" xfId="6469"/>
    <cellStyle name="20% - Accent3 2 10 2 4 2 2" xfId="6470"/>
    <cellStyle name="20% - Accent3 2 10 2 5" xfId="6471"/>
    <cellStyle name="20% - Accent3 2 10 2 5 2" xfId="6472"/>
    <cellStyle name="20% - Accent3 2 10 3" xfId="6473"/>
    <cellStyle name="20% - Accent3 2 10 3 2" xfId="6474"/>
    <cellStyle name="20% - Accent3 2 10 3 2 2" xfId="6475"/>
    <cellStyle name="20% - Accent3 2 10 3 2 2 2" xfId="6476"/>
    <cellStyle name="20% - Accent3 2 10 3 2 2 2 2" xfId="6477"/>
    <cellStyle name="20% - Accent3 2 10 3 2 3" xfId="6478"/>
    <cellStyle name="20% - Accent3 2 10 3 2 3 2" xfId="6479"/>
    <cellStyle name="20% - Accent3 2 10 3 3" xfId="6480"/>
    <cellStyle name="20% - Accent3 2 10 3 3 2" xfId="6481"/>
    <cellStyle name="20% - Accent3 2 10 3 3 2 2" xfId="6482"/>
    <cellStyle name="20% - Accent3 2 10 3 4" xfId="6483"/>
    <cellStyle name="20% - Accent3 2 10 3 4 2" xfId="6484"/>
    <cellStyle name="20% - Accent3 2 10 4" xfId="6485"/>
    <cellStyle name="20% - Accent3 2 10 4 2" xfId="6486"/>
    <cellStyle name="20% - Accent3 2 10 4 2 2" xfId="6487"/>
    <cellStyle name="20% - Accent3 2 10 4 2 2 2" xfId="6488"/>
    <cellStyle name="20% - Accent3 2 10 4 3" xfId="6489"/>
    <cellStyle name="20% - Accent3 2 10 4 3 2" xfId="6490"/>
    <cellStyle name="20% - Accent3 2 10 5" xfId="6491"/>
    <cellStyle name="20% - Accent3 2 10 5 2" xfId="6492"/>
    <cellStyle name="20% - Accent3 2 10 5 2 2" xfId="6493"/>
    <cellStyle name="20% - Accent3 2 10 6" xfId="6494"/>
    <cellStyle name="20% - Accent3 2 10 6 2" xfId="6495"/>
    <cellStyle name="20% - Accent3 2 11" xfId="6496"/>
    <cellStyle name="20% - Accent3 2 11 2" xfId="6497"/>
    <cellStyle name="20% - Accent3 2 11 2 2" xfId="6498"/>
    <cellStyle name="20% - Accent3 2 11 2 2 2" xfId="6499"/>
    <cellStyle name="20% - Accent3 2 11 2 2 2 2" xfId="6500"/>
    <cellStyle name="20% - Accent3 2 11 2 2 2 2 2" xfId="6501"/>
    <cellStyle name="20% - Accent3 2 11 2 2 2 2 2 2" xfId="6502"/>
    <cellStyle name="20% - Accent3 2 11 2 2 2 3" xfId="6503"/>
    <cellStyle name="20% - Accent3 2 11 2 2 2 3 2" xfId="6504"/>
    <cellStyle name="20% - Accent3 2 11 2 2 3" xfId="6505"/>
    <cellStyle name="20% - Accent3 2 11 2 2 3 2" xfId="6506"/>
    <cellStyle name="20% - Accent3 2 11 2 2 3 2 2" xfId="6507"/>
    <cellStyle name="20% - Accent3 2 11 2 2 4" xfId="6508"/>
    <cellStyle name="20% - Accent3 2 11 2 2 4 2" xfId="6509"/>
    <cellStyle name="20% - Accent3 2 11 2 3" xfId="6510"/>
    <cellStyle name="20% - Accent3 2 11 2 3 2" xfId="6511"/>
    <cellStyle name="20% - Accent3 2 11 2 3 2 2" xfId="6512"/>
    <cellStyle name="20% - Accent3 2 11 2 3 2 2 2" xfId="6513"/>
    <cellStyle name="20% - Accent3 2 11 2 3 3" xfId="6514"/>
    <cellStyle name="20% - Accent3 2 11 2 3 3 2" xfId="6515"/>
    <cellStyle name="20% - Accent3 2 11 2 4" xfId="6516"/>
    <cellStyle name="20% - Accent3 2 11 2 4 2" xfId="6517"/>
    <cellStyle name="20% - Accent3 2 11 2 4 2 2" xfId="6518"/>
    <cellStyle name="20% - Accent3 2 11 2 5" xfId="6519"/>
    <cellStyle name="20% - Accent3 2 11 2 5 2" xfId="6520"/>
    <cellStyle name="20% - Accent3 2 11 3" xfId="6521"/>
    <cellStyle name="20% - Accent3 2 11 3 2" xfId="6522"/>
    <cellStyle name="20% - Accent3 2 11 3 2 2" xfId="6523"/>
    <cellStyle name="20% - Accent3 2 11 3 2 2 2" xfId="6524"/>
    <cellStyle name="20% - Accent3 2 11 3 2 2 2 2" xfId="6525"/>
    <cellStyle name="20% - Accent3 2 11 3 2 3" xfId="6526"/>
    <cellStyle name="20% - Accent3 2 11 3 2 3 2" xfId="6527"/>
    <cellStyle name="20% - Accent3 2 11 3 3" xfId="6528"/>
    <cellStyle name="20% - Accent3 2 11 3 3 2" xfId="6529"/>
    <cellStyle name="20% - Accent3 2 11 3 3 2 2" xfId="6530"/>
    <cellStyle name="20% - Accent3 2 11 3 4" xfId="6531"/>
    <cellStyle name="20% - Accent3 2 11 3 4 2" xfId="6532"/>
    <cellStyle name="20% - Accent3 2 11 4" xfId="6533"/>
    <cellStyle name="20% - Accent3 2 11 4 2" xfId="6534"/>
    <cellStyle name="20% - Accent3 2 11 4 2 2" xfId="6535"/>
    <cellStyle name="20% - Accent3 2 11 4 2 2 2" xfId="6536"/>
    <cellStyle name="20% - Accent3 2 11 4 3" xfId="6537"/>
    <cellStyle name="20% - Accent3 2 11 4 3 2" xfId="6538"/>
    <cellStyle name="20% - Accent3 2 11 5" xfId="6539"/>
    <cellStyle name="20% - Accent3 2 11 5 2" xfId="6540"/>
    <cellStyle name="20% - Accent3 2 11 5 2 2" xfId="6541"/>
    <cellStyle name="20% - Accent3 2 11 6" xfId="6542"/>
    <cellStyle name="20% - Accent3 2 11 6 2" xfId="6543"/>
    <cellStyle name="20% - Accent3 2 12" xfId="6544"/>
    <cellStyle name="20% - Accent3 2 12 2" xfId="6545"/>
    <cellStyle name="20% - Accent3 2 12 2 2" xfId="6546"/>
    <cellStyle name="20% - Accent3 2 12 2 2 2" xfId="6547"/>
    <cellStyle name="20% - Accent3 2 12 2 2 2 2" xfId="6548"/>
    <cellStyle name="20% - Accent3 2 12 2 2 2 2 2" xfId="6549"/>
    <cellStyle name="20% - Accent3 2 12 2 2 2 2 2 2" xfId="6550"/>
    <cellStyle name="20% - Accent3 2 12 2 2 2 3" xfId="6551"/>
    <cellStyle name="20% - Accent3 2 12 2 2 2 3 2" xfId="6552"/>
    <cellStyle name="20% - Accent3 2 12 2 2 3" xfId="6553"/>
    <cellStyle name="20% - Accent3 2 12 2 2 3 2" xfId="6554"/>
    <cellStyle name="20% - Accent3 2 12 2 2 3 2 2" xfId="6555"/>
    <cellStyle name="20% - Accent3 2 12 2 2 4" xfId="6556"/>
    <cellStyle name="20% - Accent3 2 12 2 2 4 2" xfId="6557"/>
    <cellStyle name="20% - Accent3 2 12 2 3" xfId="6558"/>
    <cellStyle name="20% - Accent3 2 12 2 3 2" xfId="6559"/>
    <cellStyle name="20% - Accent3 2 12 2 3 2 2" xfId="6560"/>
    <cellStyle name="20% - Accent3 2 12 2 3 2 2 2" xfId="6561"/>
    <cellStyle name="20% - Accent3 2 12 2 3 3" xfId="6562"/>
    <cellStyle name="20% - Accent3 2 12 2 3 3 2" xfId="6563"/>
    <cellStyle name="20% - Accent3 2 12 2 4" xfId="6564"/>
    <cellStyle name="20% - Accent3 2 12 2 4 2" xfId="6565"/>
    <cellStyle name="20% - Accent3 2 12 2 4 2 2" xfId="6566"/>
    <cellStyle name="20% - Accent3 2 12 2 5" xfId="6567"/>
    <cellStyle name="20% - Accent3 2 12 2 5 2" xfId="6568"/>
    <cellStyle name="20% - Accent3 2 12 3" xfId="6569"/>
    <cellStyle name="20% - Accent3 2 12 3 2" xfId="6570"/>
    <cellStyle name="20% - Accent3 2 12 3 2 2" xfId="6571"/>
    <cellStyle name="20% - Accent3 2 12 3 2 2 2" xfId="6572"/>
    <cellStyle name="20% - Accent3 2 12 3 2 2 2 2" xfId="6573"/>
    <cellStyle name="20% - Accent3 2 12 3 2 3" xfId="6574"/>
    <cellStyle name="20% - Accent3 2 12 3 2 3 2" xfId="6575"/>
    <cellStyle name="20% - Accent3 2 12 3 3" xfId="6576"/>
    <cellStyle name="20% - Accent3 2 12 3 3 2" xfId="6577"/>
    <cellStyle name="20% - Accent3 2 12 3 3 2 2" xfId="6578"/>
    <cellStyle name="20% - Accent3 2 12 3 4" xfId="6579"/>
    <cellStyle name="20% - Accent3 2 12 3 4 2" xfId="6580"/>
    <cellStyle name="20% - Accent3 2 12 4" xfId="6581"/>
    <cellStyle name="20% - Accent3 2 12 4 2" xfId="6582"/>
    <cellStyle name="20% - Accent3 2 12 4 2 2" xfId="6583"/>
    <cellStyle name="20% - Accent3 2 12 4 2 2 2" xfId="6584"/>
    <cellStyle name="20% - Accent3 2 12 4 3" xfId="6585"/>
    <cellStyle name="20% - Accent3 2 12 4 3 2" xfId="6586"/>
    <cellStyle name="20% - Accent3 2 12 5" xfId="6587"/>
    <cellStyle name="20% - Accent3 2 12 5 2" xfId="6588"/>
    <cellStyle name="20% - Accent3 2 12 5 2 2" xfId="6589"/>
    <cellStyle name="20% - Accent3 2 12 6" xfId="6590"/>
    <cellStyle name="20% - Accent3 2 12 6 2" xfId="6591"/>
    <cellStyle name="20% - Accent3 2 13" xfId="6592"/>
    <cellStyle name="20% - Accent3 2 13 2" xfId="6593"/>
    <cellStyle name="20% - Accent3 2 13 2 2" xfId="6594"/>
    <cellStyle name="20% - Accent3 2 13 2 2 2" xfId="6595"/>
    <cellStyle name="20% - Accent3 2 13 2 2 2 2" xfId="6596"/>
    <cellStyle name="20% - Accent3 2 13 2 2 2 2 2" xfId="6597"/>
    <cellStyle name="20% - Accent3 2 13 2 2 2 2 2 2" xfId="6598"/>
    <cellStyle name="20% - Accent3 2 13 2 2 2 3" xfId="6599"/>
    <cellStyle name="20% - Accent3 2 13 2 2 2 3 2" xfId="6600"/>
    <cellStyle name="20% - Accent3 2 13 2 2 3" xfId="6601"/>
    <cellStyle name="20% - Accent3 2 13 2 2 3 2" xfId="6602"/>
    <cellStyle name="20% - Accent3 2 13 2 2 3 2 2" xfId="6603"/>
    <cellStyle name="20% - Accent3 2 13 2 2 4" xfId="6604"/>
    <cellStyle name="20% - Accent3 2 13 2 2 4 2" xfId="6605"/>
    <cellStyle name="20% - Accent3 2 13 2 3" xfId="6606"/>
    <cellStyle name="20% - Accent3 2 13 2 3 2" xfId="6607"/>
    <cellStyle name="20% - Accent3 2 13 2 3 2 2" xfId="6608"/>
    <cellStyle name="20% - Accent3 2 13 2 3 2 2 2" xfId="6609"/>
    <cellStyle name="20% - Accent3 2 13 2 3 3" xfId="6610"/>
    <cellStyle name="20% - Accent3 2 13 2 3 3 2" xfId="6611"/>
    <cellStyle name="20% - Accent3 2 13 2 4" xfId="6612"/>
    <cellStyle name="20% - Accent3 2 13 2 4 2" xfId="6613"/>
    <cellStyle name="20% - Accent3 2 13 2 4 2 2" xfId="6614"/>
    <cellStyle name="20% - Accent3 2 13 2 5" xfId="6615"/>
    <cellStyle name="20% - Accent3 2 13 2 5 2" xfId="6616"/>
    <cellStyle name="20% - Accent3 2 13 3" xfId="6617"/>
    <cellStyle name="20% - Accent3 2 13 3 2" xfId="6618"/>
    <cellStyle name="20% - Accent3 2 13 3 2 2" xfId="6619"/>
    <cellStyle name="20% - Accent3 2 13 3 2 2 2" xfId="6620"/>
    <cellStyle name="20% - Accent3 2 13 3 2 2 2 2" xfId="6621"/>
    <cellStyle name="20% - Accent3 2 13 3 2 3" xfId="6622"/>
    <cellStyle name="20% - Accent3 2 13 3 2 3 2" xfId="6623"/>
    <cellStyle name="20% - Accent3 2 13 3 3" xfId="6624"/>
    <cellStyle name="20% - Accent3 2 13 3 3 2" xfId="6625"/>
    <cellStyle name="20% - Accent3 2 13 3 3 2 2" xfId="6626"/>
    <cellStyle name="20% - Accent3 2 13 3 4" xfId="6627"/>
    <cellStyle name="20% - Accent3 2 13 3 4 2" xfId="6628"/>
    <cellStyle name="20% - Accent3 2 13 4" xfId="6629"/>
    <cellStyle name="20% - Accent3 2 13 4 2" xfId="6630"/>
    <cellStyle name="20% - Accent3 2 13 4 2 2" xfId="6631"/>
    <cellStyle name="20% - Accent3 2 13 4 2 2 2" xfId="6632"/>
    <cellStyle name="20% - Accent3 2 13 4 3" xfId="6633"/>
    <cellStyle name="20% - Accent3 2 13 4 3 2" xfId="6634"/>
    <cellStyle name="20% - Accent3 2 13 5" xfId="6635"/>
    <cellStyle name="20% - Accent3 2 13 5 2" xfId="6636"/>
    <cellStyle name="20% - Accent3 2 13 5 2 2" xfId="6637"/>
    <cellStyle name="20% - Accent3 2 13 6" xfId="6638"/>
    <cellStyle name="20% - Accent3 2 13 6 2" xfId="6639"/>
    <cellStyle name="20% - Accent3 2 14" xfId="6640"/>
    <cellStyle name="20% - Accent3 2 14 2" xfId="6641"/>
    <cellStyle name="20% - Accent3 2 14 2 2" xfId="6642"/>
    <cellStyle name="20% - Accent3 2 14 2 2 2" xfId="6643"/>
    <cellStyle name="20% - Accent3 2 14 2 2 2 2" xfId="6644"/>
    <cellStyle name="20% - Accent3 2 14 2 2 2 2 2" xfId="6645"/>
    <cellStyle name="20% - Accent3 2 14 2 2 3" xfId="6646"/>
    <cellStyle name="20% - Accent3 2 14 2 2 3 2" xfId="6647"/>
    <cellStyle name="20% - Accent3 2 14 2 3" xfId="6648"/>
    <cellStyle name="20% - Accent3 2 14 2 3 2" xfId="6649"/>
    <cellStyle name="20% - Accent3 2 14 2 3 2 2" xfId="6650"/>
    <cellStyle name="20% - Accent3 2 14 2 4" xfId="6651"/>
    <cellStyle name="20% - Accent3 2 14 2 4 2" xfId="6652"/>
    <cellStyle name="20% - Accent3 2 14 3" xfId="6653"/>
    <cellStyle name="20% - Accent3 2 14 3 2" xfId="6654"/>
    <cellStyle name="20% - Accent3 2 14 3 2 2" xfId="6655"/>
    <cellStyle name="20% - Accent3 2 14 3 2 2 2" xfId="6656"/>
    <cellStyle name="20% - Accent3 2 14 3 3" xfId="6657"/>
    <cellStyle name="20% - Accent3 2 14 3 3 2" xfId="6658"/>
    <cellStyle name="20% - Accent3 2 14 4" xfId="6659"/>
    <cellStyle name="20% - Accent3 2 14 4 2" xfId="6660"/>
    <cellStyle name="20% - Accent3 2 14 4 2 2" xfId="6661"/>
    <cellStyle name="20% - Accent3 2 14 5" xfId="6662"/>
    <cellStyle name="20% - Accent3 2 14 5 2" xfId="6663"/>
    <cellStyle name="20% - Accent3 2 15" xfId="6664"/>
    <cellStyle name="20% - Accent3 2 15 2" xfId="6665"/>
    <cellStyle name="20% - Accent3 2 15 2 2" xfId="6666"/>
    <cellStyle name="20% - Accent3 2 15 2 2 2" xfId="6667"/>
    <cellStyle name="20% - Accent3 2 15 2 2 2 2" xfId="6668"/>
    <cellStyle name="20% - Accent3 2 15 2 3" xfId="6669"/>
    <cellStyle name="20% - Accent3 2 15 2 3 2" xfId="6670"/>
    <cellStyle name="20% - Accent3 2 15 3" xfId="6671"/>
    <cellStyle name="20% - Accent3 2 15 3 2" xfId="6672"/>
    <cellStyle name="20% - Accent3 2 15 3 2 2" xfId="6673"/>
    <cellStyle name="20% - Accent3 2 15 4" xfId="6674"/>
    <cellStyle name="20% - Accent3 2 15 4 2" xfId="6675"/>
    <cellStyle name="20% - Accent3 2 16" xfId="6676"/>
    <cellStyle name="20% - Accent3 2 16 2" xfId="6677"/>
    <cellStyle name="20% - Accent3 2 16 2 2" xfId="6678"/>
    <cellStyle name="20% - Accent3 2 16 2 2 2" xfId="6679"/>
    <cellStyle name="20% - Accent3 2 16 3" xfId="6680"/>
    <cellStyle name="20% - Accent3 2 16 3 2" xfId="6681"/>
    <cellStyle name="20% - Accent3 2 17" xfId="6682"/>
    <cellStyle name="20% - Accent3 2 17 2" xfId="6683"/>
    <cellStyle name="20% - Accent3 2 17 2 2" xfId="6684"/>
    <cellStyle name="20% - Accent3 2 18" xfId="6685"/>
    <cellStyle name="20% - Accent3 2 19" xfId="6686"/>
    <cellStyle name="20% - Accent3 2 19 2" xfId="6687"/>
    <cellStyle name="20% - Accent3 2 2" xfId="6688"/>
    <cellStyle name="20% - Accent3 2 2 2" xfId="6689"/>
    <cellStyle name="20% - Accent3 2 2 2 2" xfId="6690"/>
    <cellStyle name="20% - Accent3 2 2 2 2 2" xfId="6691"/>
    <cellStyle name="20% - Accent3 2 2 2 2 2 2" xfId="6692"/>
    <cellStyle name="20% - Accent3 2 2 2 2 2 2 2" xfId="6693"/>
    <cellStyle name="20% - Accent3 2 2 2 2 2 2 2 2" xfId="6694"/>
    <cellStyle name="20% - Accent3 2 2 2 2 2 3" xfId="6695"/>
    <cellStyle name="20% - Accent3 2 2 2 2 2 3 2" xfId="6696"/>
    <cellStyle name="20% - Accent3 2 2 2 2 3" xfId="6697"/>
    <cellStyle name="20% - Accent3 2 2 2 2 3 2" xfId="6698"/>
    <cellStyle name="20% - Accent3 2 2 2 2 3 2 2" xfId="6699"/>
    <cellStyle name="20% - Accent3 2 2 2 2 4" xfId="6700"/>
    <cellStyle name="20% - Accent3 2 2 2 2 4 2" xfId="6701"/>
    <cellStyle name="20% - Accent3 2 2 2 3" xfId="6702"/>
    <cellStyle name="20% - Accent3 2 2 2 3 2" xfId="6703"/>
    <cellStyle name="20% - Accent3 2 2 2 3 2 2" xfId="6704"/>
    <cellStyle name="20% - Accent3 2 2 2 3 2 2 2" xfId="6705"/>
    <cellStyle name="20% - Accent3 2 2 2 3 3" xfId="6706"/>
    <cellStyle name="20% - Accent3 2 2 2 3 3 2" xfId="6707"/>
    <cellStyle name="20% - Accent3 2 2 2 4" xfId="6708"/>
    <cellStyle name="20% - Accent3 2 2 2 4 2" xfId="6709"/>
    <cellStyle name="20% - Accent3 2 2 2 4 2 2" xfId="6710"/>
    <cellStyle name="20% - Accent3 2 2 2 5" xfId="6711"/>
    <cellStyle name="20% - Accent3 2 2 2 5 2" xfId="6712"/>
    <cellStyle name="20% - Accent3 2 2 3" xfId="6713"/>
    <cellStyle name="20% - Accent3 2 2 3 2" xfId="6714"/>
    <cellStyle name="20% - Accent3 2 2 3 2 2" xfId="6715"/>
    <cellStyle name="20% - Accent3 2 2 3 2 2 2" xfId="6716"/>
    <cellStyle name="20% - Accent3 2 2 3 2 2 2 2" xfId="6717"/>
    <cellStyle name="20% - Accent3 2 2 3 2 3" xfId="6718"/>
    <cellStyle name="20% - Accent3 2 2 3 2 3 2" xfId="6719"/>
    <cellStyle name="20% - Accent3 2 2 3 3" xfId="6720"/>
    <cellStyle name="20% - Accent3 2 2 3 3 2" xfId="6721"/>
    <cellStyle name="20% - Accent3 2 2 3 3 2 2" xfId="6722"/>
    <cellStyle name="20% - Accent3 2 2 3 4" xfId="6723"/>
    <cellStyle name="20% - Accent3 2 2 3 4 2" xfId="6724"/>
    <cellStyle name="20% - Accent3 2 2 4" xfId="6725"/>
    <cellStyle name="20% - Accent3 2 2 4 2" xfId="6726"/>
    <cellStyle name="20% - Accent3 2 2 4 2 2" xfId="6727"/>
    <cellStyle name="20% - Accent3 2 2 4 2 2 2" xfId="6728"/>
    <cellStyle name="20% - Accent3 2 2 4 3" xfId="6729"/>
    <cellStyle name="20% - Accent3 2 2 4 3 2" xfId="6730"/>
    <cellStyle name="20% - Accent3 2 2 5" xfId="6731"/>
    <cellStyle name="20% - Accent3 2 2 5 2" xfId="6732"/>
    <cellStyle name="20% - Accent3 2 2 5 2 2" xfId="6733"/>
    <cellStyle name="20% - Accent3 2 2 6" xfId="6734"/>
    <cellStyle name="20% - Accent3 2 2 6 2" xfId="6735"/>
    <cellStyle name="20% - Accent3 2 2 7" xfId="6736"/>
    <cellStyle name="20% - Accent3 2 3" xfId="6737"/>
    <cellStyle name="20% - Accent3 2 3 2" xfId="6738"/>
    <cellStyle name="20% - Accent3 2 3 2 2" xfId="6739"/>
    <cellStyle name="20% - Accent3 2 3 2 2 2" xfId="6740"/>
    <cellStyle name="20% - Accent3 2 3 2 2 2 2" xfId="6741"/>
    <cellStyle name="20% - Accent3 2 3 2 2 2 2 2" xfId="6742"/>
    <cellStyle name="20% - Accent3 2 3 2 2 2 2 2 2" xfId="6743"/>
    <cellStyle name="20% - Accent3 2 3 2 2 2 3" xfId="6744"/>
    <cellStyle name="20% - Accent3 2 3 2 2 2 3 2" xfId="6745"/>
    <cellStyle name="20% - Accent3 2 3 2 2 3" xfId="6746"/>
    <cellStyle name="20% - Accent3 2 3 2 2 3 2" xfId="6747"/>
    <cellStyle name="20% - Accent3 2 3 2 2 3 2 2" xfId="6748"/>
    <cellStyle name="20% - Accent3 2 3 2 2 4" xfId="6749"/>
    <cellStyle name="20% - Accent3 2 3 2 2 4 2" xfId="6750"/>
    <cellStyle name="20% - Accent3 2 3 2 3" xfId="6751"/>
    <cellStyle name="20% - Accent3 2 3 2 3 2" xfId="6752"/>
    <cellStyle name="20% - Accent3 2 3 2 3 2 2" xfId="6753"/>
    <cellStyle name="20% - Accent3 2 3 2 3 2 2 2" xfId="6754"/>
    <cellStyle name="20% - Accent3 2 3 2 3 3" xfId="6755"/>
    <cellStyle name="20% - Accent3 2 3 2 3 3 2" xfId="6756"/>
    <cellStyle name="20% - Accent3 2 3 2 4" xfId="6757"/>
    <cellStyle name="20% - Accent3 2 3 2 4 2" xfId="6758"/>
    <cellStyle name="20% - Accent3 2 3 2 4 2 2" xfId="6759"/>
    <cellStyle name="20% - Accent3 2 3 2 5" xfId="6760"/>
    <cellStyle name="20% - Accent3 2 3 2 5 2" xfId="6761"/>
    <cellStyle name="20% - Accent3 2 3 3" xfId="6762"/>
    <cellStyle name="20% - Accent3 2 3 3 2" xfId="6763"/>
    <cellStyle name="20% - Accent3 2 3 3 2 2" xfId="6764"/>
    <cellStyle name="20% - Accent3 2 3 3 2 2 2" xfId="6765"/>
    <cellStyle name="20% - Accent3 2 3 3 2 2 2 2" xfId="6766"/>
    <cellStyle name="20% - Accent3 2 3 3 2 3" xfId="6767"/>
    <cellStyle name="20% - Accent3 2 3 3 2 3 2" xfId="6768"/>
    <cellStyle name="20% - Accent3 2 3 3 3" xfId="6769"/>
    <cellStyle name="20% - Accent3 2 3 3 3 2" xfId="6770"/>
    <cellStyle name="20% - Accent3 2 3 3 3 2 2" xfId="6771"/>
    <cellStyle name="20% - Accent3 2 3 3 4" xfId="6772"/>
    <cellStyle name="20% - Accent3 2 3 3 4 2" xfId="6773"/>
    <cellStyle name="20% - Accent3 2 3 4" xfId="6774"/>
    <cellStyle name="20% - Accent3 2 3 4 2" xfId="6775"/>
    <cellStyle name="20% - Accent3 2 3 4 2 2" xfId="6776"/>
    <cellStyle name="20% - Accent3 2 3 4 2 2 2" xfId="6777"/>
    <cellStyle name="20% - Accent3 2 3 4 3" xfId="6778"/>
    <cellStyle name="20% - Accent3 2 3 4 3 2" xfId="6779"/>
    <cellStyle name="20% - Accent3 2 3 5" xfId="6780"/>
    <cellStyle name="20% - Accent3 2 3 5 2" xfId="6781"/>
    <cellStyle name="20% - Accent3 2 3 5 2 2" xfId="6782"/>
    <cellStyle name="20% - Accent3 2 3 6" xfId="6783"/>
    <cellStyle name="20% - Accent3 2 3 6 2" xfId="6784"/>
    <cellStyle name="20% - Accent3 2 3 7" xfId="6785"/>
    <cellStyle name="20% - Accent3 2 4" xfId="6786"/>
    <cellStyle name="20% - Accent3 2 4 2" xfId="6787"/>
    <cellStyle name="20% - Accent3 2 4 2 2" xfId="6788"/>
    <cellStyle name="20% - Accent3 2 4 2 2 2" xfId="6789"/>
    <cellStyle name="20% - Accent3 2 4 2 2 2 2" xfId="6790"/>
    <cellStyle name="20% - Accent3 2 4 2 2 2 2 2" xfId="6791"/>
    <cellStyle name="20% - Accent3 2 4 2 2 2 2 2 2" xfId="6792"/>
    <cellStyle name="20% - Accent3 2 4 2 2 2 3" xfId="6793"/>
    <cellStyle name="20% - Accent3 2 4 2 2 2 3 2" xfId="6794"/>
    <cellStyle name="20% - Accent3 2 4 2 2 3" xfId="6795"/>
    <cellStyle name="20% - Accent3 2 4 2 2 3 2" xfId="6796"/>
    <cellStyle name="20% - Accent3 2 4 2 2 3 2 2" xfId="6797"/>
    <cellStyle name="20% - Accent3 2 4 2 2 4" xfId="6798"/>
    <cellStyle name="20% - Accent3 2 4 2 2 4 2" xfId="6799"/>
    <cellStyle name="20% - Accent3 2 4 2 3" xfId="6800"/>
    <cellStyle name="20% - Accent3 2 4 2 3 2" xfId="6801"/>
    <cellStyle name="20% - Accent3 2 4 2 3 2 2" xfId="6802"/>
    <cellStyle name="20% - Accent3 2 4 2 3 2 2 2" xfId="6803"/>
    <cellStyle name="20% - Accent3 2 4 2 3 3" xfId="6804"/>
    <cellStyle name="20% - Accent3 2 4 2 3 3 2" xfId="6805"/>
    <cellStyle name="20% - Accent3 2 4 2 4" xfId="6806"/>
    <cellStyle name="20% - Accent3 2 4 2 4 2" xfId="6807"/>
    <cellStyle name="20% - Accent3 2 4 2 4 2 2" xfId="6808"/>
    <cellStyle name="20% - Accent3 2 4 2 5" xfId="6809"/>
    <cellStyle name="20% - Accent3 2 4 2 5 2" xfId="6810"/>
    <cellStyle name="20% - Accent3 2 4 3" xfId="6811"/>
    <cellStyle name="20% - Accent3 2 4 3 2" xfId="6812"/>
    <cellStyle name="20% - Accent3 2 4 3 2 2" xfId="6813"/>
    <cellStyle name="20% - Accent3 2 4 3 2 2 2" xfId="6814"/>
    <cellStyle name="20% - Accent3 2 4 3 2 2 2 2" xfId="6815"/>
    <cellStyle name="20% - Accent3 2 4 3 2 3" xfId="6816"/>
    <cellStyle name="20% - Accent3 2 4 3 2 3 2" xfId="6817"/>
    <cellStyle name="20% - Accent3 2 4 3 3" xfId="6818"/>
    <cellStyle name="20% - Accent3 2 4 3 3 2" xfId="6819"/>
    <cellStyle name="20% - Accent3 2 4 3 3 2 2" xfId="6820"/>
    <cellStyle name="20% - Accent3 2 4 3 4" xfId="6821"/>
    <cellStyle name="20% - Accent3 2 4 3 4 2" xfId="6822"/>
    <cellStyle name="20% - Accent3 2 4 4" xfId="6823"/>
    <cellStyle name="20% - Accent3 2 4 4 2" xfId="6824"/>
    <cellStyle name="20% - Accent3 2 4 4 2 2" xfId="6825"/>
    <cellStyle name="20% - Accent3 2 4 4 2 2 2" xfId="6826"/>
    <cellStyle name="20% - Accent3 2 4 4 3" xfId="6827"/>
    <cellStyle name="20% - Accent3 2 4 4 3 2" xfId="6828"/>
    <cellStyle name="20% - Accent3 2 4 5" xfId="6829"/>
    <cellStyle name="20% - Accent3 2 4 5 2" xfId="6830"/>
    <cellStyle name="20% - Accent3 2 4 5 2 2" xfId="6831"/>
    <cellStyle name="20% - Accent3 2 4 6" xfId="6832"/>
    <cellStyle name="20% - Accent3 2 4 6 2" xfId="6833"/>
    <cellStyle name="20% - Accent3 2 4 7" xfId="6834"/>
    <cellStyle name="20% - Accent3 2 5" xfId="6835"/>
    <cellStyle name="20% - Accent3 2 5 2" xfId="6836"/>
    <cellStyle name="20% - Accent3 2 5 2 2" xfId="6837"/>
    <cellStyle name="20% - Accent3 2 5 2 2 2" xfId="6838"/>
    <cellStyle name="20% - Accent3 2 5 2 2 2 2" xfId="6839"/>
    <cellStyle name="20% - Accent3 2 5 2 2 2 2 2" xfId="6840"/>
    <cellStyle name="20% - Accent3 2 5 2 2 2 2 2 2" xfId="6841"/>
    <cellStyle name="20% - Accent3 2 5 2 2 2 3" xfId="6842"/>
    <cellStyle name="20% - Accent3 2 5 2 2 2 3 2" xfId="6843"/>
    <cellStyle name="20% - Accent3 2 5 2 2 3" xfId="6844"/>
    <cellStyle name="20% - Accent3 2 5 2 2 3 2" xfId="6845"/>
    <cellStyle name="20% - Accent3 2 5 2 2 3 2 2" xfId="6846"/>
    <cellStyle name="20% - Accent3 2 5 2 2 4" xfId="6847"/>
    <cellStyle name="20% - Accent3 2 5 2 2 4 2" xfId="6848"/>
    <cellStyle name="20% - Accent3 2 5 2 3" xfId="6849"/>
    <cellStyle name="20% - Accent3 2 5 2 3 2" xfId="6850"/>
    <cellStyle name="20% - Accent3 2 5 2 3 2 2" xfId="6851"/>
    <cellStyle name="20% - Accent3 2 5 2 3 2 2 2" xfId="6852"/>
    <cellStyle name="20% - Accent3 2 5 2 3 3" xfId="6853"/>
    <cellStyle name="20% - Accent3 2 5 2 3 3 2" xfId="6854"/>
    <cellStyle name="20% - Accent3 2 5 2 4" xfId="6855"/>
    <cellStyle name="20% - Accent3 2 5 2 4 2" xfId="6856"/>
    <cellStyle name="20% - Accent3 2 5 2 4 2 2" xfId="6857"/>
    <cellStyle name="20% - Accent3 2 5 2 5" xfId="6858"/>
    <cellStyle name="20% - Accent3 2 5 2 5 2" xfId="6859"/>
    <cellStyle name="20% - Accent3 2 5 3" xfId="6860"/>
    <cellStyle name="20% - Accent3 2 5 3 2" xfId="6861"/>
    <cellStyle name="20% - Accent3 2 5 3 2 2" xfId="6862"/>
    <cellStyle name="20% - Accent3 2 5 3 2 2 2" xfId="6863"/>
    <cellStyle name="20% - Accent3 2 5 3 2 2 2 2" xfId="6864"/>
    <cellStyle name="20% - Accent3 2 5 3 2 3" xfId="6865"/>
    <cellStyle name="20% - Accent3 2 5 3 2 3 2" xfId="6866"/>
    <cellStyle name="20% - Accent3 2 5 3 3" xfId="6867"/>
    <cellStyle name="20% - Accent3 2 5 3 3 2" xfId="6868"/>
    <cellStyle name="20% - Accent3 2 5 3 3 2 2" xfId="6869"/>
    <cellStyle name="20% - Accent3 2 5 3 4" xfId="6870"/>
    <cellStyle name="20% - Accent3 2 5 3 4 2" xfId="6871"/>
    <cellStyle name="20% - Accent3 2 5 4" xfId="6872"/>
    <cellStyle name="20% - Accent3 2 5 4 2" xfId="6873"/>
    <cellStyle name="20% - Accent3 2 5 4 2 2" xfId="6874"/>
    <cellStyle name="20% - Accent3 2 5 4 2 2 2" xfId="6875"/>
    <cellStyle name="20% - Accent3 2 5 4 3" xfId="6876"/>
    <cellStyle name="20% - Accent3 2 5 4 3 2" xfId="6877"/>
    <cellStyle name="20% - Accent3 2 5 5" xfId="6878"/>
    <cellStyle name="20% - Accent3 2 5 5 2" xfId="6879"/>
    <cellStyle name="20% - Accent3 2 5 5 2 2" xfId="6880"/>
    <cellStyle name="20% - Accent3 2 5 6" xfId="6881"/>
    <cellStyle name="20% - Accent3 2 5 6 2" xfId="6882"/>
    <cellStyle name="20% - Accent3 2 5 7" xfId="6883"/>
    <cellStyle name="20% - Accent3 2 6" xfId="6884"/>
    <cellStyle name="20% - Accent3 2 6 2" xfId="6885"/>
    <cellStyle name="20% - Accent3 2 6 2 2" xfId="6886"/>
    <cellStyle name="20% - Accent3 2 6 2 2 2" xfId="6887"/>
    <cellStyle name="20% - Accent3 2 6 2 2 2 2" xfId="6888"/>
    <cellStyle name="20% - Accent3 2 6 2 2 2 2 2" xfId="6889"/>
    <cellStyle name="20% - Accent3 2 6 2 2 2 2 2 2" xfId="6890"/>
    <cellStyle name="20% - Accent3 2 6 2 2 2 3" xfId="6891"/>
    <cellStyle name="20% - Accent3 2 6 2 2 2 3 2" xfId="6892"/>
    <cellStyle name="20% - Accent3 2 6 2 2 3" xfId="6893"/>
    <cellStyle name="20% - Accent3 2 6 2 2 3 2" xfId="6894"/>
    <cellStyle name="20% - Accent3 2 6 2 2 3 2 2" xfId="6895"/>
    <cellStyle name="20% - Accent3 2 6 2 2 4" xfId="6896"/>
    <cellStyle name="20% - Accent3 2 6 2 2 4 2" xfId="6897"/>
    <cellStyle name="20% - Accent3 2 6 2 3" xfId="6898"/>
    <cellStyle name="20% - Accent3 2 6 2 3 2" xfId="6899"/>
    <cellStyle name="20% - Accent3 2 6 2 3 2 2" xfId="6900"/>
    <cellStyle name="20% - Accent3 2 6 2 3 2 2 2" xfId="6901"/>
    <cellStyle name="20% - Accent3 2 6 2 3 3" xfId="6902"/>
    <cellStyle name="20% - Accent3 2 6 2 3 3 2" xfId="6903"/>
    <cellStyle name="20% - Accent3 2 6 2 4" xfId="6904"/>
    <cellStyle name="20% - Accent3 2 6 2 4 2" xfId="6905"/>
    <cellStyle name="20% - Accent3 2 6 2 4 2 2" xfId="6906"/>
    <cellStyle name="20% - Accent3 2 6 2 5" xfId="6907"/>
    <cellStyle name="20% - Accent3 2 6 2 5 2" xfId="6908"/>
    <cellStyle name="20% - Accent3 2 6 3" xfId="6909"/>
    <cellStyle name="20% - Accent3 2 6 3 2" xfId="6910"/>
    <cellStyle name="20% - Accent3 2 6 3 2 2" xfId="6911"/>
    <cellStyle name="20% - Accent3 2 6 3 2 2 2" xfId="6912"/>
    <cellStyle name="20% - Accent3 2 6 3 2 2 2 2" xfId="6913"/>
    <cellStyle name="20% - Accent3 2 6 3 2 3" xfId="6914"/>
    <cellStyle name="20% - Accent3 2 6 3 2 3 2" xfId="6915"/>
    <cellStyle name="20% - Accent3 2 6 3 3" xfId="6916"/>
    <cellStyle name="20% - Accent3 2 6 3 3 2" xfId="6917"/>
    <cellStyle name="20% - Accent3 2 6 3 3 2 2" xfId="6918"/>
    <cellStyle name="20% - Accent3 2 6 3 4" xfId="6919"/>
    <cellStyle name="20% - Accent3 2 6 3 4 2" xfId="6920"/>
    <cellStyle name="20% - Accent3 2 6 4" xfId="6921"/>
    <cellStyle name="20% - Accent3 2 6 4 2" xfId="6922"/>
    <cellStyle name="20% - Accent3 2 6 4 2 2" xfId="6923"/>
    <cellStyle name="20% - Accent3 2 6 4 2 2 2" xfId="6924"/>
    <cellStyle name="20% - Accent3 2 6 4 3" xfId="6925"/>
    <cellStyle name="20% - Accent3 2 6 4 3 2" xfId="6926"/>
    <cellStyle name="20% - Accent3 2 6 5" xfId="6927"/>
    <cellStyle name="20% - Accent3 2 6 5 2" xfId="6928"/>
    <cellStyle name="20% - Accent3 2 6 5 2 2" xfId="6929"/>
    <cellStyle name="20% - Accent3 2 6 6" xfId="6930"/>
    <cellStyle name="20% - Accent3 2 6 6 2" xfId="6931"/>
    <cellStyle name="20% - Accent3 2 6 7" xfId="6932"/>
    <cellStyle name="20% - Accent3 2 7" xfId="6933"/>
    <cellStyle name="20% - Accent3 2 7 2" xfId="6934"/>
    <cellStyle name="20% - Accent3 2 7 2 2" xfId="6935"/>
    <cellStyle name="20% - Accent3 2 7 2 2 2" xfId="6936"/>
    <cellStyle name="20% - Accent3 2 7 2 2 2 2" xfId="6937"/>
    <cellStyle name="20% - Accent3 2 7 2 2 2 2 2" xfId="6938"/>
    <cellStyle name="20% - Accent3 2 7 2 2 2 2 2 2" xfId="6939"/>
    <cellStyle name="20% - Accent3 2 7 2 2 2 3" xfId="6940"/>
    <cellStyle name="20% - Accent3 2 7 2 2 2 3 2" xfId="6941"/>
    <cellStyle name="20% - Accent3 2 7 2 2 3" xfId="6942"/>
    <cellStyle name="20% - Accent3 2 7 2 2 3 2" xfId="6943"/>
    <cellStyle name="20% - Accent3 2 7 2 2 3 2 2" xfId="6944"/>
    <cellStyle name="20% - Accent3 2 7 2 2 4" xfId="6945"/>
    <cellStyle name="20% - Accent3 2 7 2 2 4 2" xfId="6946"/>
    <cellStyle name="20% - Accent3 2 7 2 3" xfId="6947"/>
    <cellStyle name="20% - Accent3 2 7 2 3 2" xfId="6948"/>
    <cellStyle name="20% - Accent3 2 7 2 3 2 2" xfId="6949"/>
    <cellStyle name="20% - Accent3 2 7 2 3 2 2 2" xfId="6950"/>
    <cellStyle name="20% - Accent3 2 7 2 3 3" xfId="6951"/>
    <cellStyle name="20% - Accent3 2 7 2 3 3 2" xfId="6952"/>
    <cellStyle name="20% - Accent3 2 7 2 4" xfId="6953"/>
    <cellStyle name="20% - Accent3 2 7 2 4 2" xfId="6954"/>
    <cellStyle name="20% - Accent3 2 7 2 4 2 2" xfId="6955"/>
    <cellStyle name="20% - Accent3 2 7 2 5" xfId="6956"/>
    <cellStyle name="20% - Accent3 2 7 2 5 2" xfId="6957"/>
    <cellStyle name="20% - Accent3 2 7 3" xfId="6958"/>
    <cellStyle name="20% - Accent3 2 7 3 2" xfId="6959"/>
    <cellStyle name="20% - Accent3 2 7 3 2 2" xfId="6960"/>
    <cellStyle name="20% - Accent3 2 7 3 2 2 2" xfId="6961"/>
    <cellStyle name="20% - Accent3 2 7 3 2 2 2 2" xfId="6962"/>
    <cellStyle name="20% - Accent3 2 7 3 2 3" xfId="6963"/>
    <cellStyle name="20% - Accent3 2 7 3 2 3 2" xfId="6964"/>
    <cellStyle name="20% - Accent3 2 7 3 3" xfId="6965"/>
    <cellStyle name="20% - Accent3 2 7 3 3 2" xfId="6966"/>
    <cellStyle name="20% - Accent3 2 7 3 3 2 2" xfId="6967"/>
    <cellStyle name="20% - Accent3 2 7 3 4" xfId="6968"/>
    <cellStyle name="20% - Accent3 2 7 3 4 2" xfId="6969"/>
    <cellStyle name="20% - Accent3 2 7 4" xfId="6970"/>
    <cellStyle name="20% - Accent3 2 7 4 2" xfId="6971"/>
    <cellStyle name="20% - Accent3 2 7 4 2 2" xfId="6972"/>
    <cellStyle name="20% - Accent3 2 7 4 2 2 2" xfId="6973"/>
    <cellStyle name="20% - Accent3 2 7 4 3" xfId="6974"/>
    <cellStyle name="20% - Accent3 2 7 4 3 2" xfId="6975"/>
    <cellStyle name="20% - Accent3 2 7 5" xfId="6976"/>
    <cellStyle name="20% - Accent3 2 7 5 2" xfId="6977"/>
    <cellStyle name="20% - Accent3 2 7 5 2 2" xfId="6978"/>
    <cellStyle name="20% - Accent3 2 7 6" xfId="6979"/>
    <cellStyle name="20% - Accent3 2 7 6 2" xfId="6980"/>
    <cellStyle name="20% - Accent3 2 7 7" xfId="6981"/>
    <cellStyle name="20% - Accent3 2 8" xfId="6982"/>
    <cellStyle name="20% - Accent3 2 8 2" xfId="6983"/>
    <cellStyle name="20% - Accent3 2 8 2 2" xfId="6984"/>
    <cellStyle name="20% - Accent3 2 8 2 2 2" xfId="6985"/>
    <cellStyle name="20% - Accent3 2 8 2 2 2 2" xfId="6986"/>
    <cellStyle name="20% - Accent3 2 8 2 2 2 2 2" xfId="6987"/>
    <cellStyle name="20% - Accent3 2 8 2 2 2 2 2 2" xfId="6988"/>
    <cellStyle name="20% - Accent3 2 8 2 2 2 3" xfId="6989"/>
    <cellStyle name="20% - Accent3 2 8 2 2 2 3 2" xfId="6990"/>
    <cellStyle name="20% - Accent3 2 8 2 2 3" xfId="6991"/>
    <cellStyle name="20% - Accent3 2 8 2 2 3 2" xfId="6992"/>
    <cellStyle name="20% - Accent3 2 8 2 2 3 2 2" xfId="6993"/>
    <cellStyle name="20% - Accent3 2 8 2 2 4" xfId="6994"/>
    <cellStyle name="20% - Accent3 2 8 2 2 4 2" xfId="6995"/>
    <cellStyle name="20% - Accent3 2 8 2 3" xfId="6996"/>
    <cellStyle name="20% - Accent3 2 8 2 3 2" xfId="6997"/>
    <cellStyle name="20% - Accent3 2 8 2 3 2 2" xfId="6998"/>
    <cellStyle name="20% - Accent3 2 8 2 3 2 2 2" xfId="6999"/>
    <cellStyle name="20% - Accent3 2 8 2 3 3" xfId="7000"/>
    <cellStyle name="20% - Accent3 2 8 2 3 3 2" xfId="7001"/>
    <cellStyle name="20% - Accent3 2 8 2 4" xfId="7002"/>
    <cellStyle name="20% - Accent3 2 8 2 4 2" xfId="7003"/>
    <cellStyle name="20% - Accent3 2 8 2 4 2 2" xfId="7004"/>
    <cellStyle name="20% - Accent3 2 8 2 5" xfId="7005"/>
    <cellStyle name="20% - Accent3 2 8 2 5 2" xfId="7006"/>
    <cellStyle name="20% - Accent3 2 8 3" xfId="7007"/>
    <cellStyle name="20% - Accent3 2 8 3 2" xfId="7008"/>
    <cellStyle name="20% - Accent3 2 8 3 2 2" xfId="7009"/>
    <cellStyle name="20% - Accent3 2 8 3 2 2 2" xfId="7010"/>
    <cellStyle name="20% - Accent3 2 8 3 2 2 2 2" xfId="7011"/>
    <cellStyle name="20% - Accent3 2 8 3 2 3" xfId="7012"/>
    <cellStyle name="20% - Accent3 2 8 3 2 3 2" xfId="7013"/>
    <cellStyle name="20% - Accent3 2 8 3 3" xfId="7014"/>
    <cellStyle name="20% - Accent3 2 8 3 3 2" xfId="7015"/>
    <cellStyle name="20% - Accent3 2 8 3 3 2 2" xfId="7016"/>
    <cellStyle name="20% - Accent3 2 8 3 4" xfId="7017"/>
    <cellStyle name="20% - Accent3 2 8 3 4 2" xfId="7018"/>
    <cellStyle name="20% - Accent3 2 8 4" xfId="7019"/>
    <cellStyle name="20% - Accent3 2 8 4 2" xfId="7020"/>
    <cellStyle name="20% - Accent3 2 8 4 2 2" xfId="7021"/>
    <cellStyle name="20% - Accent3 2 8 4 2 2 2" xfId="7022"/>
    <cellStyle name="20% - Accent3 2 8 4 3" xfId="7023"/>
    <cellStyle name="20% - Accent3 2 8 4 3 2" xfId="7024"/>
    <cellStyle name="20% - Accent3 2 8 5" xfId="7025"/>
    <cellStyle name="20% - Accent3 2 8 5 2" xfId="7026"/>
    <cellStyle name="20% - Accent3 2 8 5 2 2" xfId="7027"/>
    <cellStyle name="20% - Accent3 2 8 6" xfId="7028"/>
    <cellStyle name="20% - Accent3 2 8 6 2" xfId="7029"/>
    <cellStyle name="20% - Accent3 2 9" xfId="7030"/>
    <cellStyle name="20% - Accent3 2 9 2" xfId="7031"/>
    <cellStyle name="20% - Accent3 2 9 2 2" xfId="7032"/>
    <cellStyle name="20% - Accent3 2 9 2 2 2" xfId="7033"/>
    <cellStyle name="20% - Accent3 2 9 2 2 2 2" xfId="7034"/>
    <cellStyle name="20% - Accent3 2 9 2 2 2 2 2" xfId="7035"/>
    <cellStyle name="20% - Accent3 2 9 2 2 2 2 2 2" xfId="7036"/>
    <cellStyle name="20% - Accent3 2 9 2 2 2 3" xfId="7037"/>
    <cellStyle name="20% - Accent3 2 9 2 2 2 3 2" xfId="7038"/>
    <cellStyle name="20% - Accent3 2 9 2 2 3" xfId="7039"/>
    <cellStyle name="20% - Accent3 2 9 2 2 3 2" xfId="7040"/>
    <cellStyle name="20% - Accent3 2 9 2 2 3 2 2" xfId="7041"/>
    <cellStyle name="20% - Accent3 2 9 2 2 4" xfId="7042"/>
    <cellStyle name="20% - Accent3 2 9 2 2 4 2" xfId="7043"/>
    <cellStyle name="20% - Accent3 2 9 2 3" xfId="7044"/>
    <cellStyle name="20% - Accent3 2 9 2 3 2" xfId="7045"/>
    <cellStyle name="20% - Accent3 2 9 2 3 2 2" xfId="7046"/>
    <cellStyle name="20% - Accent3 2 9 2 3 2 2 2" xfId="7047"/>
    <cellStyle name="20% - Accent3 2 9 2 3 3" xfId="7048"/>
    <cellStyle name="20% - Accent3 2 9 2 3 3 2" xfId="7049"/>
    <cellStyle name="20% - Accent3 2 9 2 4" xfId="7050"/>
    <cellStyle name="20% - Accent3 2 9 2 4 2" xfId="7051"/>
    <cellStyle name="20% - Accent3 2 9 2 4 2 2" xfId="7052"/>
    <cellStyle name="20% - Accent3 2 9 2 5" xfId="7053"/>
    <cellStyle name="20% - Accent3 2 9 2 5 2" xfId="7054"/>
    <cellStyle name="20% - Accent3 2 9 3" xfId="7055"/>
    <cellStyle name="20% - Accent3 2 9 3 2" xfId="7056"/>
    <cellStyle name="20% - Accent3 2 9 3 2 2" xfId="7057"/>
    <cellStyle name="20% - Accent3 2 9 3 2 2 2" xfId="7058"/>
    <cellStyle name="20% - Accent3 2 9 3 2 2 2 2" xfId="7059"/>
    <cellStyle name="20% - Accent3 2 9 3 2 3" xfId="7060"/>
    <cellStyle name="20% - Accent3 2 9 3 2 3 2" xfId="7061"/>
    <cellStyle name="20% - Accent3 2 9 3 3" xfId="7062"/>
    <cellStyle name="20% - Accent3 2 9 3 3 2" xfId="7063"/>
    <cellStyle name="20% - Accent3 2 9 3 3 2 2" xfId="7064"/>
    <cellStyle name="20% - Accent3 2 9 3 4" xfId="7065"/>
    <cellStyle name="20% - Accent3 2 9 3 4 2" xfId="7066"/>
    <cellStyle name="20% - Accent3 2 9 4" xfId="7067"/>
    <cellStyle name="20% - Accent3 2 9 4 2" xfId="7068"/>
    <cellStyle name="20% - Accent3 2 9 4 2 2" xfId="7069"/>
    <cellStyle name="20% - Accent3 2 9 4 2 2 2" xfId="7070"/>
    <cellStyle name="20% - Accent3 2 9 4 3" xfId="7071"/>
    <cellStyle name="20% - Accent3 2 9 4 3 2" xfId="7072"/>
    <cellStyle name="20% - Accent3 2 9 5" xfId="7073"/>
    <cellStyle name="20% - Accent3 2 9 5 2" xfId="7074"/>
    <cellStyle name="20% - Accent3 2 9 5 2 2" xfId="7075"/>
    <cellStyle name="20% - Accent3 2 9 6" xfId="7076"/>
    <cellStyle name="20% - Accent3 2 9 6 2" xfId="7077"/>
    <cellStyle name="20% - Accent3 20" xfId="7078"/>
    <cellStyle name="20% - Accent3 20 2" xfId="7079"/>
    <cellStyle name="20% - Accent3 21" xfId="7080"/>
    <cellStyle name="20% - Accent3 21 2" xfId="7081"/>
    <cellStyle name="20% - Accent3 21 2 2" xfId="7082"/>
    <cellStyle name="20% - Accent3 21 2 2 2" xfId="7083"/>
    <cellStyle name="20% - Accent3 21 2 2 2 2" xfId="7084"/>
    <cellStyle name="20% - Accent3 21 2 2 2 2 2" xfId="7085"/>
    <cellStyle name="20% - Accent3 21 2 2 2 2 2 2" xfId="7086"/>
    <cellStyle name="20% - Accent3 21 2 2 2 3" xfId="7087"/>
    <cellStyle name="20% - Accent3 21 2 2 2 3 2" xfId="7088"/>
    <cellStyle name="20% - Accent3 21 2 2 3" xfId="7089"/>
    <cellStyle name="20% - Accent3 21 2 2 3 2" xfId="7090"/>
    <cellStyle name="20% - Accent3 21 2 2 3 2 2" xfId="7091"/>
    <cellStyle name="20% - Accent3 21 2 2 4" xfId="7092"/>
    <cellStyle name="20% - Accent3 21 2 2 4 2" xfId="7093"/>
    <cellStyle name="20% - Accent3 21 2 3" xfId="7094"/>
    <cellStyle name="20% - Accent3 21 2 3 2" xfId="7095"/>
    <cellStyle name="20% - Accent3 21 2 3 2 2" xfId="7096"/>
    <cellStyle name="20% - Accent3 21 2 3 2 2 2" xfId="7097"/>
    <cellStyle name="20% - Accent3 21 2 3 3" xfId="7098"/>
    <cellStyle name="20% - Accent3 21 2 3 3 2" xfId="7099"/>
    <cellStyle name="20% - Accent3 21 2 4" xfId="7100"/>
    <cellStyle name="20% - Accent3 21 2 4 2" xfId="7101"/>
    <cellStyle name="20% - Accent3 21 2 4 2 2" xfId="7102"/>
    <cellStyle name="20% - Accent3 21 2 5" xfId="7103"/>
    <cellStyle name="20% - Accent3 21 2 5 2" xfId="7104"/>
    <cellStyle name="20% - Accent3 21 3" xfId="7105"/>
    <cellStyle name="20% - Accent3 21 3 2" xfId="7106"/>
    <cellStyle name="20% - Accent3 21 3 2 2" xfId="7107"/>
    <cellStyle name="20% - Accent3 21 3 2 2 2" xfId="7108"/>
    <cellStyle name="20% - Accent3 21 3 2 2 2 2" xfId="7109"/>
    <cellStyle name="20% - Accent3 21 3 2 3" xfId="7110"/>
    <cellStyle name="20% - Accent3 21 3 2 3 2" xfId="7111"/>
    <cellStyle name="20% - Accent3 21 3 3" xfId="7112"/>
    <cellStyle name="20% - Accent3 21 3 3 2" xfId="7113"/>
    <cellStyle name="20% - Accent3 21 3 3 2 2" xfId="7114"/>
    <cellStyle name="20% - Accent3 21 3 4" xfId="7115"/>
    <cellStyle name="20% - Accent3 21 3 4 2" xfId="7116"/>
    <cellStyle name="20% - Accent3 21 4" xfId="7117"/>
    <cellStyle name="20% - Accent3 21 4 2" xfId="7118"/>
    <cellStyle name="20% - Accent3 21 4 2 2" xfId="7119"/>
    <cellStyle name="20% - Accent3 21 4 2 2 2" xfId="7120"/>
    <cellStyle name="20% - Accent3 21 4 3" xfId="7121"/>
    <cellStyle name="20% - Accent3 21 4 3 2" xfId="7122"/>
    <cellStyle name="20% - Accent3 21 5" xfId="7123"/>
    <cellStyle name="20% - Accent3 21 5 2" xfId="7124"/>
    <cellStyle name="20% - Accent3 21 5 2 2" xfId="7125"/>
    <cellStyle name="20% - Accent3 21 6" xfId="7126"/>
    <cellStyle name="20% - Accent3 21 6 2" xfId="7127"/>
    <cellStyle name="20% - Accent3 21 7" xfId="7128"/>
    <cellStyle name="20% - Accent3 22" xfId="7129"/>
    <cellStyle name="20% - Accent3 22 10" xfId="7130"/>
    <cellStyle name="20% - Accent3 22 2" xfId="7131"/>
    <cellStyle name="20% - Accent3 22 2 2" xfId="7132"/>
    <cellStyle name="20% - Accent3 22 2 2 2" xfId="7133"/>
    <cellStyle name="20% - Accent3 22 2 2 2 2" xfId="7134"/>
    <cellStyle name="20% - Accent3 22 2 2 2 2 2" xfId="7135"/>
    <cellStyle name="20% - Accent3 22 2 2 2 2 2 2" xfId="7136"/>
    <cellStyle name="20% - Accent3 22 2 2 2 3" xfId="7137"/>
    <cellStyle name="20% - Accent3 22 2 2 2 3 2" xfId="7138"/>
    <cellStyle name="20% - Accent3 22 2 2 3" xfId="7139"/>
    <cellStyle name="20% - Accent3 22 2 2 3 2" xfId="7140"/>
    <cellStyle name="20% - Accent3 22 2 2 3 2 2" xfId="7141"/>
    <cellStyle name="20% - Accent3 22 2 2 4" xfId="7142"/>
    <cellStyle name="20% - Accent3 22 2 2 4 2" xfId="7143"/>
    <cellStyle name="20% - Accent3 22 2 3" xfId="7144"/>
    <cellStyle name="20% - Accent3 22 2 3 2" xfId="7145"/>
    <cellStyle name="20% - Accent3 22 2 3 2 2" xfId="7146"/>
    <cellStyle name="20% - Accent3 22 2 3 2 2 2" xfId="7147"/>
    <cellStyle name="20% - Accent3 22 2 3 3" xfId="7148"/>
    <cellStyle name="20% - Accent3 22 2 3 3 2" xfId="7149"/>
    <cellStyle name="20% - Accent3 22 2 4" xfId="7150"/>
    <cellStyle name="20% - Accent3 22 2 4 2" xfId="7151"/>
    <cellStyle name="20% - Accent3 22 2 4 2 2" xfId="7152"/>
    <cellStyle name="20% - Accent3 22 2 5" xfId="7153"/>
    <cellStyle name="20% - Accent3 22 2 5 2" xfId="7154"/>
    <cellStyle name="20% - Accent3 22 2 6" xfId="7155"/>
    <cellStyle name="20% - Accent3 22 2 7" xfId="7156"/>
    <cellStyle name="20% - Accent3 22 2 8" xfId="7157"/>
    <cellStyle name="20% - Accent3 22 3" xfId="7158"/>
    <cellStyle name="20% - Accent3 22 3 2" xfId="7159"/>
    <cellStyle name="20% - Accent3 22 3 2 2" xfId="7160"/>
    <cellStyle name="20% - Accent3 22 3 2 2 2" xfId="7161"/>
    <cellStyle name="20% - Accent3 22 3 2 2 2 2" xfId="7162"/>
    <cellStyle name="20% - Accent3 22 3 2 3" xfId="7163"/>
    <cellStyle name="20% - Accent3 22 3 2 3 2" xfId="7164"/>
    <cellStyle name="20% - Accent3 22 3 3" xfId="7165"/>
    <cellStyle name="20% - Accent3 22 3 3 2" xfId="7166"/>
    <cellStyle name="20% - Accent3 22 3 3 2 2" xfId="7167"/>
    <cellStyle name="20% - Accent3 22 3 4" xfId="7168"/>
    <cellStyle name="20% - Accent3 22 3 4 2" xfId="7169"/>
    <cellStyle name="20% - Accent3 22 3 5" xfId="7170"/>
    <cellStyle name="20% - Accent3 22 3 6" xfId="7171"/>
    <cellStyle name="20% - Accent3 22 3 7" xfId="7172"/>
    <cellStyle name="20% - Accent3 22 4" xfId="7173"/>
    <cellStyle name="20% - Accent3 22 4 2" xfId="7174"/>
    <cellStyle name="20% - Accent3 22 4 2 2" xfId="7175"/>
    <cellStyle name="20% - Accent3 22 4 2 2 2" xfId="7176"/>
    <cellStyle name="20% - Accent3 22 4 3" xfId="7177"/>
    <cellStyle name="20% - Accent3 22 4 3 2" xfId="7178"/>
    <cellStyle name="20% - Accent3 22 4 4" xfId="7179"/>
    <cellStyle name="20% - Accent3 22 5" xfId="7180"/>
    <cellStyle name="20% - Accent3 22 5 2" xfId="7181"/>
    <cellStyle name="20% - Accent3 22 5 2 2" xfId="7182"/>
    <cellStyle name="20% - Accent3 22 6" xfId="7183"/>
    <cellStyle name="20% - Accent3 22 6 2" xfId="7184"/>
    <cellStyle name="20% - Accent3 22 7" xfId="7185"/>
    <cellStyle name="20% - Accent3 22 8" xfId="7186"/>
    <cellStyle name="20% - Accent3 22 9" xfId="7187"/>
    <cellStyle name="20% - Accent3 23" xfId="7188"/>
    <cellStyle name="20% - Accent3 23 2" xfId="7189"/>
    <cellStyle name="20% - Accent3 23 2 2" xfId="7190"/>
    <cellStyle name="20% - Accent3 23 2 2 2" xfId="7191"/>
    <cellStyle name="20% - Accent3 23 2 2 2 2" xfId="7192"/>
    <cellStyle name="20% - Accent3 23 2 2 2 2 2" xfId="7193"/>
    <cellStyle name="20% - Accent3 23 2 2 2 2 2 2" xfId="7194"/>
    <cellStyle name="20% - Accent3 23 2 2 2 3" xfId="7195"/>
    <cellStyle name="20% - Accent3 23 2 2 2 3 2" xfId="7196"/>
    <cellStyle name="20% - Accent3 23 2 2 3" xfId="7197"/>
    <cellStyle name="20% - Accent3 23 2 2 3 2" xfId="7198"/>
    <cellStyle name="20% - Accent3 23 2 2 3 2 2" xfId="7199"/>
    <cellStyle name="20% - Accent3 23 2 2 4" xfId="7200"/>
    <cellStyle name="20% - Accent3 23 2 2 4 2" xfId="7201"/>
    <cellStyle name="20% - Accent3 23 2 3" xfId="7202"/>
    <cellStyle name="20% - Accent3 23 2 3 2" xfId="7203"/>
    <cellStyle name="20% - Accent3 23 2 3 2 2" xfId="7204"/>
    <cellStyle name="20% - Accent3 23 2 3 2 2 2" xfId="7205"/>
    <cellStyle name="20% - Accent3 23 2 3 3" xfId="7206"/>
    <cellStyle name="20% - Accent3 23 2 3 3 2" xfId="7207"/>
    <cellStyle name="20% - Accent3 23 2 4" xfId="7208"/>
    <cellStyle name="20% - Accent3 23 2 4 2" xfId="7209"/>
    <cellStyle name="20% - Accent3 23 2 4 2 2" xfId="7210"/>
    <cellStyle name="20% - Accent3 23 2 5" xfId="7211"/>
    <cellStyle name="20% - Accent3 23 2 5 2" xfId="7212"/>
    <cellStyle name="20% - Accent3 23 3" xfId="7213"/>
    <cellStyle name="20% - Accent3 23 3 2" xfId="7214"/>
    <cellStyle name="20% - Accent3 23 3 2 2" xfId="7215"/>
    <cellStyle name="20% - Accent3 23 3 2 2 2" xfId="7216"/>
    <cellStyle name="20% - Accent3 23 3 2 2 2 2" xfId="7217"/>
    <cellStyle name="20% - Accent3 23 3 2 3" xfId="7218"/>
    <cellStyle name="20% - Accent3 23 3 2 3 2" xfId="7219"/>
    <cellStyle name="20% - Accent3 23 3 3" xfId="7220"/>
    <cellStyle name="20% - Accent3 23 3 3 2" xfId="7221"/>
    <cellStyle name="20% - Accent3 23 3 3 2 2" xfId="7222"/>
    <cellStyle name="20% - Accent3 23 3 4" xfId="7223"/>
    <cellStyle name="20% - Accent3 23 3 4 2" xfId="7224"/>
    <cellStyle name="20% - Accent3 23 4" xfId="7225"/>
    <cellStyle name="20% - Accent3 23 4 2" xfId="7226"/>
    <cellStyle name="20% - Accent3 23 4 2 2" xfId="7227"/>
    <cellStyle name="20% - Accent3 23 4 2 2 2" xfId="7228"/>
    <cellStyle name="20% - Accent3 23 4 3" xfId="7229"/>
    <cellStyle name="20% - Accent3 23 4 3 2" xfId="7230"/>
    <cellStyle name="20% - Accent3 23 5" xfId="7231"/>
    <cellStyle name="20% - Accent3 23 5 2" xfId="7232"/>
    <cellStyle name="20% - Accent3 23 5 2 2" xfId="7233"/>
    <cellStyle name="20% - Accent3 23 6" xfId="7234"/>
    <cellStyle name="20% - Accent3 23 6 2" xfId="7235"/>
    <cellStyle name="20% - Accent3 23 7" xfId="7236"/>
    <cellStyle name="20% - Accent3 24" xfId="7237"/>
    <cellStyle name="20% - Accent3 24 2" xfId="7238"/>
    <cellStyle name="20% - Accent3 24 2 2" xfId="7239"/>
    <cellStyle name="20% - Accent3 24 2 2 2" xfId="7240"/>
    <cellStyle name="20% - Accent3 24 2 2 2 2" xfId="7241"/>
    <cellStyle name="20% - Accent3 24 2 2 2 2 2" xfId="7242"/>
    <cellStyle name="20% - Accent3 24 2 2 3" xfId="7243"/>
    <cellStyle name="20% - Accent3 24 2 2 3 2" xfId="7244"/>
    <cellStyle name="20% - Accent3 24 2 3" xfId="7245"/>
    <cellStyle name="20% - Accent3 24 2 3 2" xfId="7246"/>
    <cellStyle name="20% - Accent3 24 2 3 2 2" xfId="7247"/>
    <cellStyle name="20% - Accent3 24 2 4" xfId="7248"/>
    <cellStyle name="20% - Accent3 24 2 4 2" xfId="7249"/>
    <cellStyle name="20% - Accent3 24 3" xfId="7250"/>
    <cellStyle name="20% - Accent3 24 3 2" xfId="7251"/>
    <cellStyle name="20% - Accent3 24 3 2 2" xfId="7252"/>
    <cellStyle name="20% - Accent3 24 3 2 2 2" xfId="7253"/>
    <cellStyle name="20% - Accent3 24 3 3" xfId="7254"/>
    <cellStyle name="20% - Accent3 24 3 3 2" xfId="7255"/>
    <cellStyle name="20% - Accent3 24 4" xfId="7256"/>
    <cellStyle name="20% - Accent3 24 4 2" xfId="7257"/>
    <cellStyle name="20% - Accent3 24 4 2 2" xfId="7258"/>
    <cellStyle name="20% - Accent3 24 5" xfId="7259"/>
    <cellStyle name="20% - Accent3 24 5 2" xfId="7260"/>
    <cellStyle name="20% - Accent3 24 6" xfId="7261"/>
    <cellStyle name="20% - Accent3 25" xfId="7262"/>
    <cellStyle name="20% - Accent3 25 2" xfId="7263"/>
    <cellStyle name="20% - Accent3 25 2 2" xfId="7264"/>
    <cellStyle name="20% - Accent3 25 2 2 2" xfId="7265"/>
    <cellStyle name="20% - Accent3 25 2 2 2 2" xfId="7266"/>
    <cellStyle name="20% - Accent3 25 2 2 2 2 2" xfId="7267"/>
    <cellStyle name="20% - Accent3 25 2 2 3" xfId="7268"/>
    <cellStyle name="20% - Accent3 25 2 2 3 2" xfId="7269"/>
    <cellStyle name="20% - Accent3 25 2 3" xfId="7270"/>
    <cellStyle name="20% - Accent3 25 2 3 2" xfId="7271"/>
    <cellStyle name="20% - Accent3 25 2 3 2 2" xfId="7272"/>
    <cellStyle name="20% - Accent3 25 2 4" xfId="7273"/>
    <cellStyle name="20% - Accent3 25 2 4 2" xfId="7274"/>
    <cellStyle name="20% - Accent3 25 3" xfId="7275"/>
    <cellStyle name="20% - Accent3 25 3 2" xfId="7276"/>
    <cellStyle name="20% - Accent3 25 3 2 2" xfId="7277"/>
    <cellStyle name="20% - Accent3 25 3 2 2 2" xfId="7278"/>
    <cellStyle name="20% - Accent3 25 3 3" xfId="7279"/>
    <cellStyle name="20% - Accent3 25 3 3 2" xfId="7280"/>
    <cellStyle name="20% - Accent3 25 4" xfId="7281"/>
    <cellStyle name="20% - Accent3 25 4 2" xfId="7282"/>
    <cellStyle name="20% - Accent3 25 4 2 2" xfId="7283"/>
    <cellStyle name="20% - Accent3 25 5" xfId="7284"/>
    <cellStyle name="20% - Accent3 25 5 2" xfId="7285"/>
    <cellStyle name="20% - Accent3 25 6" xfId="7286"/>
    <cellStyle name="20% - Accent3 26" xfId="7287"/>
    <cellStyle name="20% - Accent3 26 2" xfId="7288"/>
    <cellStyle name="20% - Accent3 26 2 2" xfId="7289"/>
    <cellStyle name="20% - Accent3 26 2 2 2" xfId="7290"/>
    <cellStyle name="20% - Accent3 26 2 2 2 2" xfId="7291"/>
    <cellStyle name="20% - Accent3 26 2 2 2 2 2" xfId="7292"/>
    <cellStyle name="20% - Accent3 26 2 2 3" xfId="7293"/>
    <cellStyle name="20% - Accent3 26 2 2 3 2" xfId="7294"/>
    <cellStyle name="20% - Accent3 26 2 3" xfId="7295"/>
    <cellStyle name="20% - Accent3 26 2 3 2" xfId="7296"/>
    <cellStyle name="20% - Accent3 26 2 3 2 2" xfId="7297"/>
    <cellStyle name="20% - Accent3 26 2 4" xfId="7298"/>
    <cellStyle name="20% - Accent3 26 2 4 2" xfId="7299"/>
    <cellStyle name="20% - Accent3 26 3" xfId="7300"/>
    <cellStyle name="20% - Accent3 26 3 2" xfId="7301"/>
    <cellStyle name="20% - Accent3 26 3 2 2" xfId="7302"/>
    <cellStyle name="20% - Accent3 26 3 2 2 2" xfId="7303"/>
    <cellStyle name="20% - Accent3 26 3 3" xfId="7304"/>
    <cellStyle name="20% - Accent3 26 3 3 2" xfId="7305"/>
    <cellStyle name="20% - Accent3 26 4" xfId="7306"/>
    <cellStyle name="20% - Accent3 26 4 2" xfId="7307"/>
    <cellStyle name="20% - Accent3 26 4 2 2" xfId="7308"/>
    <cellStyle name="20% - Accent3 26 5" xfId="7309"/>
    <cellStyle name="20% - Accent3 26 5 2" xfId="7310"/>
    <cellStyle name="20% - Accent3 26 6" xfId="7311"/>
    <cellStyle name="20% - Accent3 27" xfId="7312"/>
    <cellStyle name="20% - Accent3 27 2" xfId="7313"/>
    <cellStyle name="20% - Accent3 27 2 2" xfId="7314"/>
    <cellStyle name="20% - Accent3 27 2 2 2" xfId="7315"/>
    <cellStyle name="20% - Accent3 27 2 2 2 2" xfId="7316"/>
    <cellStyle name="20% - Accent3 27 2 2 2 2 2" xfId="7317"/>
    <cellStyle name="20% - Accent3 27 2 2 3" xfId="7318"/>
    <cellStyle name="20% - Accent3 27 2 2 3 2" xfId="7319"/>
    <cellStyle name="20% - Accent3 27 2 3" xfId="7320"/>
    <cellStyle name="20% - Accent3 27 2 3 2" xfId="7321"/>
    <cellStyle name="20% - Accent3 27 2 3 2 2" xfId="7322"/>
    <cellStyle name="20% - Accent3 27 2 4" xfId="7323"/>
    <cellStyle name="20% - Accent3 27 2 4 2" xfId="7324"/>
    <cellStyle name="20% - Accent3 27 3" xfId="7325"/>
    <cellStyle name="20% - Accent3 27 3 2" xfId="7326"/>
    <cellStyle name="20% - Accent3 27 3 2 2" xfId="7327"/>
    <cellStyle name="20% - Accent3 27 3 2 2 2" xfId="7328"/>
    <cellStyle name="20% - Accent3 27 3 3" xfId="7329"/>
    <cellStyle name="20% - Accent3 27 3 3 2" xfId="7330"/>
    <cellStyle name="20% - Accent3 27 4" xfId="7331"/>
    <cellStyle name="20% - Accent3 27 4 2" xfId="7332"/>
    <cellStyle name="20% - Accent3 27 4 2 2" xfId="7333"/>
    <cellStyle name="20% - Accent3 27 5" xfId="7334"/>
    <cellStyle name="20% - Accent3 27 5 2" xfId="7335"/>
    <cellStyle name="20% - Accent3 27 6" xfId="7336"/>
    <cellStyle name="20% - Accent3 28" xfId="7337"/>
    <cellStyle name="20% - Accent3 28 2" xfId="7338"/>
    <cellStyle name="20% - Accent3 28 2 2" xfId="7339"/>
    <cellStyle name="20% - Accent3 28 2 2 2" xfId="7340"/>
    <cellStyle name="20% - Accent3 28 2 2 2 2" xfId="7341"/>
    <cellStyle name="20% - Accent3 28 2 3" xfId="7342"/>
    <cellStyle name="20% - Accent3 28 2 3 2" xfId="7343"/>
    <cellStyle name="20% - Accent3 28 3" xfId="7344"/>
    <cellStyle name="20% - Accent3 28 3 2" xfId="7345"/>
    <cellStyle name="20% - Accent3 28 3 2 2" xfId="7346"/>
    <cellStyle name="20% - Accent3 28 4" xfId="7347"/>
    <cellStyle name="20% - Accent3 28 4 2" xfId="7348"/>
    <cellStyle name="20% - Accent3 28 5" xfId="7349"/>
    <cellStyle name="20% - Accent3 29" xfId="7350"/>
    <cellStyle name="20% - Accent3 29 2" xfId="7351"/>
    <cellStyle name="20% - Accent3 29 2 2" xfId="7352"/>
    <cellStyle name="20% - Accent3 29 2 2 2" xfId="7353"/>
    <cellStyle name="20% - Accent3 29 3" xfId="7354"/>
    <cellStyle name="20% - Accent3 29 3 2" xfId="7355"/>
    <cellStyle name="20% - Accent3 29 4" xfId="7356"/>
    <cellStyle name="20% - Accent3 3" xfId="7357"/>
    <cellStyle name="20% - Accent3 3 10" xfId="7358"/>
    <cellStyle name="20% - Accent3 3 10 2" xfId="7359"/>
    <cellStyle name="20% - Accent3 3 10 2 2" xfId="7360"/>
    <cellStyle name="20% - Accent3 3 10 2 2 2" xfId="7361"/>
    <cellStyle name="20% - Accent3 3 10 2 2 2 2" xfId="7362"/>
    <cellStyle name="20% - Accent3 3 10 2 2 2 2 2" xfId="7363"/>
    <cellStyle name="20% - Accent3 3 10 2 2 2 2 2 2" xfId="7364"/>
    <cellStyle name="20% - Accent3 3 10 2 2 2 3" xfId="7365"/>
    <cellStyle name="20% - Accent3 3 10 2 2 2 3 2" xfId="7366"/>
    <cellStyle name="20% - Accent3 3 10 2 2 3" xfId="7367"/>
    <cellStyle name="20% - Accent3 3 10 2 2 3 2" xfId="7368"/>
    <cellStyle name="20% - Accent3 3 10 2 2 3 2 2" xfId="7369"/>
    <cellStyle name="20% - Accent3 3 10 2 2 4" xfId="7370"/>
    <cellStyle name="20% - Accent3 3 10 2 2 4 2" xfId="7371"/>
    <cellStyle name="20% - Accent3 3 10 2 3" xfId="7372"/>
    <cellStyle name="20% - Accent3 3 10 2 3 2" xfId="7373"/>
    <cellStyle name="20% - Accent3 3 10 2 3 2 2" xfId="7374"/>
    <cellStyle name="20% - Accent3 3 10 2 3 2 2 2" xfId="7375"/>
    <cellStyle name="20% - Accent3 3 10 2 3 3" xfId="7376"/>
    <cellStyle name="20% - Accent3 3 10 2 3 3 2" xfId="7377"/>
    <cellStyle name="20% - Accent3 3 10 2 4" xfId="7378"/>
    <cellStyle name="20% - Accent3 3 10 2 4 2" xfId="7379"/>
    <cellStyle name="20% - Accent3 3 10 2 4 2 2" xfId="7380"/>
    <cellStyle name="20% - Accent3 3 10 2 5" xfId="7381"/>
    <cellStyle name="20% - Accent3 3 10 2 5 2" xfId="7382"/>
    <cellStyle name="20% - Accent3 3 10 3" xfId="7383"/>
    <cellStyle name="20% - Accent3 3 10 3 2" xfId="7384"/>
    <cellStyle name="20% - Accent3 3 10 3 2 2" xfId="7385"/>
    <cellStyle name="20% - Accent3 3 10 3 2 2 2" xfId="7386"/>
    <cellStyle name="20% - Accent3 3 10 3 2 2 2 2" xfId="7387"/>
    <cellStyle name="20% - Accent3 3 10 3 2 3" xfId="7388"/>
    <cellStyle name="20% - Accent3 3 10 3 2 3 2" xfId="7389"/>
    <cellStyle name="20% - Accent3 3 10 3 3" xfId="7390"/>
    <cellStyle name="20% - Accent3 3 10 3 3 2" xfId="7391"/>
    <cellStyle name="20% - Accent3 3 10 3 3 2 2" xfId="7392"/>
    <cellStyle name="20% - Accent3 3 10 3 4" xfId="7393"/>
    <cellStyle name="20% - Accent3 3 10 3 4 2" xfId="7394"/>
    <cellStyle name="20% - Accent3 3 10 4" xfId="7395"/>
    <cellStyle name="20% - Accent3 3 10 4 2" xfId="7396"/>
    <cellStyle name="20% - Accent3 3 10 4 2 2" xfId="7397"/>
    <cellStyle name="20% - Accent3 3 10 4 2 2 2" xfId="7398"/>
    <cellStyle name="20% - Accent3 3 10 4 3" xfId="7399"/>
    <cellStyle name="20% - Accent3 3 10 4 3 2" xfId="7400"/>
    <cellStyle name="20% - Accent3 3 10 5" xfId="7401"/>
    <cellStyle name="20% - Accent3 3 10 5 2" xfId="7402"/>
    <cellStyle name="20% - Accent3 3 10 5 2 2" xfId="7403"/>
    <cellStyle name="20% - Accent3 3 10 6" xfId="7404"/>
    <cellStyle name="20% - Accent3 3 10 6 2" xfId="7405"/>
    <cellStyle name="20% - Accent3 3 10 7" xfId="7406"/>
    <cellStyle name="20% - Accent3 3 10 8" xfId="7407"/>
    <cellStyle name="20% - Accent3 3 10 9" xfId="7408"/>
    <cellStyle name="20% - Accent3 3 11" xfId="7409"/>
    <cellStyle name="20% - Accent3 3 11 2" xfId="7410"/>
    <cellStyle name="20% - Accent3 3 11 2 2" xfId="7411"/>
    <cellStyle name="20% - Accent3 3 11 2 2 2" xfId="7412"/>
    <cellStyle name="20% - Accent3 3 11 2 2 2 2" xfId="7413"/>
    <cellStyle name="20% - Accent3 3 11 2 2 2 2 2" xfId="7414"/>
    <cellStyle name="20% - Accent3 3 11 2 2 2 2 2 2" xfId="7415"/>
    <cellStyle name="20% - Accent3 3 11 2 2 2 3" xfId="7416"/>
    <cellStyle name="20% - Accent3 3 11 2 2 2 3 2" xfId="7417"/>
    <cellStyle name="20% - Accent3 3 11 2 2 3" xfId="7418"/>
    <cellStyle name="20% - Accent3 3 11 2 2 3 2" xfId="7419"/>
    <cellStyle name="20% - Accent3 3 11 2 2 3 2 2" xfId="7420"/>
    <cellStyle name="20% - Accent3 3 11 2 2 4" xfId="7421"/>
    <cellStyle name="20% - Accent3 3 11 2 2 4 2" xfId="7422"/>
    <cellStyle name="20% - Accent3 3 11 2 3" xfId="7423"/>
    <cellStyle name="20% - Accent3 3 11 2 3 2" xfId="7424"/>
    <cellStyle name="20% - Accent3 3 11 2 3 2 2" xfId="7425"/>
    <cellStyle name="20% - Accent3 3 11 2 3 2 2 2" xfId="7426"/>
    <cellStyle name="20% - Accent3 3 11 2 3 3" xfId="7427"/>
    <cellStyle name="20% - Accent3 3 11 2 3 3 2" xfId="7428"/>
    <cellStyle name="20% - Accent3 3 11 2 4" xfId="7429"/>
    <cellStyle name="20% - Accent3 3 11 2 4 2" xfId="7430"/>
    <cellStyle name="20% - Accent3 3 11 2 4 2 2" xfId="7431"/>
    <cellStyle name="20% - Accent3 3 11 2 5" xfId="7432"/>
    <cellStyle name="20% - Accent3 3 11 2 5 2" xfId="7433"/>
    <cellStyle name="20% - Accent3 3 11 3" xfId="7434"/>
    <cellStyle name="20% - Accent3 3 11 3 2" xfId="7435"/>
    <cellStyle name="20% - Accent3 3 11 3 2 2" xfId="7436"/>
    <cellStyle name="20% - Accent3 3 11 3 2 2 2" xfId="7437"/>
    <cellStyle name="20% - Accent3 3 11 3 2 2 2 2" xfId="7438"/>
    <cellStyle name="20% - Accent3 3 11 3 2 3" xfId="7439"/>
    <cellStyle name="20% - Accent3 3 11 3 2 3 2" xfId="7440"/>
    <cellStyle name="20% - Accent3 3 11 3 3" xfId="7441"/>
    <cellStyle name="20% - Accent3 3 11 3 3 2" xfId="7442"/>
    <cellStyle name="20% - Accent3 3 11 3 3 2 2" xfId="7443"/>
    <cellStyle name="20% - Accent3 3 11 3 4" xfId="7444"/>
    <cellStyle name="20% - Accent3 3 11 3 4 2" xfId="7445"/>
    <cellStyle name="20% - Accent3 3 11 4" xfId="7446"/>
    <cellStyle name="20% - Accent3 3 11 4 2" xfId="7447"/>
    <cellStyle name="20% - Accent3 3 11 4 2 2" xfId="7448"/>
    <cellStyle name="20% - Accent3 3 11 4 2 2 2" xfId="7449"/>
    <cellStyle name="20% - Accent3 3 11 4 3" xfId="7450"/>
    <cellStyle name="20% - Accent3 3 11 4 3 2" xfId="7451"/>
    <cellStyle name="20% - Accent3 3 11 5" xfId="7452"/>
    <cellStyle name="20% - Accent3 3 11 5 2" xfId="7453"/>
    <cellStyle name="20% - Accent3 3 11 5 2 2" xfId="7454"/>
    <cellStyle name="20% - Accent3 3 11 6" xfId="7455"/>
    <cellStyle name="20% - Accent3 3 11 6 2" xfId="7456"/>
    <cellStyle name="20% - Accent3 3 11 7" xfId="7457"/>
    <cellStyle name="20% - Accent3 3 12" xfId="7458"/>
    <cellStyle name="20% - Accent3 3 12 2" xfId="7459"/>
    <cellStyle name="20% - Accent3 3 12 2 2" xfId="7460"/>
    <cellStyle name="20% - Accent3 3 12 2 2 2" xfId="7461"/>
    <cellStyle name="20% - Accent3 3 12 2 2 2 2" xfId="7462"/>
    <cellStyle name="20% - Accent3 3 12 2 2 2 2 2" xfId="7463"/>
    <cellStyle name="20% - Accent3 3 12 2 2 2 2 2 2" xfId="7464"/>
    <cellStyle name="20% - Accent3 3 12 2 2 2 3" xfId="7465"/>
    <cellStyle name="20% - Accent3 3 12 2 2 2 3 2" xfId="7466"/>
    <cellStyle name="20% - Accent3 3 12 2 2 3" xfId="7467"/>
    <cellStyle name="20% - Accent3 3 12 2 2 3 2" xfId="7468"/>
    <cellStyle name="20% - Accent3 3 12 2 2 3 2 2" xfId="7469"/>
    <cellStyle name="20% - Accent3 3 12 2 2 4" xfId="7470"/>
    <cellStyle name="20% - Accent3 3 12 2 2 4 2" xfId="7471"/>
    <cellStyle name="20% - Accent3 3 12 2 3" xfId="7472"/>
    <cellStyle name="20% - Accent3 3 12 2 3 2" xfId="7473"/>
    <cellStyle name="20% - Accent3 3 12 2 3 2 2" xfId="7474"/>
    <cellStyle name="20% - Accent3 3 12 2 3 2 2 2" xfId="7475"/>
    <cellStyle name="20% - Accent3 3 12 2 3 3" xfId="7476"/>
    <cellStyle name="20% - Accent3 3 12 2 3 3 2" xfId="7477"/>
    <cellStyle name="20% - Accent3 3 12 2 4" xfId="7478"/>
    <cellStyle name="20% - Accent3 3 12 2 4 2" xfId="7479"/>
    <cellStyle name="20% - Accent3 3 12 2 4 2 2" xfId="7480"/>
    <cellStyle name="20% - Accent3 3 12 2 5" xfId="7481"/>
    <cellStyle name="20% - Accent3 3 12 2 5 2" xfId="7482"/>
    <cellStyle name="20% - Accent3 3 12 3" xfId="7483"/>
    <cellStyle name="20% - Accent3 3 12 3 2" xfId="7484"/>
    <cellStyle name="20% - Accent3 3 12 3 2 2" xfId="7485"/>
    <cellStyle name="20% - Accent3 3 12 3 2 2 2" xfId="7486"/>
    <cellStyle name="20% - Accent3 3 12 3 2 2 2 2" xfId="7487"/>
    <cellStyle name="20% - Accent3 3 12 3 2 3" xfId="7488"/>
    <cellStyle name="20% - Accent3 3 12 3 2 3 2" xfId="7489"/>
    <cellStyle name="20% - Accent3 3 12 3 3" xfId="7490"/>
    <cellStyle name="20% - Accent3 3 12 3 3 2" xfId="7491"/>
    <cellStyle name="20% - Accent3 3 12 3 3 2 2" xfId="7492"/>
    <cellStyle name="20% - Accent3 3 12 3 4" xfId="7493"/>
    <cellStyle name="20% - Accent3 3 12 3 4 2" xfId="7494"/>
    <cellStyle name="20% - Accent3 3 12 4" xfId="7495"/>
    <cellStyle name="20% - Accent3 3 12 4 2" xfId="7496"/>
    <cellStyle name="20% - Accent3 3 12 4 2 2" xfId="7497"/>
    <cellStyle name="20% - Accent3 3 12 4 2 2 2" xfId="7498"/>
    <cellStyle name="20% - Accent3 3 12 4 3" xfId="7499"/>
    <cellStyle name="20% - Accent3 3 12 4 3 2" xfId="7500"/>
    <cellStyle name="20% - Accent3 3 12 5" xfId="7501"/>
    <cellStyle name="20% - Accent3 3 12 5 2" xfId="7502"/>
    <cellStyle name="20% - Accent3 3 12 5 2 2" xfId="7503"/>
    <cellStyle name="20% - Accent3 3 12 6" xfId="7504"/>
    <cellStyle name="20% - Accent3 3 12 6 2" xfId="7505"/>
    <cellStyle name="20% - Accent3 3 13" xfId="7506"/>
    <cellStyle name="20% - Accent3 3 13 2" xfId="7507"/>
    <cellStyle name="20% - Accent3 3 13 2 2" xfId="7508"/>
    <cellStyle name="20% - Accent3 3 13 2 2 2" xfId="7509"/>
    <cellStyle name="20% - Accent3 3 13 2 2 2 2" xfId="7510"/>
    <cellStyle name="20% - Accent3 3 13 2 2 2 2 2" xfId="7511"/>
    <cellStyle name="20% - Accent3 3 13 2 2 2 2 2 2" xfId="7512"/>
    <cellStyle name="20% - Accent3 3 13 2 2 2 3" xfId="7513"/>
    <cellStyle name="20% - Accent3 3 13 2 2 2 3 2" xfId="7514"/>
    <cellStyle name="20% - Accent3 3 13 2 2 3" xfId="7515"/>
    <cellStyle name="20% - Accent3 3 13 2 2 3 2" xfId="7516"/>
    <cellStyle name="20% - Accent3 3 13 2 2 3 2 2" xfId="7517"/>
    <cellStyle name="20% - Accent3 3 13 2 2 4" xfId="7518"/>
    <cellStyle name="20% - Accent3 3 13 2 2 4 2" xfId="7519"/>
    <cellStyle name="20% - Accent3 3 13 2 3" xfId="7520"/>
    <cellStyle name="20% - Accent3 3 13 2 3 2" xfId="7521"/>
    <cellStyle name="20% - Accent3 3 13 2 3 2 2" xfId="7522"/>
    <cellStyle name="20% - Accent3 3 13 2 3 2 2 2" xfId="7523"/>
    <cellStyle name="20% - Accent3 3 13 2 3 3" xfId="7524"/>
    <cellStyle name="20% - Accent3 3 13 2 3 3 2" xfId="7525"/>
    <cellStyle name="20% - Accent3 3 13 2 4" xfId="7526"/>
    <cellStyle name="20% - Accent3 3 13 2 4 2" xfId="7527"/>
    <cellStyle name="20% - Accent3 3 13 2 4 2 2" xfId="7528"/>
    <cellStyle name="20% - Accent3 3 13 2 5" xfId="7529"/>
    <cellStyle name="20% - Accent3 3 13 2 5 2" xfId="7530"/>
    <cellStyle name="20% - Accent3 3 13 3" xfId="7531"/>
    <cellStyle name="20% - Accent3 3 13 3 2" xfId="7532"/>
    <cellStyle name="20% - Accent3 3 13 3 2 2" xfId="7533"/>
    <cellStyle name="20% - Accent3 3 13 3 2 2 2" xfId="7534"/>
    <cellStyle name="20% - Accent3 3 13 3 2 2 2 2" xfId="7535"/>
    <cellStyle name="20% - Accent3 3 13 3 2 3" xfId="7536"/>
    <cellStyle name="20% - Accent3 3 13 3 2 3 2" xfId="7537"/>
    <cellStyle name="20% - Accent3 3 13 3 3" xfId="7538"/>
    <cellStyle name="20% - Accent3 3 13 3 3 2" xfId="7539"/>
    <cellStyle name="20% - Accent3 3 13 3 3 2 2" xfId="7540"/>
    <cellStyle name="20% - Accent3 3 13 3 4" xfId="7541"/>
    <cellStyle name="20% - Accent3 3 13 3 4 2" xfId="7542"/>
    <cellStyle name="20% - Accent3 3 13 4" xfId="7543"/>
    <cellStyle name="20% - Accent3 3 13 4 2" xfId="7544"/>
    <cellStyle name="20% - Accent3 3 13 4 2 2" xfId="7545"/>
    <cellStyle name="20% - Accent3 3 13 4 2 2 2" xfId="7546"/>
    <cellStyle name="20% - Accent3 3 13 4 3" xfId="7547"/>
    <cellStyle name="20% - Accent3 3 13 4 3 2" xfId="7548"/>
    <cellStyle name="20% - Accent3 3 13 5" xfId="7549"/>
    <cellStyle name="20% - Accent3 3 13 5 2" xfId="7550"/>
    <cellStyle name="20% - Accent3 3 13 5 2 2" xfId="7551"/>
    <cellStyle name="20% - Accent3 3 13 6" xfId="7552"/>
    <cellStyle name="20% - Accent3 3 13 6 2" xfId="7553"/>
    <cellStyle name="20% - Accent3 3 14" xfId="7554"/>
    <cellStyle name="20% - Accent3 3 14 2" xfId="7555"/>
    <cellStyle name="20% - Accent3 3 14 2 2" xfId="7556"/>
    <cellStyle name="20% - Accent3 3 14 2 2 2" xfId="7557"/>
    <cellStyle name="20% - Accent3 3 14 2 2 2 2" xfId="7558"/>
    <cellStyle name="20% - Accent3 3 14 2 2 2 2 2" xfId="7559"/>
    <cellStyle name="20% - Accent3 3 14 2 2 3" xfId="7560"/>
    <cellStyle name="20% - Accent3 3 14 2 2 3 2" xfId="7561"/>
    <cellStyle name="20% - Accent3 3 14 2 3" xfId="7562"/>
    <cellStyle name="20% - Accent3 3 14 2 3 2" xfId="7563"/>
    <cellStyle name="20% - Accent3 3 14 2 3 2 2" xfId="7564"/>
    <cellStyle name="20% - Accent3 3 14 2 4" xfId="7565"/>
    <cellStyle name="20% - Accent3 3 14 2 4 2" xfId="7566"/>
    <cellStyle name="20% - Accent3 3 14 3" xfId="7567"/>
    <cellStyle name="20% - Accent3 3 14 3 2" xfId="7568"/>
    <cellStyle name="20% - Accent3 3 14 3 2 2" xfId="7569"/>
    <cellStyle name="20% - Accent3 3 14 3 2 2 2" xfId="7570"/>
    <cellStyle name="20% - Accent3 3 14 3 3" xfId="7571"/>
    <cellStyle name="20% - Accent3 3 14 3 3 2" xfId="7572"/>
    <cellStyle name="20% - Accent3 3 14 4" xfId="7573"/>
    <cellStyle name="20% - Accent3 3 14 4 2" xfId="7574"/>
    <cellStyle name="20% - Accent3 3 14 4 2 2" xfId="7575"/>
    <cellStyle name="20% - Accent3 3 14 5" xfId="7576"/>
    <cellStyle name="20% - Accent3 3 14 5 2" xfId="7577"/>
    <cellStyle name="20% - Accent3 3 15" xfId="7578"/>
    <cellStyle name="20% - Accent3 3 15 2" xfId="7579"/>
    <cellStyle name="20% - Accent3 3 15 2 2" xfId="7580"/>
    <cellStyle name="20% - Accent3 3 15 2 2 2" xfId="7581"/>
    <cellStyle name="20% - Accent3 3 15 2 2 2 2" xfId="7582"/>
    <cellStyle name="20% - Accent3 3 15 2 3" xfId="7583"/>
    <cellStyle name="20% - Accent3 3 15 2 3 2" xfId="7584"/>
    <cellStyle name="20% - Accent3 3 15 3" xfId="7585"/>
    <cellStyle name="20% - Accent3 3 15 3 2" xfId="7586"/>
    <cellStyle name="20% - Accent3 3 15 3 2 2" xfId="7587"/>
    <cellStyle name="20% - Accent3 3 15 4" xfId="7588"/>
    <cellStyle name="20% - Accent3 3 15 4 2" xfId="7589"/>
    <cellStyle name="20% - Accent3 3 16" xfId="7590"/>
    <cellStyle name="20% - Accent3 3 16 2" xfId="7591"/>
    <cellStyle name="20% - Accent3 3 16 2 2" xfId="7592"/>
    <cellStyle name="20% - Accent3 3 16 2 2 2" xfId="7593"/>
    <cellStyle name="20% - Accent3 3 16 3" xfId="7594"/>
    <cellStyle name="20% - Accent3 3 16 3 2" xfId="7595"/>
    <cellStyle name="20% - Accent3 3 17" xfId="7596"/>
    <cellStyle name="20% - Accent3 3 17 2" xfId="7597"/>
    <cellStyle name="20% - Accent3 3 17 2 2" xfId="7598"/>
    <cellStyle name="20% - Accent3 3 18" xfId="7599"/>
    <cellStyle name="20% - Accent3 3 18 2" xfId="7600"/>
    <cellStyle name="20% - Accent3 3 19" xfId="7601"/>
    <cellStyle name="20% - Accent3 3 2" xfId="7602"/>
    <cellStyle name="20% - Accent3 3 2 10" xfId="7603"/>
    <cellStyle name="20% - Accent3 3 2 11" xfId="7604"/>
    <cellStyle name="20% - Accent3 3 2 2" xfId="7605"/>
    <cellStyle name="20% - Accent3 3 2 2 2" xfId="7606"/>
    <cellStyle name="20% - Accent3 3 2 2 2 2" xfId="7607"/>
    <cellStyle name="20% - Accent3 3 2 2 2 2 2" xfId="7608"/>
    <cellStyle name="20% - Accent3 3 2 2 2 2 2 2" xfId="7609"/>
    <cellStyle name="20% - Accent3 3 2 2 2 2 2 2 2" xfId="7610"/>
    <cellStyle name="20% - Accent3 3 2 2 2 2 3" xfId="7611"/>
    <cellStyle name="20% - Accent3 3 2 2 2 2 3 2" xfId="7612"/>
    <cellStyle name="20% - Accent3 3 2 2 2 3" xfId="7613"/>
    <cellStyle name="20% - Accent3 3 2 2 2 3 2" xfId="7614"/>
    <cellStyle name="20% - Accent3 3 2 2 2 3 2 2" xfId="7615"/>
    <cellStyle name="20% - Accent3 3 2 2 2 4" xfId="7616"/>
    <cellStyle name="20% - Accent3 3 2 2 2 4 2" xfId="7617"/>
    <cellStyle name="20% - Accent3 3 2 2 3" xfId="7618"/>
    <cellStyle name="20% - Accent3 3 2 2 3 2" xfId="7619"/>
    <cellStyle name="20% - Accent3 3 2 2 3 2 2" xfId="7620"/>
    <cellStyle name="20% - Accent3 3 2 2 3 2 2 2" xfId="7621"/>
    <cellStyle name="20% - Accent3 3 2 2 3 3" xfId="7622"/>
    <cellStyle name="20% - Accent3 3 2 2 3 3 2" xfId="7623"/>
    <cellStyle name="20% - Accent3 3 2 2 4" xfId="7624"/>
    <cellStyle name="20% - Accent3 3 2 2 4 2" xfId="7625"/>
    <cellStyle name="20% - Accent3 3 2 2 4 2 2" xfId="7626"/>
    <cellStyle name="20% - Accent3 3 2 2 5" xfId="7627"/>
    <cellStyle name="20% - Accent3 3 2 2 5 2" xfId="7628"/>
    <cellStyle name="20% - Accent3 3 2 2 6" xfId="7629"/>
    <cellStyle name="20% - Accent3 3 2 2 7" xfId="7630"/>
    <cellStyle name="20% - Accent3 3 2 2 8" xfId="7631"/>
    <cellStyle name="20% - Accent3 3 2 3" xfId="7632"/>
    <cellStyle name="20% - Accent3 3 2 3 2" xfId="7633"/>
    <cellStyle name="20% - Accent3 3 2 3 2 2" xfId="7634"/>
    <cellStyle name="20% - Accent3 3 2 3 2 2 2" xfId="7635"/>
    <cellStyle name="20% - Accent3 3 2 3 2 2 2 2" xfId="7636"/>
    <cellStyle name="20% - Accent3 3 2 3 2 3" xfId="7637"/>
    <cellStyle name="20% - Accent3 3 2 3 2 3 2" xfId="7638"/>
    <cellStyle name="20% - Accent3 3 2 3 3" xfId="7639"/>
    <cellStyle name="20% - Accent3 3 2 3 3 2" xfId="7640"/>
    <cellStyle name="20% - Accent3 3 2 3 3 2 2" xfId="7641"/>
    <cellStyle name="20% - Accent3 3 2 3 4" xfId="7642"/>
    <cellStyle name="20% - Accent3 3 2 3 4 2" xfId="7643"/>
    <cellStyle name="20% - Accent3 3 2 3 5" xfId="7644"/>
    <cellStyle name="20% - Accent3 3 2 3 6" xfId="7645"/>
    <cellStyle name="20% - Accent3 3 2 3 7" xfId="7646"/>
    <cellStyle name="20% - Accent3 3 2 4" xfId="7647"/>
    <cellStyle name="20% - Accent3 3 2 4 2" xfId="7648"/>
    <cellStyle name="20% - Accent3 3 2 4 2 2" xfId="7649"/>
    <cellStyle name="20% - Accent3 3 2 4 2 2 2" xfId="7650"/>
    <cellStyle name="20% - Accent3 3 2 4 3" xfId="7651"/>
    <cellStyle name="20% - Accent3 3 2 4 3 2" xfId="7652"/>
    <cellStyle name="20% - Accent3 3 2 4 4" xfId="7653"/>
    <cellStyle name="20% - Accent3 3 2 5" xfId="7654"/>
    <cellStyle name="20% - Accent3 3 2 5 2" xfId="7655"/>
    <cellStyle name="20% - Accent3 3 2 5 2 2" xfId="7656"/>
    <cellStyle name="20% - Accent3 3 2 6" xfId="7657"/>
    <cellStyle name="20% - Accent3 3 2 6 2" xfId="7658"/>
    <cellStyle name="20% - Accent3 3 2 7" xfId="7659"/>
    <cellStyle name="20% - Accent3 3 2 8" xfId="7660"/>
    <cellStyle name="20% - Accent3 3 2 9" xfId="7661"/>
    <cellStyle name="20% - Accent3 3 20" xfId="7662"/>
    <cellStyle name="20% - Accent3 3 21" xfId="7663"/>
    <cellStyle name="20% - Accent3 3 22" xfId="7664"/>
    <cellStyle name="20% - Accent3 3 3" xfId="7665"/>
    <cellStyle name="20% - Accent3 3 3 10" xfId="7666"/>
    <cellStyle name="20% - Accent3 3 3 11" xfId="7667"/>
    <cellStyle name="20% - Accent3 3 3 2" xfId="7668"/>
    <cellStyle name="20% - Accent3 3 3 2 2" xfId="7669"/>
    <cellStyle name="20% - Accent3 3 3 2 2 2" xfId="7670"/>
    <cellStyle name="20% - Accent3 3 3 2 2 2 2" xfId="7671"/>
    <cellStyle name="20% - Accent3 3 3 2 2 2 2 2" xfId="7672"/>
    <cellStyle name="20% - Accent3 3 3 2 2 2 2 2 2" xfId="7673"/>
    <cellStyle name="20% - Accent3 3 3 2 2 2 3" xfId="7674"/>
    <cellStyle name="20% - Accent3 3 3 2 2 2 3 2" xfId="7675"/>
    <cellStyle name="20% - Accent3 3 3 2 2 3" xfId="7676"/>
    <cellStyle name="20% - Accent3 3 3 2 2 3 2" xfId="7677"/>
    <cellStyle name="20% - Accent3 3 3 2 2 3 2 2" xfId="7678"/>
    <cellStyle name="20% - Accent3 3 3 2 2 4" xfId="7679"/>
    <cellStyle name="20% - Accent3 3 3 2 2 4 2" xfId="7680"/>
    <cellStyle name="20% - Accent3 3 3 2 3" xfId="7681"/>
    <cellStyle name="20% - Accent3 3 3 2 3 2" xfId="7682"/>
    <cellStyle name="20% - Accent3 3 3 2 3 2 2" xfId="7683"/>
    <cellStyle name="20% - Accent3 3 3 2 3 2 2 2" xfId="7684"/>
    <cellStyle name="20% - Accent3 3 3 2 3 3" xfId="7685"/>
    <cellStyle name="20% - Accent3 3 3 2 3 3 2" xfId="7686"/>
    <cellStyle name="20% - Accent3 3 3 2 4" xfId="7687"/>
    <cellStyle name="20% - Accent3 3 3 2 4 2" xfId="7688"/>
    <cellStyle name="20% - Accent3 3 3 2 4 2 2" xfId="7689"/>
    <cellStyle name="20% - Accent3 3 3 2 5" xfId="7690"/>
    <cellStyle name="20% - Accent3 3 3 2 5 2" xfId="7691"/>
    <cellStyle name="20% - Accent3 3 3 2 6" xfId="7692"/>
    <cellStyle name="20% - Accent3 3 3 2 7" xfId="7693"/>
    <cellStyle name="20% - Accent3 3 3 2 8" xfId="7694"/>
    <cellStyle name="20% - Accent3 3 3 3" xfId="7695"/>
    <cellStyle name="20% - Accent3 3 3 3 2" xfId="7696"/>
    <cellStyle name="20% - Accent3 3 3 3 2 2" xfId="7697"/>
    <cellStyle name="20% - Accent3 3 3 3 2 2 2" xfId="7698"/>
    <cellStyle name="20% - Accent3 3 3 3 2 2 2 2" xfId="7699"/>
    <cellStyle name="20% - Accent3 3 3 3 2 3" xfId="7700"/>
    <cellStyle name="20% - Accent3 3 3 3 2 3 2" xfId="7701"/>
    <cellStyle name="20% - Accent3 3 3 3 3" xfId="7702"/>
    <cellStyle name="20% - Accent3 3 3 3 3 2" xfId="7703"/>
    <cellStyle name="20% - Accent3 3 3 3 3 2 2" xfId="7704"/>
    <cellStyle name="20% - Accent3 3 3 3 4" xfId="7705"/>
    <cellStyle name="20% - Accent3 3 3 3 4 2" xfId="7706"/>
    <cellStyle name="20% - Accent3 3 3 3 5" xfId="7707"/>
    <cellStyle name="20% - Accent3 3 3 3 6" xfId="7708"/>
    <cellStyle name="20% - Accent3 3 3 3 7" xfId="7709"/>
    <cellStyle name="20% - Accent3 3 3 4" xfId="7710"/>
    <cellStyle name="20% - Accent3 3 3 4 2" xfId="7711"/>
    <cellStyle name="20% - Accent3 3 3 4 2 2" xfId="7712"/>
    <cellStyle name="20% - Accent3 3 3 4 2 2 2" xfId="7713"/>
    <cellStyle name="20% - Accent3 3 3 4 3" xfId="7714"/>
    <cellStyle name="20% - Accent3 3 3 4 3 2" xfId="7715"/>
    <cellStyle name="20% - Accent3 3 3 4 4" xfId="7716"/>
    <cellStyle name="20% - Accent3 3 3 5" xfId="7717"/>
    <cellStyle name="20% - Accent3 3 3 5 2" xfId="7718"/>
    <cellStyle name="20% - Accent3 3 3 5 2 2" xfId="7719"/>
    <cellStyle name="20% - Accent3 3 3 6" xfId="7720"/>
    <cellStyle name="20% - Accent3 3 3 6 2" xfId="7721"/>
    <cellStyle name="20% - Accent3 3 3 7" xfId="7722"/>
    <cellStyle name="20% - Accent3 3 3 8" xfId="7723"/>
    <cellStyle name="20% - Accent3 3 3 9" xfId="7724"/>
    <cellStyle name="20% - Accent3 3 4" xfId="7725"/>
    <cellStyle name="20% - Accent3 3 4 2" xfId="7726"/>
    <cellStyle name="20% - Accent3 3 4 2 2" xfId="7727"/>
    <cellStyle name="20% - Accent3 3 4 2 2 2" xfId="7728"/>
    <cellStyle name="20% - Accent3 3 4 2 2 2 2" xfId="7729"/>
    <cellStyle name="20% - Accent3 3 4 2 2 2 2 2" xfId="7730"/>
    <cellStyle name="20% - Accent3 3 4 2 2 2 2 2 2" xfId="7731"/>
    <cellStyle name="20% - Accent3 3 4 2 2 2 3" xfId="7732"/>
    <cellStyle name="20% - Accent3 3 4 2 2 2 3 2" xfId="7733"/>
    <cellStyle name="20% - Accent3 3 4 2 2 3" xfId="7734"/>
    <cellStyle name="20% - Accent3 3 4 2 2 3 2" xfId="7735"/>
    <cellStyle name="20% - Accent3 3 4 2 2 3 2 2" xfId="7736"/>
    <cellStyle name="20% - Accent3 3 4 2 2 4" xfId="7737"/>
    <cellStyle name="20% - Accent3 3 4 2 2 4 2" xfId="7738"/>
    <cellStyle name="20% - Accent3 3 4 2 3" xfId="7739"/>
    <cellStyle name="20% - Accent3 3 4 2 3 2" xfId="7740"/>
    <cellStyle name="20% - Accent3 3 4 2 3 2 2" xfId="7741"/>
    <cellStyle name="20% - Accent3 3 4 2 3 2 2 2" xfId="7742"/>
    <cellStyle name="20% - Accent3 3 4 2 3 3" xfId="7743"/>
    <cellStyle name="20% - Accent3 3 4 2 3 3 2" xfId="7744"/>
    <cellStyle name="20% - Accent3 3 4 2 4" xfId="7745"/>
    <cellStyle name="20% - Accent3 3 4 2 4 2" xfId="7746"/>
    <cellStyle name="20% - Accent3 3 4 2 4 2 2" xfId="7747"/>
    <cellStyle name="20% - Accent3 3 4 2 5" xfId="7748"/>
    <cellStyle name="20% - Accent3 3 4 2 5 2" xfId="7749"/>
    <cellStyle name="20% - Accent3 3 4 3" xfId="7750"/>
    <cellStyle name="20% - Accent3 3 4 3 2" xfId="7751"/>
    <cellStyle name="20% - Accent3 3 4 3 2 2" xfId="7752"/>
    <cellStyle name="20% - Accent3 3 4 3 2 2 2" xfId="7753"/>
    <cellStyle name="20% - Accent3 3 4 3 2 2 2 2" xfId="7754"/>
    <cellStyle name="20% - Accent3 3 4 3 2 3" xfId="7755"/>
    <cellStyle name="20% - Accent3 3 4 3 2 3 2" xfId="7756"/>
    <cellStyle name="20% - Accent3 3 4 3 3" xfId="7757"/>
    <cellStyle name="20% - Accent3 3 4 3 3 2" xfId="7758"/>
    <cellStyle name="20% - Accent3 3 4 3 3 2 2" xfId="7759"/>
    <cellStyle name="20% - Accent3 3 4 3 4" xfId="7760"/>
    <cellStyle name="20% - Accent3 3 4 3 4 2" xfId="7761"/>
    <cellStyle name="20% - Accent3 3 4 4" xfId="7762"/>
    <cellStyle name="20% - Accent3 3 4 4 2" xfId="7763"/>
    <cellStyle name="20% - Accent3 3 4 4 2 2" xfId="7764"/>
    <cellStyle name="20% - Accent3 3 4 4 2 2 2" xfId="7765"/>
    <cellStyle name="20% - Accent3 3 4 4 3" xfId="7766"/>
    <cellStyle name="20% - Accent3 3 4 4 3 2" xfId="7767"/>
    <cellStyle name="20% - Accent3 3 4 5" xfId="7768"/>
    <cellStyle name="20% - Accent3 3 4 5 2" xfId="7769"/>
    <cellStyle name="20% - Accent3 3 4 5 2 2" xfId="7770"/>
    <cellStyle name="20% - Accent3 3 4 6" xfId="7771"/>
    <cellStyle name="20% - Accent3 3 4 6 2" xfId="7772"/>
    <cellStyle name="20% - Accent3 3 4 7" xfId="7773"/>
    <cellStyle name="20% - Accent3 3 5" xfId="7774"/>
    <cellStyle name="20% - Accent3 3 5 2" xfId="7775"/>
    <cellStyle name="20% - Accent3 3 5 2 2" xfId="7776"/>
    <cellStyle name="20% - Accent3 3 5 2 2 2" xfId="7777"/>
    <cellStyle name="20% - Accent3 3 5 2 2 2 2" xfId="7778"/>
    <cellStyle name="20% - Accent3 3 5 2 2 2 2 2" xfId="7779"/>
    <cellStyle name="20% - Accent3 3 5 2 2 2 2 2 2" xfId="7780"/>
    <cellStyle name="20% - Accent3 3 5 2 2 2 3" xfId="7781"/>
    <cellStyle name="20% - Accent3 3 5 2 2 2 3 2" xfId="7782"/>
    <cellStyle name="20% - Accent3 3 5 2 2 3" xfId="7783"/>
    <cellStyle name="20% - Accent3 3 5 2 2 3 2" xfId="7784"/>
    <cellStyle name="20% - Accent3 3 5 2 2 3 2 2" xfId="7785"/>
    <cellStyle name="20% - Accent3 3 5 2 2 4" xfId="7786"/>
    <cellStyle name="20% - Accent3 3 5 2 2 4 2" xfId="7787"/>
    <cellStyle name="20% - Accent3 3 5 2 3" xfId="7788"/>
    <cellStyle name="20% - Accent3 3 5 2 3 2" xfId="7789"/>
    <cellStyle name="20% - Accent3 3 5 2 3 2 2" xfId="7790"/>
    <cellStyle name="20% - Accent3 3 5 2 3 2 2 2" xfId="7791"/>
    <cellStyle name="20% - Accent3 3 5 2 3 3" xfId="7792"/>
    <cellStyle name="20% - Accent3 3 5 2 3 3 2" xfId="7793"/>
    <cellStyle name="20% - Accent3 3 5 2 4" xfId="7794"/>
    <cellStyle name="20% - Accent3 3 5 2 4 2" xfId="7795"/>
    <cellStyle name="20% - Accent3 3 5 2 4 2 2" xfId="7796"/>
    <cellStyle name="20% - Accent3 3 5 2 5" xfId="7797"/>
    <cellStyle name="20% - Accent3 3 5 2 5 2" xfId="7798"/>
    <cellStyle name="20% - Accent3 3 5 3" xfId="7799"/>
    <cellStyle name="20% - Accent3 3 5 3 2" xfId="7800"/>
    <cellStyle name="20% - Accent3 3 5 3 2 2" xfId="7801"/>
    <cellStyle name="20% - Accent3 3 5 3 2 2 2" xfId="7802"/>
    <cellStyle name="20% - Accent3 3 5 3 2 2 2 2" xfId="7803"/>
    <cellStyle name="20% - Accent3 3 5 3 2 3" xfId="7804"/>
    <cellStyle name="20% - Accent3 3 5 3 2 3 2" xfId="7805"/>
    <cellStyle name="20% - Accent3 3 5 3 3" xfId="7806"/>
    <cellStyle name="20% - Accent3 3 5 3 3 2" xfId="7807"/>
    <cellStyle name="20% - Accent3 3 5 3 3 2 2" xfId="7808"/>
    <cellStyle name="20% - Accent3 3 5 3 4" xfId="7809"/>
    <cellStyle name="20% - Accent3 3 5 3 4 2" xfId="7810"/>
    <cellStyle name="20% - Accent3 3 5 4" xfId="7811"/>
    <cellStyle name="20% - Accent3 3 5 4 2" xfId="7812"/>
    <cellStyle name="20% - Accent3 3 5 4 2 2" xfId="7813"/>
    <cellStyle name="20% - Accent3 3 5 4 2 2 2" xfId="7814"/>
    <cellStyle name="20% - Accent3 3 5 4 3" xfId="7815"/>
    <cellStyle name="20% - Accent3 3 5 4 3 2" xfId="7816"/>
    <cellStyle name="20% - Accent3 3 5 5" xfId="7817"/>
    <cellStyle name="20% - Accent3 3 5 5 2" xfId="7818"/>
    <cellStyle name="20% - Accent3 3 5 5 2 2" xfId="7819"/>
    <cellStyle name="20% - Accent3 3 5 6" xfId="7820"/>
    <cellStyle name="20% - Accent3 3 5 6 2" xfId="7821"/>
    <cellStyle name="20% - Accent3 3 5 7" xfId="7822"/>
    <cellStyle name="20% - Accent3 3 6" xfId="7823"/>
    <cellStyle name="20% - Accent3 3 6 2" xfId="7824"/>
    <cellStyle name="20% - Accent3 3 6 2 2" xfId="7825"/>
    <cellStyle name="20% - Accent3 3 6 2 2 2" xfId="7826"/>
    <cellStyle name="20% - Accent3 3 6 2 2 2 2" xfId="7827"/>
    <cellStyle name="20% - Accent3 3 6 2 2 2 2 2" xfId="7828"/>
    <cellStyle name="20% - Accent3 3 6 2 2 2 2 2 2" xfId="7829"/>
    <cellStyle name="20% - Accent3 3 6 2 2 2 3" xfId="7830"/>
    <cellStyle name="20% - Accent3 3 6 2 2 2 3 2" xfId="7831"/>
    <cellStyle name="20% - Accent3 3 6 2 2 3" xfId="7832"/>
    <cellStyle name="20% - Accent3 3 6 2 2 3 2" xfId="7833"/>
    <cellStyle name="20% - Accent3 3 6 2 2 3 2 2" xfId="7834"/>
    <cellStyle name="20% - Accent3 3 6 2 2 4" xfId="7835"/>
    <cellStyle name="20% - Accent3 3 6 2 2 4 2" xfId="7836"/>
    <cellStyle name="20% - Accent3 3 6 2 3" xfId="7837"/>
    <cellStyle name="20% - Accent3 3 6 2 3 2" xfId="7838"/>
    <cellStyle name="20% - Accent3 3 6 2 3 2 2" xfId="7839"/>
    <cellStyle name="20% - Accent3 3 6 2 3 2 2 2" xfId="7840"/>
    <cellStyle name="20% - Accent3 3 6 2 3 3" xfId="7841"/>
    <cellStyle name="20% - Accent3 3 6 2 3 3 2" xfId="7842"/>
    <cellStyle name="20% - Accent3 3 6 2 4" xfId="7843"/>
    <cellStyle name="20% - Accent3 3 6 2 4 2" xfId="7844"/>
    <cellStyle name="20% - Accent3 3 6 2 4 2 2" xfId="7845"/>
    <cellStyle name="20% - Accent3 3 6 2 5" xfId="7846"/>
    <cellStyle name="20% - Accent3 3 6 2 5 2" xfId="7847"/>
    <cellStyle name="20% - Accent3 3 6 3" xfId="7848"/>
    <cellStyle name="20% - Accent3 3 6 3 2" xfId="7849"/>
    <cellStyle name="20% - Accent3 3 6 3 2 2" xfId="7850"/>
    <cellStyle name="20% - Accent3 3 6 3 2 2 2" xfId="7851"/>
    <cellStyle name="20% - Accent3 3 6 3 2 2 2 2" xfId="7852"/>
    <cellStyle name="20% - Accent3 3 6 3 2 3" xfId="7853"/>
    <cellStyle name="20% - Accent3 3 6 3 2 3 2" xfId="7854"/>
    <cellStyle name="20% - Accent3 3 6 3 3" xfId="7855"/>
    <cellStyle name="20% - Accent3 3 6 3 3 2" xfId="7856"/>
    <cellStyle name="20% - Accent3 3 6 3 3 2 2" xfId="7857"/>
    <cellStyle name="20% - Accent3 3 6 3 4" xfId="7858"/>
    <cellStyle name="20% - Accent3 3 6 3 4 2" xfId="7859"/>
    <cellStyle name="20% - Accent3 3 6 4" xfId="7860"/>
    <cellStyle name="20% - Accent3 3 6 4 2" xfId="7861"/>
    <cellStyle name="20% - Accent3 3 6 4 2 2" xfId="7862"/>
    <cellStyle name="20% - Accent3 3 6 4 2 2 2" xfId="7863"/>
    <cellStyle name="20% - Accent3 3 6 4 3" xfId="7864"/>
    <cellStyle name="20% - Accent3 3 6 4 3 2" xfId="7865"/>
    <cellStyle name="20% - Accent3 3 6 5" xfId="7866"/>
    <cellStyle name="20% - Accent3 3 6 5 2" xfId="7867"/>
    <cellStyle name="20% - Accent3 3 6 5 2 2" xfId="7868"/>
    <cellStyle name="20% - Accent3 3 6 6" xfId="7869"/>
    <cellStyle name="20% - Accent3 3 6 6 2" xfId="7870"/>
    <cellStyle name="20% - Accent3 3 6 7" xfId="7871"/>
    <cellStyle name="20% - Accent3 3 7" xfId="7872"/>
    <cellStyle name="20% - Accent3 3 7 2" xfId="7873"/>
    <cellStyle name="20% - Accent3 3 7 2 2" xfId="7874"/>
    <cellStyle name="20% - Accent3 3 7 2 2 2" xfId="7875"/>
    <cellStyle name="20% - Accent3 3 7 2 2 2 2" xfId="7876"/>
    <cellStyle name="20% - Accent3 3 7 2 2 2 2 2" xfId="7877"/>
    <cellStyle name="20% - Accent3 3 7 2 2 2 2 2 2" xfId="7878"/>
    <cellStyle name="20% - Accent3 3 7 2 2 2 3" xfId="7879"/>
    <cellStyle name="20% - Accent3 3 7 2 2 2 3 2" xfId="7880"/>
    <cellStyle name="20% - Accent3 3 7 2 2 3" xfId="7881"/>
    <cellStyle name="20% - Accent3 3 7 2 2 3 2" xfId="7882"/>
    <cellStyle name="20% - Accent3 3 7 2 2 3 2 2" xfId="7883"/>
    <cellStyle name="20% - Accent3 3 7 2 2 4" xfId="7884"/>
    <cellStyle name="20% - Accent3 3 7 2 2 4 2" xfId="7885"/>
    <cellStyle name="20% - Accent3 3 7 2 3" xfId="7886"/>
    <cellStyle name="20% - Accent3 3 7 2 3 2" xfId="7887"/>
    <cellStyle name="20% - Accent3 3 7 2 3 2 2" xfId="7888"/>
    <cellStyle name="20% - Accent3 3 7 2 3 2 2 2" xfId="7889"/>
    <cellStyle name="20% - Accent3 3 7 2 3 3" xfId="7890"/>
    <cellStyle name="20% - Accent3 3 7 2 3 3 2" xfId="7891"/>
    <cellStyle name="20% - Accent3 3 7 2 4" xfId="7892"/>
    <cellStyle name="20% - Accent3 3 7 2 4 2" xfId="7893"/>
    <cellStyle name="20% - Accent3 3 7 2 4 2 2" xfId="7894"/>
    <cellStyle name="20% - Accent3 3 7 2 5" xfId="7895"/>
    <cellStyle name="20% - Accent3 3 7 2 5 2" xfId="7896"/>
    <cellStyle name="20% - Accent3 3 7 3" xfId="7897"/>
    <cellStyle name="20% - Accent3 3 7 3 2" xfId="7898"/>
    <cellStyle name="20% - Accent3 3 7 3 2 2" xfId="7899"/>
    <cellStyle name="20% - Accent3 3 7 3 2 2 2" xfId="7900"/>
    <cellStyle name="20% - Accent3 3 7 3 2 2 2 2" xfId="7901"/>
    <cellStyle name="20% - Accent3 3 7 3 2 3" xfId="7902"/>
    <cellStyle name="20% - Accent3 3 7 3 2 3 2" xfId="7903"/>
    <cellStyle name="20% - Accent3 3 7 3 3" xfId="7904"/>
    <cellStyle name="20% - Accent3 3 7 3 3 2" xfId="7905"/>
    <cellStyle name="20% - Accent3 3 7 3 3 2 2" xfId="7906"/>
    <cellStyle name="20% - Accent3 3 7 3 4" xfId="7907"/>
    <cellStyle name="20% - Accent3 3 7 3 4 2" xfId="7908"/>
    <cellStyle name="20% - Accent3 3 7 4" xfId="7909"/>
    <cellStyle name="20% - Accent3 3 7 4 2" xfId="7910"/>
    <cellStyle name="20% - Accent3 3 7 4 2 2" xfId="7911"/>
    <cellStyle name="20% - Accent3 3 7 4 2 2 2" xfId="7912"/>
    <cellStyle name="20% - Accent3 3 7 4 3" xfId="7913"/>
    <cellStyle name="20% - Accent3 3 7 4 3 2" xfId="7914"/>
    <cellStyle name="20% - Accent3 3 7 5" xfId="7915"/>
    <cellStyle name="20% - Accent3 3 7 5 2" xfId="7916"/>
    <cellStyle name="20% - Accent3 3 7 5 2 2" xfId="7917"/>
    <cellStyle name="20% - Accent3 3 7 6" xfId="7918"/>
    <cellStyle name="20% - Accent3 3 7 6 2" xfId="7919"/>
    <cellStyle name="20% - Accent3 3 7 7" xfId="7920"/>
    <cellStyle name="20% - Accent3 3 8" xfId="7921"/>
    <cellStyle name="20% - Accent3 3 8 2" xfId="7922"/>
    <cellStyle name="20% - Accent3 3 8 2 2" xfId="7923"/>
    <cellStyle name="20% - Accent3 3 8 2 2 2" xfId="7924"/>
    <cellStyle name="20% - Accent3 3 8 2 2 2 2" xfId="7925"/>
    <cellStyle name="20% - Accent3 3 8 2 2 2 2 2" xfId="7926"/>
    <cellStyle name="20% - Accent3 3 8 2 2 2 2 2 2" xfId="7927"/>
    <cellStyle name="20% - Accent3 3 8 2 2 2 3" xfId="7928"/>
    <cellStyle name="20% - Accent3 3 8 2 2 2 3 2" xfId="7929"/>
    <cellStyle name="20% - Accent3 3 8 2 2 3" xfId="7930"/>
    <cellStyle name="20% - Accent3 3 8 2 2 3 2" xfId="7931"/>
    <cellStyle name="20% - Accent3 3 8 2 2 3 2 2" xfId="7932"/>
    <cellStyle name="20% - Accent3 3 8 2 2 4" xfId="7933"/>
    <cellStyle name="20% - Accent3 3 8 2 2 4 2" xfId="7934"/>
    <cellStyle name="20% - Accent3 3 8 2 3" xfId="7935"/>
    <cellStyle name="20% - Accent3 3 8 2 3 2" xfId="7936"/>
    <cellStyle name="20% - Accent3 3 8 2 3 2 2" xfId="7937"/>
    <cellStyle name="20% - Accent3 3 8 2 3 2 2 2" xfId="7938"/>
    <cellStyle name="20% - Accent3 3 8 2 3 3" xfId="7939"/>
    <cellStyle name="20% - Accent3 3 8 2 3 3 2" xfId="7940"/>
    <cellStyle name="20% - Accent3 3 8 2 4" xfId="7941"/>
    <cellStyle name="20% - Accent3 3 8 2 4 2" xfId="7942"/>
    <cellStyle name="20% - Accent3 3 8 2 4 2 2" xfId="7943"/>
    <cellStyle name="20% - Accent3 3 8 2 5" xfId="7944"/>
    <cellStyle name="20% - Accent3 3 8 2 5 2" xfId="7945"/>
    <cellStyle name="20% - Accent3 3 8 3" xfId="7946"/>
    <cellStyle name="20% - Accent3 3 8 3 2" xfId="7947"/>
    <cellStyle name="20% - Accent3 3 8 3 2 2" xfId="7948"/>
    <cellStyle name="20% - Accent3 3 8 3 2 2 2" xfId="7949"/>
    <cellStyle name="20% - Accent3 3 8 3 2 2 2 2" xfId="7950"/>
    <cellStyle name="20% - Accent3 3 8 3 2 3" xfId="7951"/>
    <cellStyle name="20% - Accent3 3 8 3 2 3 2" xfId="7952"/>
    <cellStyle name="20% - Accent3 3 8 3 3" xfId="7953"/>
    <cellStyle name="20% - Accent3 3 8 3 3 2" xfId="7954"/>
    <cellStyle name="20% - Accent3 3 8 3 3 2 2" xfId="7955"/>
    <cellStyle name="20% - Accent3 3 8 3 4" xfId="7956"/>
    <cellStyle name="20% - Accent3 3 8 3 4 2" xfId="7957"/>
    <cellStyle name="20% - Accent3 3 8 4" xfId="7958"/>
    <cellStyle name="20% - Accent3 3 8 4 2" xfId="7959"/>
    <cellStyle name="20% - Accent3 3 8 4 2 2" xfId="7960"/>
    <cellStyle name="20% - Accent3 3 8 4 2 2 2" xfId="7961"/>
    <cellStyle name="20% - Accent3 3 8 4 3" xfId="7962"/>
    <cellStyle name="20% - Accent3 3 8 4 3 2" xfId="7963"/>
    <cellStyle name="20% - Accent3 3 8 5" xfId="7964"/>
    <cellStyle name="20% - Accent3 3 8 5 2" xfId="7965"/>
    <cellStyle name="20% - Accent3 3 8 5 2 2" xfId="7966"/>
    <cellStyle name="20% - Accent3 3 8 6" xfId="7967"/>
    <cellStyle name="20% - Accent3 3 8 6 2" xfId="7968"/>
    <cellStyle name="20% - Accent3 3 9" xfId="7969"/>
    <cellStyle name="20% - Accent3 3 9 2" xfId="7970"/>
    <cellStyle name="20% - Accent3 3 9 2 2" xfId="7971"/>
    <cellStyle name="20% - Accent3 3 9 2 2 2" xfId="7972"/>
    <cellStyle name="20% - Accent3 3 9 2 2 2 2" xfId="7973"/>
    <cellStyle name="20% - Accent3 3 9 2 2 2 2 2" xfId="7974"/>
    <cellStyle name="20% - Accent3 3 9 2 2 2 2 2 2" xfId="7975"/>
    <cellStyle name="20% - Accent3 3 9 2 2 2 3" xfId="7976"/>
    <cellStyle name="20% - Accent3 3 9 2 2 2 3 2" xfId="7977"/>
    <cellStyle name="20% - Accent3 3 9 2 2 3" xfId="7978"/>
    <cellStyle name="20% - Accent3 3 9 2 2 3 2" xfId="7979"/>
    <cellStyle name="20% - Accent3 3 9 2 2 3 2 2" xfId="7980"/>
    <cellStyle name="20% - Accent3 3 9 2 2 4" xfId="7981"/>
    <cellStyle name="20% - Accent3 3 9 2 2 4 2" xfId="7982"/>
    <cellStyle name="20% - Accent3 3 9 2 3" xfId="7983"/>
    <cellStyle name="20% - Accent3 3 9 2 3 2" xfId="7984"/>
    <cellStyle name="20% - Accent3 3 9 2 3 2 2" xfId="7985"/>
    <cellStyle name="20% - Accent3 3 9 2 3 2 2 2" xfId="7986"/>
    <cellStyle name="20% - Accent3 3 9 2 3 3" xfId="7987"/>
    <cellStyle name="20% - Accent3 3 9 2 3 3 2" xfId="7988"/>
    <cellStyle name="20% - Accent3 3 9 2 4" xfId="7989"/>
    <cellStyle name="20% - Accent3 3 9 2 4 2" xfId="7990"/>
    <cellStyle name="20% - Accent3 3 9 2 4 2 2" xfId="7991"/>
    <cellStyle name="20% - Accent3 3 9 2 5" xfId="7992"/>
    <cellStyle name="20% - Accent3 3 9 2 5 2" xfId="7993"/>
    <cellStyle name="20% - Accent3 3 9 3" xfId="7994"/>
    <cellStyle name="20% - Accent3 3 9 3 2" xfId="7995"/>
    <cellStyle name="20% - Accent3 3 9 3 2 2" xfId="7996"/>
    <cellStyle name="20% - Accent3 3 9 3 2 2 2" xfId="7997"/>
    <cellStyle name="20% - Accent3 3 9 3 2 2 2 2" xfId="7998"/>
    <cellStyle name="20% - Accent3 3 9 3 2 3" xfId="7999"/>
    <cellStyle name="20% - Accent3 3 9 3 2 3 2" xfId="8000"/>
    <cellStyle name="20% - Accent3 3 9 3 3" xfId="8001"/>
    <cellStyle name="20% - Accent3 3 9 3 3 2" xfId="8002"/>
    <cellStyle name="20% - Accent3 3 9 3 3 2 2" xfId="8003"/>
    <cellStyle name="20% - Accent3 3 9 3 4" xfId="8004"/>
    <cellStyle name="20% - Accent3 3 9 3 4 2" xfId="8005"/>
    <cellStyle name="20% - Accent3 3 9 4" xfId="8006"/>
    <cellStyle name="20% - Accent3 3 9 4 2" xfId="8007"/>
    <cellStyle name="20% - Accent3 3 9 4 2 2" xfId="8008"/>
    <cellStyle name="20% - Accent3 3 9 4 2 2 2" xfId="8009"/>
    <cellStyle name="20% - Accent3 3 9 4 3" xfId="8010"/>
    <cellStyle name="20% - Accent3 3 9 4 3 2" xfId="8011"/>
    <cellStyle name="20% - Accent3 3 9 5" xfId="8012"/>
    <cellStyle name="20% - Accent3 3 9 5 2" xfId="8013"/>
    <cellStyle name="20% - Accent3 3 9 5 2 2" xfId="8014"/>
    <cellStyle name="20% - Accent3 3 9 6" xfId="8015"/>
    <cellStyle name="20% - Accent3 3 9 6 2" xfId="8016"/>
    <cellStyle name="20% - Accent3 3 9 7" xfId="8017"/>
    <cellStyle name="20% - Accent3 3 9 8" xfId="8018"/>
    <cellStyle name="20% - Accent3 3 9 9" xfId="8019"/>
    <cellStyle name="20% - Accent3 30" xfId="8020"/>
    <cellStyle name="20% - Accent3 30 2" xfId="8021"/>
    <cellStyle name="20% - Accent3 30 2 2" xfId="8022"/>
    <cellStyle name="20% - Accent3 30 2 2 2" xfId="8023"/>
    <cellStyle name="20% - Accent3 30 3" xfId="8024"/>
    <cellStyle name="20% - Accent3 30 3 2" xfId="8025"/>
    <cellStyle name="20% - Accent3 30 4" xfId="8026"/>
    <cellStyle name="20% - Accent3 31" xfId="8027"/>
    <cellStyle name="20% - Accent3 31 2" xfId="8028"/>
    <cellStyle name="20% - Accent3 31 2 2" xfId="8029"/>
    <cellStyle name="20% - Accent3 31 2 2 2" xfId="8030"/>
    <cellStyle name="20% - Accent3 31 3" xfId="8031"/>
    <cellStyle name="20% - Accent3 31 3 2" xfId="8032"/>
    <cellStyle name="20% - Accent3 31 4" xfId="8033"/>
    <cellStyle name="20% - Accent3 32" xfId="8034"/>
    <cellStyle name="20% - Accent3 32 2" xfId="8035"/>
    <cellStyle name="20% - Accent3 32 2 2" xfId="8036"/>
    <cellStyle name="20% - Accent3 32 3" xfId="8037"/>
    <cellStyle name="20% - Accent3 33" xfId="8038"/>
    <cellStyle name="20% - Accent3 33 2" xfId="8039"/>
    <cellStyle name="20% - Accent3 33 2 2" xfId="8040"/>
    <cellStyle name="20% - Accent3 33 3" xfId="8041"/>
    <cellStyle name="20% - Accent3 34" xfId="8042"/>
    <cellStyle name="20% - Accent3 34 2" xfId="8043"/>
    <cellStyle name="20% - Accent3 34 2 2" xfId="8044"/>
    <cellStyle name="20% - Accent3 34 3" xfId="8045"/>
    <cellStyle name="20% - Accent3 35" xfId="8046"/>
    <cellStyle name="20% - Accent3 35 2" xfId="8047"/>
    <cellStyle name="20% - Accent3 35 3" xfId="8048"/>
    <cellStyle name="20% - Accent3 36" xfId="8049"/>
    <cellStyle name="20% - Accent3 36 2" xfId="8050"/>
    <cellStyle name="20% - Accent3 36 2 2" xfId="8051"/>
    <cellStyle name="20% - Accent3 36 2 3" xfId="8052"/>
    <cellStyle name="20% - Accent3 36 2 4" xfId="8053"/>
    <cellStyle name="20% - Accent3 36 3" xfId="8054"/>
    <cellStyle name="20% - Accent3 36 3 2" xfId="8055"/>
    <cellStyle name="20% - Accent3 36 3 3" xfId="8056"/>
    <cellStyle name="20% - Accent3 36 4" xfId="8057"/>
    <cellStyle name="20% - Accent3 36 4 2" xfId="8058"/>
    <cellStyle name="20% - Accent3 36 5" xfId="8059"/>
    <cellStyle name="20% - Accent3 36 6" xfId="8060"/>
    <cellStyle name="20% - Accent3 36 7" xfId="8061"/>
    <cellStyle name="20% - Accent3 37" xfId="8062"/>
    <cellStyle name="20% - Accent3 38" xfId="8063"/>
    <cellStyle name="20% - Accent3 39" xfId="8064"/>
    <cellStyle name="20% - Accent3 4" xfId="8065"/>
    <cellStyle name="20% - Accent3 4 10" xfId="8066"/>
    <cellStyle name="20% - Accent3 4 10 2" xfId="8067"/>
    <cellStyle name="20% - Accent3 4 10 2 2" xfId="8068"/>
    <cellStyle name="20% - Accent3 4 10 2 2 2" xfId="8069"/>
    <cellStyle name="20% - Accent3 4 10 2 2 2 2" xfId="8070"/>
    <cellStyle name="20% - Accent3 4 10 2 2 2 2 2" xfId="8071"/>
    <cellStyle name="20% - Accent3 4 10 2 2 2 2 2 2" xfId="8072"/>
    <cellStyle name="20% - Accent3 4 10 2 2 2 3" xfId="8073"/>
    <cellStyle name="20% - Accent3 4 10 2 2 2 3 2" xfId="8074"/>
    <cellStyle name="20% - Accent3 4 10 2 2 3" xfId="8075"/>
    <cellStyle name="20% - Accent3 4 10 2 2 3 2" xfId="8076"/>
    <cellStyle name="20% - Accent3 4 10 2 2 3 2 2" xfId="8077"/>
    <cellStyle name="20% - Accent3 4 10 2 2 4" xfId="8078"/>
    <cellStyle name="20% - Accent3 4 10 2 2 4 2" xfId="8079"/>
    <cellStyle name="20% - Accent3 4 10 2 3" xfId="8080"/>
    <cellStyle name="20% - Accent3 4 10 2 3 2" xfId="8081"/>
    <cellStyle name="20% - Accent3 4 10 2 3 2 2" xfId="8082"/>
    <cellStyle name="20% - Accent3 4 10 2 3 2 2 2" xfId="8083"/>
    <cellStyle name="20% - Accent3 4 10 2 3 3" xfId="8084"/>
    <cellStyle name="20% - Accent3 4 10 2 3 3 2" xfId="8085"/>
    <cellStyle name="20% - Accent3 4 10 2 4" xfId="8086"/>
    <cellStyle name="20% - Accent3 4 10 2 4 2" xfId="8087"/>
    <cellStyle name="20% - Accent3 4 10 2 4 2 2" xfId="8088"/>
    <cellStyle name="20% - Accent3 4 10 2 5" xfId="8089"/>
    <cellStyle name="20% - Accent3 4 10 2 5 2" xfId="8090"/>
    <cellStyle name="20% - Accent3 4 10 3" xfId="8091"/>
    <cellStyle name="20% - Accent3 4 10 3 2" xfId="8092"/>
    <cellStyle name="20% - Accent3 4 10 3 2 2" xfId="8093"/>
    <cellStyle name="20% - Accent3 4 10 3 2 2 2" xfId="8094"/>
    <cellStyle name="20% - Accent3 4 10 3 2 2 2 2" xfId="8095"/>
    <cellStyle name="20% - Accent3 4 10 3 2 3" xfId="8096"/>
    <cellStyle name="20% - Accent3 4 10 3 2 3 2" xfId="8097"/>
    <cellStyle name="20% - Accent3 4 10 3 3" xfId="8098"/>
    <cellStyle name="20% - Accent3 4 10 3 3 2" xfId="8099"/>
    <cellStyle name="20% - Accent3 4 10 3 3 2 2" xfId="8100"/>
    <cellStyle name="20% - Accent3 4 10 3 4" xfId="8101"/>
    <cellStyle name="20% - Accent3 4 10 3 4 2" xfId="8102"/>
    <cellStyle name="20% - Accent3 4 10 4" xfId="8103"/>
    <cellStyle name="20% - Accent3 4 10 4 2" xfId="8104"/>
    <cellStyle name="20% - Accent3 4 10 4 2 2" xfId="8105"/>
    <cellStyle name="20% - Accent3 4 10 4 2 2 2" xfId="8106"/>
    <cellStyle name="20% - Accent3 4 10 4 3" xfId="8107"/>
    <cellStyle name="20% - Accent3 4 10 4 3 2" xfId="8108"/>
    <cellStyle name="20% - Accent3 4 10 5" xfId="8109"/>
    <cellStyle name="20% - Accent3 4 10 5 2" xfId="8110"/>
    <cellStyle name="20% - Accent3 4 10 5 2 2" xfId="8111"/>
    <cellStyle name="20% - Accent3 4 10 6" xfId="8112"/>
    <cellStyle name="20% - Accent3 4 10 6 2" xfId="8113"/>
    <cellStyle name="20% - Accent3 4 10 7" xfId="8114"/>
    <cellStyle name="20% - Accent3 4 10 8" xfId="8115"/>
    <cellStyle name="20% - Accent3 4 10 9" xfId="8116"/>
    <cellStyle name="20% - Accent3 4 11" xfId="8117"/>
    <cellStyle name="20% - Accent3 4 11 2" xfId="8118"/>
    <cellStyle name="20% - Accent3 4 11 2 2" xfId="8119"/>
    <cellStyle name="20% - Accent3 4 11 2 2 2" xfId="8120"/>
    <cellStyle name="20% - Accent3 4 11 2 2 2 2" xfId="8121"/>
    <cellStyle name="20% - Accent3 4 11 2 2 2 2 2" xfId="8122"/>
    <cellStyle name="20% - Accent3 4 11 2 2 2 2 2 2" xfId="8123"/>
    <cellStyle name="20% - Accent3 4 11 2 2 2 3" xfId="8124"/>
    <cellStyle name="20% - Accent3 4 11 2 2 2 3 2" xfId="8125"/>
    <cellStyle name="20% - Accent3 4 11 2 2 3" xfId="8126"/>
    <cellStyle name="20% - Accent3 4 11 2 2 3 2" xfId="8127"/>
    <cellStyle name="20% - Accent3 4 11 2 2 3 2 2" xfId="8128"/>
    <cellStyle name="20% - Accent3 4 11 2 2 4" xfId="8129"/>
    <cellStyle name="20% - Accent3 4 11 2 2 4 2" xfId="8130"/>
    <cellStyle name="20% - Accent3 4 11 2 3" xfId="8131"/>
    <cellStyle name="20% - Accent3 4 11 2 3 2" xfId="8132"/>
    <cellStyle name="20% - Accent3 4 11 2 3 2 2" xfId="8133"/>
    <cellStyle name="20% - Accent3 4 11 2 3 2 2 2" xfId="8134"/>
    <cellStyle name="20% - Accent3 4 11 2 3 3" xfId="8135"/>
    <cellStyle name="20% - Accent3 4 11 2 3 3 2" xfId="8136"/>
    <cellStyle name="20% - Accent3 4 11 2 4" xfId="8137"/>
    <cellStyle name="20% - Accent3 4 11 2 4 2" xfId="8138"/>
    <cellStyle name="20% - Accent3 4 11 2 4 2 2" xfId="8139"/>
    <cellStyle name="20% - Accent3 4 11 2 5" xfId="8140"/>
    <cellStyle name="20% - Accent3 4 11 2 5 2" xfId="8141"/>
    <cellStyle name="20% - Accent3 4 11 3" xfId="8142"/>
    <cellStyle name="20% - Accent3 4 11 3 2" xfId="8143"/>
    <cellStyle name="20% - Accent3 4 11 3 2 2" xfId="8144"/>
    <cellStyle name="20% - Accent3 4 11 3 2 2 2" xfId="8145"/>
    <cellStyle name="20% - Accent3 4 11 3 2 2 2 2" xfId="8146"/>
    <cellStyle name="20% - Accent3 4 11 3 2 3" xfId="8147"/>
    <cellStyle name="20% - Accent3 4 11 3 2 3 2" xfId="8148"/>
    <cellStyle name="20% - Accent3 4 11 3 3" xfId="8149"/>
    <cellStyle name="20% - Accent3 4 11 3 3 2" xfId="8150"/>
    <cellStyle name="20% - Accent3 4 11 3 3 2 2" xfId="8151"/>
    <cellStyle name="20% - Accent3 4 11 3 4" xfId="8152"/>
    <cellStyle name="20% - Accent3 4 11 3 4 2" xfId="8153"/>
    <cellStyle name="20% - Accent3 4 11 4" xfId="8154"/>
    <cellStyle name="20% - Accent3 4 11 4 2" xfId="8155"/>
    <cellStyle name="20% - Accent3 4 11 4 2 2" xfId="8156"/>
    <cellStyle name="20% - Accent3 4 11 4 2 2 2" xfId="8157"/>
    <cellStyle name="20% - Accent3 4 11 4 3" xfId="8158"/>
    <cellStyle name="20% - Accent3 4 11 4 3 2" xfId="8159"/>
    <cellStyle name="20% - Accent3 4 11 5" xfId="8160"/>
    <cellStyle name="20% - Accent3 4 11 5 2" xfId="8161"/>
    <cellStyle name="20% - Accent3 4 11 5 2 2" xfId="8162"/>
    <cellStyle name="20% - Accent3 4 11 6" xfId="8163"/>
    <cellStyle name="20% - Accent3 4 11 6 2" xfId="8164"/>
    <cellStyle name="20% - Accent3 4 11 7" xfId="8165"/>
    <cellStyle name="20% - Accent3 4 12" xfId="8166"/>
    <cellStyle name="20% - Accent3 4 12 2" xfId="8167"/>
    <cellStyle name="20% - Accent3 4 12 2 2" xfId="8168"/>
    <cellStyle name="20% - Accent3 4 12 2 2 2" xfId="8169"/>
    <cellStyle name="20% - Accent3 4 12 2 2 2 2" xfId="8170"/>
    <cellStyle name="20% - Accent3 4 12 2 2 2 2 2" xfId="8171"/>
    <cellStyle name="20% - Accent3 4 12 2 2 2 2 2 2" xfId="8172"/>
    <cellStyle name="20% - Accent3 4 12 2 2 2 3" xfId="8173"/>
    <cellStyle name="20% - Accent3 4 12 2 2 2 3 2" xfId="8174"/>
    <cellStyle name="20% - Accent3 4 12 2 2 3" xfId="8175"/>
    <cellStyle name="20% - Accent3 4 12 2 2 3 2" xfId="8176"/>
    <cellStyle name="20% - Accent3 4 12 2 2 3 2 2" xfId="8177"/>
    <cellStyle name="20% - Accent3 4 12 2 2 4" xfId="8178"/>
    <cellStyle name="20% - Accent3 4 12 2 2 4 2" xfId="8179"/>
    <cellStyle name="20% - Accent3 4 12 2 3" xfId="8180"/>
    <cellStyle name="20% - Accent3 4 12 2 3 2" xfId="8181"/>
    <cellStyle name="20% - Accent3 4 12 2 3 2 2" xfId="8182"/>
    <cellStyle name="20% - Accent3 4 12 2 3 2 2 2" xfId="8183"/>
    <cellStyle name="20% - Accent3 4 12 2 3 3" xfId="8184"/>
    <cellStyle name="20% - Accent3 4 12 2 3 3 2" xfId="8185"/>
    <cellStyle name="20% - Accent3 4 12 2 4" xfId="8186"/>
    <cellStyle name="20% - Accent3 4 12 2 4 2" xfId="8187"/>
    <cellStyle name="20% - Accent3 4 12 2 4 2 2" xfId="8188"/>
    <cellStyle name="20% - Accent3 4 12 2 5" xfId="8189"/>
    <cellStyle name="20% - Accent3 4 12 2 5 2" xfId="8190"/>
    <cellStyle name="20% - Accent3 4 12 3" xfId="8191"/>
    <cellStyle name="20% - Accent3 4 12 3 2" xfId="8192"/>
    <cellStyle name="20% - Accent3 4 12 3 2 2" xfId="8193"/>
    <cellStyle name="20% - Accent3 4 12 3 2 2 2" xfId="8194"/>
    <cellStyle name="20% - Accent3 4 12 3 2 2 2 2" xfId="8195"/>
    <cellStyle name="20% - Accent3 4 12 3 2 3" xfId="8196"/>
    <cellStyle name="20% - Accent3 4 12 3 2 3 2" xfId="8197"/>
    <cellStyle name="20% - Accent3 4 12 3 3" xfId="8198"/>
    <cellStyle name="20% - Accent3 4 12 3 3 2" xfId="8199"/>
    <cellStyle name="20% - Accent3 4 12 3 3 2 2" xfId="8200"/>
    <cellStyle name="20% - Accent3 4 12 3 4" xfId="8201"/>
    <cellStyle name="20% - Accent3 4 12 3 4 2" xfId="8202"/>
    <cellStyle name="20% - Accent3 4 12 4" xfId="8203"/>
    <cellStyle name="20% - Accent3 4 12 4 2" xfId="8204"/>
    <cellStyle name="20% - Accent3 4 12 4 2 2" xfId="8205"/>
    <cellStyle name="20% - Accent3 4 12 4 2 2 2" xfId="8206"/>
    <cellStyle name="20% - Accent3 4 12 4 3" xfId="8207"/>
    <cellStyle name="20% - Accent3 4 12 4 3 2" xfId="8208"/>
    <cellStyle name="20% - Accent3 4 12 5" xfId="8209"/>
    <cellStyle name="20% - Accent3 4 12 5 2" xfId="8210"/>
    <cellStyle name="20% - Accent3 4 12 5 2 2" xfId="8211"/>
    <cellStyle name="20% - Accent3 4 12 6" xfId="8212"/>
    <cellStyle name="20% - Accent3 4 12 6 2" xfId="8213"/>
    <cellStyle name="20% - Accent3 4 13" xfId="8214"/>
    <cellStyle name="20% - Accent3 4 13 2" xfId="8215"/>
    <cellStyle name="20% - Accent3 4 13 2 2" xfId="8216"/>
    <cellStyle name="20% - Accent3 4 13 2 2 2" xfId="8217"/>
    <cellStyle name="20% - Accent3 4 13 2 2 2 2" xfId="8218"/>
    <cellStyle name="20% - Accent3 4 13 2 2 2 2 2" xfId="8219"/>
    <cellStyle name="20% - Accent3 4 13 2 2 2 2 2 2" xfId="8220"/>
    <cellStyle name="20% - Accent3 4 13 2 2 2 3" xfId="8221"/>
    <cellStyle name="20% - Accent3 4 13 2 2 2 3 2" xfId="8222"/>
    <cellStyle name="20% - Accent3 4 13 2 2 3" xfId="8223"/>
    <cellStyle name="20% - Accent3 4 13 2 2 3 2" xfId="8224"/>
    <cellStyle name="20% - Accent3 4 13 2 2 3 2 2" xfId="8225"/>
    <cellStyle name="20% - Accent3 4 13 2 2 4" xfId="8226"/>
    <cellStyle name="20% - Accent3 4 13 2 2 4 2" xfId="8227"/>
    <cellStyle name="20% - Accent3 4 13 2 3" xfId="8228"/>
    <cellStyle name="20% - Accent3 4 13 2 3 2" xfId="8229"/>
    <cellStyle name="20% - Accent3 4 13 2 3 2 2" xfId="8230"/>
    <cellStyle name="20% - Accent3 4 13 2 3 2 2 2" xfId="8231"/>
    <cellStyle name="20% - Accent3 4 13 2 3 3" xfId="8232"/>
    <cellStyle name="20% - Accent3 4 13 2 3 3 2" xfId="8233"/>
    <cellStyle name="20% - Accent3 4 13 2 4" xfId="8234"/>
    <cellStyle name="20% - Accent3 4 13 2 4 2" xfId="8235"/>
    <cellStyle name="20% - Accent3 4 13 2 4 2 2" xfId="8236"/>
    <cellStyle name="20% - Accent3 4 13 2 5" xfId="8237"/>
    <cellStyle name="20% - Accent3 4 13 2 5 2" xfId="8238"/>
    <cellStyle name="20% - Accent3 4 13 3" xfId="8239"/>
    <cellStyle name="20% - Accent3 4 13 3 2" xfId="8240"/>
    <cellStyle name="20% - Accent3 4 13 3 2 2" xfId="8241"/>
    <cellStyle name="20% - Accent3 4 13 3 2 2 2" xfId="8242"/>
    <cellStyle name="20% - Accent3 4 13 3 2 2 2 2" xfId="8243"/>
    <cellStyle name="20% - Accent3 4 13 3 2 3" xfId="8244"/>
    <cellStyle name="20% - Accent3 4 13 3 2 3 2" xfId="8245"/>
    <cellStyle name="20% - Accent3 4 13 3 3" xfId="8246"/>
    <cellStyle name="20% - Accent3 4 13 3 3 2" xfId="8247"/>
    <cellStyle name="20% - Accent3 4 13 3 3 2 2" xfId="8248"/>
    <cellStyle name="20% - Accent3 4 13 3 4" xfId="8249"/>
    <cellStyle name="20% - Accent3 4 13 3 4 2" xfId="8250"/>
    <cellStyle name="20% - Accent3 4 13 4" xfId="8251"/>
    <cellStyle name="20% - Accent3 4 13 4 2" xfId="8252"/>
    <cellStyle name="20% - Accent3 4 13 4 2 2" xfId="8253"/>
    <cellStyle name="20% - Accent3 4 13 4 2 2 2" xfId="8254"/>
    <cellStyle name="20% - Accent3 4 13 4 3" xfId="8255"/>
    <cellStyle name="20% - Accent3 4 13 4 3 2" xfId="8256"/>
    <cellStyle name="20% - Accent3 4 13 5" xfId="8257"/>
    <cellStyle name="20% - Accent3 4 13 5 2" xfId="8258"/>
    <cellStyle name="20% - Accent3 4 13 5 2 2" xfId="8259"/>
    <cellStyle name="20% - Accent3 4 13 6" xfId="8260"/>
    <cellStyle name="20% - Accent3 4 13 6 2" xfId="8261"/>
    <cellStyle name="20% - Accent3 4 14" xfId="8262"/>
    <cellStyle name="20% - Accent3 4 15" xfId="8263"/>
    <cellStyle name="20% - Accent3 4 16" xfId="8264"/>
    <cellStyle name="20% - Accent3 4 17" xfId="8265"/>
    <cellStyle name="20% - Accent3 4 18" xfId="8266"/>
    <cellStyle name="20% - Accent3 4 2" xfId="8267"/>
    <cellStyle name="20% - Accent3 4 2 10" xfId="8268"/>
    <cellStyle name="20% - Accent3 4 2 11" xfId="8269"/>
    <cellStyle name="20% - Accent3 4 2 2" xfId="8270"/>
    <cellStyle name="20% - Accent3 4 2 2 2" xfId="8271"/>
    <cellStyle name="20% - Accent3 4 2 2 2 2" xfId="8272"/>
    <cellStyle name="20% - Accent3 4 2 2 2 2 2" xfId="8273"/>
    <cellStyle name="20% - Accent3 4 2 2 2 2 2 2" xfId="8274"/>
    <cellStyle name="20% - Accent3 4 2 2 2 2 2 2 2" xfId="8275"/>
    <cellStyle name="20% - Accent3 4 2 2 2 2 3" xfId="8276"/>
    <cellStyle name="20% - Accent3 4 2 2 2 2 3 2" xfId="8277"/>
    <cellStyle name="20% - Accent3 4 2 2 2 3" xfId="8278"/>
    <cellStyle name="20% - Accent3 4 2 2 2 3 2" xfId="8279"/>
    <cellStyle name="20% - Accent3 4 2 2 2 3 2 2" xfId="8280"/>
    <cellStyle name="20% - Accent3 4 2 2 2 4" xfId="8281"/>
    <cellStyle name="20% - Accent3 4 2 2 2 4 2" xfId="8282"/>
    <cellStyle name="20% - Accent3 4 2 2 3" xfId="8283"/>
    <cellStyle name="20% - Accent3 4 2 2 3 2" xfId="8284"/>
    <cellStyle name="20% - Accent3 4 2 2 3 2 2" xfId="8285"/>
    <cellStyle name="20% - Accent3 4 2 2 3 2 2 2" xfId="8286"/>
    <cellStyle name="20% - Accent3 4 2 2 3 3" xfId="8287"/>
    <cellStyle name="20% - Accent3 4 2 2 3 3 2" xfId="8288"/>
    <cellStyle name="20% - Accent3 4 2 2 4" xfId="8289"/>
    <cellStyle name="20% - Accent3 4 2 2 4 2" xfId="8290"/>
    <cellStyle name="20% - Accent3 4 2 2 4 2 2" xfId="8291"/>
    <cellStyle name="20% - Accent3 4 2 2 5" xfId="8292"/>
    <cellStyle name="20% - Accent3 4 2 2 5 2" xfId="8293"/>
    <cellStyle name="20% - Accent3 4 2 2 6" xfId="8294"/>
    <cellStyle name="20% - Accent3 4 2 2 7" xfId="8295"/>
    <cellStyle name="20% - Accent3 4 2 2 8" xfId="8296"/>
    <cellStyle name="20% - Accent3 4 2 3" xfId="8297"/>
    <cellStyle name="20% - Accent3 4 2 3 2" xfId="8298"/>
    <cellStyle name="20% - Accent3 4 2 3 2 2" xfId="8299"/>
    <cellStyle name="20% - Accent3 4 2 3 2 2 2" xfId="8300"/>
    <cellStyle name="20% - Accent3 4 2 3 2 2 2 2" xfId="8301"/>
    <cellStyle name="20% - Accent3 4 2 3 2 3" xfId="8302"/>
    <cellStyle name="20% - Accent3 4 2 3 2 3 2" xfId="8303"/>
    <cellStyle name="20% - Accent3 4 2 3 3" xfId="8304"/>
    <cellStyle name="20% - Accent3 4 2 3 3 2" xfId="8305"/>
    <cellStyle name="20% - Accent3 4 2 3 3 2 2" xfId="8306"/>
    <cellStyle name="20% - Accent3 4 2 3 4" xfId="8307"/>
    <cellStyle name="20% - Accent3 4 2 3 4 2" xfId="8308"/>
    <cellStyle name="20% - Accent3 4 2 3 5" xfId="8309"/>
    <cellStyle name="20% - Accent3 4 2 3 6" xfId="8310"/>
    <cellStyle name="20% - Accent3 4 2 3 7" xfId="8311"/>
    <cellStyle name="20% - Accent3 4 2 4" xfId="8312"/>
    <cellStyle name="20% - Accent3 4 2 4 2" xfId="8313"/>
    <cellStyle name="20% - Accent3 4 2 4 2 2" xfId="8314"/>
    <cellStyle name="20% - Accent3 4 2 4 2 2 2" xfId="8315"/>
    <cellStyle name="20% - Accent3 4 2 4 3" xfId="8316"/>
    <cellStyle name="20% - Accent3 4 2 4 3 2" xfId="8317"/>
    <cellStyle name="20% - Accent3 4 2 4 4" xfId="8318"/>
    <cellStyle name="20% - Accent3 4 2 5" xfId="8319"/>
    <cellStyle name="20% - Accent3 4 2 5 2" xfId="8320"/>
    <cellStyle name="20% - Accent3 4 2 5 2 2" xfId="8321"/>
    <cellStyle name="20% - Accent3 4 2 6" xfId="8322"/>
    <cellStyle name="20% - Accent3 4 2 6 2" xfId="8323"/>
    <cellStyle name="20% - Accent3 4 2 7" xfId="8324"/>
    <cellStyle name="20% - Accent3 4 2 8" xfId="8325"/>
    <cellStyle name="20% - Accent3 4 2 9" xfId="8326"/>
    <cellStyle name="20% - Accent3 4 3" xfId="8327"/>
    <cellStyle name="20% - Accent3 4 3 10" xfId="8328"/>
    <cellStyle name="20% - Accent3 4 3 11" xfId="8329"/>
    <cellStyle name="20% - Accent3 4 3 2" xfId="8330"/>
    <cellStyle name="20% - Accent3 4 3 2 2" xfId="8331"/>
    <cellStyle name="20% - Accent3 4 3 2 2 2" xfId="8332"/>
    <cellStyle name="20% - Accent3 4 3 2 2 2 2" xfId="8333"/>
    <cellStyle name="20% - Accent3 4 3 2 2 2 2 2" xfId="8334"/>
    <cellStyle name="20% - Accent3 4 3 2 2 2 2 2 2" xfId="8335"/>
    <cellStyle name="20% - Accent3 4 3 2 2 2 3" xfId="8336"/>
    <cellStyle name="20% - Accent3 4 3 2 2 2 3 2" xfId="8337"/>
    <cellStyle name="20% - Accent3 4 3 2 2 3" xfId="8338"/>
    <cellStyle name="20% - Accent3 4 3 2 2 3 2" xfId="8339"/>
    <cellStyle name="20% - Accent3 4 3 2 2 3 2 2" xfId="8340"/>
    <cellStyle name="20% - Accent3 4 3 2 2 4" xfId="8341"/>
    <cellStyle name="20% - Accent3 4 3 2 2 4 2" xfId="8342"/>
    <cellStyle name="20% - Accent3 4 3 2 3" xfId="8343"/>
    <cellStyle name="20% - Accent3 4 3 2 3 2" xfId="8344"/>
    <cellStyle name="20% - Accent3 4 3 2 3 2 2" xfId="8345"/>
    <cellStyle name="20% - Accent3 4 3 2 3 2 2 2" xfId="8346"/>
    <cellStyle name="20% - Accent3 4 3 2 3 3" xfId="8347"/>
    <cellStyle name="20% - Accent3 4 3 2 3 3 2" xfId="8348"/>
    <cellStyle name="20% - Accent3 4 3 2 4" xfId="8349"/>
    <cellStyle name="20% - Accent3 4 3 2 4 2" xfId="8350"/>
    <cellStyle name="20% - Accent3 4 3 2 4 2 2" xfId="8351"/>
    <cellStyle name="20% - Accent3 4 3 2 5" xfId="8352"/>
    <cellStyle name="20% - Accent3 4 3 2 5 2" xfId="8353"/>
    <cellStyle name="20% - Accent3 4 3 2 6" xfId="8354"/>
    <cellStyle name="20% - Accent3 4 3 2 7" xfId="8355"/>
    <cellStyle name="20% - Accent3 4 3 2 8" xfId="8356"/>
    <cellStyle name="20% - Accent3 4 3 3" xfId="8357"/>
    <cellStyle name="20% - Accent3 4 3 3 2" xfId="8358"/>
    <cellStyle name="20% - Accent3 4 3 3 2 2" xfId="8359"/>
    <cellStyle name="20% - Accent3 4 3 3 2 2 2" xfId="8360"/>
    <cellStyle name="20% - Accent3 4 3 3 2 2 2 2" xfId="8361"/>
    <cellStyle name="20% - Accent3 4 3 3 2 3" xfId="8362"/>
    <cellStyle name="20% - Accent3 4 3 3 2 3 2" xfId="8363"/>
    <cellStyle name="20% - Accent3 4 3 3 3" xfId="8364"/>
    <cellStyle name="20% - Accent3 4 3 3 3 2" xfId="8365"/>
    <cellStyle name="20% - Accent3 4 3 3 3 2 2" xfId="8366"/>
    <cellStyle name="20% - Accent3 4 3 3 4" xfId="8367"/>
    <cellStyle name="20% - Accent3 4 3 3 4 2" xfId="8368"/>
    <cellStyle name="20% - Accent3 4 3 3 5" xfId="8369"/>
    <cellStyle name="20% - Accent3 4 3 3 6" xfId="8370"/>
    <cellStyle name="20% - Accent3 4 3 3 7" xfId="8371"/>
    <cellStyle name="20% - Accent3 4 3 4" xfId="8372"/>
    <cellStyle name="20% - Accent3 4 3 4 2" xfId="8373"/>
    <cellStyle name="20% - Accent3 4 3 4 2 2" xfId="8374"/>
    <cellStyle name="20% - Accent3 4 3 4 2 2 2" xfId="8375"/>
    <cellStyle name="20% - Accent3 4 3 4 3" xfId="8376"/>
    <cellStyle name="20% - Accent3 4 3 4 3 2" xfId="8377"/>
    <cellStyle name="20% - Accent3 4 3 4 4" xfId="8378"/>
    <cellStyle name="20% - Accent3 4 3 5" xfId="8379"/>
    <cellStyle name="20% - Accent3 4 3 5 2" xfId="8380"/>
    <cellStyle name="20% - Accent3 4 3 5 2 2" xfId="8381"/>
    <cellStyle name="20% - Accent3 4 3 6" xfId="8382"/>
    <cellStyle name="20% - Accent3 4 3 6 2" xfId="8383"/>
    <cellStyle name="20% - Accent3 4 3 7" xfId="8384"/>
    <cellStyle name="20% - Accent3 4 3 8" xfId="8385"/>
    <cellStyle name="20% - Accent3 4 3 9" xfId="8386"/>
    <cellStyle name="20% - Accent3 4 4" xfId="8387"/>
    <cellStyle name="20% - Accent3 4 4 2" xfId="8388"/>
    <cellStyle name="20% - Accent3 4 4 2 2" xfId="8389"/>
    <cellStyle name="20% - Accent3 4 4 2 2 2" xfId="8390"/>
    <cellStyle name="20% - Accent3 4 4 2 2 2 2" xfId="8391"/>
    <cellStyle name="20% - Accent3 4 4 2 2 2 2 2" xfId="8392"/>
    <cellStyle name="20% - Accent3 4 4 2 2 2 2 2 2" xfId="8393"/>
    <cellStyle name="20% - Accent3 4 4 2 2 2 3" xfId="8394"/>
    <cellStyle name="20% - Accent3 4 4 2 2 2 3 2" xfId="8395"/>
    <cellStyle name="20% - Accent3 4 4 2 2 3" xfId="8396"/>
    <cellStyle name="20% - Accent3 4 4 2 2 3 2" xfId="8397"/>
    <cellStyle name="20% - Accent3 4 4 2 2 3 2 2" xfId="8398"/>
    <cellStyle name="20% - Accent3 4 4 2 2 4" xfId="8399"/>
    <cellStyle name="20% - Accent3 4 4 2 2 4 2" xfId="8400"/>
    <cellStyle name="20% - Accent3 4 4 2 3" xfId="8401"/>
    <cellStyle name="20% - Accent3 4 4 2 3 2" xfId="8402"/>
    <cellStyle name="20% - Accent3 4 4 2 3 2 2" xfId="8403"/>
    <cellStyle name="20% - Accent3 4 4 2 3 2 2 2" xfId="8404"/>
    <cellStyle name="20% - Accent3 4 4 2 3 3" xfId="8405"/>
    <cellStyle name="20% - Accent3 4 4 2 3 3 2" xfId="8406"/>
    <cellStyle name="20% - Accent3 4 4 2 4" xfId="8407"/>
    <cellStyle name="20% - Accent3 4 4 2 4 2" xfId="8408"/>
    <cellStyle name="20% - Accent3 4 4 2 4 2 2" xfId="8409"/>
    <cellStyle name="20% - Accent3 4 4 2 5" xfId="8410"/>
    <cellStyle name="20% - Accent3 4 4 2 5 2" xfId="8411"/>
    <cellStyle name="20% - Accent3 4 4 3" xfId="8412"/>
    <cellStyle name="20% - Accent3 4 4 3 2" xfId="8413"/>
    <cellStyle name="20% - Accent3 4 4 3 2 2" xfId="8414"/>
    <cellStyle name="20% - Accent3 4 4 3 2 2 2" xfId="8415"/>
    <cellStyle name="20% - Accent3 4 4 3 2 2 2 2" xfId="8416"/>
    <cellStyle name="20% - Accent3 4 4 3 2 3" xfId="8417"/>
    <cellStyle name="20% - Accent3 4 4 3 2 3 2" xfId="8418"/>
    <cellStyle name="20% - Accent3 4 4 3 3" xfId="8419"/>
    <cellStyle name="20% - Accent3 4 4 3 3 2" xfId="8420"/>
    <cellStyle name="20% - Accent3 4 4 3 3 2 2" xfId="8421"/>
    <cellStyle name="20% - Accent3 4 4 3 4" xfId="8422"/>
    <cellStyle name="20% - Accent3 4 4 3 4 2" xfId="8423"/>
    <cellStyle name="20% - Accent3 4 4 4" xfId="8424"/>
    <cellStyle name="20% - Accent3 4 4 4 2" xfId="8425"/>
    <cellStyle name="20% - Accent3 4 4 4 2 2" xfId="8426"/>
    <cellStyle name="20% - Accent3 4 4 4 2 2 2" xfId="8427"/>
    <cellStyle name="20% - Accent3 4 4 4 3" xfId="8428"/>
    <cellStyle name="20% - Accent3 4 4 4 3 2" xfId="8429"/>
    <cellStyle name="20% - Accent3 4 4 5" xfId="8430"/>
    <cellStyle name="20% - Accent3 4 4 5 2" xfId="8431"/>
    <cellStyle name="20% - Accent3 4 4 5 2 2" xfId="8432"/>
    <cellStyle name="20% - Accent3 4 4 6" xfId="8433"/>
    <cellStyle name="20% - Accent3 4 4 6 2" xfId="8434"/>
    <cellStyle name="20% - Accent3 4 4 7" xfId="8435"/>
    <cellStyle name="20% - Accent3 4 5" xfId="8436"/>
    <cellStyle name="20% - Accent3 4 5 2" xfId="8437"/>
    <cellStyle name="20% - Accent3 4 5 2 2" xfId="8438"/>
    <cellStyle name="20% - Accent3 4 5 2 2 2" xfId="8439"/>
    <cellStyle name="20% - Accent3 4 5 2 2 2 2" xfId="8440"/>
    <cellStyle name="20% - Accent3 4 5 2 2 2 2 2" xfId="8441"/>
    <cellStyle name="20% - Accent3 4 5 2 2 2 2 2 2" xfId="8442"/>
    <cellStyle name="20% - Accent3 4 5 2 2 2 3" xfId="8443"/>
    <cellStyle name="20% - Accent3 4 5 2 2 2 3 2" xfId="8444"/>
    <cellStyle name="20% - Accent3 4 5 2 2 3" xfId="8445"/>
    <cellStyle name="20% - Accent3 4 5 2 2 3 2" xfId="8446"/>
    <cellStyle name="20% - Accent3 4 5 2 2 3 2 2" xfId="8447"/>
    <cellStyle name="20% - Accent3 4 5 2 2 4" xfId="8448"/>
    <cellStyle name="20% - Accent3 4 5 2 2 4 2" xfId="8449"/>
    <cellStyle name="20% - Accent3 4 5 2 3" xfId="8450"/>
    <cellStyle name="20% - Accent3 4 5 2 3 2" xfId="8451"/>
    <cellStyle name="20% - Accent3 4 5 2 3 2 2" xfId="8452"/>
    <cellStyle name="20% - Accent3 4 5 2 3 2 2 2" xfId="8453"/>
    <cellStyle name="20% - Accent3 4 5 2 3 3" xfId="8454"/>
    <cellStyle name="20% - Accent3 4 5 2 3 3 2" xfId="8455"/>
    <cellStyle name="20% - Accent3 4 5 2 4" xfId="8456"/>
    <cellStyle name="20% - Accent3 4 5 2 4 2" xfId="8457"/>
    <cellStyle name="20% - Accent3 4 5 2 4 2 2" xfId="8458"/>
    <cellStyle name="20% - Accent3 4 5 2 5" xfId="8459"/>
    <cellStyle name="20% - Accent3 4 5 2 5 2" xfId="8460"/>
    <cellStyle name="20% - Accent3 4 5 3" xfId="8461"/>
    <cellStyle name="20% - Accent3 4 5 3 2" xfId="8462"/>
    <cellStyle name="20% - Accent3 4 5 3 2 2" xfId="8463"/>
    <cellStyle name="20% - Accent3 4 5 3 2 2 2" xfId="8464"/>
    <cellStyle name="20% - Accent3 4 5 3 2 2 2 2" xfId="8465"/>
    <cellStyle name="20% - Accent3 4 5 3 2 3" xfId="8466"/>
    <cellStyle name="20% - Accent3 4 5 3 2 3 2" xfId="8467"/>
    <cellStyle name="20% - Accent3 4 5 3 3" xfId="8468"/>
    <cellStyle name="20% - Accent3 4 5 3 3 2" xfId="8469"/>
    <cellStyle name="20% - Accent3 4 5 3 3 2 2" xfId="8470"/>
    <cellStyle name="20% - Accent3 4 5 3 4" xfId="8471"/>
    <cellStyle name="20% - Accent3 4 5 3 4 2" xfId="8472"/>
    <cellStyle name="20% - Accent3 4 5 4" xfId="8473"/>
    <cellStyle name="20% - Accent3 4 5 4 2" xfId="8474"/>
    <cellStyle name="20% - Accent3 4 5 4 2 2" xfId="8475"/>
    <cellStyle name="20% - Accent3 4 5 4 2 2 2" xfId="8476"/>
    <cellStyle name="20% - Accent3 4 5 4 3" xfId="8477"/>
    <cellStyle name="20% - Accent3 4 5 4 3 2" xfId="8478"/>
    <cellStyle name="20% - Accent3 4 5 5" xfId="8479"/>
    <cellStyle name="20% - Accent3 4 5 5 2" xfId="8480"/>
    <cellStyle name="20% - Accent3 4 5 5 2 2" xfId="8481"/>
    <cellStyle name="20% - Accent3 4 5 6" xfId="8482"/>
    <cellStyle name="20% - Accent3 4 5 6 2" xfId="8483"/>
    <cellStyle name="20% - Accent3 4 5 7" xfId="8484"/>
    <cellStyle name="20% - Accent3 4 6" xfId="8485"/>
    <cellStyle name="20% - Accent3 4 6 2" xfId="8486"/>
    <cellStyle name="20% - Accent3 4 6 2 2" xfId="8487"/>
    <cellStyle name="20% - Accent3 4 6 2 2 2" xfId="8488"/>
    <cellStyle name="20% - Accent3 4 6 2 2 2 2" xfId="8489"/>
    <cellStyle name="20% - Accent3 4 6 2 2 2 2 2" xfId="8490"/>
    <cellStyle name="20% - Accent3 4 6 2 2 2 2 2 2" xfId="8491"/>
    <cellStyle name="20% - Accent3 4 6 2 2 2 3" xfId="8492"/>
    <cellStyle name="20% - Accent3 4 6 2 2 2 3 2" xfId="8493"/>
    <cellStyle name="20% - Accent3 4 6 2 2 3" xfId="8494"/>
    <cellStyle name="20% - Accent3 4 6 2 2 3 2" xfId="8495"/>
    <cellStyle name="20% - Accent3 4 6 2 2 3 2 2" xfId="8496"/>
    <cellStyle name="20% - Accent3 4 6 2 2 4" xfId="8497"/>
    <cellStyle name="20% - Accent3 4 6 2 2 4 2" xfId="8498"/>
    <cellStyle name="20% - Accent3 4 6 2 3" xfId="8499"/>
    <cellStyle name="20% - Accent3 4 6 2 3 2" xfId="8500"/>
    <cellStyle name="20% - Accent3 4 6 2 3 2 2" xfId="8501"/>
    <cellStyle name="20% - Accent3 4 6 2 3 2 2 2" xfId="8502"/>
    <cellStyle name="20% - Accent3 4 6 2 3 3" xfId="8503"/>
    <cellStyle name="20% - Accent3 4 6 2 3 3 2" xfId="8504"/>
    <cellStyle name="20% - Accent3 4 6 2 4" xfId="8505"/>
    <cellStyle name="20% - Accent3 4 6 2 4 2" xfId="8506"/>
    <cellStyle name="20% - Accent3 4 6 2 4 2 2" xfId="8507"/>
    <cellStyle name="20% - Accent3 4 6 2 5" xfId="8508"/>
    <cellStyle name="20% - Accent3 4 6 2 5 2" xfId="8509"/>
    <cellStyle name="20% - Accent3 4 6 3" xfId="8510"/>
    <cellStyle name="20% - Accent3 4 6 3 2" xfId="8511"/>
    <cellStyle name="20% - Accent3 4 6 3 2 2" xfId="8512"/>
    <cellStyle name="20% - Accent3 4 6 3 2 2 2" xfId="8513"/>
    <cellStyle name="20% - Accent3 4 6 3 2 2 2 2" xfId="8514"/>
    <cellStyle name="20% - Accent3 4 6 3 2 3" xfId="8515"/>
    <cellStyle name="20% - Accent3 4 6 3 2 3 2" xfId="8516"/>
    <cellStyle name="20% - Accent3 4 6 3 3" xfId="8517"/>
    <cellStyle name="20% - Accent3 4 6 3 3 2" xfId="8518"/>
    <cellStyle name="20% - Accent3 4 6 3 3 2 2" xfId="8519"/>
    <cellStyle name="20% - Accent3 4 6 3 4" xfId="8520"/>
    <cellStyle name="20% - Accent3 4 6 3 4 2" xfId="8521"/>
    <cellStyle name="20% - Accent3 4 6 4" xfId="8522"/>
    <cellStyle name="20% - Accent3 4 6 4 2" xfId="8523"/>
    <cellStyle name="20% - Accent3 4 6 4 2 2" xfId="8524"/>
    <cellStyle name="20% - Accent3 4 6 4 2 2 2" xfId="8525"/>
    <cellStyle name="20% - Accent3 4 6 4 3" xfId="8526"/>
    <cellStyle name="20% - Accent3 4 6 4 3 2" xfId="8527"/>
    <cellStyle name="20% - Accent3 4 6 5" xfId="8528"/>
    <cellStyle name="20% - Accent3 4 6 5 2" xfId="8529"/>
    <cellStyle name="20% - Accent3 4 6 5 2 2" xfId="8530"/>
    <cellStyle name="20% - Accent3 4 6 6" xfId="8531"/>
    <cellStyle name="20% - Accent3 4 6 6 2" xfId="8532"/>
    <cellStyle name="20% - Accent3 4 6 7" xfId="8533"/>
    <cellStyle name="20% - Accent3 4 7" xfId="8534"/>
    <cellStyle name="20% - Accent3 4 7 2" xfId="8535"/>
    <cellStyle name="20% - Accent3 4 7 2 2" xfId="8536"/>
    <cellStyle name="20% - Accent3 4 7 2 2 2" xfId="8537"/>
    <cellStyle name="20% - Accent3 4 7 2 2 2 2" xfId="8538"/>
    <cellStyle name="20% - Accent3 4 7 2 2 2 2 2" xfId="8539"/>
    <cellStyle name="20% - Accent3 4 7 2 2 2 2 2 2" xfId="8540"/>
    <cellStyle name="20% - Accent3 4 7 2 2 2 3" xfId="8541"/>
    <cellStyle name="20% - Accent3 4 7 2 2 2 3 2" xfId="8542"/>
    <cellStyle name="20% - Accent3 4 7 2 2 3" xfId="8543"/>
    <cellStyle name="20% - Accent3 4 7 2 2 3 2" xfId="8544"/>
    <cellStyle name="20% - Accent3 4 7 2 2 3 2 2" xfId="8545"/>
    <cellStyle name="20% - Accent3 4 7 2 2 4" xfId="8546"/>
    <cellStyle name="20% - Accent3 4 7 2 2 4 2" xfId="8547"/>
    <cellStyle name="20% - Accent3 4 7 2 3" xfId="8548"/>
    <cellStyle name="20% - Accent3 4 7 2 3 2" xfId="8549"/>
    <cellStyle name="20% - Accent3 4 7 2 3 2 2" xfId="8550"/>
    <cellStyle name="20% - Accent3 4 7 2 3 2 2 2" xfId="8551"/>
    <cellStyle name="20% - Accent3 4 7 2 3 3" xfId="8552"/>
    <cellStyle name="20% - Accent3 4 7 2 3 3 2" xfId="8553"/>
    <cellStyle name="20% - Accent3 4 7 2 4" xfId="8554"/>
    <cellStyle name="20% - Accent3 4 7 2 4 2" xfId="8555"/>
    <cellStyle name="20% - Accent3 4 7 2 4 2 2" xfId="8556"/>
    <cellStyle name="20% - Accent3 4 7 2 5" xfId="8557"/>
    <cellStyle name="20% - Accent3 4 7 2 5 2" xfId="8558"/>
    <cellStyle name="20% - Accent3 4 7 3" xfId="8559"/>
    <cellStyle name="20% - Accent3 4 7 3 2" xfId="8560"/>
    <cellStyle name="20% - Accent3 4 7 3 2 2" xfId="8561"/>
    <cellStyle name="20% - Accent3 4 7 3 2 2 2" xfId="8562"/>
    <cellStyle name="20% - Accent3 4 7 3 2 2 2 2" xfId="8563"/>
    <cellStyle name="20% - Accent3 4 7 3 2 3" xfId="8564"/>
    <cellStyle name="20% - Accent3 4 7 3 2 3 2" xfId="8565"/>
    <cellStyle name="20% - Accent3 4 7 3 3" xfId="8566"/>
    <cellStyle name="20% - Accent3 4 7 3 3 2" xfId="8567"/>
    <cellStyle name="20% - Accent3 4 7 3 3 2 2" xfId="8568"/>
    <cellStyle name="20% - Accent3 4 7 3 4" xfId="8569"/>
    <cellStyle name="20% - Accent3 4 7 3 4 2" xfId="8570"/>
    <cellStyle name="20% - Accent3 4 7 4" xfId="8571"/>
    <cellStyle name="20% - Accent3 4 7 4 2" xfId="8572"/>
    <cellStyle name="20% - Accent3 4 7 4 2 2" xfId="8573"/>
    <cellStyle name="20% - Accent3 4 7 4 2 2 2" xfId="8574"/>
    <cellStyle name="20% - Accent3 4 7 4 3" xfId="8575"/>
    <cellStyle name="20% - Accent3 4 7 4 3 2" xfId="8576"/>
    <cellStyle name="20% - Accent3 4 7 5" xfId="8577"/>
    <cellStyle name="20% - Accent3 4 7 5 2" xfId="8578"/>
    <cellStyle name="20% - Accent3 4 7 5 2 2" xfId="8579"/>
    <cellStyle name="20% - Accent3 4 7 6" xfId="8580"/>
    <cellStyle name="20% - Accent3 4 7 6 2" xfId="8581"/>
    <cellStyle name="20% - Accent3 4 7 7" xfId="8582"/>
    <cellStyle name="20% - Accent3 4 8" xfId="8583"/>
    <cellStyle name="20% - Accent3 4 8 2" xfId="8584"/>
    <cellStyle name="20% - Accent3 4 8 2 2" xfId="8585"/>
    <cellStyle name="20% - Accent3 4 8 2 2 2" xfId="8586"/>
    <cellStyle name="20% - Accent3 4 8 2 2 2 2" xfId="8587"/>
    <cellStyle name="20% - Accent3 4 8 2 2 2 2 2" xfId="8588"/>
    <cellStyle name="20% - Accent3 4 8 2 2 2 2 2 2" xfId="8589"/>
    <cellStyle name="20% - Accent3 4 8 2 2 2 3" xfId="8590"/>
    <cellStyle name="20% - Accent3 4 8 2 2 2 3 2" xfId="8591"/>
    <cellStyle name="20% - Accent3 4 8 2 2 3" xfId="8592"/>
    <cellStyle name="20% - Accent3 4 8 2 2 3 2" xfId="8593"/>
    <cellStyle name="20% - Accent3 4 8 2 2 3 2 2" xfId="8594"/>
    <cellStyle name="20% - Accent3 4 8 2 2 4" xfId="8595"/>
    <cellStyle name="20% - Accent3 4 8 2 2 4 2" xfId="8596"/>
    <cellStyle name="20% - Accent3 4 8 2 3" xfId="8597"/>
    <cellStyle name="20% - Accent3 4 8 2 3 2" xfId="8598"/>
    <cellStyle name="20% - Accent3 4 8 2 3 2 2" xfId="8599"/>
    <cellStyle name="20% - Accent3 4 8 2 3 2 2 2" xfId="8600"/>
    <cellStyle name="20% - Accent3 4 8 2 3 3" xfId="8601"/>
    <cellStyle name="20% - Accent3 4 8 2 3 3 2" xfId="8602"/>
    <cellStyle name="20% - Accent3 4 8 2 4" xfId="8603"/>
    <cellStyle name="20% - Accent3 4 8 2 4 2" xfId="8604"/>
    <cellStyle name="20% - Accent3 4 8 2 4 2 2" xfId="8605"/>
    <cellStyle name="20% - Accent3 4 8 2 5" xfId="8606"/>
    <cellStyle name="20% - Accent3 4 8 2 5 2" xfId="8607"/>
    <cellStyle name="20% - Accent3 4 8 3" xfId="8608"/>
    <cellStyle name="20% - Accent3 4 8 3 2" xfId="8609"/>
    <cellStyle name="20% - Accent3 4 8 3 2 2" xfId="8610"/>
    <cellStyle name="20% - Accent3 4 8 3 2 2 2" xfId="8611"/>
    <cellStyle name="20% - Accent3 4 8 3 2 2 2 2" xfId="8612"/>
    <cellStyle name="20% - Accent3 4 8 3 2 3" xfId="8613"/>
    <cellStyle name="20% - Accent3 4 8 3 2 3 2" xfId="8614"/>
    <cellStyle name="20% - Accent3 4 8 3 3" xfId="8615"/>
    <cellStyle name="20% - Accent3 4 8 3 3 2" xfId="8616"/>
    <cellStyle name="20% - Accent3 4 8 3 3 2 2" xfId="8617"/>
    <cellStyle name="20% - Accent3 4 8 3 4" xfId="8618"/>
    <cellStyle name="20% - Accent3 4 8 3 4 2" xfId="8619"/>
    <cellStyle name="20% - Accent3 4 8 4" xfId="8620"/>
    <cellStyle name="20% - Accent3 4 8 4 2" xfId="8621"/>
    <cellStyle name="20% - Accent3 4 8 4 2 2" xfId="8622"/>
    <cellStyle name="20% - Accent3 4 8 4 2 2 2" xfId="8623"/>
    <cellStyle name="20% - Accent3 4 8 4 3" xfId="8624"/>
    <cellStyle name="20% - Accent3 4 8 4 3 2" xfId="8625"/>
    <cellStyle name="20% - Accent3 4 8 5" xfId="8626"/>
    <cellStyle name="20% - Accent3 4 8 5 2" xfId="8627"/>
    <cellStyle name="20% - Accent3 4 8 5 2 2" xfId="8628"/>
    <cellStyle name="20% - Accent3 4 8 6" xfId="8629"/>
    <cellStyle name="20% - Accent3 4 8 6 2" xfId="8630"/>
    <cellStyle name="20% - Accent3 4 9" xfId="8631"/>
    <cellStyle name="20% - Accent3 4 9 2" xfId="8632"/>
    <cellStyle name="20% - Accent3 4 9 2 2" xfId="8633"/>
    <cellStyle name="20% - Accent3 4 9 2 2 2" xfId="8634"/>
    <cellStyle name="20% - Accent3 4 9 2 2 2 2" xfId="8635"/>
    <cellStyle name="20% - Accent3 4 9 2 2 2 2 2" xfId="8636"/>
    <cellStyle name="20% - Accent3 4 9 2 2 2 2 2 2" xfId="8637"/>
    <cellStyle name="20% - Accent3 4 9 2 2 2 3" xfId="8638"/>
    <cellStyle name="20% - Accent3 4 9 2 2 2 3 2" xfId="8639"/>
    <cellStyle name="20% - Accent3 4 9 2 2 3" xfId="8640"/>
    <cellStyle name="20% - Accent3 4 9 2 2 3 2" xfId="8641"/>
    <cellStyle name="20% - Accent3 4 9 2 2 3 2 2" xfId="8642"/>
    <cellStyle name="20% - Accent3 4 9 2 2 4" xfId="8643"/>
    <cellStyle name="20% - Accent3 4 9 2 2 4 2" xfId="8644"/>
    <cellStyle name="20% - Accent3 4 9 2 3" xfId="8645"/>
    <cellStyle name="20% - Accent3 4 9 2 3 2" xfId="8646"/>
    <cellStyle name="20% - Accent3 4 9 2 3 2 2" xfId="8647"/>
    <cellStyle name="20% - Accent3 4 9 2 3 2 2 2" xfId="8648"/>
    <cellStyle name="20% - Accent3 4 9 2 3 3" xfId="8649"/>
    <cellStyle name="20% - Accent3 4 9 2 3 3 2" xfId="8650"/>
    <cellStyle name="20% - Accent3 4 9 2 4" xfId="8651"/>
    <cellStyle name="20% - Accent3 4 9 2 4 2" xfId="8652"/>
    <cellStyle name="20% - Accent3 4 9 2 4 2 2" xfId="8653"/>
    <cellStyle name="20% - Accent3 4 9 2 5" xfId="8654"/>
    <cellStyle name="20% - Accent3 4 9 2 5 2" xfId="8655"/>
    <cellStyle name="20% - Accent3 4 9 3" xfId="8656"/>
    <cellStyle name="20% - Accent3 4 9 3 2" xfId="8657"/>
    <cellStyle name="20% - Accent3 4 9 3 2 2" xfId="8658"/>
    <cellStyle name="20% - Accent3 4 9 3 2 2 2" xfId="8659"/>
    <cellStyle name="20% - Accent3 4 9 3 2 2 2 2" xfId="8660"/>
    <cellStyle name="20% - Accent3 4 9 3 2 3" xfId="8661"/>
    <cellStyle name="20% - Accent3 4 9 3 2 3 2" xfId="8662"/>
    <cellStyle name="20% - Accent3 4 9 3 3" xfId="8663"/>
    <cellStyle name="20% - Accent3 4 9 3 3 2" xfId="8664"/>
    <cellStyle name="20% - Accent3 4 9 3 3 2 2" xfId="8665"/>
    <cellStyle name="20% - Accent3 4 9 3 4" xfId="8666"/>
    <cellStyle name="20% - Accent3 4 9 3 4 2" xfId="8667"/>
    <cellStyle name="20% - Accent3 4 9 4" xfId="8668"/>
    <cellStyle name="20% - Accent3 4 9 4 2" xfId="8669"/>
    <cellStyle name="20% - Accent3 4 9 4 2 2" xfId="8670"/>
    <cellStyle name="20% - Accent3 4 9 4 2 2 2" xfId="8671"/>
    <cellStyle name="20% - Accent3 4 9 4 3" xfId="8672"/>
    <cellStyle name="20% - Accent3 4 9 4 3 2" xfId="8673"/>
    <cellStyle name="20% - Accent3 4 9 5" xfId="8674"/>
    <cellStyle name="20% - Accent3 4 9 5 2" xfId="8675"/>
    <cellStyle name="20% - Accent3 4 9 5 2 2" xfId="8676"/>
    <cellStyle name="20% - Accent3 4 9 6" xfId="8677"/>
    <cellStyle name="20% - Accent3 4 9 6 2" xfId="8678"/>
    <cellStyle name="20% - Accent3 4 9 7" xfId="8679"/>
    <cellStyle name="20% - Accent3 4 9 8" xfId="8680"/>
    <cellStyle name="20% - Accent3 4 9 9" xfId="8681"/>
    <cellStyle name="20% - Accent3 40" xfId="8682"/>
    <cellStyle name="20% - Accent3 40 2" xfId="8683"/>
    <cellStyle name="20% - Accent3 40 2 2" xfId="8684"/>
    <cellStyle name="20% - Accent3 40 2 3" xfId="8685"/>
    <cellStyle name="20% - Accent3 40 2 4" xfId="8686"/>
    <cellStyle name="20% - Accent3 40 3" xfId="8687"/>
    <cellStyle name="20% - Accent3 40 3 2" xfId="8688"/>
    <cellStyle name="20% - Accent3 40 3 3" xfId="8689"/>
    <cellStyle name="20% - Accent3 40 4" xfId="8690"/>
    <cellStyle name="20% - Accent3 40 4 2" xfId="8691"/>
    <cellStyle name="20% - Accent3 40 5" xfId="8692"/>
    <cellStyle name="20% - Accent3 40 6" xfId="8693"/>
    <cellStyle name="20% - Accent3 40 7" xfId="8694"/>
    <cellStyle name="20% - Accent3 41" xfId="8695"/>
    <cellStyle name="20% - Accent3 41 2" xfId="8696"/>
    <cellStyle name="20% - Accent3 41 2 2" xfId="8697"/>
    <cellStyle name="20% - Accent3 41 2 3" xfId="8698"/>
    <cellStyle name="20% - Accent3 41 2 4" xfId="8699"/>
    <cellStyle name="20% - Accent3 41 3" xfId="8700"/>
    <cellStyle name="20% - Accent3 41 3 2" xfId="8701"/>
    <cellStyle name="20% - Accent3 41 3 3" xfId="8702"/>
    <cellStyle name="20% - Accent3 41 4" xfId="8703"/>
    <cellStyle name="20% - Accent3 41 4 2" xfId="8704"/>
    <cellStyle name="20% - Accent3 41 5" xfId="8705"/>
    <cellStyle name="20% - Accent3 41 6" xfId="8706"/>
    <cellStyle name="20% - Accent3 41 7" xfId="8707"/>
    <cellStyle name="20% - Accent3 42" xfId="8708"/>
    <cellStyle name="20% - Accent3 42 2" xfId="8709"/>
    <cellStyle name="20% - Accent3 42 2 2" xfId="8710"/>
    <cellStyle name="20% - Accent3 42 2 3" xfId="8711"/>
    <cellStyle name="20% - Accent3 42 2 4" xfId="8712"/>
    <cellStyle name="20% - Accent3 42 3" xfId="8713"/>
    <cellStyle name="20% - Accent3 42 3 2" xfId="8714"/>
    <cellStyle name="20% - Accent3 42 3 3" xfId="8715"/>
    <cellStyle name="20% - Accent3 42 4" xfId="8716"/>
    <cellStyle name="20% - Accent3 42 4 2" xfId="8717"/>
    <cellStyle name="20% - Accent3 42 5" xfId="8718"/>
    <cellStyle name="20% - Accent3 42 6" xfId="8719"/>
    <cellStyle name="20% - Accent3 42 7" xfId="8720"/>
    <cellStyle name="20% - Accent3 43" xfId="8721"/>
    <cellStyle name="20% - Accent3 43 2" xfId="8722"/>
    <cellStyle name="20% - Accent3 43 2 2" xfId="8723"/>
    <cellStyle name="20% - Accent3 43 2 3" xfId="8724"/>
    <cellStyle name="20% - Accent3 43 2 4" xfId="8725"/>
    <cellStyle name="20% - Accent3 43 3" xfId="8726"/>
    <cellStyle name="20% - Accent3 43 3 2" xfId="8727"/>
    <cellStyle name="20% - Accent3 43 3 3" xfId="8728"/>
    <cellStyle name="20% - Accent3 43 4" xfId="8729"/>
    <cellStyle name="20% - Accent3 43 4 2" xfId="8730"/>
    <cellStyle name="20% - Accent3 43 5" xfId="8731"/>
    <cellStyle name="20% - Accent3 43 6" xfId="8732"/>
    <cellStyle name="20% - Accent3 43 7" xfId="8733"/>
    <cellStyle name="20% - Accent3 44" xfId="8734"/>
    <cellStyle name="20% - Accent3 44 2" xfId="8735"/>
    <cellStyle name="20% - Accent3 44 2 2" xfId="8736"/>
    <cellStyle name="20% - Accent3 44 2 3" xfId="8737"/>
    <cellStyle name="20% - Accent3 44 2 4" xfId="8738"/>
    <cellStyle name="20% - Accent3 44 3" xfId="8739"/>
    <cellStyle name="20% - Accent3 44 3 2" xfId="8740"/>
    <cellStyle name="20% - Accent3 44 3 3" xfId="8741"/>
    <cellStyle name="20% - Accent3 44 4" xfId="8742"/>
    <cellStyle name="20% - Accent3 44 4 2" xfId="8743"/>
    <cellStyle name="20% - Accent3 44 5" xfId="8744"/>
    <cellStyle name="20% - Accent3 44 6" xfId="8745"/>
    <cellStyle name="20% - Accent3 44 7" xfId="8746"/>
    <cellStyle name="20% - Accent3 45" xfId="8747"/>
    <cellStyle name="20% - Accent3 45 2" xfId="8748"/>
    <cellStyle name="20% - Accent3 45 2 2" xfId="8749"/>
    <cellStyle name="20% - Accent3 45 2 3" xfId="8750"/>
    <cellStyle name="20% - Accent3 45 2 4" xfId="8751"/>
    <cellStyle name="20% - Accent3 45 3" xfId="8752"/>
    <cellStyle name="20% - Accent3 45 3 2" xfId="8753"/>
    <cellStyle name="20% - Accent3 45 3 3" xfId="8754"/>
    <cellStyle name="20% - Accent3 45 4" xfId="8755"/>
    <cellStyle name="20% - Accent3 45 4 2" xfId="8756"/>
    <cellStyle name="20% - Accent3 45 5" xfId="8757"/>
    <cellStyle name="20% - Accent3 45 6" xfId="8758"/>
    <cellStyle name="20% - Accent3 45 7" xfId="8759"/>
    <cellStyle name="20% - Accent3 46" xfId="8760"/>
    <cellStyle name="20% - Accent3 46 2" xfId="8761"/>
    <cellStyle name="20% - Accent3 46 2 2" xfId="8762"/>
    <cellStyle name="20% - Accent3 46 2 3" xfId="8763"/>
    <cellStyle name="20% - Accent3 46 2 4" xfId="8764"/>
    <cellStyle name="20% - Accent3 46 3" xfId="8765"/>
    <cellStyle name="20% - Accent3 46 3 2" xfId="8766"/>
    <cellStyle name="20% - Accent3 46 3 3" xfId="8767"/>
    <cellStyle name="20% - Accent3 46 4" xfId="8768"/>
    <cellStyle name="20% - Accent3 46 4 2" xfId="8769"/>
    <cellStyle name="20% - Accent3 46 5" xfId="8770"/>
    <cellStyle name="20% - Accent3 46 6" xfId="8771"/>
    <cellStyle name="20% - Accent3 46 7" xfId="8772"/>
    <cellStyle name="20% - Accent3 47" xfId="8773"/>
    <cellStyle name="20% - Accent3 47 2" xfId="8774"/>
    <cellStyle name="20% - Accent3 47 2 2" xfId="8775"/>
    <cellStyle name="20% - Accent3 47 2 3" xfId="8776"/>
    <cellStyle name="20% - Accent3 47 2 4" xfId="8777"/>
    <cellStyle name="20% - Accent3 47 3" xfId="8778"/>
    <cellStyle name="20% - Accent3 47 3 2" xfId="8779"/>
    <cellStyle name="20% - Accent3 47 3 3" xfId="8780"/>
    <cellStyle name="20% - Accent3 47 4" xfId="8781"/>
    <cellStyle name="20% - Accent3 47 4 2" xfId="8782"/>
    <cellStyle name="20% - Accent3 47 5" xfId="8783"/>
    <cellStyle name="20% - Accent3 47 6" xfId="8784"/>
    <cellStyle name="20% - Accent3 47 7" xfId="8785"/>
    <cellStyle name="20% - Accent3 48" xfId="8786"/>
    <cellStyle name="20% - Accent3 48 2" xfId="8787"/>
    <cellStyle name="20% - Accent3 48 2 2" xfId="8788"/>
    <cellStyle name="20% - Accent3 48 2 3" xfId="8789"/>
    <cellStyle name="20% - Accent3 48 2 4" xfId="8790"/>
    <cellStyle name="20% - Accent3 48 3" xfId="8791"/>
    <cellStyle name="20% - Accent3 48 3 2" xfId="8792"/>
    <cellStyle name="20% - Accent3 48 3 3" xfId="8793"/>
    <cellStyle name="20% - Accent3 48 4" xfId="8794"/>
    <cellStyle name="20% - Accent3 48 4 2" xfId="8795"/>
    <cellStyle name="20% - Accent3 48 5" xfId="8796"/>
    <cellStyle name="20% - Accent3 48 6" xfId="8797"/>
    <cellStyle name="20% - Accent3 48 7" xfId="8798"/>
    <cellStyle name="20% - Accent3 49" xfId="8799"/>
    <cellStyle name="20% - Accent3 49 2" xfId="8800"/>
    <cellStyle name="20% - Accent3 49 2 2" xfId="8801"/>
    <cellStyle name="20% - Accent3 49 2 3" xfId="8802"/>
    <cellStyle name="20% - Accent3 49 2 4" xfId="8803"/>
    <cellStyle name="20% - Accent3 49 3" xfId="8804"/>
    <cellStyle name="20% - Accent3 49 3 2" xfId="8805"/>
    <cellStyle name="20% - Accent3 49 3 3" xfId="8806"/>
    <cellStyle name="20% - Accent3 49 4" xfId="8807"/>
    <cellStyle name="20% - Accent3 49 4 2" xfId="8808"/>
    <cellStyle name="20% - Accent3 49 5" xfId="8809"/>
    <cellStyle name="20% - Accent3 49 6" xfId="8810"/>
    <cellStyle name="20% - Accent3 49 7" xfId="8811"/>
    <cellStyle name="20% - Accent3 5" xfId="8812"/>
    <cellStyle name="20% - Accent3 5 2" xfId="8813"/>
    <cellStyle name="20% - Accent3 5 3" xfId="8814"/>
    <cellStyle name="20% - Accent3 5 4" xfId="8815"/>
    <cellStyle name="20% - Accent3 5 5" xfId="8816"/>
    <cellStyle name="20% - Accent3 5 6" xfId="8817"/>
    <cellStyle name="20% - Accent3 5 7" xfId="8818"/>
    <cellStyle name="20% - Accent3 5 8" xfId="8819"/>
    <cellStyle name="20% - Accent3 50" xfId="8820"/>
    <cellStyle name="20% - Accent3 50 2" xfId="8821"/>
    <cellStyle name="20% - Accent3 50 2 2" xfId="8822"/>
    <cellStyle name="20% - Accent3 50 2 3" xfId="8823"/>
    <cellStyle name="20% - Accent3 50 2 4" xfId="8824"/>
    <cellStyle name="20% - Accent3 50 3" xfId="8825"/>
    <cellStyle name="20% - Accent3 50 3 2" xfId="8826"/>
    <cellStyle name="20% - Accent3 50 3 3" xfId="8827"/>
    <cellStyle name="20% - Accent3 50 4" xfId="8828"/>
    <cellStyle name="20% - Accent3 50 4 2" xfId="8829"/>
    <cellStyle name="20% - Accent3 50 5" xfId="8830"/>
    <cellStyle name="20% - Accent3 50 6" xfId="8831"/>
    <cellStyle name="20% - Accent3 50 7" xfId="8832"/>
    <cellStyle name="20% - Accent3 51" xfId="8833"/>
    <cellStyle name="20% - Accent3 51 2" xfId="8834"/>
    <cellStyle name="20% - Accent3 51 2 2" xfId="8835"/>
    <cellStyle name="20% - Accent3 51 2 3" xfId="8836"/>
    <cellStyle name="20% - Accent3 51 2 4" xfId="8837"/>
    <cellStyle name="20% - Accent3 51 3" xfId="8838"/>
    <cellStyle name="20% - Accent3 51 3 2" xfId="8839"/>
    <cellStyle name="20% - Accent3 51 3 3" xfId="8840"/>
    <cellStyle name="20% - Accent3 51 4" xfId="8841"/>
    <cellStyle name="20% - Accent3 51 4 2" xfId="8842"/>
    <cellStyle name="20% - Accent3 51 5" xfId="8843"/>
    <cellStyle name="20% - Accent3 51 6" xfId="8844"/>
    <cellStyle name="20% - Accent3 51 7" xfId="8845"/>
    <cellStyle name="20% - Accent3 52" xfId="8846"/>
    <cellStyle name="20% - Accent3 52 2" xfId="8847"/>
    <cellStyle name="20% - Accent3 52 2 2" xfId="8848"/>
    <cellStyle name="20% - Accent3 52 2 3" xfId="8849"/>
    <cellStyle name="20% - Accent3 52 2 4" xfId="8850"/>
    <cellStyle name="20% - Accent3 52 3" xfId="8851"/>
    <cellStyle name="20% - Accent3 52 3 2" xfId="8852"/>
    <cellStyle name="20% - Accent3 52 3 3" xfId="8853"/>
    <cellStyle name="20% - Accent3 52 4" xfId="8854"/>
    <cellStyle name="20% - Accent3 52 4 2" xfId="8855"/>
    <cellStyle name="20% - Accent3 52 5" xfId="8856"/>
    <cellStyle name="20% - Accent3 52 6" xfId="8857"/>
    <cellStyle name="20% - Accent3 52 7" xfId="8858"/>
    <cellStyle name="20% - Accent3 53" xfId="8859"/>
    <cellStyle name="20% - Accent3 53 2" xfId="8860"/>
    <cellStyle name="20% - Accent3 53 2 2" xfId="8861"/>
    <cellStyle name="20% - Accent3 53 2 3" xfId="8862"/>
    <cellStyle name="20% - Accent3 53 2 4" xfId="8863"/>
    <cellStyle name="20% - Accent3 53 3" xfId="8864"/>
    <cellStyle name="20% - Accent3 53 3 2" xfId="8865"/>
    <cellStyle name="20% - Accent3 53 3 3" xfId="8866"/>
    <cellStyle name="20% - Accent3 53 4" xfId="8867"/>
    <cellStyle name="20% - Accent3 53 4 2" xfId="8868"/>
    <cellStyle name="20% - Accent3 53 5" xfId="8869"/>
    <cellStyle name="20% - Accent3 53 6" xfId="8870"/>
    <cellStyle name="20% - Accent3 53 7" xfId="8871"/>
    <cellStyle name="20% - Accent3 54" xfId="8872"/>
    <cellStyle name="20% - Accent3 54 2" xfId="8873"/>
    <cellStyle name="20% - Accent3 54 2 2" xfId="8874"/>
    <cellStyle name="20% - Accent3 54 2 3" xfId="8875"/>
    <cellStyle name="20% - Accent3 54 2 4" xfId="8876"/>
    <cellStyle name="20% - Accent3 54 3" xfId="8877"/>
    <cellStyle name="20% - Accent3 54 3 2" xfId="8878"/>
    <cellStyle name="20% - Accent3 54 3 3" xfId="8879"/>
    <cellStyle name="20% - Accent3 54 4" xfId="8880"/>
    <cellStyle name="20% - Accent3 54 4 2" xfId="8881"/>
    <cellStyle name="20% - Accent3 54 5" xfId="8882"/>
    <cellStyle name="20% - Accent3 54 6" xfId="8883"/>
    <cellStyle name="20% - Accent3 54 7" xfId="8884"/>
    <cellStyle name="20% - Accent3 55" xfId="8885"/>
    <cellStyle name="20% - Accent3 55 2" xfId="8886"/>
    <cellStyle name="20% - Accent3 55 2 2" xfId="8887"/>
    <cellStyle name="20% - Accent3 55 2 3" xfId="8888"/>
    <cellStyle name="20% - Accent3 55 2 4" xfId="8889"/>
    <cellStyle name="20% - Accent3 55 3" xfId="8890"/>
    <cellStyle name="20% - Accent3 55 3 2" xfId="8891"/>
    <cellStyle name="20% - Accent3 55 3 3" xfId="8892"/>
    <cellStyle name="20% - Accent3 55 4" xfId="8893"/>
    <cellStyle name="20% - Accent3 55 4 2" xfId="8894"/>
    <cellStyle name="20% - Accent3 55 5" xfId="8895"/>
    <cellStyle name="20% - Accent3 55 6" xfId="8896"/>
    <cellStyle name="20% - Accent3 55 7" xfId="8897"/>
    <cellStyle name="20% - Accent3 56" xfId="8898"/>
    <cellStyle name="20% - Accent3 56 2" xfId="8899"/>
    <cellStyle name="20% - Accent3 56 2 2" xfId="8900"/>
    <cellStyle name="20% - Accent3 56 2 3" xfId="8901"/>
    <cellStyle name="20% - Accent3 56 2 4" xfId="8902"/>
    <cellStyle name="20% - Accent3 56 3" xfId="8903"/>
    <cellStyle name="20% - Accent3 56 3 2" xfId="8904"/>
    <cellStyle name="20% - Accent3 56 3 3" xfId="8905"/>
    <cellStyle name="20% - Accent3 56 4" xfId="8906"/>
    <cellStyle name="20% - Accent3 56 4 2" xfId="8907"/>
    <cellStyle name="20% - Accent3 56 5" xfId="8908"/>
    <cellStyle name="20% - Accent3 56 6" xfId="8909"/>
    <cellStyle name="20% - Accent3 56 7" xfId="8910"/>
    <cellStyle name="20% - Accent3 57" xfId="8911"/>
    <cellStyle name="20% - Accent3 57 2" xfId="8912"/>
    <cellStyle name="20% - Accent3 57 2 2" xfId="8913"/>
    <cellStyle name="20% - Accent3 57 2 3" xfId="8914"/>
    <cellStyle name="20% - Accent3 57 2 4" xfId="8915"/>
    <cellStyle name="20% - Accent3 57 3" xfId="8916"/>
    <cellStyle name="20% - Accent3 57 3 2" xfId="8917"/>
    <cellStyle name="20% - Accent3 57 3 3" xfId="8918"/>
    <cellStyle name="20% - Accent3 57 4" xfId="8919"/>
    <cellStyle name="20% - Accent3 57 4 2" xfId="8920"/>
    <cellStyle name="20% - Accent3 57 5" xfId="8921"/>
    <cellStyle name="20% - Accent3 57 6" xfId="8922"/>
    <cellStyle name="20% - Accent3 57 7" xfId="8923"/>
    <cellStyle name="20% - Accent3 58" xfId="8924"/>
    <cellStyle name="20% - Accent3 59" xfId="8925"/>
    <cellStyle name="20% - Accent3 6" xfId="8926"/>
    <cellStyle name="20% - Accent3 6 10" xfId="8927"/>
    <cellStyle name="20% - Accent3 6 10 2" xfId="8928"/>
    <cellStyle name="20% - Accent3 6 10 3" xfId="8929"/>
    <cellStyle name="20% - Accent3 6 11" xfId="8930"/>
    <cellStyle name="20% - Accent3 6 11 2" xfId="8931"/>
    <cellStyle name="20% - Accent3 6 12" xfId="8932"/>
    <cellStyle name="20% - Accent3 6 13" xfId="8933"/>
    <cellStyle name="20% - Accent3 6 14" xfId="8934"/>
    <cellStyle name="20% - Accent3 6 2" xfId="8935"/>
    <cellStyle name="20% - Accent3 6 3" xfId="8936"/>
    <cellStyle name="20% - Accent3 6 4" xfId="8937"/>
    <cellStyle name="20% - Accent3 6 5" xfId="8938"/>
    <cellStyle name="20% - Accent3 6 6" xfId="8939"/>
    <cellStyle name="20% - Accent3 6 7" xfId="8940"/>
    <cellStyle name="20% - Accent3 6 8" xfId="8941"/>
    <cellStyle name="20% - Accent3 6 9" xfId="8942"/>
    <cellStyle name="20% - Accent3 6 9 2" xfId="8943"/>
    <cellStyle name="20% - Accent3 6 9 3" xfId="8944"/>
    <cellStyle name="20% - Accent3 6 9 4" xfId="8945"/>
    <cellStyle name="20% - Accent3 60" xfId="8946"/>
    <cellStyle name="20% - Accent3 61" xfId="8947"/>
    <cellStyle name="20% - Accent3 62" xfId="8948"/>
    <cellStyle name="20% - Accent3 63" xfId="8949"/>
    <cellStyle name="20% - Accent3 64" xfId="8950"/>
    <cellStyle name="20% - Accent3 65" xfId="8951"/>
    <cellStyle name="20% - Accent3 65 2" xfId="8952"/>
    <cellStyle name="20% - Accent3 65 2 2" xfId="8953"/>
    <cellStyle name="20% - Accent3 65 2 3" xfId="8954"/>
    <cellStyle name="20% - Accent3 65 2 4" xfId="8955"/>
    <cellStyle name="20% - Accent3 65 3" xfId="8956"/>
    <cellStyle name="20% - Accent3 65 3 2" xfId="8957"/>
    <cellStyle name="20% - Accent3 65 3 3" xfId="8958"/>
    <cellStyle name="20% - Accent3 65 4" xfId="8959"/>
    <cellStyle name="20% - Accent3 65 4 2" xfId="8960"/>
    <cellStyle name="20% - Accent3 65 5" xfId="8961"/>
    <cellStyle name="20% - Accent3 65 6" xfId="8962"/>
    <cellStyle name="20% - Accent3 65 7" xfId="8963"/>
    <cellStyle name="20% - Accent3 66" xfId="8964"/>
    <cellStyle name="20% - Accent3 66 2" xfId="8965"/>
    <cellStyle name="20% - Accent3 66 2 2" xfId="8966"/>
    <cellStyle name="20% - Accent3 66 2 3" xfId="8967"/>
    <cellStyle name="20% - Accent3 66 2 4" xfId="8968"/>
    <cellStyle name="20% - Accent3 66 3" xfId="8969"/>
    <cellStyle name="20% - Accent3 66 3 2" xfId="8970"/>
    <cellStyle name="20% - Accent3 66 3 3" xfId="8971"/>
    <cellStyle name="20% - Accent3 66 4" xfId="8972"/>
    <cellStyle name="20% - Accent3 66 4 2" xfId="8973"/>
    <cellStyle name="20% - Accent3 66 5" xfId="8974"/>
    <cellStyle name="20% - Accent3 66 6" xfId="8975"/>
    <cellStyle name="20% - Accent3 66 7" xfId="8976"/>
    <cellStyle name="20% - Accent3 67" xfId="8977"/>
    <cellStyle name="20% - Accent3 67 2" xfId="8978"/>
    <cellStyle name="20% - Accent3 67 2 2" xfId="8979"/>
    <cellStyle name="20% - Accent3 67 2 3" xfId="8980"/>
    <cellStyle name="20% - Accent3 67 2 4" xfId="8981"/>
    <cellStyle name="20% - Accent3 67 3" xfId="8982"/>
    <cellStyle name="20% - Accent3 67 3 2" xfId="8983"/>
    <cellStyle name="20% - Accent3 67 3 3" xfId="8984"/>
    <cellStyle name="20% - Accent3 67 4" xfId="8985"/>
    <cellStyle name="20% - Accent3 67 4 2" xfId="8986"/>
    <cellStyle name="20% - Accent3 67 5" xfId="8987"/>
    <cellStyle name="20% - Accent3 67 6" xfId="8988"/>
    <cellStyle name="20% - Accent3 67 7" xfId="8989"/>
    <cellStyle name="20% - Accent3 68" xfId="8990"/>
    <cellStyle name="20% - Accent3 68 2" xfId="8991"/>
    <cellStyle name="20% - Accent3 68 2 2" xfId="8992"/>
    <cellStyle name="20% - Accent3 68 2 3" xfId="8993"/>
    <cellStyle name="20% - Accent3 68 2 4" xfId="8994"/>
    <cellStyle name="20% - Accent3 68 3" xfId="8995"/>
    <cellStyle name="20% - Accent3 68 3 2" xfId="8996"/>
    <cellStyle name="20% - Accent3 68 3 3" xfId="8997"/>
    <cellStyle name="20% - Accent3 68 4" xfId="8998"/>
    <cellStyle name="20% - Accent3 68 4 2" xfId="8999"/>
    <cellStyle name="20% - Accent3 68 5" xfId="9000"/>
    <cellStyle name="20% - Accent3 68 6" xfId="9001"/>
    <cellStyle name="20% - Accent3 68 7" xfId="9002"/>
    <cellStyle name="20% - Accent3 69" xfId="9003"/>
    <cellStyle name="20% - Accent3 69 2" xfId="9004"/>
    <cellStyle name="20% - Accent3 69 2 2" xfId="9005"/>
    <cellStyle name="20% - Accent3 69 2 3" xfId="9006"/>
    <cellStyle name="20% - Accent3 69 2 4" xfId="9007"/>
    <cellStyle name="20% - Accent3 69 3" xfId="9008"/>
    <cellStyle name="20% - Accent3 69 3 2" xfId="9009"/>
    <cellStyle name="20% - Accent3 69 3 3" xfId="9010"/>
    <cellStyle name="20% - Accent3 69 4" xfId="9011"/>
    <cellStyle name="20% - Accent3 69 4 2" xfId="9012"/>
    <cellStyle name="20% - Accent3 69 5" xfId="9013"/>
    <cellStyle name="20% - Accent3 69 6" xfId="9014"/>
    <cellStyle name="20% - Accent3 69 7" xfId="9015"/>
    <cellStyle name="20% - Accent3 7" xfId="9016"/>
    <cellStyle name="20% - Accent3 7 2" xfId="9017"/>
    <cellStyle name="20% - Accent3 7 3" xfId="9018"/>
    <cellStyle name="20% - Accent3 7 3 2" xfId="9019"/>
    <cellStyle name="20% - Accent3 7 3 3" xfId="9020"/>
    <cellStyle name="20% - Accent3 7 3 4" xfId="9021"/>
    <cellStyle name="20% - Accent3 7 4" xfId="9022"/>
    <cellStyle name="20% - Accent3 7 4 2" xfId="9023"/>
    <cellStyle name="20% - Accent3 7 4 3" xfId="9024"/>
    <cellStyle name="20% - Accent3 7 5" xfId="9025"/>
    <cellStyle name="20% - Accent3 7 5 2" xfId="9026"/>
    <cellStyle name="20% - Accent3 7 6" xfId="9027"/>
    <cellStyle name="20% - Accent3 7 7" xfId="9028"/>
    <cellStyle name="20% - Accent3 7 8" xfId="9029"/>
    <cellStyle name="20% - Accent3 70" xfId="9030"/>
    <cellStyle name="20% - Accent3 70 2" xfId="9031"/>
    <cellStyle name="20% - Accent3 70 2 2" xfId="9032"/>
    <cellStyle name="20% - Accent3 70 2 3" xfId="9033"/>
    <cellStyle name="20% - Accent3 70 2 4" xfId="9034"/>
    <cellStyle name="20% - Accent3 70 3" xfId="9035"/>
    <cellStyle name="20% - Accent3 70 3 2" xfId="9036"/>
    <cellStyle name="20% - Accent3 70 3 3" xfId="9037"/>
    <cellStyle name="20% - Accent3 70 4" xfId="9038"/>
    <cellStyle name="20% - Accent3 70 4 2" xfId="9039"/>
    <cellStyle name="20% - Accent3 70 5" xfId="9040"/>
    <cellStyle name="20% - Accent3 70 6" xfId="9041"/>
    <cellStyle name="20% - Accent3 70 7" xfId="9042"/>
    <cellStyle name="20% - Accent3 71" xfId="9043"/>
    <cellStyle name="20% - Accent3 71 2" xfId="9044"/>
    <cellStyle name="20% - Accent3 71 2 2" xfId="9045"/>
    <cellStyle name="20% - Accent3 71 2 3" xfId="9046"/>
    <cellStyle name="20% - Accent3 71 2 4" xfId="9047"/>
    <cellStyle name="20% - Accent3 71 3" xfId="9048"/>
    <cellStyle name="20% - Accent3 71 3 2" xfId="9049"/>
    <cellStyle name="20% - Accent3 71 3 3" xfId="9050"/>
    <cellStyle name="20% - Accent3 71 4" xfId="9051"/>
    <cellStyle name="20% - Accent3 71 4 2" xfId="9052"/>
    <cellStyle name="20% - Accent3 71 5" xfId="9053"/>
    <cellStyle name="20% - Accent3 71 6" xfId="9054"/>
    <cellStyle name="20% - Accent3 71 7" xfId="9055"/>
    <cellStyle name="20% - Accent3 72" xfId="9056"/>
    <cellStyle name="20% - Accent3 72 2" xfId="9057"/>
    <cellStyle name="20% - Accent3 72 2 2" xfId="9058"/>
    <cellStyle name="20% - Accent3 72 2 3" xfId="9059"/>
    <cellStyle name="20% - Accent3 72 2 4" xfId="9060"/>
    <cellStyle name="20% - Accent3 72 3" xfId="9061"/>
    <cellStyle name="20% - Accent3 72 3 2" xfId="9062"/>
    <cellStyle name="20% - Accent3 72 3 3" xfId="9063"/>
    <cellStyle name="20% - Accent3 72 4" xfId="9064"/>
    <cellStyle name="20% - Accent3 72 4 2" xfId="9065"/>
    <cellStyle name="20% - Accent3 72 5" xfId="9066"/>
    <cellStyle name="20% - Accent3 72 6" xfId="9067"/>
    <cellStyle name="20% - Accent3 72 7" xfId="9068"/>
    <cellStyle name="20% - Accent3 73" xfId="9069"/>
    <cellStyle name="20% - Accent3 73 2" xfId="9070"/>
    <cellStyle name="20% - Accent3 73 2 2" xfId="9071"/>
    <cellStyle name="20% - Accent3 73 2 3" xfId="9072"/>
    <cellStyle name="20% - Accent3 73 2 4" xfId="9073"/>
    <cellStyle name="20% - Accent3 73 3" xfId="9074"/>
    <cellStyle name="20% - Accent3 73 3 2" xfId="9075"/>
    <cellStyle name="20% - Accent3 73 3 3" xfId="9076"/>
    <cellStyle name="20% - Accent3 73 4" xfId="9077"/>
    <cellStyle name="20% - Accent3 73 4 2" xfId="9078"/>
    <cellStyle name="20% - Accent3 73 5" xfId="9079"/>
    <cellStyle name="20% - Accent3 73 6" xfId="9080"/>
    <cellStyle name="20% - Accent3 73 7" xfId="9081"/>
    <cellStyle name="20% - Accent3 74" xfId="9082"/>
    <cellStyle name="20% - Accent3 74 2" xfId="9083"/>
    <cellStyle name="20% - Accent3 74 2 2" xfId="9084"/>
    <cellStyle name="20% - Accent3 74 2 3" xfId="9085"/>
    <cellStyle name="20% - Accent3 74 2 4" xfId="9086"/>
    <cellStyle name="20% - Accent3 74 3" xfId="9087"/>
    <cellStyle name="20% - Accent3 74 3 2" xfId="9088"/>
    <cellStyle name="20% - Accent3 74 3 3" xfId="9089"/>
    <cellStyle name="20% - Accent3 74 4" xfId="9090"/>
    <cellStyle name="20% - Accent3 74 4 2" xfId="9091"/>
    <cellStyle name="20% - Accent3 74 5" xfId="9092"/>
    <cellStyle name="20% - Accent3 74 6" xfId="9093"/>
    <cellStyle name="20% - Accent3 74 7" xfId="9094"/>
    <cellStyle name="20% - Accent3 75" xfId="9095"/>
    <cellStyle name="20% - Accent3 75 2" xfId="9096"/>
    <cellStyle name="20% - Accent3 75 2 2" xfId="9097"/>
    <cellStyle name="20% - Accent3 75 2 3" xfId="9098"/>
    <cellStyle name="20% - Accent3 75 2 4" xfId="9099"/>
    <cellStyle name="20% - Accent3 75 3" xfId="9100"/>
    <cellStyle name="20% - Accent3 75 3 2" xfId="9101"/>
    <cellStyle name="20% - Accent3 75 3 3" xfId="9102"/>
    <cellStyle name="20% - Accent3 75 4" xfId="9103"/>
    <cellStyle name="20% - Accent3 75 4 2" xfId="9104"/>
    <cellStyle name="20% - Accent3 75 5" xfId="9105"/>
    <cellStyle name="20% - Accent3 75 6" xfId="9106"/>
    <cellStyle name="20% - Accent3 75 7" xfId="9107"/>
    <cellStyle name="20% - Accent3 76" xfId="9108"/>
    <cellStyle name="20% - Accent3 76 2" xfId="9109"/>
    <cellStyle name="20% - Accent3 76 2 2" xfId="9110"/>
    <cellStyle name="20% - Accent3 76 2 3" xfId="9111"/>
    <cellStyle name="20% - Accent3 76 2 4" xfId="9112"/>
    <cellStyle name="20% - Accent3 76 3" xfId="9113"/>
    <cellStyle name="20% - Accent3 76 3 2" xfId="9114"/>
    <cellStyle name="20% - Accent3 76 3 3" xfId="9115"/>
    <cellStyle name="20% - Accent3 76 4" xfId="9116"/>
    <cellStyle name="20% - Accent3 76 4 2" xfId="9117"/>
    <cellStyle name="20% - Accent3 76 5" xfId="9118"/>
    <cellStyle name="20% - Accent3 76 6" xfId="9119"/>
    <cellStyle name="20% - Accent3 76 7" xfId="9120"/>
    <cellStyle name="20% - Accent3 77" xfId="9121"/>
    <cellStyle name="20% - Accent3 77 2" xfId="9122"/>
    <cellStyle name="20% - Accent3 77 2 2" xfId="9123"/>
    <cellStyle name="20% - Accent3 77 2 3" xfId="9124"/>
    <cellStyle name="20% - Accent3 77 2 4" xfId="9125"/>
    <cellStyle name="20% - Accent3 77 3" xfId="9126"/>
    <cellStyle name="20% - Accent3 77 3 2" xfId="9127"/>
    <cellStyle name="20% - Accent3 77 3 3" xfId="9128"/>
    <cellStyle name="20% - Accent3 77 4" xfId="9129"/>
    <cellStyle name="20% - Accent3 77 4 2" xfId="9130"/>
    <cellStyle name="20% - Accent3 77 5" xfId="9131"/>
    <cellStyle name="20% - Accent3 77 6" xfId="9132"/>
    <cellStyle name="20% - Accent3 77 7" xfId="9133"/>
    <cellStyle name="20% - Accent3 78" xfId="9134"/>
    <cellStyle name="20% - Accent3 79" xfId="9135"/>
    <cellStyle name="20% - Accent3 79 2" xfId="9136"/>
    <cellStyle name="20% - Accent3 79 3" xfId="9137"/>
    <cellStyle name="20% - Accent3 8" xfId="9138"/>
    <cellStyle name="20% - Accent3 8 10" xfId="9139"/>
    <cellStyle name="20% - Accent3 8 11" xfId="9140"/>
    <cellStyle name="20% - Accent3 8 2" xfId="9141"/>
    <cellStyle name="20% - Accent3 8 2 10" xfId="9142"/>
    <cellStyle name="20% - Accent3 8 2 2" xfId="9143"/>
    <cellStyle name="20% - Accent3 8 2 2 2" xfId="9144"/>
    <cellStyle name="20% - Accent3 8 2 2 2 2" xfId="9145"/>
    <cellStyle name="20% - Accent3 8 2 2 2 3" xfId="9146"/>
    <cellStyle name="20% - Accent3 8 2 2 2 4" xfId="9147"/>
    <cellStyle name="20% - Accent3 8 2 2 3" xfId="9148"/>
    <cellStyle name="20% - Accent3 8 2 2 3 2" xfId="9149"/>
    <cellStyle name="20% - Accent3 8 2 2 3 3" xfId="9150"/>
    <cellStyle name="20% - Accent3 8 2 2 4" xfId="9151"/>
    <cellStyle name="20% - Accent3 8 2 2 4 2" xfId="9152"/>
    <cellStyle name="20% - Accent3 8 2 2 5" xfId="9153"/>
    <cellStyle name="20% - Accent3 8 2 2 6" xfId="9154"/>
    <cellStyle name="20% - Accent3 8 2 2 7" xfId="9155"/>
    <cellStyle name="20% - Accent3 8 2 3" xfId="9156"/>
    <cellStyle name="20% - Accent3 8 2 3 2" xfId="9157"/>
    <cellStyle name="20% - Accent3 8 2 3 2 2" xfId="9158"/>
    <cellStyle name="20% - Accent3 8 2 3 2 3" xfId="9159"/>
    <cellStyle name="20% - Accent3 8 2 3 2 4" xfId="9160"/>
    <cellStyle name="20% - Accent3 8 2 3 3" xfId="9161"/>
    <cellStyle name="20% - Accent3 8 2 3 3 2" xfId="9162"/>
    <cellStyle name="20% - Accent3 8 2 3 3 3" xfId="9163"/>
    <cellStyle name="20% - Accent3 8 2 3 4" xfId="9164"/>
    <cellStyle name="20% - Accent3 8 2 3 4 2" xfId="9165"/>
    <cellStyle name="20% - Accent3 8 2 3 5" xfId="9166"/>
    <cellStyle name="20% - Accent3 8 2 3 6" xfId="9167"/>
    <cellStyle name="20% - Accent3 8 2 3 7" xfId="9168"/>
    <cellStyle name="20% - Accent3 8 2 4" xfId="9169"/>
    <cellStyle name="20% - Accent3 8 2 4 2" xfId="9170"/>
    <cellStyle name="20% - Accent3 8 2 4 2 2" xfId="9171"/>
    <cellStyle name="20% - Accent3 8 2 4 2 3" xfId="9172"/>
    <cellStyle name="20% - Accent3 8 2 4 2 4" xfId="9173"/>
    <cellStyle name="20% - Accent3 8 2 4 3" xfId="9174"/>
    <cellStyle name="20% - Accent3 8 2 4 3 2" xfId="9175"/>
    <cellStyle name="20% - Accent3 8 2 4 3 3" xfId="9176"/>
    <cellStyle name="20% - Accent3 8 2 4 4" xfId="9177"/>
    <cellStyle name="20% - Accent3 8 2 4 4 2" xfId="9178"/>
    <cellStyle name="20% - Accent3 8 2 4 5" xfId="9179"/>
    <cellStyle name="20% - Accent3 8 2 4 6" xfId="9180"/>
    <cellStyle name="20% - Accent3 8 2 4 7" xfId="9181"/>
    <cellStyle name="20% - Accent3 8 2 5" xfId="9182"/>
    <cellStyle name="20% - Accent3 8 2 5 2" xfId="9183"/>
    <cellStyle name="20% - Accent3 8 2 5 3" xfId="9184"/>
    <cellStyle name="20% - Accent3 8 2 5 4" xfId="9185"/>
    <cellStyle name="20% - Accent3 8 2 6" xfId="9186"/>
    <cellStyle name="20% - Accent3 8 2 6 2" xfId="9187"/>
    <cellStyle name="20% - Accent3 8 2 6 3" xfId="9188"/>
    <cellStyle name="20% - Accent3 8 2 7" xfId="9189"/>
    <cellStyle name="20% - Accent3 8 2 7 2" xfId="9190"/>
    <cellStyle name="20% - Accent3 8 2 8" xfId="9191"/>
    <cellStyle name="20% - Accent3 8 2 9" xfId="9192"/>
    <cellStyle name="20% - Accent3 8 3" xfId="9193"/>
    <cellStyle name="20% - Accent3 8 3 2" xfId="9194"/>
    <cellStyle name="20% - Accent3 8 3 2 2" xfId="9195"/>
    <cellStyle name="20% - Accent3 8 3 2 3" xfId="9196"/>
    <cellStyle name="20% - Accent3 8 3 2 4" xfId="9197"/>
    <cellStyle name="20% - Accent3 8 3 3" xfId="9198"/>
    <cellStyle name="20% - Accent3 8 3 3 2" xfId="9199"/>
    <cellStyle name="20% - Accent3 8 3 3 3" xfId="9200"/>
    <cellStyle name="20% - Accent3 8 3 4" xfId="9201"/>
    <cellStyle name="20% - Accent3 8 3 4 2" xfId="9202"/>
    <cellStyle name="20% - Accent3 8 3 5" xfId="9203"/>
    <cellStyle name="20% - Accent3 8 3 6" xfId="9204"/>
    <cellStyle name="20% - Accent3 8 3 7" xfId="9205"/>
    <cellStyle name="20% - Accent3 8 4" xfId="9206"/>
    <cellStyle name="20% - Accent3 8 4 2" xfId="9207"/>
    <cellStyle name="20% - Accent3 8 4 2 2" xfId="9208"/>
    <cellStyle name="20% - Accent3 8 4 2 3" xfId="9209"/>
    <cellStyle name="20% - Accent3 8 4 2 4" xfId="9210"/>
    <cellStyle name="20% - Accent3 8 4 3" xfId="9211"/>
    <cellStyle name="20% - Accent3 8 4 3 2" xfId="9212"/>
    <cellStyle name="20% - Accent3 8 4 3 3" xfId="9213"/>
    <cellStyle name="20% - Accent3 8 4 4" xfId="9214"/>
    <cellStyle name="20% - Accent3 8 4 4 2" xfId="9215"/>
    <cellStyle name="20% - Accent3 8 4 5" xfId="9216"/>
    <cellStyle name="20% - Accent3 8 4 6" xfId="9217"/>
    <cellStyle name="20% - Accent3 8 4 7" xfId="9218"/>
    <cellStyle name="20% - Accent3 8 5" xfId="9219"/>
    <cellStyle name="20% - Accent3 8 5 2" xfId="9220"/>
    <cellStyle name="20% - Accent3 8 5 2 2" xfId="9221"/>
    <cellStyle name="20% - Accent3 8 5 2 3" xfId="9222"/>
    <cellStyle name="20% - Accent3 8 5 2 4" xfId="9223"/>
    <cellStyle name="20% - Accent3 8 5 3" xfId="9224"/>
    <cellStyle name="20% - Accent3 8 5 3 2" xfId="9225"/>
    <cellStyle name="20% - Accent3 8 5 3 3" xfId="9226"/>
    <cellStyle name="20% - Accent3 8 5 4" xfId="9227"/>
    <cellStyle name="20% - Accent3 8 5 4 2" xfId="9228"/>
    <cellStyle name="20% - Accent3 8 5 5" xfId="9229"/>
    <cellStyle name="20% - Accent3 8 5 6" xfId="9230"/>
    <cellStyle name="20% - Accent3 8 5 7" xfId="9231"/>
    <cellStyle name="20% - Accent3 8 6" xfId="9232"/>
    <cellStyle name="20% - Accent3 8 6 2" xfId="9233"/>
    <cellStyle name="20% - Accent3 8 6 3" xfId="9234"/>
    <cellStyle name="20% - Accent3 8 6 4" xfId="9235"/>
    <cellStyle name="20% - Accent3 8 7" xfId="9236"/>
    <cellStyle name="20% - Accent3 8 7 2" xfId="9237"/>
    <cellStyle name="20% - Accent3 8 7 3" xfId="9238"/>
    <cellStyle name="20% - Accent3 8 8" xfId="9239"/>
    <cellStyle name="20% - Accent3 8 8 2" xfId="9240"/>
    <cellStyle name="20% - Accent3 8 9" xfId="9241"/>
    <cellStyle name="20% - Accent3 80" xfId="9242"/>
    <cellStyle name="20% - Accent3 80 2" xfId="9243"/>
    <cellStyle name="20% - Accent3 80 3" xfId="9244"/>
    <cellStyle name="20% - Accent3 81" xfId="9245"/>
    <cellStyle name="20% - Accent3 81 2" xfId="9246"/>
    <cellStyle name="20% - Accent3 82" xfId="9247"/>
    <cellStyle name="20% - Accent3 83" xfId="9248"/>
    <cellStyle name="20% - Accent3 9" xfId="9249"/>
    <cellStyle name="20% - Accent3 9 10" xfId="9250"/>
    <cellStyle name="20% - Accent3 9 2" xfId="9251"/>
    <cellStyle name="20% - Accent3 9 2 2" xfId="9252"/>
    <cellStyle name="20% - Accent3 9 2 2 2" xfId="9253"/>
    <cellStyle name="20% - Accent3 9 2 2 3" xfId="9254"/>
    <cellStyle name="20% - Accent3 9 2 2 4" xfId="9255"/>
    <cellStyle name="20% - Accent3 9 2 3" xfId="9256"/>
    <cellStyle name="20% - Accent3 9 2 3 2" xfId="9257"/>
    <cellStyle name="20% - Accent3 9 2 3 3" xfId="9258"/>
    <cellStyle name="20% - Accent3 9 2 4" xfId="9259"/>
    <cellStyle name="20% - Accent3 9 2 4 2" xfId="9260"/>
    <cellStyle name="20% - Accent3 9 2 5" xfId="9261"/>
    <cellStyle name="20% - Accent3 9 2 6" xfId="9262"/>
    <cellStyle name="20% - Accent3 9 2 7" xfId="9263"/>
    <cellStyle name="20% - Accent3 9 3" xfId="9264"/>
    <cellStyle name="20% - Accent3 9 3 2" xfId="9265"/>
    <cellStyle name="20% - Accent3 9 3 2 2" xfId="9266"/>
    <cellStyle name="20% - Accent3 9 3 2 3" xfId="9267"/>
    <cellStyle name="20% - Accent3 9 3 2 4" xfId="9268"/>
    <cellStyle name="20% - Accent3 9 3 3" xfId="9269"/>
    <cellStyle name="20% - Accent3 9 3 3 2" xfId="9270"/>
    <cellStyle name="20% - Accent3 9 3 3 3" xfId="9271"/>
    <cellStyle name="20% - Accent3 9 3 4" xfId="9272"/>
    <cellStyle name="20% - Accent3 9 3 4 2" xfId="9273"/>
    <cellStyle name="20% - Accent3 9 3 5" xfId="9274"/>
    <cellStyle name="20% - Accent3 9 3 6" xfId="9275"/>
    <cellStyle name="20% - Accent3 9 3 7" xfId="9276"/>
    <cellStyle name="20% - Accent3 9 4" xfId="9277"/>
    <cellStyle name="20% - Accent3 9 4 2" xfId="9278"/>
    <cellStyle name="20% - Accent3 9 4 2 2" xfId="9279"/>
    <cellStyle name="20% - Accent3 9 4 2 3" xfId="9280"/>
    <cellStyle name="20% - Accent3 9 4 2 4" xfId="9281"/>
    <cellStyle name="20% - Accent3 9 4 3" xfId="9282"/>
    <cellStyle name="20% - Accent3 9 4 3 2" xfId="9283"/>
    <cellStyle name="20% - Accent3 9 4 3 3" xfId="9284"/>
    <cellStyle name="20% - Accent3 9 4 4" xfId="9285"/>
    <cellStyle name="20% - Accent3 9 4 4 2" xfId="9286"/>
    <cellStyle name="20% - Accent3 9 4 5" xfId="9287"/>
    <cellStyle name="20% - Accent3 9 4 6" xfId="9288"/>
    <cellStyle name="20% - Accent3 9 4 7" xfId="9289"/>
    <cellStyle name="20% - Accent3 9 5" xfId="9290"/>
    <cellStyle name="20% - Accent3 9 5 2" xfId="9291"/>
    <cellStyle name="20% - Accent3 9 5 3" xfId="9292"/>
    <cellStyle name="20% - Accent3 9 6" xfId="9293"/>
    <cellStyle name="20% - Accent3 9 6 2" xfId="9294"/>
    <cellStyle name="20% - Accent3 9 6 3" xfId="9295"/>
    <cellStyle name="20% - Accent3 9 7" xfId="9296"/>
    <cellStyle name="20% - Accent3 9 7 2" xfId="9297"/>
    <cellStyle name="20% - Accent3 9 8" xfId="9298"/>
    <cellStyle name="20% - Accent3 9 9" xfId="9299"/>
    <cellStyle name="20% - Accent4 10" xfId="9300"/>
    <cellStyle name="20% - Accent4 10 2" xfId="9301"/>
    <cellStyle name="20% - Accent4 10 2 2" xfId="9302"/>
    <cellStyle name="20% - Accent4 10 2 3" xfId="9303"/>
    <cellStyle name="20% - Accent4 10 2 4" xfId="9304"/>
    <cellStyle name="20% - Accent4 10 3" xfId="9305"/>
    <cellStyle name="20% - Accent4 10 3 2" xfId="9306"/>
    <cellStyle name="20% - Accent4 10 3 3" xfId="9307"/>
    <cellStyle name="20% - Accent4 10 4" xfId="9308"/>
    <cellStyle name="20% - Accent4 10 4 2" xfId="9309"/>
    <cellStyle name="20% - Accent4 10 5" xfId="9310"/>
    <cellStyle name="20% - Accent4 10 6" xfId="9311"/>
    <cellStyle name="20% - Accent4 10 7" xfId="9312"/>
    <cellStyle name="20% - Accent4 11" xfId="9313"/>
    <cellStyle name="20% - Accent4 11 2" xfId="9314"/>
    <cellStyle name="20% - Accent4 11 2 2" xfId="9315"/>
    <cellStyle name="20% - Accent4 11 2 3" xfId="9316"/>
    <cellStyle name="20% - Accent4 11 2 4" xfId="9317"/>
    <cellStyle name="20% - Accent4 11 3" xfId="9318"/>
    <cellStyle name="20% - Accent4 11 3 2" xfId="9319"/>
    <cellStyle name="20% - Accent4 11 3 3" xfId="9320"/>
    <cellStyle name="20% - Accent4 11 4" xfId="9321"/>
    <cellStyle name="20% - Accent4 11 4 2" xfId="9322"/>
    <cellStyle name="20% - Accent4 11 5" xfId="9323"/>
    <cellStyle name="20% - Accent4 11 6" xfId="9324"/>
    <cellStyle name="20% - Accent4 11 7" xfId="9325"/>
    <cellStyle name="20% - Accent4 12" xfId="9326"/>
    <cellStyle name="20% - Accent4 12 2" xfId="9327"/>
    <cellStyle name="20% - Accent4 12 2 2" xfId="9328"/>
    <cellStyle name="20% - Accent4 12 2 3" xfId="9329"/>
    <cellStyle name="20% - Accent4 12 2 4" xfId="9330"/>
    <cellStyle name="20% - Accent4 12 3" xfId="9331"/>
    <cellStyle name="20% - Accent4 12 3 2" xfId="9332"/>
    <cellStyle name="20% - Accent4 12 3 3" xfId="9333"/>
    <cellStyle name="20% - Accent4 12 4" xfId="9334"/>
    <cellStyle name="20% - Accent4 12 4 2" xfId="9335"/>
    <cellStyle name="20% - Accent4 12 5" xfId="9336"/>
    <cellStyle name="20% - Accent4 12 6" xfId="9337"/>
    <cellStyle name="20% - Accent4 12 7" xfId="9338"/>
    <cellStyle name="20% - Accent4 13" xfId="9339"/>
    <cellStyle name="20% - Accent4 13 2" xfId="9340"/>
    <cellStyle name="20% - Accent4 13 3" xfId="9341"/>
    <cellStyle name="20% - Accent4 13 4" xfId="9342"/>
    <cellStyle name="20% - Accent4 14" xfId="9343"/>
    <cellStyle name="20% - Accent4 14 10" xfId="9344"/>
    <cellStyle name="20% - Accent4 14 2" xfId="9345"/>
    <cellStyle name="20% - Accent4 14 2 2" xfId="9346"/>
    <cellStyle name="20% - Accent4 14 2 2 2" xfId="9347"/>
    <cellStyle name="20% - Accent4 14 2 2 2 2" xfId="9348"/>
    <cellStyle name="20% - Accent4 14 2 2 2 2 2" xfId="9349"/>
    <cellStyle name="20% - Accent4 14 2 2 2 2 2 2" xfId="9350"/>
    <cellStyle name="20% - Accent4 14 2 2 2 3" xfId="9351"/>
    <cellStyle name="20% - Accent4 14 2 2 2 3 2" xfId="9352"/>
    <cellStyle name="20% - Accent4 14 2 2 3" xfId="9353"/>
    <cellStyle name="20% - Accent4 14 2 2 3 2" xfId="9354"/>
    <cellStyle name="20% - Accent4 14 2 2 3 2 2" xfId="9355"/>
    <cellStyle name="20% - Accent4 14 2 2 4" xfId="9356"/>
    <cellStyle name="20% - Accent4 14 2 2 4 2" xfId="9357"/>
    <cellStyle name="20% - Accent4 14 2 2 5" xfId="9358"/>
    <cellStyle name="20% - Accent4 14 2 2 6" xfId="9359"/>
    <cellStyle name="20% - Accent4 14 2 2 7" xfId="9360"/>
    <cellStyle name="20% - Accent4 14 2 3" xfId="9361"/>
    <cellStyle name="20% - Accent4 14 2 3 2" xfId="9362"/>
    <cellStyle name="20% - Accent4 14 2 3 2 2" xfId="9363"/>
    <cellStyle name="20% - Accent4 14 2 3 2 2 2" xfId="9364"/>
    <cellStyle name="20% - Accent4 14 2 3 3" xfId="9365"/>
    <cellStyle name="20% - Accent4 14 2 3 3 2" xfId="9366"/>
    <cellStyle name="20% - Accent4 14 2 3 4" xfId="9367"/>
    <cellStyle name="20% - Accent4 14 2 3 5" xfId="9368"/>
    <cellStyle name="20% - Accent4 14 2 3 6" xfId="9369"/>
    <cellStyle name="20% - Accent4 14 2 4" xfId="9370"/>
    <cellStyle name="20% - Accent4 14 2 4 2" xfId="9371"/>
    <cellStyle name="20% - Accent4 14 2 4 2 2" xfId="9372"/>
    <cellStyle name="20% - Accent4 14 2 4 3" xfId="9373"/>
    <cellStyle name="20% - Accent4 14 2 5" xfId="9374"/>
    <cellStyle name="20% - Accent4 14 2 5 2" xfId="9375"/>
    <cellStyle name="20% - Accent4 14 2 6" xfId="9376"/>
    <cellStyle name="20% - Accent4 14 2 7" xfId="9377"/>
    <cellStyle name="20% - Accent4 14 2 8" xfId="9378"/>
    <cellStyle name="20% - Accent4 14 2 9" xfId="9379"/>
    <cellStyle name="20% - Accent4 14 3" xfId="9380"/>
    <cellStyle name="20% - Accent4 14 3 2" xfId="9381"/>
    <cellStyle name="20% - Accent4 14 3 2 2" xfId="9382"/>
    <cellStyle name="20% - Accent4 14 3 2 2 2" xfId="9383"/>
    <cellStyle name="20% - Accent4 14 3 2 2 2 2" xfId="9384"/>
    <cellStyle name="20% - Accent4 14 3 2 3" xfId="9385"/>
    <cellStyle name="20% - Accent4 14 3 2 3 2" xfId="9386"/>
    <cellStyle name="20% - Accent4 14 3 2 4" xfId="9387"/>
    <cellStyle name="20% - Accent4 14 3 2 5" xfId="9388"/>
    <cellStyle name="20% - Accent4 14 3 2 6" xfId="9389"/>
    <cellStyle name="20% - Accent4 14 3 3" xfId="9390"/>
    <cellStyle name="20% - Accent4 14 3 3 2" xfId="9391"/>
    <cellStyle name="20% - Accent4 14 3 3 2 2" xfId="9392"/>
    <cellStyle name="20% - Accent4 14 3 3 3" xfId="9393"/>
    <cellStyle name="20% - Accent4 14 3 3 4" xfId="9394"/>
    <cellStyle name="20% - Accent4 14 3 3 5" xfId="9395"/>
    <cellStyle name="20% - Accent4 14 3 4" xfId="9396"/>
    <cellStyle name="20% - Accent4 14 3 4 2" xfId="9397"/>
    <cellStyle name="20% - Accent4 14 3 4 3" xfId="9398"/>
    <cellStyle name="20% - Accent4 14 3 5" xfId="9399"/>
    <cellStyle name="20% - Accent4 14 3 6" xfId="9400"/>
    <cellStyle name="20% - Accent4 14 3 7" xfId="9401"/>
    <cellStyle name="20% - Accent4 14 3 8" xfId="9402"/>
    <cellStyle name="20% - Accent4 14 4" xfId="9403"/>
    <cellStyle name="20% - Accent4 14 4 2" xfId="9404"/>
    <cellStyle name="20% - Accent4 14 4 2 2" xfId="9405"/>
    <cellStyle name="20% - Accent4 14 4 2 2 2" xfId="9406"/>
    <cellStyle name="20% - Accent4 14 4 3" xfId="9407"/>
    <cellStyle name="20% - Accent4 14 4 3 2" xfId="9408"/>
    <cellStyle name="20% - Accent4 14 4 4" xfId="9409"/>
    <cellStyle name="20% - Accent4 14 4 5" xfId="9410"/>
    <cellStyle name="20% - Accent4 14 4 6" xfId="9411"/>
    <cellStyle name="20% - Accent4 14 5" xfId="9412"/>
    <cellStyle name="20% - Accent4 14 5 2" xfId="9413"/>
    <cellStyle name="20% - Accent4 14 5 2 2" xfId="9414"/>
    <cellStyle name="20% - Accent4 14 5 3" xfId="9415"/>
    <cellStyle name="20% - Accent4 14 5 4" xfId="9416"/>
    <cellStyle name="20% - Accent4 14 5 5" xfId="9417"/>
    <cellStyle name="20% - Accent4 14 6" xfId="9418"/>
    <cellStyle name="20% - Accent4 14 6 2" xfId="9419"/>
    <cellStyle name="20% - Accent4 14 6 3" xfId="9420"/>
    <cellStyle name="20% - Accent4 14 7" xfId="9421"/>
    <cellStyle name="20% - Accent4 14 8" xfId="9422"/>
    <cellStyle name="20% - Accent4 14 9" xfId="9423"/>
    <cellStyle name="20% - Accent4 15" xfId="9424"/>
    <cellStyle name="20% - Accent4 15 2" xfId="9425"/>
    <cellStyle name="20% - Accent4 15 2 2" xfId="9426"/>
    <cellStyle name="20% - Accent4 15 2 3" xfId="9427"/>
    <cellStyle name="20% - Accent4 15 2 4" xfId="9428"/>
    <cellStyle name="20% - Accent4 15 3" xfId="9429"/>
    <cellStyle name="20% - Accent4 15 3 2" xfId="9430"/>
    <cellStyle name="20% - Accent4 15 3 3" xfId="9431"/>
    <cellStyle name="20% - Accent4 15 4" xfId="9432"/>
    <cellStyle name="20% - Accent4 15 4 2" xfId="9433"/>
    <cellStyle name="20% - Accent4 15 5" xfId="9434"/>
    <cellStyle name="20% - Accent4 15 6" xfId="9435"/>
    <cellStyle name="20% - Accent4 15 7" xfId="9436"/>
    <cellStyle name="20% - Accent4 16" xfId="9437"/>
    <cellStyle name="20% - Accent4 16 2" xfId="9438"/>
    <cellStyle name="20% - Accent4 16 2 2" xfId="9439"/>
    <cellStyle name="20% - Accent4 16 2 3" xfId="9440"/>
    <cellStyle name="20% - Accent4 16 2 4" xfId="9441"/>
    <cellStyle name="20% - Accent4 16 3" xfId="9442"/>
    <cellStyle name="20% - Accent4 16 3 2" xfId="9443"/>
    <cellStyle name="20% - Accent4 16 3 3" xfId="9444"/>
    <cellStyle name="20% - Accent4 16 4" xfId="9445"/>
    <cellStyle name="20% - Accent4 16 4 2" xfId="9446"/>
    <cellStyle name="20% - Accent4 16 5" xfId="9447"/>
    <cellStyle name="20% - Accent4 16 6" xfId="9448"/>
    <cellStyle name="20% - Accent4 16 7" xfId="9449"/>
    <cellStyle name="20% - Accent4 17" xfId="9450"/>
    <cellStyle name="20% - Accent4 17 2" xfId="9451"/>
    <cellStyle name="20% - Accent4 17 2 2" xfId="9452"/>
    <cellStyle name="20% - Accent4 17 2 3" xfId="9453"/>
    <cellStyle name="20% - Accent4 17 2 4" xfId="9454"/>
    <cellStyle name="20% - Accent4 17 3" xfId="9455"/>
    <cellStyle name="20% - Accent4 17 3 2" xfId="9456"/>
    <cellStyle name="20% - Accent4 17 3 3" xfId="9457"/>
    <cellStyle name="20% - Accent4 17 4" xfId="9458"/>
    <cellStyle name="20% - Accent4 17 4 2" xfId="9459"/>
    <cellStyle name="20% - Accent4 17 5" xfId="9460"/>
    <cellStyle name="20% - Accent4 17 6" xfId="9461"/>
    <cellStyle name="20% - Accent4 17 7" xfId="9462"/>
    <cellStyle name="20% - Accent4 18" xfId="9463"/>
    <cellStyle name="20% - Accent4 18 2" xfId="9464"/>
    <cellStyle name="20% - Accent4 18 2 2" xfId="9465"/>
    <cellStyle name="20% - Accent4 18 2 3" xfId="9466"/>
    <cellStyle name="20% - Accent4 18 2 4" xfId="9467"/>
    <cellStyle name="20% - Accent4 18 3" xfId="9468"/>
    <cellStyle name="20% - Accent4 18 3 2" xfId="9469"/>
    <cellStyle name="20% - Accent4 18 3 3" xfId="9470"/>
    <cellStyle name="20% - Accent4 18 4" xfId="9471"/>
    <cellStyle name="20% - Accent4 18 4 2" xfId="9472"/>
    <cellStyle name="20% - Accent4 18 5" xfId="9473"/>
    <cellStyle name="20% - Accent4 18 6" xfId="9474"/>
    <cellStyle name="20% - Accent4 18 7" xfId="9475"/>
    <cellStyle name="20% - Accent4 19" xfId="9476"/>
    <cellStyle name="20% - Accent4 19 2" xfId="9477"/>
    <cellStyle name="20% - Accent4 19 2 2" xfId="9478"/>
    <cellStyle name="20% - Accent4 19 2 3" xfId="9479"/>
    <cellStyle name="20% - Accent4 19 2 4" xfId="9480"/>
    <cellStyle name="20% - Accent4 19 3" xfId="9481"/>
    <cellStyle name="20% - Accent4 19 3 2" xfId="9482"/>
    <cellStyle name="20% - Accent4 19 3 3" xfId="9483"/>
    <cellStyle name="20% - Accent4 19 4" xfId="9484"/>
    <cellStyle name="20% - Accent4 19 4 2" xfId="9485"/>
    <cellStyle name="20% - Accent4 19 5" xfId="9486"/>
    <cellStyle name="20% - Accent4 19 6" xfId="9487"/>
    <cellStyle name="20% - Accent4 19 7" xfId="9488"/>
    <cellStyle name="20% - Accent4 2" xfId="9489"/>
    <cellStyle name="20% - Accent4 2 10" xfId="9490"/>
    <cellStyle name="20% - Accent4 2 10 2" xfId="9491"/>
    <cellStyle name="20% - Accent4 2 10 2 2" xfId="9492"/>
    <cellStyle name="20% - Accent4 2 10 2 2 2" xfId="9493"/>
    <cellStyle name="20% - Accent4 2 10 2 2 2 2" xfId="9494"/>
    <cellStyle name="20% - Accent4 2 10 2 2 2 2 2" xfId="9495"/>
    <cellStyle name="20% - Accent4 2 10 2 2 2 2 2 2" xfId="9496"/>
    <cellStyle name="20% - Accent4 2 10 2 2 2 3" xfId="9497"/>
    <cellStyle name="20% - Accent4 2 10 2 2 2 3 2" xfId="9498"/>
    <cellStyle name="20% - Accent4 2 10 2 2 3" xfId="9499"/>
    <cellStyle name="20% - Accent4 2 10 2 2 3 2" xfId="9500"/>
    <cellStyle name="20% - Accent4 2 10 2 2 3 2 2" xfId="9501"/>
    <cellStyle name="20% - Accent4 2 10 2 2 4" xfId="9502"/>
    <cellStyle name="20% - Accent4 2 10 2 2 4 2" xfId="9503"/>
    <cellStyle name="20% - Accent4 2 10 2 3" xfId="9504"/>
    <cellStyle name="20% - Accent4 2 10 2 3 2" xfId="9505"/>
    <cellStyle name="20% - Accent4 2 10 2 3 2 2" xfId="9506"/>
    <cellStyle name="20% - Accent4 2 10 2 3 2 2 2" xfId="9507"/>
    <cellStyle name="20% - Accent4 2 10 2 3 3" xfId="9508"/>
    <cellStyle name="20% - Accent4 2 10 2 3 3 2" xfId="9509"/>
    <cellStyle name="20% - Accent4 2 10 2 4" xfId="9510"/>
    <cellStyle name="20% - Accent4 2 10 2 4 2" xfId="9511"/>
    <cellStyle name="20% - Accent4 2 10 2 4 2 2" xfId="9512"/>
    <cellStyle name="20% - Accent4 2 10 2 5" xfId="9513"/>
    <cellStyle name="20% - Accent4 2 10 2 5 2" xfId="9514"/>
    <cellStyle name="20% - Accent4 2 10 3" xfId="9515"/>
    <cellStyle name="20% - Accent4 2 10 3 2" xfId="9516"/>
    <cellStyle name="20% - Accent4 2 10 3 2 2" xfId="9517"/>
    <cellStyle name="20% - Accent4 2 10 3 2 2 2" xfId="9518"/>
    <cellStyle name="20% - Accent4 2 10 3 2 2 2 2" xfId="9519"/>
    <cellStyle name="20% - Accent4 2 10 3 2 3" xfId="9520"/>
    <cellStyle name="20% - Accent4 2 10 3 2 3 2" xfId="9521"/>
    <cellStyle name="20% - Accent4 2 10 3 3" xfId="9522"/>
    <cellStyle name="20% - Accent4 2 10 3 3 2" xfId="9523"/>
    <cellStyle name="20% - Accent4 2 10 3 3 2 2" xfId="9524"/>
    <cellStyle name="20% - Accent4 2 10 3 4" xfId="9525"/>
    <cellStyle name="20% - Accent4 2 10 3 4 2" xfId="9526"/>
    <cellStyle name="20% - Accent4 2 10 4" xfId="9527"/>
    <cellStyle name="20% - Accent4 2 10 4 2" xfId="9528"/>
    <cellStyle name="20% - Accent4 2 10 4 2 2" xfId="9529"/>
    <cellStyle name="20% - Accent4 2 10 4 2 2 2" xfId="9530"/>
    <cellStyle name="20% - Accent4 2 10 4 3" xfId="9531"/>
    <cellStyle name="20% - Accent4 2 10 4 3 2" xfId="9532"/>
    <cellStyle name="20% - Accent4 2 10 5" xfId="9533"/>
    <cellStyle name="20% - Accent4 2 10 5 2" xfId="9534"/>
    <cellStyle name="20% - Accent4 2 10 5 2 2" xfId="9535"/>
    <cellStyle name="20% - Accent4 2 10 6" xfId="9536"/>
    <cellStyle name="20% - Accent4 2 10 6 2" xfId="9537"/>
    <cellStyle name="20% - Accent4 2 11" xfId="9538"/>
    <cellStyle name="20% - Accent4 2 11 2" xfId="9539"/>
    <cellStyle name="20% - Accent4 2 11 2 2" xfId="9540"/>
    <cellStyle name="20% - Accent4 2 11 2 2 2" xfId="9541"/>
    <cellStyle name="20% - Accent4 2 11 2 2 2 2" xfId="9542"/>
    <cellStyle name="20% - Accent4 2 11 2 2 2 2 2" xfId="9543"/>
    <cellStyle name="20% - Accent4 2 11 2 2 2 2 2 2" xfId="9544"/>
    <cellStyle name="20% - Accent4 2 11 2 2 2 3" xfId="9545"/>
    <cellStyle name="20% - Accent4 2 11 2 2 2 3 2" xfId="9546"/>
    <cellStyle name="20% - Accent4 2 11 2 2 3" xfId="9547"/>
    <cellStyle name="20% - Accent4 2 11 2 2 3 2" xfId="9548"/>
    <cellStyle name="20% - Accent4 2 11 2 2 3 2 2" xfId="9549"/>
    <cellStyle name="20% - Accent4 2 11 2 2 4" xfId="9550"/>
    <cellStyle name="20% - Accent4 2 11 2 2 4 2" xfId="9551"/>
    <cellStyle name="20% - Accent4 2 11 2 3" xfId="9552"/>
    <cellStyle name="20% - Accent4 2 11 2 3 2" xfId="9553"/>
    <cellStyle name="20% - Accent4 2 11 2 3 2 2" xfId="9554"/>
    <cellStyle name="20% - Accent4 2 11 2 3 2 2 2" xfId="9555"/>
    <cellStyle name="20% - Accent4 2 11 2 3 3" xfId="9556"/>
    <cellStyle name="20% - Accent4 2 11 2 3 3 2" xfId="9557"/>
    <cellStyle name="20% - Accent4 2 11 2 4" xfId="9558"/>
    <cellStyle name="20% - Accent4 2 11 2 4 2" xfId="9559"/>
    <cellStyle name="20% - Accent4 2 11 2 4 2 2" xfId="9560"/>
    <cellStyle name="20% - Accent4 2 11 2 5" xfId="9561"/>
    <cellStyle name="20% - Accent4 2 11 2 5 2" xfId="9562"/>
    <cellStyle name="20% - Accent4 2 11 3" xfId="9563"/>
    <cellStyle name="20% - Accent4 2 11 3 2" xfId="9564"/>
    <cellStyle name="20% - Accent4 2 11 3 2 2" xfId="9565"/>
    <cellStyle name="20% - Accent4 2 11 3 2 2 2" xfId="9566"/>
    <cellStyle name="20% - Accent4 2 11 3 2 2 2 2" xfId="9567"/>
    <cellStyle name="20% - Accent4 2 11 3 2 3" xfId="9568"/>
    <cellStyle name="20% - Accent4 2 11 3 2 3 2" xfId="9569"/>
    <cellStyle name="20% - Accent4 2 11 3 3" xfId="9570"/>
    <cellStyle name="20% - Accent4 2 11 3 3 2" xfId="9571"/>
    <cellStyle name="20% - Accent4 2 11 3 3 2 2" xfId="9572"/>
    <cellStyle name="20% - Accent4 2 11 3 4" xfId="9573"/>
    <cellStyle name="20% - Accent4 2 11 3 4 2" xfId="9574"/>
    <cellStyle name="20% - Accent4 2 11 4" xfId="9575"/>
    <cellStyle name="20% - Accent4 2 11 4 2" xfId="9576"/>
    <cellStyle name="20% - Accent4 2 11 4 2 2" xfId="9577"/>
    <cellStyle name="20% - Accent4 2 11 4 2 2 2" xfId="9578"/>
    <cellStyle name="20% - Accent4 2 11 4 3" xfId="9579"/>
    <cellStyle name="20% - Accent4 2 11 4 3 2" xfId="9580"/>
    <cellStyle name="20% - Accent4 2 11 5" xfId="9581"/>
    <cellStyle name="20% - Accent4 2 11 5 2" xfId="9582"/>
    <cellStyle name="20% - Accent4 2 11 5 2 2" xfId="9583"/>
    <cellStyle name="20% - Accent4 2 11 6" xfId="9584"/>
    <cellStyle name="20% - Accent4 2 11 6 2" xfId="9585"/>
    <cellStyle name="20% - Accent4 2 12" xfId="9586"/>
    <cellStyle name="20% - Accent4 2 12 2" xfId="9587"/>
    <cellStyle name="20% - Accent4 2 12 2 2" xfId="9588"/>
    <cellStyle name="20% - Accent4 2 12 2 2 2" xfId="9589"/>
    <cellStyle name="20% - Accent4 2 12 2 2 2 2" xfId="9590"/>
    <cellStyle name="20% - Accent4 2 12 2 2 2 2 2" xfId="9591"/>
    <cellStyle name="20% - Accent4 2 12 2 2 2 2 2 2" xfId="9592"/>
    <cellStyle name="20% - Accent4 2 12 2 2 2 3" xfId="9593"/>
    <cellStyle name="20% - Accent4 2 12 2 2 2 3 2" xfId="9594"/>
    <cellStyle name="20% - Accent4 2 12 2 2 3" xfId="9595"/>
    <cellStyle name="20% - Accent4 2 12 2 2 3 2" xfId="9596"/>
    <cellStyle name="20% - Accent4 2 12 2 2 3 2 2" xfId="9597"/>
    <cellStyle name="20% - Accent4 2 12 2 2 4" xfId="9598"/>
    <cellStyle name="20% - Accent4 2 12 2 2 4 2" xfId="9599"/>
    <cellStyle name="20% - Accent4 2 12 2 3" xfId="9600"/>
    <cellStyle name="20% - Accent4 2 12 2 3 2" xfId="9601"/>
    <cellStyle name="20% - Accent4 2 12 2 3 2 2" xfId="9602"/>
    <cellStyle name="20% - Accent4 2 12 2 3 2 2 2" xfId="9603"/>
    <cellStyle name="20% - Accent4 2 12 2 3 3" xfId="9604"/>
    <cellStyle name="20% - Accent4 2 12 2 3 3 2" xfId="9605"/>
    <cellStyle name="20% - Accent4 2 12 2 4" xfId="9606"/>
    <cellStyle name="20% - Accent4 2 12 2 4 2" xfId="9607"/>
    <cellStyle name="20% - Accent4 2 12 2 4 2 2" xfId="9608"/>
    <cellStyle name="20% - Accent4 2 12 2 5" xfId="9609"/>
    <cellStyle name="20% - Accent4 2 12 2 5 2" xfId="9610"/>
    <cellStyle name="20% - Accent4 2 12 3" xfId="9611"/>
    <cellStyle name="20% - Accent4 2 12 3 2" xfId="9612"/>
    <cellStyle name="20% - Accent4 2 12 3 2 2" xfId="9613"/>
    <cellStyle name="20% - Accent4 2 12 3 2 2 2" xfId="9614"/>
    <cellStyle name="20% - Accent4 2 12 3 2 2 2 2" xfId="9615"/>
    <cellStyle name="20% - Accent4 2 12 3 2 3" xfId="9616"/>
    <cellStyle name="20% - Accent4 2 12 3 2 3 2" xfId="9617"/>
    <cellStyle name="20% - Accent4 2 12 3 3" xfId="9618"/>
    <cellStyle name="20% - Accent4 2 12 3 3 2" xfId="9619"/>
    <cellStyle name="20% - Accent4 2 12 3 3 2 2" xfId="9620"/>
    <cellStyle name="20% - Accent4 2 12 3 4" xfId="9621"/>
    <cellStyle name="20% - Accent4 2 12 3 4 2" xfId="9622"/>
    <cellStyle name="20% - Accent4 2 12 4" xfId="9623"/>
    <cellStyle name="20% - Accent4 2 12 4 2" xfId="9624"/>
    <cellStyle name="20% - Accent4 2 12 4 2 2" xfId="9625"/>
    <cellStyle name="20% - Accent4 2 12 4 2 2 2" xfId="9626"/>
    <cellStyle name="20% - Accent4 2 12 4 3" xfId="9627"/>
    <cellStyle name="20% - Accent4 2 12 4 3 2" xfId="9628"/>
    <cellStyle name="20% - Accent4 2 12 5" xfId="9629"/>
    <cellStyle name="20% - Accent4 2 12 5 2" xfId="9630"/>
    <cellStyle name="20% - Accent4 2 12 5 2 2" xfId="9631"/>
    <cellStyle name="20% - Accent4 2 12 6" xfId="9632"/>
    <cellStyle name="20% - Accent4 2 12 6 2" xfId="9633"/>
    <cellStyle name="20% - Accent4 2 13" xfId="9634"/>
    <cellStyle name="20% - Accent4 2 13 2" xfId="9635"/>
    <cellStyle name="20% - Accent4 2 13 2 2" xfId="9636"/>
    <cellStyle name="20% - Accent4 2 13 2 2 2" xfId="9637"/>
    <cellStyle name="20% - Accent4 2 13 2 2 2 2" xfId="9638"/>
    <cellStyle name="20% - Accent4 2 13 2 2 2 2 2" xfId="9639"/>
    <cellStyle name="20% - Accent4 2 13 2 2 2 2 2 2" xfId="9640"/>
    <cellStyle name="20% - Accent4 2 13 2 2 2 3" xfId="9641"/>
    <cellStyle name="20% - Accent4 2 13 2 2 2 3 2" xfId="9642"/>
    <cellStyle name="20% - Accent4 2 13 2 2 3" xfId="9643"/>
    <cellStyle name="20% - Accent4 2 13 2 2 3 2" xfId="9644"/>
    <cellStyle name="20% - Accent4 2 13 2 2 3 2 2" xfId="9645"/>
    <cellStyle name="20% - Accent4 2 13 2 2 4" xfId="9646"/>
    <cellStyle name="20% - Accent4 2 13 2 2 4 2" xfId="9647"/>
    <cellStyle name="20% - Accent4 2 13 2 3" xfId="9648"/>
    <cellStyle name="20% - Accent4 2 13 2 3 2" xfId="9649"/>
    <cellStyle name="20% - Accent4 2 13 2 3 2 2" xfId="9650"/>
    <cellStyle name="20% - Accent4 2 13 2 3 2 2 2" xfId="9651"/>
    <cellStyle name="20% - Accent4 2 13 2 3 3" xfId="9652"/>
    <cellStyle name="20% - Accent4 2 13 2 3 3 2" xfId="9653"/>
    <cellStyle name="20% - Accent4 2 13 2 4" xfId="9654"/>
    <cellStyle name="20% - Accent4 2 13 2 4 2" xfId="9655"/>
    <cellStyle name="20% - Accent4 2 13 2 4 2 2" xfId="9656"/>
    <cellStyle name="20% - Accent4 2 13 2 5" xfId="9657"/>
    <cellStyle name="20% - Accent4 2 13 2 5 2" xfId="9658"/>
    <cellStyle name="20% - Accent4 2 13 3" xfId="9659"/>
    <cellStyle name="20% - Accent4 2 13 3 2" xfId="9660"/>
    <cellStyle name="20% - Accent4 2 13 3 2 2" xfId="9661"/>
    <cellStyle name="20% - Accent4 2 13 3 2 2 2" xfId="9662"/>
    <cellStyle name="20% - Accent4 2 13 3 2 2 2 2" xfId="9663"/>
    <cellStyle name="20% - Accent4 2 13 3 2 3" xfId="9664"/>
    <cellStyle name="20% - Accent4 2 13 3 2 3 2" xfId="9665"/>
    <cellStyle name="20% - Accent4 2 13 3 3" xfId="9666"/>
    <cellStyle name="20% - Accent4 2 13 3 3 2" xfId="9667"/>
    <cellStyle name="20% - Accent4 2 13 3 3 2 2" xfId="9668"/>
    <cellStyle name="20% - Accent4 2 13 3 4" xfId="9669"/>
    <cellStyle name="20% - Accent4 2 13 3 4 2" xfId="9670"/>
    <cellStyle name="20% - Accent4 2 13 4" xfId="9671"/>
    <cellStyle name="20% - Accent4 2 13 4 2" xfId="9672"/>
    <cellStyle name="20% - Accent4 2 13 4 2 2" xfId="9673"/>
    <cellStyle name="20% - Accent4 2 13 4 2 2 2" xfId="9674"/>
    <cellStyle name="20% - Accent4 2 13 4 3" xfId="9675"/>
    <cellStyle name="20% - Accent4 2 13 4 3 2" xfId="9676"/>
    <cellStyle name="20% - Accent4 2 13 5" xfId="9677"/>
    <cellStyle name="20% - Accent4 2 13 5 2" xfId="9678"/>
    <cellStyle name="20% - Accent4 2 13 5 2 2" xfId="9679"/>
    <cellStyle name="20% - Accent4 2 13 6" xfId="9680"/>
    <cellStyle name="20% - Accent4 2 13 6 2" xfId="9681"/>
    <cellStyle name="20% - Accent4 2 14" xfId="9682"/>
    <cellStyle name="20% - Accent4 2 14 2" xfId="9683"/>
    <cellStyle name="20% - Accent4 2 14 2 2" xfId="9684"/>
    <cellStyle name="20% - Accent4 2 14 2 2 2" xfId="9685"/>
    <cellStyle name="20% - Accent4 2 14 2 2 2 2" xfId="9686"/>
    <cellStyle name="20% - Accent4 2 14 2 2 2 2 2" xfId="9687"/>
    <cellStyle name="20% - Accent4 2 14 2 2 3" xfId="9688"/>
    <cellStyle name="20% - Accent4 2 14 2 2 3 2" xfId="9689"/>
    <cellStyle name="20% - Accent4 2 14 2 3" xfId="9690"/>
    <cellStyle name="20% - Accent4 2 14 2 3 2" xfId="9691"/>
    <cellStyle name="20% - Accent4 2 14 2 3 2 2" xfId="9692"/>
    <cellStyle name="20% - Accent4 2 14 2 4" xfId="9693"/>
    <cellStyle name="20% - Accent4 2 14 2 4 2" xfId="9694"/>
    <cellStyle name="20% - Accent4 2 14 3" xfId="9695"/>
    <cellStyle name="20% - Accent4 2 14 3 2" xfId="9696"/>
    <cellStyle name="20% - Accent4 2 14 3 2 2" xfId="9697"/>
    <cellStyle name="20% - Accent4 2 14 3 2 2 2" xfId="9698"/>
    <cellStyle name="20% - Accent4 2 14 3 3" xfId="9699"/>
    <cellStyle name="20% - Accent4 2 14 3 3 2" xfId="9700"/>
    <cellStyle name="20% - Accent4 2 14 4" xfId="9701"/>
    <cellStyle name="20% - Accent4 2 14 4 2" xfId="9702"/>
    <cellStyle name="20% - Accent4 2 14 4 2 2" xfId="9703"/>
    <cellStyle name="20% - Accent4 2 14 5" xfId="9704"/>
    <cellStyle name="20% - Accent4 2 14 5 2" xfId="9705"/>
    <cellStyle name="20% - Accent4 2 15" xfId="9706"/>
    <cellStyle name="20% - Accent4 2 15 2" xfId="9707"/>
    <cellStyle name="20% - Accent4 2 15 2 2" xfId="9708"/>
    <cellStyle name="20% - Accent4 2 15 2 2 2" xfId="9709"/>
    <cellStyle name="20% - Accent4 2 15 2 2 2 2" xfId="9710"/>
    <cellStyle name="20% - Accent4 2 15 2 3" xfId="9711"/>
    <cellStyle name="20% - Accent4 2 15 2 3 2" xfId="9712"/>
    <cellStyle name="20% - Accent4 2 15 3" xfId="9713"/>
    <cellStyle name="20% - Accent4 2 15 3 2" xfId="9714"/>
    <cellStyle name="20% - Accent4 2 15 3 2 2" xfId="9715"/>
    <cellStyle name="20% - Accent4 2 15 4" xfId="9716"/>
    <cellStyle name="20% - Accent4 2 15 4 2" xfId="9717"/>
    <cellStyle name="20% - Accent4 2 16" xfId="9718"/>
    <cellStyle name="20% - Accent4 2 16 2" xfId="9719"/>
    <cellStyle name="20% - Accent4 2 16 2 2" xfId="9720"/>
    <cellStyle name="20% - Accent4 2 16 2 2 2" xfId="9721"/>
    <cellStyle name="20% - Accent4 2 16 3" xfId="9722"/>
    <cellStyle name="20% - Accent4 2 16 3 2" xfId="9723"/>
    <cellStyle name="20% - Accent4 2 17" xfId="9724"/>
    <cellStyle name="20% - Accent4 2 17 2" xfId="9725"/>
    <cellStyle name="20% - Accent4 2 17 2 2" xfId="9726"/>
    <cellStyle name="20% - Accent4 2 18" xfId="9727"/>
    <cellStyle name="20% - Accent4 2 19" xfId="9728"/>
    <cellStyle name="20% - Accent4 2 19 2" xfId="9729"/>
    <cellStyle name="20% - Accent4 2 2" xfId="9730"/>
    <cellStyle name="20% - Accent4 2 2 2" xfId="9731"/>
    <cellStyle name="20% - Accent4 2 2 2 2" xfId="9732"/>
    <cellStyle name="20% - Accent4 2 2 2 2 2" xfId="9733"/>
    <cellStyle name="20% - Accent4 2 2 2 2 2 2" xfId="9734"/>
    <cellStyle name="20% - Accent4 2 2 2 2 2 2 2" xfId="9735"/>
    <cellStyle name="20% - Accent4 2 2 2 2 2 2 2 2" xfId="9736"/>
    <cellStyle name="20% - Accent4 2 2 2 2 2 3" xfId="9737"/>
    <cellStyle name="20% - Accent4 2 2 2 2 2 3 2" xfId="9738"/>
    <cellStyle name="20% - Accent4 2 2 2 2 3" xfId="9739"/>
    <cellStyle name="20% - Accent4 2 2 2 2 3 2" xfId="9740"/>
    <cellStyle name="20% - Accent4 2 2 2 2 3 2 2" xfId="9741"/>
    <cellStyle name="20% - Accent4 2 2 2 2 4" xfId="9742"/>
    <cellStyle name="20% - Accent4 2 2 2 2 4 2" xfId="9743"/>
    <cellStyle name="20% - Accent4 2 2 2 3" xfId="9744"/>
    <cellStyle name="20% - Accent4 2 2 2 3 2" xfId="9745"/>
    <cellStyle name="20% - Accent4 2 2 2 3 2 2" xfId="9746"/>
    <cellStyle name="20% - Accent4 2 2 2 3 2 2 2" xfId="9747"/>
    <cellStyle name="20% - Accent4 2 2 2 3 3" xfId="9748"/>
    <cellStyle name="20% - Accent4 2 2 2 3 3 2" xfId="9749"/>
    <cellStyle name="20% - Accent4 2 2 2 4" xfId="9750"/>
    <cellStyle name="20% - Accent4 2 2 2 4 2" xfId="9751"/>
    <cellStyle name="20% - Accent4 2 2 2 4 2 2" xfId="9752"/>
    <cellStyle name="20% - Accent4 2 2 2 5" xfId="9753"/>
    <cellStyle name="20% - Accent4 2 2 2 5 2" xfId="9754"/>
    <cellStyle name="20% - Accent4 2 2 3" xfId="9755"/>
    <cellStyle name="20% - Accent4 2 2 3 2" xfId="9756"/>
    <cellStyle name="20% - Accent4 2 2 3 2 2" xfId="9757"/>
    <cellStyle name="20% - Accent4 2 2 3 2 2 2" xfId="9758"/>
    <cellStyle name="20% - Accent4 2 2 3 2 2 2 2" xfId="9759"/>
    <cellStyle name="20% - Accent4 2 2 3 2 3" xfId="9760"/>
    <cellStyle name="20% - Accent4 2 2 3 2 3 2" xfId="9761"/>
    <cellStyle name="20% - Accent4 2 2 3 3" xfId="9762"/>
    <cellStyle name="20% - Accent4 2 2 3 3 2" xfId="9763"/>
    <cellStyle name="20% - Accent4 2 2 3 3 2 2" xfId="9764"/>
    <cellStyle name="20% - Accent4 2 2 3 4" xfId="9765"/>
    <cellStyle name="20% - Accent4 2 2 3 4 2" xfId="9766"/>
    <cellStyle name="20% - Accent4 2 2 4" xfId="9767"/>
    <cellStyle name="20% - Accent4 2 2 4 2" xfId="9768"/>
    <cellStyle name="20% - Accent4 2 2 4 2 2" xfId="9769"/>
    <cellStyle name="20% - Accent4 2 2 4 2 2 2" xfId="9770"/>
    <cellStyle name="20% - Accent4 2 2 4 3" xfId="9771"/>
    <cellStyle name="20% - Accent4 2 2 4 3 2" xfId="9772"/>
    <cellStyle name="20% - Accent4 2 2 5" xfId="9773"/>
    <cellStyle name="20% - Accent4 2 2 5 2" xfId="9774"/>
    <cellStyle name="20% - Accent4 2 2 5 2 2" xfId="9775"/>
    <cellStyle name="20% - Accent4 2 2 6" xfId="9776"/>
    <cellStyle name="20% - Accent4 2 2 6 2" xfId="9777"/>
    <cellStyle name="20% - Accent4 2 2 7" xfId="9778"/>
    <cellStyle name="20% - Accent4 2 3" xfId="9779"/>
    <cellStyle name="20% - Accent4 2 3 2" xfId="9780"/>
    <cellStyle name="20% - Accent4 2 3 2 2" xfId="9781"/>
    <cellStyle name="20% - Accent4 2 3 2 2 2" xfId="9782"/>
    <cellStyle name="20% - Accent4 2 3 2 2 2 2" xfId="9783"/>
    <cellStyle name="20% - Accent4 2 3 2 2 2 2 2" xfId="9784"/>
    <cellStyle name="20% - Accent4 2 3 2 2 2 2 2 2" xfId="9785"/>
    <cellStyle name="20% - Accent4 2 3 2 2 2 3" xfId="9786"/>
    <cellStyle name="20% - Accent4 2 3 2 2 2 3 2" xfId="9787"/>
    <cellStyle name="20% - Accent4 2 3 2 2 3" xfId="9788"/>
    <cellStyle name="20% - Accent4 2 3 2 2 3 2" xfId="9789"/>
    <cellStyle name="20% - Accent4 2 3 2 2 3 2 2" xfId="9790"/>
    <cellStyle name="20% - Accent4 2 3 2 2 4" xfId="9791"/>
    <cellStyle name="20% - Accent4 2 3 2 2 4 2" xfId="9792"/>
    <cellStyle name="20% - Accent4 2 3 2 3" xfId="9793"/>
    <cellStyle name="20% - Accent4 2 3 2 3 2" xfId="9794"/>
    <cellStyle name="20% - Accent4 2 3 2 3 2 2" xfId="9795"/>
    <cellStyle name="20% - Accent4 2 3 2 3 2 2 2" xfId="9796"/>
    <cellStyle name="20% - Accent4 2 3 2 3 3" xfId="9797"/>
    <cellStyle name="20% - Accent4 2 3 2 3 3 2" xfId="9798"/>
    <cellStyle name="20% - Accent4 2 3 2 4" xfId="9799"/>
    <cellStyle name="20% - Accent4 2 3 2 4 2" xfId="9800"/>
    <cellStyle name="20% - Accent4 2 3 2 4 2 2" xfId="9801"/>
    <cellStyle name="20% - Accent4 2 3 2 5" xfId="9802"/>
    <cellStyle name="20% - Accent4 2 3 2 5 2" xfId="9803"/>
    <cellStyle name="20% - Accent4 2 3 3" xfId="9804"/>
    <cellStyle name="20% - Accent4 2 3 3 2" xfId="9805"/>
    <cellStyle name="20% - Accent4 2 3 3 2 2" xfId="9806"/>
    <cellStyle name="20% - Accent4 2 3 3 2 2 2" xfId="9807"/>
    <cellStyle name="20% - Accent4 2 3 3 2 2 2 2" xfId="9808"/>
    <cellStyle name="20% - Accent4 2 3 3 2 3" xfId="9809"/>
    <cellStyle name="20% - Accent4 2 3 3 2 3 2" xfId="9810"/>
    <cellStyle name="20% - Accent4 2 3 3 3" xfId="9811"/>
    <cellStyle name="20% - Accent4 2 3 3 3 2" xfId="9812"/>
    <cellStyle name="20% - Accent4 2 3 3 3 2 2" xfId="9813"/>
    <cellStyle name="20% - Accent4 2 3 3 4" xfId="9814"/>
    <cellStyle name="20% - Accent4 2 3 3 4 2" xfId="9815"/>
    <cellStyle name="20% - Accent4 2 3 4" xfId="9816"/>
    <cellStyle name="20% - Accent4 2 3 4 2" xfId="9817"/>
    <cellStyle name="20% - Accent4 2 3 4 2 2" xfId="9818"/>
    <cellStyle name="20% - Accent4 2 3 4 2 2 2" xfId="9819"/>
    <cellStyle name="20% - Accent4 2 3 4 3" xfId="9820"/>
    <cellStyle name="20% - Accent4 2 3 4 3 2" xfId="9821"/>
    <cellStyle name="20% - Accent4 2 3 5" xfId="9822"/>
    <cellStyle name="20% - Accent4 2 3 5 2" xfId="9823"/>
    <cellStyle name="20% - Accent4 2 3 5 2 2" xfId="9824"/>
    <cellStyle name="20% - Accent4 2 3 6" xfId="9825"/>
    <cellStyle name="20% - Accent4 2 3 6 2" xfId="9826"/>
    <cellStyle name="20% - Accent4 2 3 7" xfId="9827"/>
    <cellStyle name="20% - Accent4 2 4" xfId="9828"/>
    <cellStyle name="20% - Accent4 2 4 2" xfId="9829"/>
    <cellStyle name="20% - Accent4 2 4 2 2" xfId="9830"/>
    <cellStyle name="20% - Accent4 2 4 2 2 2" xfId="9831"/>
    <cellStyle name="20% - Accent4 2 4 2 2 2 2" xfId="9832"/>
    <cellStyle name="20% - Accent4 2 4 2 2 2 2 2" xfId="9833"/>
    <cellStyle name="20% - Accent4 2 4 2 2 2 2 2 2" xfId="9834"/>
    <cellStyle name="20% - Accent4 2 4 2 2 2 3" xfId="9835"/>
    <cellStyle name="20% - Accent4 2 4 2 2 2 3 2" xfId="9836"/>
    <cellStyle name="20% - Accent4 2 4 2 2 3" xfId="9837"/>
    <cellStyle name="20% - Accent4 2 4 2 2 3 2" xfId="9838"/>
    <cellStyle name="20% - Accent4 2 4 2 2 3 2 2" xfId="9839"/>
    <cellStyle name="20% - Accent4 2 4 2 2 4" xfId="9840"/>
    <cellStyle name="20% - Accent4 2 4 2 2 4 2" xfId="9841"/>
    <cellStyle name="20% - Accent4 2 4 2 3" xfId="9842"/>
    <cellStyle name="20% - Accent4 2 4 2 3 2" xfId="9843"/>
    <cellStyle name="20% - Accent4 2 4 2 3 2 2" xfId="9844"/>
    <cellStyle name="20% - Accent4 2 4 2 3 2 2 2" xfId="9845"/>
    <cellStyle name="20% - Accent4 2 4 2 3 3" xfId="9846"/>
    <cellStyle name="20% - Accent4 2 4 2 3 3 2" xfId="9847"/>
    <cellStyle name="20% - Accent4 2 4 2 4" xfId="9848"/>
    <cellStyle name="20% - Accent4 2 4 2 4 2" xfId="9849"/>
    <cellStyle name="20% - Accent4 2 4 2 4 2 2" xfId="9850"/>
    <cellStyle name="20% - Accent4 2 4 2 5" xfId="9851"/>
    <cellStyle name="20% - Accent4 2 4 2 5 2" xfId="9852"/>
    <cellStyle name="20% - Accent4 2 4 3" xfId="9853"/>
    <cellStyle name="20% - Accent4 2 4 3 2" xfId="9854"/>
    <cellStyle name="20% - Accent4 2 4 3 2 2" xfId="9855"/>
    <cellStyle name="20% - Accent4 2 4 3 2 2 2" xfId="9856"/>
    <cellStyle name="20% - Accent4 2 4 3 2 2 2 2" xfId="9857"/>
    <cellStyle name="20% - Accent4 2 4 3 2 3" xfId="9858"/>
    <cellStyle name="20% - Accent4 2 4 3 2 3 2" xfId="9859"/>
    <cellStyle name="20% - Accent4 2 4 3 3" xfId="9860"/>
    <cellStyle name="20% - Accent4 2 4 3 3 2" xfId="9861"/>
    <cellStyle name="20% - Accent4 2 4 3 3 2 2" xfId="9862"/>
    <cellStyle name="20% - Accent4 2 4 3 4" xfId="9863"/>
    <cellStyle name="20% - Accent4 2 4 3 4 2" xfId="9864"/>
    <cellStyle name="20% - Accent4 2 4 4" xfId="9865"/>
    <cellStyle name="20% - Accent4 2 4 4 2" xfId="9866"/>
    <cellStyle name="20% - Accent4 2 4 4 2 2" xfId="9867"/>
    <cellStyle name="20% - Accent4 2 4 4 2 2 2" xfId="9868"/>
    <cellStyle name="20% - Accent4 2 4 4 3" xfId="9869"/>
    <cellStyle name="20% - Accent4 2 4 4 3 2" xfId="9870"/>
    <cellStyle name="20% - Accent4 2 4 5" xfId="9871"/>
    <cellStyle name="20% - Accent4 2 4 5 2" xfId="9872"/>
    <cellStyle name="20% - Accent4 2 4 5 2 2" xfId="9873"/>
    <cellStyle name="20% - Accent4 2 4 6" xfId="9874"/>
    <cellStyle name="20% - Accent4 2 4 6 2" xfId="9875"/>
    <cellStyle name="20% - Accent4 2 4 7" xfId="9876"/>
    <cellStyle name="20% - Accent4 2 5" xfId="9877"/>
    <cellStyle name="20% - Accent4 2 5 2" xfId="9878"/>
    <cellStyle name="20% - Accent4 2 5 2 2" xfId="9879"/>
    <cellStyle name="20% - Accent4 2 5 2 2 2" xfId="9880"/>
    <cellStyle name="20% - Accent4 2 5 2 2 2 2" xfId="9881"/>
    <cellStyle name="20% - Accent4 2 5 2 2 2 2 2" xfId="9882"/>
    <cellStyle name="20% - Accent4 2 5 2 2 2 2 2 2" xfId="9883"/>
    <cellStyle name="20% - Accent4 2 5 2 2 2 3" xfId="9884"/>
    <cellStyle name="20% - Accent4 2 5 2 2 2 3 2" xfId="9885"/>
    <cellStyle name="20% - Accent4 2 5 2 2 3" xfId="9886"/>
    <cellStyle name="20% - Accent4 2 5 2 2 3 2" xfId="9887"/>
    <cellStyle name="20% - Accent4 2 5 2 2 3 2 2" xfId="9888"/>
    <cellStyle name="20% - Accent4 2 5 2 2 4" xfId="9889"/>
    <cellStyle name="20% - Accent4 2 5 2 2 4 2" xfId="9890"/>
    <cellStyle name="20% - Accent4 2 5 2 3" xfId="9891"/>
    <cellStyle name="20% - Accent4 2 5 2 3 2" xfId="9892"/>
    <cellStyle name="20% - Accent4 2 5 2 3 2 2" xfId="9893"/>
    <cellStyle name="20% - Accent4 2 5 2 3 2 2 2" xfId="9894"/>
    <cellStyle name="20% - Accent4 2 5 2 3 3" xfId="9895"/>
    <cellStyle name="20% - Accent4 2 5 2 3 3 2" xfId="9896"/>
    <cellStyle name="20% - Accent4 2 5 2 4" xfId="9897"/>
    <cellStyle name="20% - Accent4 2 5 2 4 2" xfId="9898"/>
    <cellStyle name="20% - Accent4 2 5 2 4 2 2" xfId="9899"/>
    <cellStyle name="20% - Accent4 2 5 2 5" xfId="9900"/>
    <cellStyle name="20% - Accent4 2 5 2 5 2" xfId="9901"/>
    <cellStyle name="20% - Accent4 2 5 3" xfId="9902"/>
    <cellStyle name="20% - Accent4 2 5 3 2" xfId="9903"/>
    <cellStyle name="20% - Accent4 2 5 3 2 2" xfId="9904"/>
    <cellStyle name="20% - Accent4 2 5 3 2 2 2" xfId="9905"/>
    <cellStyle name="20% - Accent4 2 5 3 2 2 2 2" xfId="9906"/>
    <cellStyle name="20% - Accent4 2 5 3 2 3" xfId="9907"/>
    <cellStyle name="20% - Accent4 2 5 3 2 3 2" xfId="9908"/>
    <cellStyle name="20% - Accent4 2 5 3 3" xfId="9909"/>
    <cellStyle name="20% - Accent4 2 5 3 3 2" xfId="9910"/>
    <cellStyle name="20% - Accent4 2 5 3 3 2 2" xfId="9911"/>
    <cellStyle name="20% - Accent4 2 5 3 4" xfId="9912"/>
    <cellStyle name="20% - Accent4 2 5 3 4 2" xfId="9913"/>
    <cellStyle name="20% - Accent4 2 5 4" xfId="9914"/>
    <cellStyle name="20% - Accent4 2 5 4 2" xfId="9915"/>
    <cellStyle name="20% - Accent4 2 5 4 2 2" xfId="9916"/>
    <cellStyle name="20% - Accent4 2 5 4 2 2 2" xfId="9917"/>
    <cellStyle name="20% - Accent4 2 5 4 3" xfId="9918"/>
    <cellStyle name="20% - Accent4 2 5 4 3 2" xfId="9919"/>
    <cellStyle name="20% - Accent4 2 5 5" xfId="9920"/>
    <cellStyle name="20% - Accent4 2 5 5 2" xfId="9921"/>
    <cellStyle name="20% - Accent4 2 5 5 2 2" xfId="9922"/>
    <cellStyle name="20% - Accent4 2 5 6" xfId="9923"/>
    <cellStyle name="20% - Accent4 2 5 6 2" xfId="9924"/>
    <cellStyle name="20% - Accent4 2 5 7" xfId="9925"/>
    <cellStyle name="20% - Accent4 2 6" xfId="9926"/>
    <cellStyle name="20% - Accent4 2 6 2" xfId="9927"/>
    <cellStyle name="20% - Accent4 2 6 2 2" xfId="9928"/>
    <cellStyle name="20% - Accent4 2 6 2 2 2" xfId="9929"/>
    <cellStyle name="20% - Accent4 2 6 2 2 2 2" xfId="9930"/>
    <cellStyle name="20% - Accent4 2 6 2 2 2 2 2" xfId="9931"/>
    <cellStyle name="20% - Accent4 2 6 2 2 2 2 2 2" xfId="9932"/>
    <cellStyle name="20% - Accent4 2 6 2 2 2 3" xfId="9933"/>
    <cellStyle name="20% - Accent4 2 6 2 2 2 3 2" xfId="9934"/>
    <cellStyle name="20% - Accent4 2 6 2 2 3" xfId="9935"/>
    <cellStyle name="20% - Accent4 2 6 2 2 3 2" xfId="9936"/>
    <cellStyle name="20% - Accent4 2 6 2 2 3 2 2" xfId="9937"/>
    <cellStyle name="20% - Accent4 2 6 2 2 4" xfId="9938"/>
    <cellStyle name="20% - Accent4 2 6 2 2 4 2" xfId="9939"/>
    <cellStyle name="20% - Accent4 2 6 2 3" xfId="9940"/>
    <cellStyle name="20% - Accent4 2 6 2 3 2" xfId="9941"/>
    <cellStyle name="20% - Accent4 2 6 2 3 2 2" xfId="9942"/>
    <cellStyle name="20% - Accent4 2 6 2 3 2 2 2" xfId="9943"/>
    <cellStyle name="20% - Accent4 2 6 2 3 3" xfId="9944"/>
    <cellStyle name="20% - Accent4 2 6 2 3 3 2" xfId="9945"/>
    <cellStyle name="20% - Accent4 2 6 2 4" xfId="9946"/>
    <cellStyle name="20% - Accent4 2 6 2 4 2" xfId="9947"/>
    <cellStyle name="20% - Accent4 2 6 2 4 2 2" xfId="9948"/>
    <cellStyle name="20% - Accent4 2 6 2 5" xfId="9949"/>
    <cellStyle name="20% - Accent4 2 6 2 5 2" xfId="9950"/>
    <cellStyle name="20% - Accent4 2 6 3" xfId="9951"/>
    <cellStyle name="20% - Accent4 2 6 3 2" xfId="9952"/>
    <cellStyle name="20% - Accent4 2 6 3 2 2" xfId="9953"/>
    <cellStyle name="20% - Accent4 2 6 3 2 2 2" xfId="9954"/>
    <cellStyle name="20% - Accent4 2 6 3 2 2 2 2" xfId="9955"/>
    <cellStyle name="20% - Accent4 2 6 3 2 3" xfId="9956"/>
    <cellStyle name="20% - Accent4 2 6 3 2 3 2" xfId="9957"/>
    <cellStyle name="20% - Accent4 2 6 3 3" xfId="9958"/>
    <cellStyle name="20% - Accent4 2 6 3 3 2" xfId="9959"/>
    <cellStyle name="20% - Accent4 2 6 3 3 2 2" xfId="9960"/>
    <cellStyle name="20% - Accent4 2 6 3 4" xfId="9961"/>
    <cellStyle name="20% - Accent4 2 6 3 4 2" xfId="9962"/>
    <cellStyle name="20% - Accent4 2 6 4" xfId="9963"/>
    <cellStyle name="20% - Accent4 2 6 4 2" xfId="9964"/>
    <cellStyle name="20% - Accent4 2 6 4 2 2" xfId="9965"/>
    <cellStyle name="20% - Accent4 2 6 4 2 2 2" xfId="9966"/>
    <cellStyle name="20% - Accent4 2 6 4 3" xfId="9967"/>
    <cellStyle name="20% - Accent4 2 6 4 3 2" xfId="9968"/>
    <cellStyle name="20% - Accent4 2 6 5" xfId="9969"/>
    <cellStyle name="20% - Accent4 2 6 5 2" xfId="9970"/>
    <cellStyle name="20% - Accent4 2 6 5 2 2" xfId="9971"/>
    <cellStyle name="20% - Accent4 2 6 6" xfId="9972"/>
    <cellStyle name="20% - Accent4 2 6 6 2" xfId="9973"/>
    <cellStyle name="20% - Accent4 2 6 7" xfId="9974"/>
    <cellStyle name="20% - Accent4 2 7" xfId="9975"/>
    <cellStyle name="20% - Accent4 2 7 2" xfId="9976"/>
    <cellStyle name="20% - Accent4 2 7 2 2" xfId="9977"/>
    <cellStyle name="20% - Accent4 2 7 2 2 2" xfId="9978"/>
    <cellStyle name="20% - Accent4 2 7 2 2 2 2" xfId="9979"/>
    <cellStyle name="20% - Accent4 2 7 2 2 2 2 2" xfId="9980"/>
    <cellStyle name="20% - Accent4 2 7 2 2 2 2 2 2" xfId="9981"/>
    <cellStyle name="20% - Accent4 2 7 2 2 2 3" xfId="9982"/>
    <cellStyle name="20% - Accent4 2 7 2 2 2 3 2" xfId="9983"/>
    <cellStyle name="20% - Accent4 2 7 2 2 3" xfId="9984"/>
    <cellStyle name="20% - Accent4 2 7 2 2 3 2" xfId="9985"/>
    <cellStyle name="20% - Accent4 2 7 2 2 3 2 2" xfId="9986"/>
    <cellStyle name="20% - Accent4 2 7 2 2 4" xfId="9987"/>
    <cellStyle name="20% - Accent4 2 7 2 2 4 2" xfId="9988"/>
    <cellStyle name="20% - Accent4 2 7 2 3" xfId="9989"/>
    <cellStyle name="20% - Accent4 2 7 2 3 2" xfId="9990"/>
    <cellStyle name="20% - Accent4 2 7 2 3 2 2" xfId="9991"/>
    <cellStyle name="20% - Accent4 2 7 2 3 2 2 2" xfId="9992"/>
    <cellStyle name="20% - Accent4 2 7 2 3 3" xfId="9993"/>
    <cellStyle name="20% - Accent4 2 7 2 3 3 2" xfId="9994"/>
    <cellStyle name="20% - Accent4 2 7 2 4" xfId="9995"/>
    <cellStyle name="20% - Accent4 2 7 2 4 2" xfId="9996"/>
    <cellStyle name="20% - Accent4 2 7 2 4 2 2" xfId="9997"/>
    <cellStyle name="20% - Accent4 2 7 2 5" xfId="9998"/>
    <cellStyle name="20% - Accent4 2 7 2 5 2" xfId="9999"/>
    <cellStyle name="20% - Accent4 2 7 3" xfId="10000"/>
    <cellStyle name="20% - Accent4 2 7 3 2" xfId="10001"/>
    <cellStyle name="20% - Accent4 2 7 3 2 2" xfId="10002"/>
    <cellStyle name="20% - Accent4 2 7 3 2 2 2" xfId="10003"/>
    <cellStyle name="20% - Accent4 2 7 3 2 2 2 2" xfId="10004"/>
    <cellStyle name="20% - Accent4 2 7 3 2 3" xfId="10005"/>
    <cellStyle name="20% - Accent4 2 7 3 2 3 2" xfId="10006"/>
    <cellStyle name="20% - Accent4 2 7 3 3" xfId="10007"/>
    <cellStyle name="20% - Accent4 2 7 3 3 2" xfId="10008"/>
    <cellStyle name="20% - Accent4 2 7 3 3 2 2" xfId="10009"/>
    <cellStyle name="20% - Accent4 2 7 3 4" xfId="10010"/>
    <cellStyle name="20% - Accent4 2 7 3 4 2" xfId="10011"/>
    <cellStyle name="20% - Accent4 2 7 4" xfId="10012"/>
    <cellStyle name="20% - Accent4 2 7 4 2" xfId="10013"/>
    <cellStyle name="20% - Accent4 2 7 4 2 2" xfId="10014"/>
    <cellStyle name="20% - Accent4 2 7 4 2 2 2" xfId="10015"/>
    <cellStyle name="20% - Accent4 2 7 4 3" xfId="10016"/>
    <cellStyle name="20% - Accent4 2 7 4 3 2" xfId="10017"/>
    <cellStyle name="20% - Accent4 2 7 5" xfId="10018"/>
    <cellStyle name="20% - Accent4 2 7 5 2" xfId="10019"/>
    <cellStyle name="20% - Accent4 2 7 5 2 2" xfId="10020"/>
    <cellStyle name="20% - Accent4 2 7 6" xfId="10021"/>
    <cellStyle name="20% - Accent4 2 7 6 2" xfId="10022"/>
    <cellStyle name="20% - Accent4 2 7 7" xfId="10023"/>
    <cellStyle name="20% - Accent4 2 8" xfId="10024"/>
    <cellStyle name="20% - Accent4 2 8 2" xfId="10025"/>
    <cellStyle name="20% - Accent4 2 8 2 2" xfId="10026"/>
    <cellStyle name="20% - Accent4 2 8 2 2 2" xfId="10027"/>
    <cellStyle name="20% - Accent4 2 8 2 2 2 2" xfId="10028"/>
    <cellStyle name="20% - Accent4 2 8 2 2 2 2 2" xfId="10029"/>
    <cellStyle name="20% - Accent4 2 8 2 2 2 2 2 2" xfId="10030"/>
    <cellStyle name="20% - Accent4 2 8 2 2 2 3" xfId="10031"/>
    <cellStyle name="20% - Accent4 2 8 2 2 2 3 2" xfId="10032"/>
    <cellStyle name="20% - Accent4 2 8 2 2 3" xfId="10033"/>
    <cellStyle name="20% - Accent4 2 8 2 2 3 2" xfId="10034"/>
    <cellStyle name="20% - Accent4 2 8 2 2 3 2 2" xfId="10035"/>
    <cellStyle name="20% - Accent4 2 8 2 2 4" xfId="10036"/>
    <cellStyle name="20% - Accent4 2 8 2 2 4 2" xfId="10037"/>
    <cellStyle name="20% - Accent4 2 8 2 3" xfId="10038"/>
    <cellStyle name="20% - Accent4 2 8 2 3 2" xfId="10039"/>
    <cellStyle name="20% - Accent4 2 8 2 3 2 2" xfId="10040"/>
    <cellStyle name="20% - Accent4 2 8 2 3 2 2 2" xfId="10041"/>
    <cellStyle name="20% - Accent4 2 8 2 3 3" xfId="10042"/>
    <cellStyle name="20% - Accent4 2 8 2 3 3 2" xfId="10043"/>
    <cellStyle name="20% - Accent4 2 8 2 4" xfId="10044"/>
    <cellStyle name="20% - Accent4 2 8 2 4 2" xfId="10045"/>
    <cellStyle name="20% - Accent4 2 8 2 4 2 2" xfId="10046"/>
    <cellStyle name="20% - Accent4 2 8 2 5" xfId="10047"/>
    <cellStyle name="20% - Accent4 2 8 2 5 2" xfId="10048"/>
    <cellStyle name="20% - Accent4 2 8 3" xfId="10049"/>
    <cellStyle name="20% - Accent4 2 8 3 2" xfId="10050"/>
    <cellStyle name="20% - Accent4 2 8 3 2 2" xfId="10051"/>
    <cellStyle name="20% - Accent4 2 8 3 2 2 2" xfId="10052"/>
    <cellStyle name="20% - Accent4 2 8 3 2 2 2 2" xfId="10053"/>
    <cellStyle name="20% - Accent4 2 8 3 2 3" xfId="10054"/>
    <cellStyle name="20% - Accent4 2 8 3 2 3 2" xfId="10055"/>
    <cellStyle name="20% - Accent4 2 8 3 3" xfId="10056"/>
    <cellStyle name="20% - Accent4 2 8 3 3 2" xfId="10057"/>
    <cellStyle name="20% - Accent4 2 8 3 3 2 2" xfId="10058"/>
    <cellStyle name="20% - Accent4 2 8 3 4" xfId="10059"/>
    <cellStyle name="20% - Accent4 2 8 3 4 2" xfId="10060"/>
    <cellStyle name="20% - Accent4 2 8 4" xfId="10061"/>
    <cellStyle name="20% - Accent4 2 8 4 2" xfId="10062"/>
    <cellStyle name="20% - Accent4 2 8 4 2 2" xfId="10063"/>
    <cellStyle name="20% - Accent4 2 8 4 2 2 2" xfId="10064"/>
    <cellStyle name="20% - Accent4 2 8 4 3" xfId="10065"/>
    <cellStyle name="20% - Accent4 2 8 4 3 2" xfId="10066"/>
    <cellStyle name="20% - Accent4 2 8 5" xfId="10067"/>
    <cellStyle name="20% - Accent4 2 8 5 2" xfId="10068"/>
    <cellStyle name="20% - Accent4 2 8 5 2 2" xfId="10069"/>
    <cellStyle name="20% - Accent4 2 8 6" xfId="10070"/>
    <cellStyle name="20% - Accent4 2 8 6 2" xfId="10071"/>
    <cellStyle name="20% - Accent4 2 9" xfId="10072"/>
    <cellStyle name="20% - Accent4 2 9 2" xfId="10073"/>
    <cellStyle name="20% - Accent4 2 9 2 2" xfId="10074"/>
    <cellStyle name="20% - Accent4 2 9 2 2 2" xfId="10075"/>
    <cellStyle name="20% - Accent4 2 9 2 2 2 2" xfId="10076"/>
    <cellStyle name="20% - Accent4 2 9 2 2 2 2 2" xfId="10077"/>
    <cellStyle name="20% - Accent4 2 9 2 2 2 2 2 2" xfId="10078"/>
    <cellStyle name="20% - Accent4 2 9 2 2 2 3" xfId="10079"/>
    <cellStyle name="20% - Accent4 2 9 2 2 2 3 2" xfId="10080"/>
    <cellStyle name="20% - Accent4 2 9 2 2 3" xfId="10081"/>
    <cellStyle name="20% - Accent4 2 9 2 2 3 2" xfId="10082"/>
    <cellStyle name="20% - Accent4 2 9 2 2 3 2 2" xfId="10083"/>
    <cellStyle name="20% - Accent4 2 9 2 2 4" xfId="10084"/>
    <cellStyle name="20% - Accent4 2 9 2 2 4 2" xfId="10085"/>
    <cellStyle name="20% - Accent4 2 9 2 3" xfId="10086"/>
    <cellStyle name="20% - Accent4 2 9 2 3 2" xfId="10087"/>
    <cellStyle name="20% - Accent4 2 9 2 3 2 2" xfId="10088"/>
    <cellStyle name="20% - Accent4 2 9 2 3 2 2 2" xfId="10089"/>
    <cellStyle name="20% - Accent4 2 9 2 3 3" xfId="10090"/>
    <cellStyle name="20% - Accent4 2 9 2 3 3 2" xfId="10091"/>
    <cellStyle name="20% - Accent4 2 9 2 4" xfId="10092"/>
    <cellStyle name="20% - Accent4 2 9 2 4 2" xfId="10093"/>
    <cellStyle name="20% - Accent4 2 9 2 4 2 2" xfId="10094"/>
    <cellStyle name="20% - Accent4 2 9 2 5" xfId="10095"/>
    <cellStyle name="20% - Accent4 2 9 2 5 2" xfId="10096"/>
    <cellStyle name="20% - Accent4 2 9 3" xfId="10097"/>
    <cellStyle name="20% - Accent4 2 9 3 2" xfId="10098"/>
    <cellStyle name="20% - Accent4 2 9 3 2 2" xfId="10099"/>
    <cellStyle name="20% - Accent4 2 9 3 2 2 2" xfId="10100"/>
    <cellStyle name="20% - Accent4 2 9 3 2 2 2 2" xfId="10101"/>
    <cellStyle name="20% - Accent4 2 9 3 2 3" xfId="10102"/>
    <cellStyle name="20% - Accent4 2 9 3 2 3 2" xfId="10103"/>
    <cellStyle name="20% - Accent4 2 9 3 3" xfId="10104"/>
    <cellStyle name="20% - Accent4 2 9 3 3 2" xfId="10105"/>
    <cellStyle name="20% - Accent4 2 9 3 3 2 2" xfId="10106"/>
    <cellStyle name="20% - Accent4 2 9 3 4" xfId="10107"/>
    <cellStyle name="20% - Accent4 2 9 3 4 2" xfId="10108"/>
    <cellStyle name="20% - Accent4 2 9 4" xfId="10109"/>
    <cellStyle name="20% - Accent4 2 9 4 2" xfId="10110"/>
    <cellStyle name="20% - Accent4 2 9 4 2 2" xfId="10111"/>
    <cellStyle name="20% - Accent4 2 9 4 2 2 2" xfId="10112"/>
    <cellStyle name="20% - Accent4 2 9 4 3" xfId="10113"/>
    <cellStyle name="20% - Accent4 2 9 4 3 2" xfId="10114"/>
    <cellStyle name="20% - Accent4 2 9 5" xfId="10115"/>
    <cellStyle name="20% - Accent4 2 9 5 2" xfId="10116"/>
    <cellStyle name="20% - Accent4 2 9 5 2 2" xfId="10117"/>
    <cellStyle name="20% - Accent4 2 9 6" xfId="10118"/>
    <cellStyle name="20% - Accent4 2 9 6 2" xfId="10119"/>
    <cellStyle name="20% - Accent4 20" xfId="10120"/>
    <cellStyle name="20% - Accent4 20 2" xfId="10121"/>
    <cellStyle name="20% - Accent4 21" xfId="10122"/>
    <cellStyle name="20% - Accent4 21 2" xfId="10123"/>
    <cellStyle name="20% - Accent4 21 2 2" xfId="10124"/>
    <cellStyle name="20% - Accent4 21 2 2 2" xfId="10125"/>
    <cellStyle name="20% - Accent4 21 2 2 2 2" xfId="10126"/>
    <cellStyle name="20% - Accent4 21 2 2 2 2 2" xfId="10127"/>
    <cellStyle name="20% - Accent4 21 2 2 2 2 2 2" xfId="10128"/>
    <cellStyle name="20% - Accent4 21 2 2 2 3" xfId="10129"/>
    <cellStyle name="20% - Accent4 21 2 2 2 3 2" xfId="10130"/>
    <cellStyle name="20% - Accent4 21 2 2 3" xfId="10131"/>
    <cellStyle name="20% - Accent4 21 2 2 3 2" xfId="10132"/>
    <cellStyle name="20% - Accent4 21 2 2 3 2 2" xfId="10133"/>
    <cellStyle name="20% - Accent4 21 2 2 4" xfId="10134"/>
    <cellStyle name="20% - Accent4 21 2 2 4 2" xfId="10135"/>
    <cellStyle name="20% - Accent4 21 2 3" xfId="10136"/>
    <cellStyle name="20% - Accent4 21 2 3 2" xfId="10137"/>
    <cellStyle name="20% - Accent4 21 2 3 2 2" xfId="10138"/>
    <cellStyle name="20% - Accent4 21 2 3 2 2 2" xfId="10139"/>
    <cellStyle name="20% - Accent4 21 2 3 3" xfId="10140"/>
    <cellStyle name="20% - Accent4 21 2 3 3 2" xfId="10141"/>
    <cellStyle name="20% - Accent4 21 2 4" xfId="10142"/>
    <cellStyle name="20% - Accent4 21 2 4 2" xfId="10143"/>
    <cellStyle name="20% - Accent4 21 2 4 2 2" xfId="10144"/>
    <cellStyle name="20% - Accent4 21 2 5" xfId="10145"/>
    <cellStyle name="20% - Accent4 21 2 5 2" xfId="10146"/>
    <cellStyle name="20% - Accent4 21 3" xfId="10147"/>
    <cellStyle name="20% - Accent4 21 3 2" xfId="10148"/>
    <cellStyle name="20% - Accent4 21 3 2 2" xfId="10149"/>
    <cellStyle name="20% - Accent4 21 3 2 2 2" xfId="10150"/>
    <cellStyle name="20% - Accent4 21 3 2 2 2 2" xfId="10151"/>
    <cellStyle name="20% - Accent4 21 3 2 3" xfId="10152"/>
    <cellStyle name="20% - Accent4 21 3 2 3 2" xfId="10153"/>
    <cellStyle name="20% - Accent4 21 3 3" xfId="10154"/>
    <cellStyle name="20% - Accent4 21 3 3 2" xfId="10155"/>
    <cellStyle name="20% - Accent4 21 3 3 2 2" xfId="10156"/>
    <cellStyle name="20% - Accent4 21 3 4" xfId="10157"/>
    <cellStyle name="20% - Accent4 21 3 4 2" xfId="10158"/>
    <cellStyle name="20% - Accent4 21 4" xfId="10159"/>
    <cellStyle name="20% - Accent4 21 4 2" xfId="10160"/>
    <cellStyle name="20% - Accent4 21 4 2 2" xfId="10161"/>
    <cellStyle name="20% - Accent4 21 4 2 2 2" xfId="10162"/>
    <cellStyle name="20% - Accent4 21 4 3" xfId="10163"/>
    <cellStyle name="20% - Accent4 21 4 3 2" xfId="10164"/>
    <cellStyle name="20% - Accent4 21 5" xfId="10165"/>
    <cellStyle name="20% - Accent4 21 5 2" xfId="10166"/>
    <cellStyle name="20% - Accent4 21 5 2 2" xfId="10167"/>
    <cellStyle name="20% - Accent4 21 6" xfId="10168"/>
    <cellStyle name="20% - Accent4 21 6 2" xfId="10169"/>
    <cellStyle name="20% - Accent4 21 7" xfId="10170"/>
    <cellStyle name="20% - Accent4 22" xfId="10171"/>
    <cellStyle name="20% - Accent4 22 10" xfId="10172"/>
    <cellStyle name="20% - Accent4 22 2" xfId="10173"/>
    <cellStyle name="20% - Accent4 22 2 2" xfId="10174"/>
    <cellStyle name="20% - Accent4 22 2 2 2" xfId="10175"/>
    <cellStyle name="20% - Accent4 22 2 2 2 2" xfId="10176"/>
    <cellStyle name="20% - Accent4 22 2 2 2 2 2" xfId="10177"/>
    <cellStyle name="20% - Accent4 22 2 2 2 2 2 2" xfId="10178"/>
    <cellStyle name="20% - Accent4 22 2 2 2 3" xfId="10179"/>
    <cellStyle name="20% - Accent4 22 2 2 2 3 2" xfId="10180"/>
    <cellStyle name="20% - Accent4 22 2 2 3" xfId="10181"/>
    <cellStyle name="20% - Accent4 22 2 2 3 2" xfId="10182"/>
    <cellStyle name="20% - Accent4 22 2 2 3 2 2" xfId="10183"/>
    <cellStyle name="20% - Accent4 22 2 2 4" xfId="10184"/>
    <cellStyle name="20% - Accent4 22 2 2 4 2" xfId="10185"/>
    <cellStyle name="20% - Accent4 22 2 3" xfId="10186"/>
    <cellStyle name="20% - Accent4 22 2 3 2" xfId="10187"/>
    <cellStyle name="20% - Accent4 22 2 3 2 2" xfId="10188"/>
    <cellStyle name="20% - Accent4 22 2 3 2 2 2" xfId="10189"/>
    <cellStyle name="20% - Accent4 22 2 3 3" xfId="10190"/>
    <cellStyle name="20% - Accent4 22 2 3 3 2" xfId="10191"/>
    <cellStyle name="20% - Accent4 22 2 4" xfId="10192"/>
    <cellStyle name="20% - Accent4 22 2 4 2" xfId="10193"/>
    <cellStyle name="20% - Accent4 22 2 4 2 2" xfId="10194"/>
    <cellStyle name="20% - Accent4 22 2 5" xfId="10195"/>
    <cellStyle name="20% - Accent4 22 2 5 2" xfId="10196"/>
    <cellStyle name="20% - Accent4 22 2 6" xfId="10197"/>
    <cellStyle name="20% - Accent4 22 2 7" xfId="10198"/>
    <cellStyle name="20% - Accent4 22 2 8" xfId="10199"/>
    <cellStyle name="20% - Accent4 22 3" xfId="10200"/>
    <cellStyle name="20% - Accent4 22 3 2" xfId="10201"/>
    <cellStyle name="20% - Accent4 22 3 2 2" xfId="10202"/>
    <cellStyle name="20% - Accent4 22 3 2 2 2" xfId="10203"/>
    <cellStyle name="20% - Accent4 22 3 2 2 2 2" xfId="10204"/>
    <cellStyle name="20% - Accent4 22 3 2 3" xfId="10205"/>
    <cellStyle name="20% - Accent4 22 3 2 3 2" xfId="10206"/>
    <cellStyle name="20% - Accent4 22 3 3" xfId="10207"/>
    <cellStyle name="20% - Accent4 22 3 3 2" xfId="10208"/>
    <cellStyle name="20% - Accent4 22 3 3 2 2" xfId="10209"/>
    <cellStyle name="20% - Accent4 22 3 4" xfId="10210"/>
    <cellStyle name="20% - Accent4 22 3 4 2" xfId="10211"/>
    <cellStyle name="20% - Accent4 22 3 5" xfId="10212"/>
    <cellStyle name="20% - Accent4 22 3 6" xfId="10213"/>
    <cellStyle name="20% - Accent4 22 3 7" xfId="10214"/>
    <cellStyle name="20% - Accent4 22 4" xfId="10215"/>
    <cellStyle name="20% - Accent4 22 4 2" xfId="10216"/>
    <cellStyle name="20% - Accent4 22 4 2 2" xfId="10217"/>
    <cellStyle name="20% - Accent4 22 4 2 2 2" xfId="10218"/>
    <cellStyle name="20% - Accent4 22 4 3" xfId="10219"/>
    <cellStyle name="20% - Accent4 22 4 3 2" xfId="10220"/>
    <cellStyle name="20% - Accent4 22 4 4" xfId="10221"/>
    <cellStyle name="20% - Accent4 22 5" xfId="10222"/>
    <cellStyle name="20% - Accent4 22 5 2" xfId="10223"/>
    <cellStyle name="20% - Accent4 22 5 2 2" xfId="10224"/>
    <cellStyle name="20% - Accent4 22 6" xfId="10225"/>
    <cellStyle name="20% - Accent4 22 6 2" xfId="10226"/>
    <cellStyle name="20% - Accent4 22 7" xfId="10227"/>
    <cellStyle name="20% - Accent4 22 8" xfId="10228"/>
    <cellStyle name="20% - Accent4 22 9" xfId="10229"/>
    <cellStyle name="20% - Accent4 23" xfId="10230"/>
    <cellStyle name="20% - Accent4 23 2" xfId="10231"/>
    <cellStyle name="20% - Accent4 23 2 2" xfId="10232"/>
    <cellStyle name="20% - Accent4 23 2 2 2" xfId="10233"/>
    <cellStyle name="20% - Accent4 23 2 2 2 2" xfId="10234"/>
    <cellStyle name="20% - Accent4 23 2 2 2 2 2" xfId="10235"/>
    <cellStyle name="20% - Accent4 23 2 2 2 2 2 2" xfId="10236"/>
    <cellStyle name="20% - Accent4 23 2 2 2 3" xfId="10237"/>
    <cellStyle name="20% - Accent4 23 2 2 2 3 2" xfId="10238"/>
    <cellStyle name="20% - Accent4 23 2 2 3" xfId="10239"/>
    <cellStyle name="20% - Accent4 23 2 2 3 2" xfId="10240"/>
    <cellStyle name="20% - Accent4 23 2 2 3 2 2" xfId="10241"/>
    <cellStyle name="20% - Accent4 23 2 2 4" xfId="10242"/>
    <cellStyle name="20% - Accent4 23 2 2 4 2" xfId="10243"/>
    <cellStyle name="20% - Accent4 23 2 3" xfId="10244"/>
    <cellStyle name="20% - Accent4 23 2 3 2" xfId="10245"/>
    <cellStyle name="20% - Accent4 23 2 3 2 2" xfId="10246"/>
    <cellStyle name="20% - Accent4 23 2 3 2 2 2" xfId="10247"/>
    <cellStyle name="20% - Accent4 23 2 3 3" xfId="10248"/>
    <cellStyle name="20% - Accent4 23 2 3 3 2" xfId="10249"/>
    <cellStyle name="20% - Accent4 23 2 4" xfId="10250"/>
    <cellStyle name="20% - Accent4 23 2 4 2" xfId="10251"/>
    <cellStyle name="20% - Accent4 23 2 4 2 2" xfId="10252"/>
    <cellStyle name="20% - Accent4 23 2 5" xfId="10253"/>
    <cellStyle name="20% - Accent4 23 2 5 2" xfId="10254"/>
    <cellStyle name="20% - Accent4 23 3" xfId="10255"/>
    <cellStyle name="20% - Accent4 23 3 2" xfId="10256"/>
    <cellStyle name="20% - Accent4 23 3 2 2" xfId="10257"/>
    <cellStyle name="20% - Accent4 23 3 2 2 2" xfId="10258"/>
    <cellStyle name="20% - Accent4 23 3 2 2 2 2" xfId="10259"/>
    <cellStyle name="20% - Accent4 23 3 2 3" xfId="10260"/>
    <cellStyle name="20% - Accent4 23 3 2 3 2" xfId="10261"/>
    <cellStyle name="20% - Accent4 23 3 3" xfId="10262"/>
    <cellStyle name="20% - Accent4 23 3 3 2" xfId="10263"/>
    <cellStyle name="20% - Accent4 23 3 3 2 2" xfId="10264"/>
    <cellStyle name="20% - Accent4 23 3 4" xfId="10265"/>
    <cellStyle name="20% - Accent4 23 3 4 2" xfId="10266"/>
    <cellStyle name="20% - Accent4 23 4" xfId="10267"/>
    <cellStyle name="20% - Accent4 23 4 2" xfId="10268"/>
    <cellStyle name="20% - Accent4 23 4 2 2" xfId="10269"/>
    <cellStyle name="20% - Accent4 23 4 2 2 2" xfId="10270"/>
    <cellStyle name="20% - Accent4 23 4 3" xfId="10271"/>
    <cellStyle name="20% - Accent4 23 4 3 2" xfId="10272"/>
    <cellStyle name="20% - Accent4 23 5" xfId="10273"/>
    <cellStyle name="20% - Accent4 23 5 2" xfId="10274"/>
    <cellStyle name="20% - Accent4 23 5 2 2" xfId="10275"/>
    <cellStyle name="20% - Accent4 23 6" xfId="10276"/>
    <cellStyle name="20% - Accent4 23 6 2" xfId="10277"/>
    <cellStyle name="20% - Accent4 23 7" xfId="10278"/>
    <cellStyle name="20% - Accent4 24" xfId="10279"/>
    <cellStyle name="20% - Accent4 24 2" xfId="10280"/>
    <cellStyle name="20% - Accent4 24 2 2" xfId="10281"/>
    <cellStyle name="20% - Accent4 24 2 2 2" xfId="10282"/>
    <cellStyle name="20% - Accent4 24 2 2 2 2" xfId="10283"/>
    <cellStyle name="20% - Accent4 24 2 2 2 2 2" xfId="10284"/>
    <cellStyle name="20% - Accent4 24 2 2 3" xfId="10285"/>
    <cellStyle name="20% - Accent4 24 2 2 3 2" xfId="10286"/>
    <cellStyle name="20% - Accent4 24 2 3" xfId="10287"/>
    <cellStyle name="20% - Accent4 24 2 3 2" xfId="10288"/>
    <cellStyle name="20% - Accent4 24 2 3 2 2" xfId="10289"/>
    <cellStyle name="20% - Accent4 24 2 4" xfId="10290"/>
    <cellStyle name="20% - Accent4 24 2 4 2" xfId="10291"/>
    <cellStyle name="20% - Accent4 24 3" xfId="10292"/>
    <cellStyle name="20% - Accent4 24 3 2" xfId="10293"/>
    <cellStyle name="20% - Accent4 24 3 2 2" xfId="10294"/>
    <cellStyle name="20% - Accent4 24 3 2 2 2" xfId="10295"/>
    <cellStyle name="20% - Accent4 24 3 3" xfId="10296"/>
    <cellStyle name="20% - Accent4 24 3 3 2" xfId="10297"/>
    <cellStyle name="20% - Accent4 24 4" xfId="10298"/>
    <cellStyle name="20% - Accent4 24 4 2" xfId="10299"/>
    <cellStyle name="20% - Accent4 24 4 2 2" xfId="10300"/>
    <cellStyle name="20% - Accent4 24 5" xfId="10301"/>
    <cellStyle name="20% - Accent4 24 5 2" xfId="10302"/>
    <cellStyle name="20% - Accent4 24 6" xfId="10303"/>
    <cellStyle name="20% - Accent4 25" xfId="10304"/>
    <cellStyle name="20% - Accent4 25 2" xfId="10305"/>
    <cellStyle name="20% - Accent4 25 2 2" xfId="10306"/>
    <cellStyle name="20% - Accent4 25 2 2 2" xfId="10307"/>
    <cellStyle name="20% - Accent4 25 2 2 2 2" xfId="10308"/>
    <cellStyle name="20% - Accent4 25 2 2 2 2 2" xfId="10309"/>
    <cellStyle name="20% - Accent4 25 2 2 3" xfId="10310"/>
    <cellStyle name="20% - Accent4 25 2 2 3 2" xfId="10311"/>
    <cellStyle name="20% - Accent4 25 2 3" xfId="10312"/>
    <cellStyle name="20% - Accent4 25 2 3 2" xfId="10313"/>
    <cellStyle name="20% - Accent4 25 2 3 2 2" xfId="10314"/>
    <cellStyle name="20% - Accent4 25 2 4" xfId="10315"/>
    <cellStyle name="20% - Accent4 25 2 4 2" xfId="10316"/>
    <cellStyle name="20% - Accent4 25 3" xfId="10317"/>
    <cellStyle name="20% - Accent4 25 3 2" xfId="10318"/>
    <cellStyle name="20% - Accent4 25 3 2 2" xfId="10319"/>
    <cellStyle name="20% - Accent4 25 3 2 2 2" xfId="10320"/>
    <cellStyle name="20% - Accent4 25 3 3" xfId="10321"/>
    <cellStyle name="20% - Accent4 25 3 3 2" xfId="10322"/>
    <cellStyle name="20% - Accent4 25 4" xfId="10323"/>
    <cellStyle name="20% - Accent4 25 4 2" xfId="10324"/>
    <cellStyle name="20% - Accent4 25 4 2 2" xfId="10325"/>
    <cellStyle name="20% - Accent4 25 5" xfId="10326"/>
    <cellStyle name="20% - Accent4 25 5 2" xfId="10327"/>
    <cellStyle name="20% - Accent4 25 6" xfId="10328"/>
    <cellStyle name="20% - Accent4 26" xfId="10329"/>
    <cellStyle name="20% - Accent4 26 2" xfId="10330"/>
    <cellStyle name="20% - Accent4 26 2 2" xfId="10331"/>
    <cellStyle name="20% - Accent4 26 2 2 2" xfId="10332"/>
    <cellStyle name="20% - Accent4 26 2 2 2 2" xfId="10333"/>
    <cellStyle name="20% - Accent4 26 2 2 2 2 2" xfId="10334"/>
    <cellStyle name="20% - Accent4 26 2 2 3" xfId="10335"/>
    <cellStyle name="20% - Accent4 26 2 2 3 2" xfId="10336"/>
    <cellStyle name="20% - Accent4 26 2 3" xfId="10337"/>
    <cellStyle name="20% - Accent4 26 2 3 2" xfId="10338"/>
    <cellStyle name="20% - Accent4 26 2 3 2 2" xfId="10339"/>
    <cellStyle name="20% - Accent4 26 2 4" xfId="10340"/>
    <cellStyle name="20% - Accent4 26 2 4 2" xfId="10341"/>
    <cellStyle name="20% - Accent4 26 3" xfId="10342"/>
    <cellStyle name="20% - Accent4 26 3 2" xfId="10343"/>
    <cellStyle name="20% - Accent4 26 3 2 2" xfId="10344"/>
    <cellStyle name="20% - Accent4 26 3 2 2 2" xfId="10345"/>
    <cellStyle name="20% - Accent4 26 3 3" xfId="10346"/>
    <cellStyle name="20% - Accent4 26 3 3 2" xfId="10347"/>
    <cellStyle name="20% - Accent4 26 4" xfId="10348"/>
    <cellStyle name="20% - Accent4 26 4 2" xfId="10349"/>
    <cellStyle name="20% - Accent4 26 4 2 2" xfId="10350"/>
    <cellStyle name="20% - Accent4 26 5" xfId="10351"/>
    <cellStyle name="20% - Accent4 26 5 2" xfId="10352"/>
    <cellStyle name="20% - Accent4 26 6" xfId="10353"/>
    <cellStyle name="20% - Accent4 27" xfId="10354"/>
    <cellStyle name="20% - Accent4 27 2" xfId="10355"/>
    <cellStyle name="20% - Accent4 27 2 2" xfId="10356"/>
    <cellStyle name="20% - Accent4 27 2 2 2" xfId="10357"/>
    <cellStyle name="20% - Accent4 27 2 2 2 2" xfId="10358"/>
    <cellStyle name="20% - Accent4 27 2 2 2 2 2" xfId="10359"/>
    <cellStyle name="20% - Accent4 27 2 2 3" xfId="10360"/>
    <cellStyle name="20% - Accent4 27 2 2 3 2" xfId="10361"/>
    <cellStyle name="20% - Accent4 27 2 3" xfId="10362"/>
    <cellStyle name="20% - Accent4 27 2 3 2" xfId="10363"/>
    <cellStyle name="20% - Accent4 27 2 3 2 2" xfId="10364"/>
    <cellStyle name="20% - Accent4 27 2 4" xfId="10365"/>
    <cellStyle name="20% - Accent4 27 2 4 2" xfId="10366"/>
    <cellStyle name="20% - Accent4 27 3" xfId="10367"/>
    <cellStyle name="20% - Accent4 27 3 2" xfId="10368"/>
    <cellStyle name="20% - Accent4 27 3 2 2" xfId="10369"/>
    <cellStyle name="20% - Accent4 27 3 2 2 2" xfId="10370"/>
    <cellStyle name="20% - Accent4 27 3 3" xfId="10371"/>
    <cellStyle name="20% - Accent4 27 3 3 2" xfId="10372"/>
    <cellStyle name="20% - Accent4 27 4" xfId="10373"/>
    <cellStyle name="20% - Accent4 27 4 2" xfId="10374"/>
    <cellStyle name="20% - Accent4 27 4 2 2" xfId="10375"/>
    <cellStyle name="20% - Accent4 27 5" xfId="10376"/>
    <cellStyle name="20% - Accent4 27 5 2" xfId="10377"/>
    <cellStyle name="20% - Accent4 27 6" xfId="10378"/>
    <cellStyle name="20% - Accent4 28" xfId="10379"/>
    <cellStyle name="20% - Accent4 28 2" xfId="10380"/>
    <cellStyle name="20% - Accent4 28 2 2" xfId="10381"/>
    <cellStyle name="20% - Accent4 28 2 2 2" xfId="10382"/>
    <cellStyle name="20% - Accent4 28 2 2 2 2" xfId="10383"/>
    <cellStyle name="20% - Accent4 28 2 3" xfId="10384"/>
    <cellStyle name="20% - Accent4 28 2 3 2" xfId="10385"/>
    <cellStyle name="20% - Accent4 28 3" xfId="10386"/>
    <cellStyle name="20% - Accent4 28 3 2" xfId="10387"/>
    <cellStyle name="20% - Accent4 28 3 2 2" xfId="10388"/>
    <cellStyle name="20% - Accent4 28 4" xfId="10389"/>
    <cellStyle name="20% - Accent4 28 4 2" xfId="10390"/>
    <cellStyle name="20% - Accent4 28 5" xfId="10391"/>
    <cellStyle name="20% - Accent4 29" xfId="10392"/>
    <cellStyle name="20% - Accent4 29 2" xfId="10393"/>
    <cellStyle name="20% - Accent4 29 2 2" xfId="10394"/>
    <cellStyle name="20% - Accent4 29 2 2 2" xfId="10395"/>
    <cellStyle name="20% - Accent4 29 3" xfId="10396"/>
    <cellStyle name="20% - Accent4 29 3 2" xfId="10397"/>
    <cellStyle name="20% - Accent4 29 4" xfId="10398"/>
    <cellStyle name="20% - Accent4 3" xfId="10399"/>
    <cellStyle name="20% - Accent4 3 10" xfId="10400"/>
    <cellStyle name="20% - Accent4 3 10 2" xfId="10401"/>
    <cellStyle name="20% - Accent4 3 10 2 2" xfId="10402"/>
    <cellStyle name="20% - Accent4 3 10 2 2 2" xfId="10403"/>
    <cellStyle name="20% - Accent4 3 10 2 2 2 2" xfId="10404"/>
    <cellStyle name="20% - Accent4 3 10 2 2 2 2 2" xfId="10405"/>
    <cellStyle name="20% - Accent4 3 10 2 2 2 2 2 2" xfId="10406"/>
    <cellStyle name="20% - Accent4 3 10 2 2 2 3" xfId="10407"/>
    <cellStyle name="20% - Accent4 3 10 2 2 2 3 2" xfId="10408"/>
    <cellStyle name="20% - Accent4 3 10 2 2 3" xfId="10409"/>
    <cellStyle name="20% - Accent4 3 10 2 2 3 2" xfId="10410"/>
    <cellStyle name="20% - Accent4 3 10 2 2 3 2 2" xfId="10411"/>
    <cellStyle name="20% - Accent4 3 10 2 2 4" xfId="10412"/>
    <cellStyle name="20% - Accent4 3 10 2 2 4 2" xfId="10413"/>
    <cellStyle name="20% - Accent4 3 10 2 3" xfId="10414"/>
    <cellStyle name="20% - Accent4 3 10 2 3 2" xfId="10415"/>
    <cellStyle name="20% - Accent4 3 10 2 3 2 2" xfId="10416"/>
    <cellStyle name="20% - Accent4 3 10 2 3 2 2 2" xfId="10417"/>
    <cellStyle name="20% - Accent4 3 10 2 3 3" xfId="10418"/>
    <cellStyle name="20% - Accent4 3 10 2 3 3 2" xfId="10419"/>
    <cellStyle name="20% - Accent4 3 10 2 4" xfId="10420"/>
    <cellStyle name="20% - Accent4 3 10 2 4 2" xfId="10421"/>
    <cellStyle name="20% - Accent4 3 10 2 4 2 2" xfId="10422"/>
    <cellStyle name="20% - Accent4 3 10 2 5" xfId="10423"/>
    <cellStyle name="20% - Accent4 3 10 2 5 2" xfId="10424"/>
    <cellStyle name="20% - Accent4 3 10 3" xfId="10425"/>
    <cellStyle name="20% - Accent4 3 10 3 2" xfId="10426"/>
    <cellStyle name="20% - Accent4 3 10 3 2 2" xfId="10427"/>
    <cellStyle name="20% - Accent4 3 10 3 2 2 2" xfId="10428"/>
    <cellStyle name="20% - Accent4 3 10 3 2 2 2 2" xfId="10429"/>
    <cellStyle name="20% - Accent4 3 10 3 2 3" xfId="10430"/>
    <cellStyle name="20% - Accent4 3 10 3 2 3 2" xfId="10431"/>
    <cellStyle name="20% - Accent4 3 10 3 3" xfId="10432"/>
    <cellStyle name="20% - Accent4 3 10 3 3 2" xfId="10433"/>
    <cellStyle name="20% - Accent4 3 10 3 3 2 2" xfId="10434"/>
    <cellStyle name="20% - Accent4 3 10 3 4" xfId="10435"/>
    <cellStyle name="20% - Accent4 3 10 3 4 2" xfId="10436"/>
    <cellStyle name="20% - Accent4 3 10 4" xfId="10437"/>
    <cellStyle name="20% - Accent4 3 10 4 2" xfId="10438"/>
    <cellStyle name="20% - Accent4 3 10 4 2 2" xfId="10439"/>
    <cellStyle name="20% - Accent4 3 10 4 2 2 2" xfId="10440"/>
    <cellStyle name="20% - Accent4 3 10 4 3" xfId="10441"/>
    <cellStyle name="20% - Accent4 3 10 4 3 2" xfId="10442"/>
    <cellStyle name="20% - Accent4 3 10 5" xfId="10443"/>
    <cellStyle name="20% - Accent4 3 10 5 2" xfId="10444"/>
    <cellStyle name="20% - Accent4 3 10 5 2 2" xfId="10445"/>
    <cellStyle name="20% - Accent4 3 10 6" xfId="10446"/>
    <cellStyle name="20% - Accent4 3 10 6 2" xfId="10447"/>
    <cellStyle name="20% - Accent4 3 10 7" xfId="10448"/>
    <cellStyle name="20% - Accent4 3 10 8" xfId="10449"/>
    <cellStyle name="20% - Accent4 3 10 9" xfId="10450"/>
    <cellStyle name="20% - Accent4 3 11" xfId="10451"/>
    <cellStyle name="20% - Accent4 3 11 2" xfId="10452"/>
    <cellStyle name="20% - Accent4 3 11 2 2" xfId="10453"/>
    <cellStyle name="20% - Accent4 3 11 2 2 2" xfId="10454"/>
    <cellStyle name="20% - Accent4 3 11 2 2 2 2" xfId="10455"/>
    <cellStyle name="20% - Accent4 3 11 2 2 2 2 2" xfId="10456"/>
    <cellStyle name="20% - Accent4 3 11 2 2 2 2 2 2" xfId="10457"/>
    <cellStyle name="20% - Accent4 3 11 2 2 2 3" xfId="10458"/>
    <cellStyle name="20% - Accent4 3 11 2 2 2 3 2" xfId="10459"/>
    <cellStyle name="20% - Accent4 3 11 2 2 3" xfId="10460"/>
    <cellStyle name="20% - Accent4 3 11 2 2 3 2" xfId="10461"/>
    <cellStyle name="20% - Accent4 3 11 2 2 3 2 2" xfId="10462"/>
    <cellStyle name="20% - Accent4 3 11 2 2 4" xfId="10463"/>
    <cellStyle name="20% - Accent4 3 11 2 2 4 2" xfId="10464"/>
    <cellStyle name="20% - Accent4 3 11 2 3" xfId="10465"/>
    <cellStyle name="20% - Accent4 3 11 2 3 2" xfId="10466"/>
    <cellStyle name="20% - Accent4 3 11 2 3 2 2" xfId="10467"/>
    <cellStyle name="20% - Accent4 3 11 2 3 2 2 2" xfId="10468"/>
    <cellStyle name="20% - Accent4 3 11 2 3 3" xfId="10469"/>
    <cellStyle name="20% - Accent4 3 11 2 3 3 2" xfId="10470"/>
    <cellStyle name="20% - Accent4 3 11 2 4" xfId="10471"/>
    <cellStyle name="20% - Accent4 3 11 2 4 2" xfId="10472"/>
    <cellStyle name="20% - Accent4 3 11 2 4 2 2" xfId="10473"/>
    <cellStyle name="20% - Accent4 3 11 2 5" xfId="10474"/>
    <cellStyle name="20% - Accent4 3 11 2 5 2" xfId="10475"/>
    <cellStyle name="20% - Accent4 3 11 3" xfId="10476"/>
    <cellStyle name="20% - Accent4 3 11 3 2" xfId="10477"/>
    <cellStyle name="20% - Accent4 3 11 3 2 2" xfId="10478"/>
    <cellStyle name="20% - Accent4 3 11 3 2 2 2" xfId="10479"/>
    <cellStyle name="20% - Accent4 3 11 3 2 2 2 2" xfId="10480"/>
    <cellStyle name="20% - Accent4 3 11 3 2 3" xfId="10481"/>
    <cellStyle name="20% - Accent4 3 11 3 2 3 2" xfId="10482"/>
    <cellStyle name="20% - Accent4 3 11 3 3" xfId="10483"/>
    <cellStyle name="20% - Accent4 3 11 3 3 2" xfId="10484"/>
    <cellStyle name="20% - Accent4 3 11 3 3 2 2" xfId="10485"/>
    <cellStyle name="20% - Accent4 3 11 3 4" xfId="10486"/>
    <cellStyle name="20% - Accent4 3 11 3 4 2" xfId="10487"/>
    <cellStyle name="20% - Accent4 3 11 4" xfId="10488"/>
    <cellStyle name="20% - Accent4 3 11 4 2" xfId="10489"/>
    <cellStyle name="20% - Accent4 3 11 4 2 2" xfId="10490"/>
    <cellStyle name="20% - Accent4 3 11 4 2 2 2" xfId="10491"/>
    <cellStyle name="20% - Accent4 3 11 4 3" xfId="10492"/>
    <cellStyle name="20% - Accent4 3 11 4 3 2" xfId="10493"/>
    <cellStyle name="20% - Accent4 3 11 5" xfId="10494"/>
    <cellStyle name="20% - Accent4 3 11 5 2" xfId="10495"/>
    <cellStyle name="20% - Accent4 3 11 5 2 2" xfId="10496"/>
    <cellStyle name="20% - Accent4 3 11 6" xfId="10497"/>
    <cellStyle name="20% - Accent4 3 11 6 2" xfId="10498"/>
    <cellStyle name="20% - Accent4 3 11 7" xfId="10499"/>
    <cellStyle name="20% - Accent4 3 12" xfId="10500"/>
    <cellStyle name="20% - Accent4 3 12 2" xfId="10501"/>
    <cellStyle name="20% - Accent4 3 12 2 2" xfId="10502"/>
    <cellStyle name="20% - Accent4 3 12 2 2 2" xfId="10503"/>
    <cellStyle name="20% - Accent4 3 12 2 2 2 2" xfId="10504"/>
    <cellStyle name="20% - Accent4 3 12 2 2 2 2 2" xfId="10505"/>
    <cellStyle name="20% - Accent4 3 12 2 2 2 2 2 2" xfId="10506"/>
    <cellStyle name="20% - Accent4 3 12 2 2 2 3" xfId="10507"/>
    <cellStyle name="20% - Accent4 3 12 2 2 2 3 2" xfId="10508"/>
    <cellStyle name="20% - Accent4 3 12 2 2 3" xfId="10509"/>
    <cellStyle name="20% - Accent4 3 12 2 2 3 2" xfId="10510"/>
    <cellStyle name="20% - Accent4 3 12 2 2 3 2 2" xfId="10511"/>
    <cellStyle name="20% - Accent4 3 12 2 2 4" xfId="10512"/>
    <cellStyle name="20% - Accent4 3 12 2 2 4 2" xfId="10513"/>
    <cellStyle name="20% - Accent4 3 12 2 3" xfId="10514"/>
    <cellStyle name="20% - Accent4 3 12 2 3 2" xfId="10515"/>
    <cellStyle name="20% - Accent4 3 12 2 3 2 2" xfId="10516"/>
    <cellStyle name="20% - Accent4 3 12 2 3 2 2 2" xfId="10517"/>
    <cellStyle name="20% - Accent4 3 12 2 3 3" xfId="10518"/>
    <cellStyle name="20% - Accent4 3 12 2 3 3 2" xfId="10519"/>
    <cellStyle name="20% - Accent4 3 12 2 4" xfId="10520"/>
    <cellStyle name="20% - Accent4 3 12 2 4 2" xfId="10521"/>
    <cellStyle name="20% - Accent4 3 12 2 4 2 2" xfId="10522"/>
    <cellStyle name="20% - Accent4 3 12 2 5" xfId="10523"/>
    <cellStyle name="20% - Accent4 3 12 2 5 2" xfId="10524"/>
    <cellStyle name="20% - Accent4 3 12 3" xfId="10525"/>
    <cellStyle name="20% - Accent4 3 12 3 2" xfId="10526"/>
    <cellStyle name="20% - Accent4 3 12 3 2 2" xfId="10527"/>
    <cellStyle name="20% - Accent4 3 12 3 2 2 2" xfId="10528"/>
    <cellStyle name="20% - Accent4 3 12 3 2 2 2 2" xfId="10529"/>
    <cellStyle name="20% - Accent4 3 12 3 2 3" xfId="10530"/>
    <cellStyle name="20% - Accent4 3 12 3 2 3 2" xfId="10531"/>
    <cellStyle name="20% - Accent4 3 12 3 3" xfId="10532"/>
    <cellStyle name="20% - Accent4 3 12 3 3 2" xfId="10533"/>
    <cellStyle name="20% - Accent4 3 12 3 3 2 2" xfId="10534"/>
    <cellStyle name="20% - Accent4 3 12 3 4" xfId="10535"/>
    <cellStyle name="20% - Accent4 3 12 3 4 2" xfId="10536"/>
    <cellStyle name="20% - Accent4 3 12 4" xfId="10537"/>
    <cellStyle name="20% - Accent4 3 12 4 2" xfId="10538"/>
    <cellStyle name="20% - Accent4 3 12 4 2 2" xfId="10539"/>
    <cellStyle name="20% - Accent4 3 12 4 2 2 2" xfId="10540"/>
    <cellStyle name="20% - Accent4 3 12 4 3" xfId="10541"/>
    <cellStyle name="20% - Accent4 3 12 4 3 2" xfId="10542"/>
    <cellStyle name="20% - Accent4 3 12 5" xfId="10543"/>
    <cellStyle name="20% - Accent4 3 12 5 2" xfId="10544"/>
    <cellStyle name="20% - Accent4 3 12 5 2 2" xfId="10545"/>
    <cellStyle name="20% - Accent4 3 12 6" xfId="10546"/>
    <cellStyle name="20% - Accent4 3 12 6 2" xfId="10547"/>
    <cellStyle name="20% - Accent4 3 13" xfId="10548"/>
    <cellStyle name="20% - Accent4 3 13 2" xfId="10549"/>
    <cellStyle name="20% - Accent4 3 13 2 2" xfId="10550"/>
    <cellStyle name="20% - Accent4 3 13 2 2 2" xfId="10551"/>
    <cellStyle name="20% - Accent4 3 13 2 2 2 2" xfId="10552"/>
    <cellStyle name="20% - Accent4 3 13 2 2 2 2 2" xfId="10553"/>
    <cellStyle name="20% - Accent4 3 13 2 2 2 2 2 2" xfId="10554"/>
    <cellStyle name="20% - Accent4 3 13 2 2 2 3" xfId="10555"/>
    <cellStyle name="20% - Accent4 3 13 2 2 2 3 2" xfId="10556"/>
    <cellStyle name="20% - Accent4 3 13 2 2 3" xfId="10557"/>
    <cellStyle name="20% - Accent4 3 13 2 2 3 2" xfId="10558"/>
    <cellStyle name="20% - Accent4 3 13 2 2 3 2 2" xfId="10559"/>
    <cellStyle name="20% - Accent4 3 13 2 2 4" xfId="10560"/>
    <cellStyle name="20% - Accent4 3 13 2 2 4 2" xfId="10561"/>
    <cellStyle name="20% - Accent4 3 13 2 3" xfId="10562"/>
    <cellStyle name="20% - Accent4 3 13 2 3 2" xfId="10563"/>
    <cellStyle name="20% - Accent4 3 13 2 3 2 2" xfId="10564"/>
    <cellStyle name="20% - Accent4 3 13 2 3 2 2 2" xfId="10565"/>
    <cellStyle name="20% - Accent4 3 13 2 3 3" xfId="10566"/>
    <cellStyle name="20% - Accent4 3 13 2 3 3 2" xfId="10567"/>
    <cellStyle name="20% - Accent4 3 13 2 4" xfId="10568"/>
    <cellStyle name="20% - Accent4 3 13 2 4 2" xfId="10569"/>
    <cellStyle name="20% - Accent4 3 13 2 4 2 2" xfId="10570"/>
    <cellStyle name="20% - Accent4 3 13 2 5" xfId="10571"/>
    <cellStyle name="20% - Accent4 3 13 2 5 2" xfId="10572"/>
    <cellStyle name="20% - Accent4 3 13 3" xfId="10573"/>
    <cellStyle name="20% - Accent4 3 13 3 2" xfId="10574"/>
    <cellStyle name="20% - Accent4 3 13 3 2 2" xfId="10575"/>
    <cellStyle name="20% - Accent4 3 13 3 2 2 2" xfId="10576"/>
    <cellStyle name="20% - Accent4 3 13 3 2 2 2 2" xfId="10577"/>
    <cellStyle name="20% - Accent4 3 13 3 2 3" xfId="10578"/>
    <cellStyle name="20% - Accent4 3 13 3 2 3 2" xfId="10579"/>
    <cellStyle name="20% - Accent4 3 13 3 3" xfId="10580"/>
    <cellStyle name="20% - Accent4 3 13 3 3 2" xfId="10581"/>
    <cellStyle name="20% - Accent4 3 13 3 3 2 2" xfId="10582"/>
    <cellStyle name="20% - Accent4 3 13 3 4" xfId="10583"/>
    <cellStyle name="20% - Accent4 3 13 3 4 2" xfId="10584"/>
    <cellStyle name="20% - Accent4 3 13 4" xfId="10585"/>
    <cellStyle name="20% - Accent4 3 13 4 2" xfId="10586"/>
    <cellStyle name="20% - Accent4 3 13 4 2 2" xfId="10587"/>
    <cellStyle name="20% - Accent4 3 13 4 2 2 2" xfId="10588"/>
    <cellStyle name="20% - Accent4 3 13 4 3" xfId="10589"/>
    <cellStyle name="20% - Accent4 3 13 4 3 2" xfId="10590"/>
    <cellStyle name="20% - Accent4 3 13 5" xfId="10591"/>
    <cellStyle name="20% - Accent4 3 13 5 2" xfId="10592"/>
    <cellStyle name="20% - Accent4 3 13 5 2 2" xfId="10593"/>
    <cellStyle name="20% - Accent4 3 13 6" xfId="10594"/>
    <cellStyle name="20% - Accent4 3 13 6 2" xfId="10595"/>
    <cellStyle name="20% - Accent4 3 14" xfId="10596"/>
    <cellStyle name="20% - Accent4 3 14 2" xfId="10597"/>
    <cellStyle name="20% - Accent4 3 14 2 2" xfId="10598"/>
    <cellStyle name="20% - Accent4 3 14 2 2 2" xfId="10599"/>
    <cellStyle name="20% - Accent4 3 14 2 2 2 2" xfId="10600"/>
    <cellStyle name="20% - Accent4 3 14 2 2 2 2 2" xfId="10601"/>
    <cellStyle name="20% - Accent4 3 14 2 2 3" xfId="10602"/>
    <cellStyle name="20% - Accent4 3 14 2 2 3 2" xfId="10603"/>
    <cellStyle name="20% - Accent4 3 14 2 3" xfId="10604"/>
    <cellStyle name="20% - Accent4 3 14 2 3 2" xfId="10605"/>
    <cellStyle name="20% - Accent4 3 14 2 3 2 2" xfId="10606"/>
    <cellStyle name="20% - Accent4 3 14 2 4" xfId="10607"/>
    <cellStyle name="20% - Accent4 3 14 2 4 2" xfId="10608"/>
    <cellStyle name="20% - Accent4 3 14 3" xfId="10609"/>
    <cellStyle name="20% - Accent4 3 14 3 2" xfId="10610"/>
    <cellStyle name="20% - Accent4 3 14 3 2 2" xfId="10611"/>
    <cellStyle name="20% - Accent4 3 14 3 2 2 2" xfId="10612"/>
    <cellStyle name="20% - Accent4 3 14 3 3" xfId="10613"/>
    <cellStyle name="20% - Accent4 3 14 3 3 2" xfId="10614"/>
    <cellStyle name="20% - Accent4 3 14 4" xfId="10615"/>
    <cellStyle name="20% - Accent4 3 14 4 2" xfId="10616"/>
    <cellStyle name="20% - Accent4 3 14 4 2 2" xfId="10617"/>
    <cellStyle name="20% - Accent4 3 14 5" xfId="10618"/>
    <cellStyle name="20% - Accent4 3 14 5 2" xfId="10619"/>
    <cellStyle name="20% - Accent4 3 15" xfId="10620"/>
    <cellStyle name="20% - Accent4 3 15 2" xfId="10621"/>
    <cellStyle name="20% - Accent4 3 15 2 2" xfId="10622"/>
    <cellStyle name="20% - Accent4 3 15 2 2 2" xfId="10623"/>
    <cellStyle name="20% - Accent4 3 15 2 2 2 2" xfId="10624"/>
    <cellStyle name="20% - Accent4 3 15 2 3" xfId="10625"/>
    <cellStyle name="20% - Accent4 3 15 2 3 2" xfId="10626"/>
    <cellStyle name="20% - Accent4 3 15 3" xfId="10627"/>
    <cellStyle name="20% - Accent4 3 15 3 2" xfId="10628"/>
    <cellStyle name="20% - Accent4 3 15 3 2 2" xfId="10629"/>
    <cellStyle name="20% - Accent4 3 15 4" xfId="10630"/>
    <cellStyle name="20% - Accent4 3 15 4 2" xfId="10631"/>
    <cellStyle name="20% - Accent4 3 16" xfId="10632"/>
    <cellStyle name="20% - Accent4 3 16 2" xfId="10633"/>
    <cellStyle name="20% - Accent4 3 16 2 2" xfId="10634"/>
    <cellStyle name="20% - Accent4 3 16 2 2 2" xfId="10635"/>
    <cellStyle name="20% - Accent4 3 16 3" xfId="10636"/>
    <cellStyle name="20% - Accent4 3 16 3 2" xfId="10637"/>
    <cellStyle name="20% - Accent4 3 17" xfId="10638"/>
    <cellStyle name="20% - Accent4 3 17 2" xfId="10639"/>
    <cellStyle name="20% - Accent4 3 17 2 2" xfId="10640"/>
    <cellStyle name="20% - Accent4 3 18" xfId="10641"/>
    <cellStyle name="20% - Accent4 3 18 2" xfId="10642"/>
    <cellStyle name="20% - Accent4 3 19" xfId="10643"/>
    <cellStyle name="20% - Accent4 3 2" xfId="10644"/>
    <cellStyle name="20% - Accent4 3 2 10" xfId="10645"/>
    <cellStyle name="20% - Accent4 3 2 11" xfId="10646"/>
    <cellStyle name="20% - Accent4 3 2 2" xfId="10647"/>
    <cellStyle name="20% - Accent4 3 2 2 2" xfId="10648"/>
    <cellStyle name="20% - Accent4 3 2 2 2 2" xfId="10649"/>
    <cellStyle name="20% - Accent4 3 2 2 2 2 2" xfId="10650"/>
    <cellStyle name="20% - Accent4 3 2 2 2 2 2 2" xfId="10651"/>
    <cellStyle name="20% - Accent4 3 2 2 2 2 2 2 2" xfId="10652"/>
    <cellStyle name="20% - Accent4 3 2 2 2 2 3" xfId="10653"/>
    <cellStyle name="20% - Accent4 3 2 2 2 2 3 2" xfId="10654"/>
    <cellStyle name="20% - Accent4 3 2 2 2 3" xfId="10655"/>
    <cellStyle name="20% - Accent4 3 2 2 2 3 2" xfId="10656"/>
    <cellStyle name="20% - Accent4 3 2 2 2 3 2 2" xfId="10657"/>
    <cellStyle name="20% - Accent4 3 2 2 2 4" xfId="10658"/>
    <cellStyle name="20% - Accent4 3 2 2 2 4 2" xfId="10659"/>
    <cellStyle name="20% - Accent4 3 2 2 3" xfId="10660"/>
    <cellStyle name="20% - Accent4 3 2 2 3 2" xfId="10661"/>
    <cellStyle name="20% - Accent4 3 2 2 3 2 2" xfId="10662"/>
    <cellStyle name="20% - Accent4 3 2 2 3 2 2 2" xfId="10663"/>
    <cellStyle name="20% - Accent4 3 2 2 3 3" xfId="10664"/>
    <cellStyle name="20% - Accent4 3 2 2 3 3 2" xfId="10665"/>
    <cellStyle name="20% - Accent4 3 2 2 4" xfId="10666"/>
    <cellStyle name="20% - Accent4 3 2 2 4 2" xfId="10667"/>
    <cellStyle name="20% - Accent4 3 2 2 4 2 2" xfId="10668"/>
    <cellStyle name="20% - Accent4 3 2 2 5" xfId="10669"/>
    <cellStyle name="20% - Accent4 3 2 2 5 2" xfId="10670"/>
    <cellStyle name="20% - Accent4 3 2 2 6" xfId="10671"/>
    <cellStyle name="20% - Accent4 3 2 2 7" xfId="10672"/>
    <cellStyle name="20% - Accent4 3 2 2 8" xfId="10673"/>
    <cellStyle name="20% - Accent4 3 2 3" xfId="10674"/>
    <cellStyle name="20% - Accent4 3 2 3 2" xfId="10675"/>
    <cellStyle name="20% - Accent4 3 2 3 2 2" xfId="10676"/>
    <cellStyle name="20% - Accent4 3 2 3 2 2 2" xfId="10677"/>
    <cellStyle name="20% - Accent4 3 2 3 2 2 2 2" xfId="10678"/>
    <cellStyle name="20% - Accent4 3 2 3 2 3" xfId="10679"/>
    <cellStyle name="20% - Accent4 3 2 3 2 3 2" xfId="10680"/>
    <cellStyle name="20% - Accent4 3 2 3 3" xfId="10681"/>
    <cellStyle name="20% - Accent4 3 2 3 3 2" xfId="10682"/>
    <cellStyle name="20% - Accent4 3 2 3 3 2 2" xfId="10683"/>
    <cellStyle name="20% - Accent4 3 2 3 4" xfId="10684"/>
    <cellStyle name="20% - Accent4 3 2 3 4 2" xfId="10685"/>
    <cellStyle name="20% - Accent4 3 2 3 5" xfId="10686"/>
    <cellStyle name="20% - Accent4 3 2 3 6" xfId="10687"/>
    <cellStyle name="20% - Accent4 3 2 3 7" xfId="10688"/>
    <cellStyle name="20% - Accent4 3 2 4" xfId="10689"/>
    <cellStyle name="20% - Accent4 3 2 4 2" xfId="10690"/>
    <cellStyle name="20% - Accent4 3 2 4 2 2" xfId="10691"/>
    <cellStyle name="20% - Accent4 3 2 4 2 2 2" xfId="10692"/>
    <cellStyle name="20% - Accent4 3 2 4 3" xfId="10693"/>
    <cellStyle name="20% - Accent4 3 2 4 3 2" xfId="10694"/>
    <cellStyle name="20% - Accent4 3 2 4 4" xfId="10695"/>
    <cellStyle name="20% - Accent4 3 2 5" xfId="10696"/>
    <cellStyle name="20% - Accent4 3 2 5 2" xfId="10697"/>
    <cellStyle name="20% - Accent4 3 2 5 2 2" xfId="10698"/>
    <cellStyle name="20% - Accent4 3 2 6" xfId="10699"/>
    <cellStyle name="20% - Accent4 3 2 6 2" xfId="10700"/>
    <cellStyle name="20% - Accent4 3 2 7" xfId="10701"/>
    <cellStyle name="20% - Accent4 3 2 8" xfId="10702"/>
    <cellStyle name="20% - Accent4 3 2 9" xfId="10703"/>
    <cellStyle name="20% - Accent4 3 20" xfId="10704"/>
    <cellStyle name="20% - Accent4 3 21" xfId="10705"/>
    <cellStyle name="20% - Accent4 3 22" xfId="10706"/>
    <cellStyle name="20% - Accent4 3 3" xfId="10707"/>
    <cellStyle name="20% - Accent4 3 3 10" xfId="10708"/>
    <cellStyle name="20% - Accent4 3 3 11" xfId="10709"/>
    <cellStyle name="20% - Accent4 3 3 2" xfId="10710"/>
    <cellStyle name="20% - Accent4 3 3 2 2" xfId="10711"/>
    <cellStyle name="20% - Accent4 3 3 2 2 2" xfId="10712"/>
    <cellStyle name="20% - Accent4 3 3 2 2 2 2" xfId="10713"/>
    <cellStyle name="20% - Accent4 3 3 2 2 2 2 2" xfId="10714"/>
    <cellStyle name="20% - Accent4 3 3 2 2 2 2 2 2" xfId="10715"/>
    <cellStyle name="20% - Accent4 3 3 2 2 2 3" xfId="10716"/>
    <cellStyle name="20% - Accent4 3 3 2 2 2 3 2" xfId="10717"/>
    <cellStyle name="20% - Accent4 3 3 2 2 3" xfId="10718"/>
    <cellStyle name="20% - Accent4 3 3 2 2 3 2" xfId="10719"/>
    <cellStyle name="20% - Accent4 3 3 2 2 3 2 2" xfId="10720"/>
    <cellStyle name="20% - Accent4 3 3 2 2 4" xfId="10721"/>
    <cellStyle name="20% - Accent4 3 3 2 2 4 2" xfId="10722"/>
    <cellStyle name="20% - Accent4 3 3 2 3" xfId="10723"/>
    <cellStyle name="20% - Accent4 3 3 2 3 2" xfId="10724"/>
    <cellStyle name="20% - Accent4 3 3 2 3 2 2" xfId="10725"/>
    <cellStyle name="20% - Accent4 3 3 2 3 2 2 2" xfId="10726"/>
    <cellStyle name="20% - Accent4 3 3 2 3 3" xfId="10727"/>
    <cellStyle name="20% - Accent4 3 3 2 3 3 2" xfId="10728"/>
    <cellStyle name="20% - Accent4 3 3 2 4" xfId="10729"/>
    <cellStyle name="20% - Accent4 3 3 2 4 2" xfId="10730"/>
    <cellStyle name="20% - Accent4 3 3 2 4 2 2" xfId="10731"/>
    <cellStyle name="20% - Accent4 3 3 2 5" xfId="10732"/>
    <cellStyle name="20% - Accent4 3 3 2 5 2" xfId="10733"/>
    <cellStyle name="20% - Accent4 3 3 2 6" xfId="10734"/>
    <cellStyle name="20% - Accent4 3 3 2 7" xfId="10735"/>
    <cellStyle name="20% - Accent4 3 3 2 8" xfId="10736"/>
    <cellStyle name="20% - Accent4 3 3 3" xfId="10737"/>
    <cellStyle name="20% - Accent4 3 3 3 2" xfId="10738"/>
    <cellStyle name="20% - Accent4 3 3 3 2 2" xfId="10739"/>
    <cellStyle name="20% - Accent4 3 3 3 2 2 2" xfId="10740"/>
    <cellStyle name="20% - Accent4 3 3 3 2 2 2 2" xfId="10741"/>
    <cellStyle name="20% - Accent4 3 3 3 2 3" xfId="10742"/>
    <cellStyle name="20% - Accent4 3 3 3 2 3 2" xfId="10743"/>
    <cellStyle name="20% - Accent4 3 3 3 3" xfId="10744"/>
    <cellStyle name="20% - Accent4 3 3 3 3 2" xfId="10745"/>
    <cellStyle name="20% - Accent4 3 3 3 3 2 2" xfId="10746"/>
    <cellStyle name="20% - Accent4 3 3 3 4" xfId="10747"/>
    <cellStyle name="20% - Accent4 3 3 3 4 2" xfId="10748"/>
    <cellStyle name="20% - Accent4 3 3 3 5" xfId="10749"/>
    <cellStyle name="20% - Accent4 3 3 3 6" xfId="10750"/>
    <cellStyle name="20% - Accent4 3 3 3 7" xfId="10751"/>
    <cellStyle name="20% - Accent4 3 3 4" xfId="10752"/>
    <cellStyle name="20% - Accent4 3 3 4 2" xfId="10753"/>
    <cellStyle name="20% - Accent4 3 3 4 2 2" xfId="10754"/>
    <cellStyle name="20% - Accent4 3 3 4 2 2 2" xfId="10755"/>
    <cellStyle name="20% - Accent4 3 3 4 3" xfId="10756"/>
    <cellStyle name="20% - Accent4 3 3 4 3 2" xfId="10757"/>
    <cellStyle name="20% - Accent4 3 3 4 4" xfId="10758"/>
    <cellStyle name="20% - Accent4 3 3 5" xfId="10759"/>
    <cellStyle name="20% - Accent4 3 3 5 2" xfId="10760"/>
    <cellStyle name="20% - Accent4 3 3 5 2 2" xfId="10761"/>
    <cellStyle name="20% - Accent4 3 3 6" xfId="10762"/>
    <cellStyle name="20% - Accent4 3 3 6 2" xfId="10763"/>
    <cellStyle name="20% - Accent4 3 3 7" xfId="10764"/>
    <cellStyle name="20% - Accent4 3 3 8" xfId="10765"/>
    <cellStyle name="20% - Accent4 3 3 9" xfId="10766"/>
    <cellStyle name="20% - Accent4 3 4" xfId="10767"/>
    <cellStyle name="20% - Accent4 3 4 2" xfId="10768"/>
    <cellStyle name="20% - Accent4 3 4 2 2" xfId="10769"/>
    <cellStyle name="20% - Accent4 3 4 2 2 2" xfId="10770"/>
    <cellStyle name="20% - Accent4 3 4 2 2 2 2" xfId="10771"/>
    <cellStyle name="20% - Accent4 3 4 2 2 2 2 2" xfId="10772"/>
    <cellStyle name="20% - Accent4 3 4 2 2 2 2 2 2" xfId="10773"/>
    <cellStyle name="20% - Accent4 3 4 2 2 2 3" xfId="10774"/>
    <cellStyle name="20% - Accent4 3 4 2 2 2 3 2" xfId="10775"/>
    <cellStyle name="20% - Accent4 3 4 2 2 3" xfId="10776"/>
    <cellStyle name="20% - Accent4 3 4 2 2 3 2" xfId="10777"/>
    <cellStyle name="20% - Accent4 3 4 2 2 3 2 2" xfId="10778"/>
    <cellStyle name="20% - Accent4 3 4 2 2 4" xfId="10779"/>
    <cellStyle name="20% - Accent4 3 4 2 2 4 2" xfId="10780"/>
    <cellStyle name="20% - Accent4 3 4 2 3" xfId="10781"/>
    <cellStyle name="20% - Accent4 3 4 2 3 2" xfId="10782"/>
    <cellStyle name="20% - Accent4 3 4 2 3 2 2" xfId="10783"/>
    <cellStyle name="20% - Accent4 3 4 2 3 2 2 2" xfId="10784"/>
    <cellStyle name="20% - Accent4 3 4 2 3 3" xfId="10785"/>
    <cellStyle name="20% - Accent4 3 4 2 3 3 2" xfId="10786"/>
    <cellStyle name="20% - Accent4 3 4 2 4" xfId="10787"/>
    <cellStyle name="20% - Accent4 3 4 2 4 2" xfId="10788"/>
    <cellStyle name="20% - Accent4 3 4 2 4 2 2" xfId="10789"/>
    <cellStyle name="20% - Accent4 3 4 2 5" xfId="10790"/>
    <cellStyle name="20% - Accent4 3 4 2 5 2" xfId="10791"/>
    <cellStyle name="20% - Accent4 3 4 3" xfId="10792"/>
    <cellStyle name="20% - Accent4 3 4 3 2" xfId="10793"/>
    <cellStyle name="20% - Accent4 3 4 3 2 2" xfId="10794"/>
    <cellStyle name="20% - Accent4 3 4 3 2 2 2" xfId="10795"/>
    <cellStyle name="20% - Accent4 3 4 3 2 2 2 2" xfId="10796"/>
    <cellStyle name="20% - Accent4 3 4 3 2 3" xfId="10797"/>
    <cellStyle name="20% - Accent4 3 4 3 2 3 2" xfId="10798"/>
    <cellStyle name="20% - Accent4 3 4 3 3" xfId="10799"/>
    <cellStyle name="20% - Accent4 3 4 3 3 2" xfId="10800"/>
    <cellStyle name="20% - Accent4 3 4 3 3 2 2" xfId="10801"/>
    <cellStyle name="20% - Accent4 3 4 3 4" xfId="10802"/>
    <cellStyle name="20% - Accent4 3 4 3 4 2" xfId="10803"/>
    <cellStyle name="20% - Accent4 3 4 4" xfId="10804"/>
    <cellStyle name="20% - Accent4 3 4 4 2" xfId="10805"/>
    <cellStyle name="20% - Accent4 3 4 4 2 2" xfId="10806"/>
    <cellStyle name="20% - Accent4 3 4 4 2 2 2" xfId="10807"/>
    <cellStyle name="20% - Accent4 3 4 4 3" xfId="10808"/>
    <cellStyle name="20% - Accent4 3 4 4 3 2" xfId="10809"/>
    <cellStyle name="20% - Accent4 3 4 5" xfId="10810"/>
    <cellStyle name="20% - Accent4 3 4 5 2" xfId="10811"/>
    <cellStyle name="20% - Accent4 3 4 5 2 2" xfId="10812"/>
    <cellStyle name="20% - Accent4 3 4 6" xfId="10813"/>
    <cellStyle name="20% - Accent4 3 4 6 2" xfId="10814"/>
    <cellStyle name="20% - Accent4 3 4 7" xfId="10815"/>
    <cellStyle name="20% - Accent4 3 5" xfId="10816"/>
    <cellStyle name="20% - Accent4 3 5 2" xfId="10817"/>
    <cellStyle name="20% - Accent4 3 5 2 2" xfId="10818"/>
    <cellStyle name="20% - Accent4 3 5 2 2 2" xfId="10819"/>
    <cellStyle name="20% - Accent4 3 5 2 2 2 2" xfId="10820"/>
    <cellStyle name="20% - Accent4 3 5 2 2 2 2 2" xfId="10821"/>
    <cellStyle name="20% - Accent4 3 5 2 2 2 2 2 2" xfId="10822"/>
    <cellStyle name="20% - Accent4 3 5 2 2 2 3" xfId="10823"/>
    <cellStyle name="20% - Accent4 3 5 2 2 2 3 2" xfId="10824"/>
    <cellStyle name="20% - Accent4 3 5 2 2 3" xfId="10825"/>
    <cellStyle name="20% - Accent4 3 5 2 2 3 2" xfId="10826"/>
    <cellStyle name="20% - Accent4 3 5 2 2 3 2 2" xfId="10827"/>
    <cellStyle name="20% - Accent4 3 5 2 2 4" xfId="10828"/>
    <cellStyle name="20% - Accent4 3 5 2 2 4 2" xfId="10829"/>
    <cellStyle name="20% - Accent4 3 5 2 3" xfId="10830"/>
    <cellStyle name="20% - Accent4 3 5 2 3 2" xfId="10831"/>
    <cellStyle name="20% - Accent4 3 5 2 3 2 2" xfId="10832"/>
    <cellStyle name="20% - Accent4 3 5 2 3 2 2 2" xfId="10833"/>
    <cellStyle name="20% - Accent4 3 5 2 3 3" xfId="10834"/>
    <cellStyle name="20% - Accent4 3 5 2 3 3 2" xfId="10835"/>
    <cellStyle name="20% - Accent4 3 5 2 4" xfId="10836"/>
    <cellStyle name="20% - Accent4 3 5 2 4 2" xfId="10837"/>
    <cellStyle name="20% - Accent4 3 5 2 4 2 2" xfId="10838"/>
    <cellStyle name="20% - Accent4 3 5 2 5" xfId="10839"/>
    <cellStyle name="20% - Accent4 3 5 2 5 2" xfId="10840"/>
    <cellStyle name="20% - Accent4 3 5 3" xfId="10841"/>
    <cellStyle name="20% - Accent4 3 5 3 2" xfId="10842"/>
    <cellStyle name="20% - Accent4 3 5 3 2 2" xfId="10843"/>
    <cellStyle name="20% - Accent4 3 5 3 2 2 2" xfId="10844"/>
    <cellStyle name="20% - Accent4 3 5 3 2 2 2 2" xfId="10845"/>
    <cellStyle name="20% - Accent4 3 5 3 2 3" xfId="10846"/>
    <cellStyle name="20% - Accent4 3 5 3 2 3 2" xfId="10847"/>
    <cellStyle name="20% - Accent4 3 5 3 3" xfId="10848"/>
    <cellStyle name="20% - Accent4 3 5 3 3 2" xfId="10849"/>
    <cellStyle name="20% - Accent4 3 5 3 3 2 2" xfId="10850"/>
    <cellStyle name="20% - Accent4 3 5 3 4" xfId="10851"/>
    <cellStyle name="20% - Accent4 3 5 3 4 2" xfId="10852"/>
    <cellStyle name="20% - Accent4 3 5 4" xfId="10853"/>
    <cellStyle name="20% - Accent4 3 5 4 2" xfId="10854"/>
    <cellStyle name="20% - Accent4 3 5 4 2 2" xfId="10855"/>
    <cellStyle name="20% - Accent4 3 5 4 2 2 2" xfId="10856"/>
    <cellStyle name="20% - Accent4 3 5 4 3" xfId="10857"/>
    <cellStyle name="20% - Accent4 3 5 4 3 2" xfId="10858"/>
    <cellStyle name="20% - Accent4 3 5 5" xfId="10859"/>
    <cellStyle name="20% - Accent4 3 5 5 2" xfId="10860"/>
    <cellStyle name="20% - Accent4 3 5 5 2 2" xfId="10861"/>
    <cellStyle name="20% - Accent4 3 5 6" xfId="10862"/>
    <cellStyle name="20% - Accent4 3 5 6 2" xfId="10863"/>
    <cellStyle name="20% - Accent4 3 5 7" xfId="10864"/>
    <cellStyle name="20% - Accent4 3 6" xfId="10865"/>
    <cellStyle name="20% - Accent4 3 6 2" xfId="10866"/>
    <cellStyle name="20% - Accent4 3 6 2 2" xfId="10867"/>
    <cellStyle name="20% - Accent4 3 6 2 2 2" xfId="10868"/>
    <cellStyle name="20% - Accent4 3 6 2 2 2 2" xfId="10869"/>
    <cellStyle name="20% - Accent4 3 6 2 2 2 2 2" xfId="10870"/>
    <cellStyle name="20% - Accent4 3 6 2 2 2 2 2 2" xfId="10871"/>
    <cellStyle name="20% - Accent4 3 6 2 2 2 3" xfId="10872"/>
    <cellStyle name="20% - Accent4 3 6 2 2 2 3 2" xfId="10873"/>
    <cellStyle name="20% - Accent4 3 6 2 2 3" xfId="10874"/>
    <cellStyle name="20% - Accent4 3 6 2 2 3 2" xfId="10875"/>
    <cellStyle name="20% - Accent4 3 6 2 2 3 2 2" xfId="10876"/>
    <cellStyle name="20% - Accent4 3 6 2 2 4" xfId="10877"/>
    <cellStyle name="20% - Accent4 3 6 2 2 4 2" xfId="10878"/>
    <cellStyle name="20% - Accent4 3 6 2 3" xfId="10879"/>
    <cellStyle name="20% - Accent4 3 6 2 3 2" xfId="10880"/>
    <cellStyle name="20% - Accent4 3 6 2 3 2 2" xfId="10881"/>
    <cellStyle name="20% - Accent4 3 6 2 3 2 2 2" xfId="10882"/>
    <cellStyle name="20% - Accent4 3 6 2 3 3" xfId="10883"/>
    <cellStyle name="20% - Accent4 3 6 2 3 3 2" xfId="10884"/>
    <cellStyle name="20% - Accent4 3 6 2 4" xfId="10885"/>
    <cellStyle name="20% - Accent4 3 6 2 4 2" xfId="10886"/>
    <cellStyle name="20% - Accent4 3 6 2 4 2 2" xfId="10887"/>
    <cellStyle name="20% - Accent4 3 6 2 5" xfId="10888"/>
    <cellStyle name="20% - Accent4 3 6 2 5 2" xfId="10889"/>
    <cellStyle name="20% - Accent4 3 6 3" xfId="10890"/>
    <cellStyle name="20% - Accent4 3 6 3 2" xfId="10891"/>
    <cellStyle name="20% - Accent4 3 6 3 2 2" xfId="10892"/>
    <cellStyle name="20% - Accent4 3 6 3 2 2 2" xfId="10893"/>
    <cellStyle name="20% - Accent4 3 6 3 2 2 2 2" xfId="10894"/>
    <cellStyle name="20% - Accent4 3 6 3 2 3" xfId="10895"/>
    <cellStyle name="20% - Accent4 3 6 3 2 3 2" xfId="10896"/>
    <cellStyle name="20% - Accent4 3 6 3 3" xfId="10897"/>
    <cellStyle name="20% - Accent4 3 6 3 3 2" xfId="10898"/>
    <cellStyle name="20% - Accent4 3 6 3 3 2 2" xfId="10899"/>
    <cellStyle name="20% - Accent4 3 6 3 4" xfId="10900"/>
    <cellStyle name="20% - Accent4 3 6 3 4 2" xfId="10901"/>
    <cellStyle name="20% - Accent4 3 6 4" xfId="10902"/>
    <cellStyle name="20% - Accent4 3 6 4 2" xfId="10903"/>
    <cellStyle name="20% - Accent4 3 6 4 2 2" xfId="10904"/>
    <cellStyle name="20% - Accent4 3 6 4 2 2 2" xfId="10905"/>
    <cellStyle name="20% - Accent4 3 6 4 3" xfId="10906"/>
    <cellStyle name="20% - Accent4 3 6 4 3 2" xfId="10907"/>
    <cellStyle name="20% - Accent4 3 6 5" xfId="10908"/>
    <cellStyle name="20% - Accent4 3 6 5 2" xfId="10909"/>
    <cellStyle name="20% - Accent4 3 6 5 2 2" xfId="10910"/>
    <cellStyle name="20% - Accent4 3 6 6" xfId="10911"/>
    <cellStyle name="20% - Accent4 3 6 6 2" xfId="10912"/>
    <cellStyle name="20% - Accent4 3 6 7" xfId="10913"/>
    <cellStyle name="20% - Accent4 3 7" xfId="10914"/>
    <cellStyle name="20% - Accent4 3 7 2" xfId="10915"/>
    <cellStyle name="20% - Accent4 3 7 2 2" xfId="10916"/>
    <cellStyle name="20% - Accent4 3 7 2 2 2" xfId="10917"/>
    <cellStyle name="20% - Accent4 3 7 2 2 2 2" xfId="10918"/>
    <cellStyle name="20% - Accent4 3 7 2 2 2 2 2" xfId="10919"/>
    <cellStyle name="20% - Accent4 3 7 2 2 2 2 2 2" xfId="10920"/>
    <cellStyle name="20% - Accent4 3 7 2 2 2 3" xfId="10921"/>
    <cellStyle name="20% - Accent4 3 7 2 2 2 3 2" xfId="10922"/>
    <cellStyle name="20% - Accent4 3 7 2 2 3" xfId="10923"/>
    <cellStyle name="20% - Accent4 3 7 2 2 3 2" xfId="10924"/>
    <cellStyle name="20% - Accent4 3 7 2 2 3 2 2" xfId="10925"/>
    <cellStyle name="20% - Accent4 3 7 2 2 4" xfId="10926"/>
    <cellStyle name="20% - Accent4 3 7 2 2 4 2" xfId="10927"/>
    <cellStyle name="20% - Accent4 3 7 2 3" xfId="10928"/>
    <cellStyle name="20% - Accent4 3 7 2 3 2" xfId="10929"/>
    <cellStyle name="20% - Accent4 3 7 2 3 2 2" xfId="10930"/>
    <cellStyle name="20% - Accent4 3 7 2 3 2 2 2" xfId="10931"/>
    <cellStyle name="20% - Accent4 3 7 2 3 3" xfId="10932"/>
    <cellStyle name="20% - Accent4 3 7 2 3 3 2" xfId="10933"/>
    <cellStyle name="20% - Accent4 3 7 2 4" xfId="10934"/>
    <cellStyle name="20% - Accent4 3 7 2 4 2" xfId="10935"/>
    <cellStyle name="20% - Accent4 3 7 2 4 2 2" xfId="10936"/>
    <cellStyle name="20% - Accent4 3 7 2 5" xfId="10937"/>
    <cellStyle name="20% - Accent4 3 7 2 5 2" xfId="10938"/>
    <cellStyle name="20% - Accent4 3 7 3" xfId="10939"/>
    <cellStyle name="20% - Accent4 3 7 3 2" xfId="10940"/>
    <cellStyle name="20% - Accent4 3 7 3 2 2" xfId="10941"/>
    <cellStyle name="20% - Accent4 3 7 3 2 2 2" xfId="10942"/>
    <cellStyle name="20% - Accent4 3 7 3 2 2 2 2" xfId="10943"/>
    <cellStyle name="20% - Accent4 3 7 3 2 3" xfId="10944"/>
    <cellStyle name="20% - Accent4 3 7 3 2 3 2" xfId="10945"/>
    <cellStyle name="20% - Accent4 3 7 3 3" xfId="10946"/>
    <cellStyle name="20% - Accent4 3 7 3 3 2" xfId="10947"/>
    <cellStyle name="20% - Accent4 3 7 3 3 2 2" xfId="10948"/>
    <cellStyle name="20% - Accent4 3 7 3 4" xfId="10949"/>
    <cellStyle name="20% - Accent4 3 7 3 4 2" xfId="10950"/>
    <cellStyle name="20% - Accent4 3 7 4" xfId="10951"/>
    <cellStyle name="20% - Accent4 3 7 4 2" xfId="10952"/>
    <cellStyle name="20% - Accent4 3 7 4 2 2" xfId="10953"/>
    <cellStyle name="20% - Accent4 3 7 4 2 2 2" xfId="10954"/>
    <cellStyle name="20% - Accent4 3 7 4 3" xfId="10955"/>
    <cellStyle name="20% - Accent4 3 7 4 3 2" xfId="10956"/>
    <cellStyle name="20% - Accent4 3 7 5" xfId="10957"/>
    <cellStyle name="20% - Accent4 3 7 5 2" xfId="10958"/>
    <cellStyle name="20% - Accent4 3 7 5 2 2" xfId="10959"/>
    <cellStyle name="20% - Accent4 3 7 6" xfId="10960"/>
    <cellStyle name="20% - Accent4 3 7 6 2" xfId="10961"/>
    <cellStyle name="20% - Accent4 3 7 7" xfId="10962"/>
    <cellStyle name="20% - Accent4 3 8" xfId="10963"/>
    <cellStyle name="20% - Accent4 3 8 2" xfId="10964"/>
    <cellStyle name="20% - Accent4 3 8 2 2" xfId="10965"/>
    <cellStyle name="20% - Accent4 3 8 2 2 2" xfId="10966"/>
    <cellStyle name="20% - Accent4 3 8 2 2 2 2" xfId="10967"/>
    <cellStyle name="20% - Accent4 3 8 2 2 2 2 2" xfId="10968"/>
    <cellStyle name="20% - Accent4 3 8 2 2 2 2 2 2" xfId="10969"/>
    <cellStyle name="20% - Accent4 3 8 2 2 2 3" xfId="10970"/>
    <cellStyle name="20% - Accent4 3 8 2 2 2 3 2" xfId="10971"/>
    <cellStyle name="20% - Accent4 3 8 2 2 3" xfId="10972"/>
    <cellStyle name="20% - Accent4 3 8 2 2 3 2" xfId="10973"/>
    <cellStyle name="20% - Accent4 3 8 2 2 3 2 2" xfId="10974"/>
    <cellStyle name="20% - Accent4 3 8 2 2 4" xfId="10975"/>
    <cellStyle name="20% - Accent4 3 8 2 2 4 2" xfId="10976"/>
    <cellStyle name="20% - Accent4 3 8 2 3" xfId="10977"/>
    <cellStyle name="20% - Accent4 3 8 2 3 2" xfId="10978"/>
    <cellStyle name="20% - Accent4 3 8 2 3 2 2" xfId="10979"/>
    <cellStyle name="20% - Accent4 3 8 2 3 2 2 2" xfId="10980"/>
    <cellStyle name="20% - Accent4 3 8 2 3 3" xfId="10981"/>
    <cellStyle name="20% - Accent4 3 8 2 3 3 2" xfId="10982"/>
    <cellStyle name="20% - Accent4 3 8 2 4" xfId="10983"/>
    <cellStyle name="20% - Accent4 3 8 2 4 2" xfId="10984"/>
    <cellStyle name="20% - Accent4 3 8 2 4 2 2" xfId="10985"/>
    <cellStyle name="20% - Accent4 3 8 2 5" xfId="10986"/>
    <cellStyle name="20% - Accent4 3 8 2 5 2" xfId="10987"/>
    <cellStyle name="20% - Accent4 3 8 3" xfId="10988"/>
    <cellStyle name="20% - Accent4 3 8 3 2" xfId="10989"/>
    <cellStyle name="20% - Accent4 3 8 3 2 2" xfId="10990"/>
    <cellStyle name="20% - Accent4 3 8 3 2 2 2" xfId="10991"/>
    <cellStyle name="20% - Accent4 3 8 3 2 2 2 2" xfId="10992"/>
    <cellStyle name="20% - Accent4 3 8 3 2 3" xfId="10993"/>
    <cellStyle name="20% - Accent4 3 8 3 2 3 2" xfId="10994"/>
    <cellStyle name="20% - Accent4 3 8 3 3" xfId="10995"/>
    <cellStyle name="20% - Accent4 3 8 3 3 2" xfId="10996"/>
    <cellStyle name="20% - Accent4 3 8 3 3 2 2" xfId="10997"/>
    <cellStyle name="20% - Accent4 3 8 3 4" xfId="10998"/>
    <cellStyle name="20% - Accent4 3 8 3 4 2" xfId="10999"/>
    <cellStyle name="20% - Accent4 3 8 4" xfId="11000"/>
    <cellStyle name="20% - Accent4 3 8 4 2" xfId="11001"/>
    <cellStyle name="20% - Accent4 3 8 4 2 2" xfId="11002"/>
    <cellStyle name="20% - Accent4 3 8 4 2 2 2" xfId="11003"/>
    <cellStyle name="20% - Accent4 3 8 4 3" xfId="11004"/>
    <cellStyle name="20% - Accent4 3 8 4 3 2" xfId="11005"/>
    <cellStyle name="20% - Accent4 3 8 5" xfId="11006"/>
    <cellStyle name="20% - Accent4 3 8 5 2" xfId="11007"/>
    <cellStyle name="20% - Accent4 3 8 5 2 2" xfId="11008"/>
    <cellStyle name="20% - Accent4 3 8 6" xfId="11009"/>
    <cellStyle name="20% - Accent4 3 8 6 2" xfId="11010"/>
    <cellStyle name="20% - Accent4 3 9" xfId="11011"/>
    <cellStyle name="20% - Accent4 3 9 2" xfId="11012"/>
    <cellStyle name="20% - Accent4 3 9 2 2" xfId="11013"/>
    <cellStyle name="20% - Accent4 3 9 2 2 2" xfId="11014"/>
    <cellStyle name="20% - Accent4 3 9 2 2 2 2" xfId="11015"/>
    <cellStyle name="20% - Accent4 3 9 2 2 2 2 2" xfId="11016"/>
    <cellStyle name="20% - Accent4 3 9 2 2 2 2 2 2" xfId="11017"/>
    <cellStyle name="20% - Accent4 3 9 2 2 2 3" xfId="11018"/>
    <cellStyle name="20% - Accent4 3 9 2 2 2 3 2" xfId="11019"/>
    <cellStyle name="20% - Accent4 3 9 2 2 3" xfId="11020"/>
    <cellStyle name="20% - Accent4 3 9 2 2 3 2" xfId="11021"/>
    <cellStyle name="20% - Accent4 3 9 2 2 3 2 2" xfId="11022"/>
    <cellStyle name="20% - Accent4 3 9 2 2 4" xfId="11023"/>
    <cellStyle name="20% - Accent4 3 9 2 2 4 2" xfId="11024"/>
    <cellStyle name="20% - Accent4 3 9 2 3" xfId="11025"/>
    <cellStyle name="20% - Accent4 3 9 2 3 2" xfId="11026"/>
    <cellStyle name="20% - Accent4 3 9 2 3 2 2" xfId="11027"/>
    <cellStyle name="20% - Accent4 3 9 2 3 2 2 2" xfId="11028"/>
    <cellStyle name="20% - Accent4 3 9 2 3 3" xfId="11029"/>
    <cellStyle name="20% - Accent4 3 9 2 3 3 2" xfId="11030"/>
    <cellStyle name="20% - Accent4 3 9 2 4" xfId="11031"/>
    <cellStyle name="20% - Accent4 3 9 2 4 2" xfId="11032"/>
    <cellStyle name="20% - Accent4 3 9 2 4 2 2" xfId="11033"/>
    <cellStyle name="20% - Accent4 3 9 2 5" xfId="11034"/>
    <cellStyle name="20% - Accent4 3 9 2 5 2" xfId="11035"/>
    <cellStyle name="20% - Accent4 3 9 3" xfId="11036"/>
    <cellStyle name="20% - Accent4 3 9 3 2" xfId="11037"/>
    <cellStyle name="20% - Accent4 3 9 3 2 2" xfId="11038"/>
    <cellStyle name="20% - Accent4 3 9 3 2 2 2" xfId="11039"/>
    <cellStyle name="20% - Accent4 3 9 3 2 2 2 2" xfId="11040"/>
    <cellStyle name="20% - Accent4 3 9 3 2 3" xfId="11041"/>
    <cellStyle name="20% - Accent4 3 9 3 2 3 2" xfId="11042"/>
    <cellStyle name="20% - Accent4 3 9 3 3" xfId="11043"/>
    <cellStyle name="20% - Accent4 3 9 3 3 2" xfId="11044"/>
    <cellStyle name="20% - Accent4 3 9 3 3 2 2" xfId="11045"/>
    <cellStyle name="20% - Accent4 3 9 3 4" xfId="11046"/>
    <cellStyle name="20% - Accent4 3 9 3 4 2" xfId="11047"/>
    <cellStyle name="20% - Accent4 3 9 4" xfId="11048"/>
    <cellStyle name="20% - Accent4 3 9 4 2" xfId="11049"/>
    <cellStyle name="20% - Accent4 3 9 4 2 2" xfId="11050"/>
    <cellStyle name="20% - Accent4 3 9 4 2 2 2" xfId="11051"/>
    <cellStyle name="20% - Accent4 3 9 4 3" xfId="11052"/>
    <cellStyle name="20% - Accent4 3 9 4 3 2" xfId="11053"/>
    <cellStyle name="20% - Accent4 3 9 5" xfId="11054"/>
    <cellStyle name="20% - Accent4 3 9 5 2" xfId="11055"/>
    <cellStyle name="20% - Accent4 3 9 5 2 2" xfId="11056"/>
    <cellStyle name="20% - Accent4 3 9 6" xfId="11057"/>
    <cellStyle name="20% - Accent4 3 9 6 2" xfId="11058"/>
    <cellStyle name="20% - Accent4 3 9 7" xfId="11059"/>
    <cellStyle name="20% - Accent4 3 9 8" xfId="11060"/>
    <cellStyle name="20% - Accent4 3 9 9" xfId="11061"/>
    <cellStyle name="20% - Accent4 30" xfId="11062"/>
    <cellStyle name="20% - Accent4 30 2" xfId="11063"/>
    <cellStyle name="20% - Accent4 30 2 2" xfId="11064"/>
    <cellStyle name="20% - Accent4 30 2 2 2" xfId="11065"/>
    <cellStyle name="20% - Accent4 30 3" xfId="11066"/>
    <cellStyle name="20% - Accent4 30 3 2" xfId="11067"/>
    <cellStyle name="20% - Accent4 30 4" xfId="11068"/>
    <cellStyle name="20% - Accent4 31" xfId="11069"/>
    <cellStyle name="20% - Accent4 31 2" xfId="11070"/>
    <cellStyle name="20% - Accent4 31 2 2" xfId="11071"/>
    <cellStyle name="20% - Accent4 31 2 2 2" xfId="11072"/>
    <cellStyle name="20% - Accent4 31 3" xfId="11073"/>
    <cellStyle name="20% - Accent4 31 3 2" xfId="11074"/>
    <cellStyle name="20% - Accent4 31 4" xfId="11075"/>
    <cellStyle name="20% - Accent4 32" xfId="11076"/>
    <cellStyle name="20% - Accent4 32 2" xfId="11077"/>
    <cellStyle name="20% - Accent4 32 2 2" xfId="11078"/>
    <cellStyle name="20% - Accent4 32 3" xfId="11079"/>
    <cellStyle name="20% - Accent4 33" xfId="11080"/>
    <cellStyle name="20% - Accent4 33 2" xfId="11081"/>
    <cellStyle name="20% - Accent4 33 2 2" xfId="11082"/>
    <cellStyle name="20% - Accent4 33 3" xfId="11083"/>
    <cellStyle name="20% - Accent4 34" xfId="11084"/>
    <cellStyle name="20% - Accent4 34 2" xfId="11085"/>
    <cellStyle name="20% - Accent4 34 2 2" xfId="11086"/>
    <cellStyle name="20% - Accent4 34 3" xfId="11087"/>
    <cellStyle name="20% - Accent4 35" xfId="11088"/>
    <cellStyle name="20% - Accent4 35 2" xfId="11089"/>
    <cellStyle name="20% - Accent4 35 3" xfId="11090"/>
    <cellStyle name="20% - Accent4 36" xfId="11091"/>
    <cellStyle name="20% - Accent4 36 2" xfId="11092"/>
    <cellStyle name="20% - Accent4 36 2 2" xfId="11093"/>
    <cellStyle name="20% - Accent4 36 2 3" xfId="11094"/>
    <cellStyle name="20% - Accent4 36 2 4" xfId="11095"/>
    <cellStyle name="20% - Accent4 36 3" xfId="11096"/>
    <cellStyle name="20% - Accent4 36 3 2" xfId="11097"/>
    <cellStyle name="20% - Accent4 36 3 3" xfId="11098"/>
    <cellStyle name="20% - Accent4 36 4" xfId="11099"/>
    <cellStyle name="20% - Accent4 36 4 2" xfId="11100"/>
    <cellStyle name="20% - Accent4 36 5" xfId="11101"/>
    <cellStyle name="20% - Accent4 36 6" xfId="11102"/>
    <cellStyle name="20% - Accent4 36 7" xfId="11103"/>
    <cellStyle name="20% - Accent4 37" xfId="11104"/>
    <cellStyle name="20% - Accent4 38" xfId="11105"/>
    <cellStyle name="20% - Accent4 39" xfId="11106"/>
    <cellStyle name="20% - Accent4 4" xfId="11107"/>
    <cellStyle name="20% - Accent4 4 10" xfId="11108"/>
    <cellStyle name="20% - Accent4 4 10 2" xfId="11109"/>
    <cellStyle name="20% - Accent4 4 10 2 2" xfId="11110"/>
    <cellStyle name="20% - Accent4 4 10 2 2 2" xfId="11111"/>
    <cellStyle name="20% - Accent4 4 10 2 2 2 2" xfId="11112"/>
    <cellStyle name="20% - Accent4 4 10 2 2 2 2 2" xfId="11113"/>
    <cellStyle name="20% - Accent4 4 10 2 2 2 2 2 2" xfId="11114"/>
    <cellStyle name="20% - Accent4 4 10 2 2 2 3" xfId="11115"/>
    <cellStyle name="20% - Accent4 4 10 2 2 2 3 2" xfId="11116"/>
    <cellStyle name="20% - Accent4 4 10 2 2 3" xfId="11117"/>
    <cellStyle name="20% - Accent4 4 10 2 2 3 2" xfId="11118"/>
    <cellStyle name="20% - Accent4 4 10 2 2 3 2 2" xfId="11119"/>
    <cellStyle name="20% - Accent4 4 10 2 2 4" xfId="11120"/>
    <cellStyle name="20% - Accent4 4 10 2 2 4 2" xfId="11121"/>
    <cellStyle name="20% - Accent4 4 10 2 3" xfId="11122"/>
    <cellStyle name="20% - Accent4 4 10 2 3 2" xfId="11123"/>
    <cellStyle name="20% - Accent4 4 10 2 3 2 2" xfId="11124"/>
    <cellStyle name="20% - Accent4 4 10 2 3 2 2 2" xfId="11125"/>
    <cellStyle name="20% - Accent4 4 10 2 3 3" xfId="11126"/>
    <cellStyle name="20% - Accent4 4 10 2 3 3 2" xfId="11127"/>
    <cellStyle name="20% - Accent4 4 10 2 4" xfId="11128"/>
    <cellStyle name="20% - Accent4 4 10 2 4 2" xfId="11129"/>
    <cellStyle name="20% - Accent4 4 10 2 4 2 2" xfId="11130"/>
    <cellStyle name="20% - Accent4 4 10 2 5" xfId="11131"/>
    <cellStyle name="20% - Accent4 4 10 2 5 2" xfId="11132"/>
    <cellStyle name="20% - Accent4 4 10 3" xfId="11133"/>
    <cellStyle name="20% - Accent4 4 10 3 2" xfId="11134"/>
    <cellStyle name="20% - Accent4 4 10 3 2 2" xfId="11135"/>
    <cellStyle name="20% - Accent4 4 10 3 2 2 2" xfId="11136"/>
    <cellStyle name="20% - Accent4 4 10 3 2 2 2 2" xfId="11137"/>
    <cellStyle name="20% - Accent4 4 10 3 2 3" xfId="11138"/>
    <cellStyle name="20% - Accent4 4 10 3 2 3 2" xfId="11139"/>
    <cellStyle name="20% - Accent4 4 10 3 3" xfId="11140"/>
    <cellStyle name="20% - Accent4 4 10 3 3 2" xfId="11141"/>
    <cellStyle name="20% - Accent4 4 10 3 3 2 2" xfId="11142"/>
    <cellStyle name="20% - Accent4 4 10 3 4" xfId="11143"/>
    <cellStyle name="20% - Accent4 4 10 3 4 2" xfId="11144"/>
    <cellStyle name="20% - Accent4 4 10 4" xfId="11145"/>
    <cellStyle name="20% - Accent4 4 10 4 2" xfId="11146"/>
    <cellStyle name="20% - Accent4 4 10 4 2 2" xfId="11147"/>
    <cellStyle name="20% - Accent4 4 10 4 2 2 2" xfId="11148"/>
    <cellStyle name="20% - Accent4 4 10 4 3" xfId="11149"/>
    <cellStyle name="20% - Accent4 4 10 4 3 2" xfId="11150"/>
    <cellStyle name="20% - Accent4 4 10 5" xfId="11151"/>
    <cellStyle name="20% - Accent4 4 10 5 2" xfId="11152"/>
    <cellStyle name="20% - Accent4 4 10 5 2 2" xfId="11153"/>
    <cellStyle name="20% - Accent4 4 10 6" xfId="11154"/>
    <cellStyle name="20% - Accent4 4 10 6 2" xfId="11155"/>
    <cellStyle name="20% - Accent4 4 10 7" xfId="11156"/>
    <cellStyle name="20% - Accent4 4 10 8" xfId="11157"/>
    <cellStyle name="20% - Accent4 4 10 9" xfId="11158"/>
    <cellStyle name="20% - Accent4 4 11" xfId="11159"/>
    <cellStyle name="20% - Accent4 4 11 2" xfId="11160"/>
    <cellStyle name="20% - Accent4 4 11 2 2" xfId="11161"/>
    <cellStyle name="20% - Accent4 4 11 2 2 2" xfId="11162"/>
    <cellStyle name="20% - Accent4 4 11 2 2 2 2" xfId="11163"/>
    <cellStyle name="20% - Accent4 4 11 2 2 2 2 2" xfId="11164"/>
    <cellStyle name="20% - Accent4 4 11 2 2 2 2 2 2" xfId="11165"/>
    <cellStyle name="20% - Accent4 4 11 2 2 2 3" xfId="11166"/>
    <cellStyle name="20% - Accent4 4 11 2 2 2 3 2" xfId="11167"/>
    <cellStyle name="20% - Accent4 4 11 2 2 3" xfId="11168"/>
    <cellStyle name="20% - Accent4 4 11 2 2 3 2" xfId="11169"/>
    <cellStyle name="20% - Accent4 4 11 2 2 3 2 2" xfId="11170"/>
    <cellStyle name="20% - Accent4 4 11 2 2 4" xfId="11171"/>
    <cellStyle name="20% - Accent4 4 11 2 2 4 2" xfId="11172"/>
    <cellStyle name="20% - Accent4 4 11 2 3" xfId="11173"/>
    <cellStyle name="20% - Accent4 4 11 2 3 2" xfId="11174"/>
    <cellStyle name="20% - Accent4 4 11 2 3 2 2" xfId="11175"/>
    <cellStyle name="20% - Accent4 4 11 2 3 2 2 2" xfId="11176"/>
    <cellStyle name="20% - Accent4 4 11 2 3 3" xfId="11177"/>
    <cellStyle name="20% - Accent4 4 11 2 3 3 2" xfId="11178"/>
    <cellStyle name="20% - Accent4 4 11 2 4" xfId="11179"/>
    <cellStyle name="20% - Accent4 4 11 2 4 2" xfId="11180"/>
    <cellStyle name="20% - Accent4 4 11 2 4 2 2" xfId="11181"/>
    <cellStyle name="20% - Accent4 4 11 2 5" xfId="11182"/>
    <cellStyle name="20% - Accent4 4 11 2 5 2" xfId="11183"/>
    <cellStyle name="20% - Accent4 4 11 3" xfId="11184"/>
    <cellStyle name="20% - Accent4 4 11 3 2" xfId="11185"/>
    <cellStyle name="20% - Accent4 4 11 3 2 2" xfId="11186"/>
    <cellStyle name="20% - Accent4 4 11 3 2 2 2" xfId="11187"/>
    <cellStyle name="20% - Accent4 4 11 3 2 2 2 2" xfId="11188"/>
    <cellStyle name="20% - Accent4 4 11 3 2 3" xfId="11189"/>
    <cellStyle name="20% - Accent4 4 11 3 2 3 2" xfId="11190"/>
    <cellStyle name="20% - Accent4 4 11 3 3" xfId="11191"/>
    <cellStyle name="20% - Accent4 4 11 3 3 2" xfId="11192"/>
    <cellStyle name="20% - Accent4 4 11 3 3 2 2" xfId="11193"/>
    <cellStyle name="20% - Accent4 4 11 3 4" xfId="11194"/>
    <cellStyle name="20% - Accent4 4 11 3 4 2" xfId="11195"/>
    <cellStyle name="20% - Accent4 4 11 4" xfId="11196"/>
    <cellStyle name="20% - Accent4 4 11 4 2" xfId="11197"/>
    <cellStyle name="20% - Accent4 4 11 4 2 2" xfId="11198"/>
    <cellStyle name="20% - Accent4 4 11 4 2 2 2" xfId="11199"/>
    <cellStyle name="20% - Accent4 4 11 4 3" xfId="11200"/>
    <cellStyle name="20% - Accent4 4 11 4 3 2" xfId="11201"/>
    <cellStyle name="20% - Accent4 4 11 5" xfId="11202"/>
    <cellStyle name="20% - Accent4 4 11 5 2" xfId="11203"/>
    <cellStyle name="20% - Accent4 4 11 5 2 2" xfId="11204"/>
    <cellStyle name="20% - Accent4 4 11 6" xfId="11205"/>
    <cellStyle name="20% - Accent4 4 11 6 2" xfId="11206"/>
    <cellStyle name="20% - Accent4 4 11 7" xfId="11207"/>
    <cellStyle name="20% - Accent4 4 12" xfId="11208"/>
    <cellStyle name="20% - Accent4 4 12 2" xfId="11209"/>
    <cellStyle name="20% - Accent4 4 12 2 2" xfId="11210"/>
    <cellStyle name="20% - Accent4 4 12 2 2 2" xfId="11211"/>
    <cellStyle name="20% - Accent4 4 12 2 2 2 2" xfId="11212"/>
    <cellStyle name="20% - Accent4 4 12 2 2 2 2 2" xfId="11213"/>
    <cellStyle name="20% - Accent4 4 12 2 2 2 2 2 2" xfId="11214"/>
    <cellStyle name="20% - Accent4 4 12 2 2 2 3" xfId="11215"/>
    <cellStyle name="20% - Accent4 4 12 2 2 2 3 2" xfId="11216"/>
    <cellStyle name="20% - Accent4 4 12 2 2 3" xfId="11217"/>
    <cellStyle name="20% - Accent4 4 12 2 2 3 2" xfId="11218"/>
    <cellStyle name="20% - Accent4 4 12 2 2 3 2 2" xfId="11219"/>
    <cellStyle name="20% - Accent4 4 12 2 2 4" xfId="11220"/>
    <cellStyle name="20% - Accent4 4 12 2 2 4 2" xfId="11221"/>
    <cellStyle name="20% - Accent4 4 12 2 3" xfId="11222"/>
    <cellStyle name="20% - Accent4 4 12 2 3 2" xfId="11223"/>
    <cellStyle name="20% - Accent4 4 12 2 3 2 2" xfId="11224"/>
    <cellStyle name="20% - Accent4 4 12 2 3 2 2 2" xfId="11225"/>
    <cellStyle name="20% - Accent4 4 12 2 3 3" xfId="11226"/>
    <cellStyle name="20% - Accent4 4 12 2 3 3 2" xfId="11227"/>
    <cellStyle name="20% - Accent4 4 12 2 4" xfId="11228"/>
    <cellStyle name="20% - Accent4 4 12 2 4 2" xfId="11229"/>
    <cellStyle name="20% - Accent4 4 12 2 4 2 2" xfId="11230"/>
    <cellStyle name="20% - Accent4 4 12 2 5" xfId="11231"/>
    <cellStyle name="20% - Accent4 4 12 2 5 2" xfId="11232"/>
    <cellStyle name="20% - Accent4 4 12 3" xfId="11233"/>
    <cellStyle name="20% - Accent4 4 12 3 2" xfId="11234"/>
    <cellStyle name="20% - Accent4 4 12 3 2 2" xfId="11235"/>
    <cellStyle name="20% - Accent4 4 12 3 2 2 2" xfId="11236"/>
    <cellStyle name="20% - Accent4 4 12 3 2 2 2 2" xfId="11237"/>
    <cellStyle name="20% - Accent4 4 12 3 2 3" xfId="11238"/>
    <cellStyle name="20% - Accent4 4 12 3 2 3 2" xfId="11239"/>
    <cellStyle name="20% - Accent4 4 12 3 3" xfId="11240"/>
    <cellStyle name="20% - Accent4 4 12 3 3 2" xfId="11241"/>
    <cellStyle name="20% - Accent4 4 12 3 3 2 2" xfId="11242"/>
    <cellStyle name="20% - Accent4 4 12 3 4" xfId="11243"/>
    <cellStyle name="20% - Accent4 4 12 3 4 2" xfId="11244"/>
    <cellStyle name="20% - Accent4 4 12 4" xfId="11245"/>
    <cellStyle name="20% - Accent4 4 12 4 2" xfId="11246"/>
    <cellStyle name="20% - Accent4 4 12 4 2 2" xfId="11247"/>
    <cellStyle name="20% - Accent4 4 12 4 2 2 2" xfId="11248"/>
    <cellStyle name="20% - Accent4 4 12 4 3" xfId="11249"/>
    <cellStyle name="20% - Accent4 4 12 4 3 2" xfId="11250"/>
    <cellStyle name="20% - Accent4 4 12 5" xfId="11251"/>
    <cellStyle name="20% - Accent4 4 12 5 2" xfId="11252"/>
    <cellStyle name="20% - Accent4 4 12 5 2 2" xfId="11253"/>
    <cellStyle name="20% - Accent4 4 12 6" xfId="11254"/>
    <cellStyle name="20% - Accent4 4 12 6 2" xfId="11255"/>
    <cellStyle name="20% - Accent4 4 13" xfId="11256"/>
    <cellStyle name="20% - Accent4 4 13 2" xfId="11257"/>
    <cellStyle name="20% - Accent4 4 13 2 2" xfId="11258"/>
    <cellStyle name="20% - Accent4 4 13 2 2 2" xfId="11259"/>
    <cellStyle name="20% - Accent4 4 13 2 2 2 2" xfId="11260"/>
    <cellStyle name="20% - Accent4 4 13 2 2 2 2 2" xfId="11261"/>
    <cellStyle name="20% - Accent4 4 13 2 2 2 2 2 2" xfId="11262"/>
    <cellStyle name="20% - Accent4 4 13 2 2 2 3" xfId="11263"/>
    <cellStyle name="20% - Accent4 4 13 2 2 2 3 2" xfId="11264"/>
    <cellStyle name="20% - Accent4 4 13 2 2 3" xfId="11265"/>
    <cellStyle name="20% - Accent4 4 13 2 2 3 2" xfId="11266"/>
    <cellStyle name="20% - Accent4 4 13 2 2 3 2 2" xfId="11267"/>
    <cellStyle name="20% - Accent4 4 13 2 2 4" xfId="11268"/>
    <cellStyle name="20% - Accent4 4 13 2 2 4 2" xfId="11269"/>
    <cellStyle name="20% - Accent4 4 13 2 3" xfId="11270"/>
    <cellStyle name="20% - Accent4 4 13 2 3 2" xfId="11271"/>
    <cellStyle name="20% - Accent4 4 13 2 3 2 2" xfId="11272"/>
    <cellStyle name="20% - Accent4 4 13 2 3 2 2 2" xfId="11273"/>
    <cellStyle name="20% - Accent4 4 13 2 3 3" xfId="11274"/>
    <cellStyle name="20% - Accent4 4 13 2 3 3 2" xfId="11275"/>
    <cellStyle name="20% - Accent4 4 13 2 4" xfId="11276"/>
    <cellStyle name="20% - Accent4 4 13 2 4 2" xfId="11277"/>
    <cellStyle name="20% - Accent4 4 13 2 4 2 2" xfId="11278"/>
    <cellStyle name="20% - Accent4 4 13 2 5" xfId="11279"/>
    <cellStyle name="20% - Accent4 4 13 2 5 2" xfId="11280"/>
    <cellStyle name="20% - Accent4 4 13 3" xfId="11281"/>
    <cellStyle name="20% - Accent4 4 13 3 2" xfId="11282"/>
    <cellStyle name="20% - Accent4 4 13 3 2 2" xfId="11283"/>
    <cellStyle name="20% - Accent4 4 13 3 2 2 2" xfId="11284"/>
    <cellStyle name="20% - Accent4 4 13 3 2 2 2 2" xfId="11285"/>
    <cellStyle name="20% - Accent4 4 13 3 2 3" xfId="11286"/>
    <cellStyle name="20% - Accent4 4 13 3 2 3 2" xfId="11287"/>
    <cellStyle name="20% - Accent4 4 13 3 3" xfId="11288"/>
    <cellStyle name="20% - Accent4 4 13 3 3 2" xfId="11289"/>
    <cellStyle name="20% - Accent4 4 13 3 3 2 2" xfId="11290"/>
    <cellStyle name="20% - Accent4 4 13 3 4" xfId="11291"/>
    <cellStyle name="20% - Accent4 4 13 3 4 2" xfId="11292"/>
    <cellStyle name="20% - Accent4 4 13 4" xfId="11293"/>
    <cellStyle name="20% - Accent4 4 13 4 2" xfId="11294"/>
    <cellStyle name="20% - Accent4 4 13 4 2 2" xfId="11295"/>
    <cellStyle name="20% - Accent4 4 13 4 2 2 2" xfId="11296"/>
    <cellStyle name="20% - Accent4 4 13 4 3" xfId="11297"/>
    <cellStyle name="20% - Accent4 4 13 4 3 2" xfId="11298"/>
    <cellStyle name="20% - Accent4 4 13 5" xfId="11299"/>
    <cellStyle name="20% - Accent4 4 13 5 2" xfId="11300"/>
    <cellStyle name="20% - Accent4 4 13 5 2 2" xfId="11301"/>
    <cellStyle name="20% - Accent4 4 13 6" xfId="11302"/>
    <cellStyle name="20% - Accent4 4 13 6 2" xfId="11303"/>
    <cellStyle name="20% - Accent4 4 14" xfId="11304"/>
    <cellStyle name="20% - Accent4 4 15" xfId="11305"/>
    <cellStyle name="20% - Accent4 4 16" xfId="11306"/>
    <cellStyle name="20% - Accent4 4 17" xfId="11307"/>
    <cellStyle name="20% - Accent4 4 18" xfId="11308"/>
    <cellStyle name="20% - Accent4 4 2" xfId="11309"/>
    <cellStyle name="20% - Accent4 4 2 10" xfId="11310"/>
    <cellStyle name="20% - Accent4 4 2 11" xfId="11311"/>
    <cellStyle name="20% - Accent4 4 2 2" xfId="11312"/>
    <cellStyle name="20% - Accent4 4 2 2 2" xfId="11313"/>
    <cellStyle name="20% - Accent4 4 2 2 2 2" xfId="11314"/>
    <cellStyle name="20% - Accent4 4 2 2 2 2 2" xfId="11315"/>
    <cellStyle name="20% - Accent4 4 2 2 2 2 2 2" xfId="11316"/>
    <cellStyle name="20% - Accent4 4 2 2 2 2 2 2 2" xfId="11317"/>
    <cellStyle name="20% - Accent4 4 2 2 2 2 3" xfId="11318"/>
    <cellStyle name="20% - Accent4 4 2 2 2 2 3 2" xfId="11319"/>
    <cellStyle name="20% - Accent4 4 2 2 2 3" xfId="11320"/>
    <cellStyle name="20% - Accent4 4 2 2 2 3 2" xfId="11321"/>
    <cellStyle name="20% - Accent4 4 2 2 2 3 2 2" xfId="11322"/>
    <cellStyle name="20% - Accent4 4 2 2 2 4" xfId="11323"/>
    <cellStyle name="20% - Accent4 4 2 2 2 4 2" xfId="11324"/>
    <cellStyle name="20% - Accent4 4 2 2 3" xfId="11325"/>
    <cellStyle name="20% - Accent4 4 2 2 3 2" xfId="11326"/>
    <cellStyle name="20% - Accent4 4 2 2 3 2 2" xfId="11327"/>
    <cellStyle name="20% - Accent4 4 2 2 3 2 2 2" xfId="11328"/>
    <cellStyle name="20% - Accent4 4 2 2 3 3" xfId="11329"/>
    <cellStyle name="20% - Accent4 4 2 2 3 3 2" xfId="11330"/>
    <cellStyle name="20% - Accent4 4 2 2 4" xfId="11331"/>
    <cellStyle name="20% - Accent4 4 2 2 4 2" xfId="11332"/>
    <cellStyle name="20% - Accent4 4 2 2 4 2 2" xfId="11333"/>
    <cellStyle name="20% - Accent4 4 2 2 5" xfId="11334"/>
    <cellStyle name="20% - Accent4 4 2 2 5 2" xfId="11335"/>
    <cellStyle name="20% - Accent4 4 2 2 6" xfId="11336"/>
    <cellStyle name="20% - Accent4 4 2 2 7" xfId="11337"/>
    <cellStyle name="20% - Accent4 4 2 2 8" xfId="11338"/>
    <cellStyle name="20% - Accent4 4 2 3" xfId="11339"/>
    <cellStyle name="20% - Accent4 4 2 3 2" xfId="11340"/>
    <cellStyle name="20% - Accent4 4 2 3 2 2" xfId="11341"/>
    <cellStyle name="20% - Accent4 4 2 3 2 2 2" xfId="11342"/>
    <cellStyle name="20% - Accent4 4 2 3 2 2 2 2" xfId="11343"/>
    <cellStyle name="20% - Accent4 4 2 3 2 3" xfId="11344"/>
    <cellStyle name="20% - Accent4 4 2 3 2 3 2" xfId="11345"/>
    <cellStyle name="20% - Accent4 4 2 3 3" xfId="11346"/>
    <cellStyle name="20% - Accent4 4 2 3 3 2" xfId="11347"/>
    <cellStyle name="20% - Accent4 4 2 3 3 2 2" xfId="11348"/>
    <cellStyle name="20% - Accent4 4 2 3 4" xfId="11349"/>
    <cellStyle name="20% - Accent4 4 2 3 4 2" xfId="11350"/>
    <cellStyle name="20% - Accent4 4 2 3 5" xfId="11351"/>
    <cellStyle name="20% - Accent4 4 2 3 6" xfId="11352"/>
    <cellStyle name="20% - Accent4 4 2 3 7" xfId="11353"/>
    <cellStyle name="20% - Accent4 4 2 4" xfId="11354"/>
    <cellStyle name="20% - Accent4 4 2 4 2" xfId="11355"/>
    <cellStyle name="20% - Accent4 4 2 4 2 2" xfId="11356"/>
    <cellStyle name="20% - Accent4 4 2 4 2 2 2" xfId="11357"/>
    <cellStyle name="20% - Accent4 4 2 4 3" xfId="11358"/>
    <cellStyle name="20% - Accent4 4 2 4 3 2" xfId="11359"/>
    <cellStyle name="20% - Accent4 4 2 4 4" xfId="11360"/>
    <cellStyle name="20% - Accent4 4 2 5" xfId="11361"/>
    <cellStyle name="20% - Accent4 4 2 5 2" xfId="11362"/>
    <cellStyle name="20% - Accent4 4 2 5 2 2" xfId="11363"/>
    <cellStyle name="20% - Accent4 4 2 6" xfId="11364"/>
    <cellStyle name="20% - Accent4 4 2 6 2" xfId="11365"/>
    <cellStyle name="20% - Accent4 4 2 7" xfId="11366"/>
    <cellStyle name="20% - Accent4 4 2 8" xfId="11367"/>
    <cellStyle name="20% - Accent4 4 2 9" xfId="11368"/>
    <cellStyle name="20% - Accent4 4 3" xfId="11369"/>
    <cellStyle name="20% - Accent4 4 3 10" xfId="11370"/>
    <cellStyle name="20% - Accent4 4 3 11" xfId="11371"/>
    <cellStyle name="20% - Accent4 4 3 2" xfId="11372"/>
    <cellStyle name="20% - Accent4 4 3 2 2" xfId="11373"/>
    <cellStyle name="20% - Accent4 4 3 2 2 2" xfId="11374"/>
    <cellStyle name="20% - Accent4 4 3 2 2 2 2" xfId="11375"/>
    <cellStyle name="20% - Accent4 4 3 2 2 2 2 2" xfId="11376"/>
    <cellStyle name="20% - Accent4 4 3 2 2 2 2 2 2" xfId="11377"/>
    <cellStyle name="20% - Accent4 4 3 2 2 2 3" xfId="11378"/>
    <cellStyle name="20% - Accent4 4 3 2 2 2 3 2" xfId="11379"/>
    <cellStyle name="20% - Accent4 4 3 2 2 3" xfId="11380"/>
    <cellStyle name="20% - Accent4 4 3 2 2 3 2" xfId="11381"/>
    <cellStyle name="20% - Accent4 4 3 2 2 3 2 2" xfId="11382"/>
    <cellStyle name="20% - Accent4 4 3 2 2 4" xfId="11383"/>
    <cellStyle name="20% - Accent4 4 3 2 2 4 2" xfId="11384"/>
    <cellStyle name="20% - Accent4 4 3 2 3" xfId="11385"/>
    <cellStyle name="20% - Accent4 4 3 2 3 2" xfId="11386"/>
    <cellStyle name="20% - Accent4 4 3 2 3 2 2" xfId="11387"/>
    <cellStyle name="20% - Accent4 4 3 2 3 2 2 2" xfId="11388"/>
    <cellStyle name="20% - Accent4 4 3 2 3 3" xfId="11389"/>
    <cellStyle name="20% - Accent4 4 3 2 3 3 2" xfId="11390"/>
    <cellStyle name="20% - Accent4 4 3 2 4" xfId="11391"/>
    <cellStyle name="20% - Accent4 4 3 2 4 2" xfId="11392"/>
    <cellStyle name="20% - Accent4 4 3 2 4 2 2" xfId="11393"/>
    <cellStyle name="20% - Accent4 4 3 2 5" xfId="11394"/>
    <cellStyle name="20% - Accent4 4 3 2 5 2" xfId="11395"/>
    <cellStyle name="20% - Accent4 4 3 2 6" xfId="11396"/>
    <cellStyle name="20% - Accent4 4 3 2 7" xfId="11397"/>
    <cellStyle name="20% - Accent4 4 3 2 8" xfId="11398"/>
    <cellStyle name="20% - Accent4 4 3 3" xfId="11399"/>
    <cellStyle name="20% - Accent4 4 3 3 2" xfId="11400"/>
    <cellStyle name="20% - Accent4 4 3 3 2 2" xfId="11401"/>
    <cellStyle name="20% - Accent4 4 3 3 2 2 2" xfId="11402"/>
    <cellStyle name="20% - Accent4 4 3 3 2 2 2 2" xfId="11403"/>
    <cellStyle name="20% - Accent4 4 3 3 2 3" xfId="11404"/>
    <cellStyle name="20% - Accent4 4 3 3 2 3 2" xfId="11405"/>
    <cellStyle name="20% - Accent4 4 3 3 3" xfId="11406"/>
    <cellStyle name="20% - Accent4 4 3 3 3 2" xfId="11407"/>
    <cellStyle name="20% - Accent4 4 3 3 3 2 2" xfId="11408"/>
    <cellStyle name="20% - Accent4 4 3 3 4" xfId="11409"/>
    <cellStyle name="20% - Accent4 4 3 3 4 2" xfId="11410"/>
    <cellStyle name="20% - Accent4 4 3 3 5" xfId="11411"/>
    <cellStyle name="20% - Accent4 4 3 3 6" xfId="11412"/>
    <cellStyle name="20% - Accent4 4 3 3 7" xfId="11413"/>
    <cellStyle name="20% - Accent4 4 3 4" xfId="11414"/>
    <cellStyle name="20% - Accent4 4 3 4 2" xfId="11415"/>
    <cellStyle name="20% - Accent4 4 3 4 2 2" xfId="11416"/>
    <cellStyle name="20% - Accent4 4 3 4 2 2 2" xfId="11417"/>
    <cellStyle name="20% - Accent4 4 3 4 3" xfId="11418"/>
    <cellStyle name="20% - Accent4 4 3 4 3 2" xfId="11419"/>
    <cellStyle name="20% - Accent4 4 3 4 4" xfId="11420"/>
    <cellStyle name="20% - Accent4 4 3 5" xfId="11421"/>
    <cellStyle name="20% - Accent4 4 3 5 2" xfId="11422"/>
    <cellStyle name="20% - Accent4 4 3 5 2 2" xfId="11423"/>
    <cellStyle name="20% - Accent4 4 3 6" xfId="11424"/>
    <cellStyle name="20% - Accent4 4 3 6 2" xfId="11425"/>
    <cellStyle name="20% - Accent4 4 3 7" xfId="11426"/>
    <cellStyle name="20% - Accent4 4 3 8" xfId="11427"/>
    <cellStyle name="20% - Accent4 4 3 9" xfId="11428"/>
    <cellStyle name="20% - Accent4 4 4" xfId="11429"/>
    <cellStyle name="20% - Accent4 4 4 2" xfId="11430"/>
    <cellStyle name="20% - Accent4 4 4 2 2" xfId="11431"/>
    <cellStyle name="20% - Accent4 4 4 2 2 2" xfId="11432"/>
    <cellStyle name="20% - Accent4 4 4 2 2 2 2" xfId="11433"/>
    <cellStyle name="20% - Accent4 4 4 2 2 2 2 2" xfId="11434"/>
    <cellStyle name="20% - Accent4 4 4 2 2 2 2 2 2" xfId="11435"/>
    <cellStyle name="20% - Accent4 4 4 2 2 2 3" xfId="11436"/>
    <cellStyle name="20% - Accent4 4 4 2 2 2 3 2" xfId="11437"/>
    <cellStyle name="20% - Accent4 4 4 2 2 3" xfId="11438"/>
    <cellStyle name="20% - Accent4 4 4 2 2 3 2" xfId="11439"/>
    <cellStyle name="20% - Accent4 4 4 2 2 3 2 2" xfId="11440"/>
    <cellStyle name="20% - Accent4 4 4 2 2 4" xfId="11441"/>
    <cellStyle name="20% - Accent4 4 4 2 2 4 2" xfId="11442"/>
    <cellStyle name="20% - Accent4 4 4 2 3" xfId="11443"/>
    <cellStyle name="20% - Accent4 4 4 2 3 2" xfId="11444"/>
    <cellStyle name="20% - Accent4 4 4 2 3 2 2" xfId="11445"/>
    <cellStyle name="20% - Accent4 4 4 2 3 2 2 2" xfId="11446"/>
    <cellStyle name="20% - Accent4 4 4 2 3 3" xfId="11447"/>
    <cellStyle name="20% - Accent4 4 4 2 3 3 2" xfId="11448"/>
    <cellStyle name="20% - Accent4 4 4 2 4" xfId="11449"/>
    <cellStyle name="20% - Accent4 4 4 2 4 2" xfId="11450"/>
    <cellStyle name="20% - Accent4 4 4 2 4 2 2" xfId="11451"/>
    <cellStyle name="20% - Accent4 4 4 2 5" xfId="11452"/>
    <cellStyle name="20% - Accent4 4 4 2 5 2" xfId="11453"/>
    <cellStyle name="20% - Accent4 4 4 3" xfId="11454"/>
    <cellStyle name="20% - Accent4 4 4 3 2" xfId="11455"/>
    <cellStyle name="20% - Accent4 4 4 3 2 2" xfId="11456"/>
    <cellStyle name="20% - Accent4 4 4 3 2 2 2" xfId="11457"/>
    <cellStyle name="20% - Accent4 4 4 3 2 2 2 2" xfId="11458"/>
    <cellStyle name="20% - Accent4 4 4 3 2 3" xfId="11459"/>
    <cellStyle name="20% - Accent4 4 4 3 2 3 2" xfId="11460"/>
    <cellStyle name="20% - Accent4 4 4 3 3" xfId="11461"/>
    <cellStyle name="20% - Accent4 4 4 3 3 2" xfId="11462"/>
    <cellStyle name="20% - Accent4 4 4 3 3 2 2" xfId="11463"/>
    <cellStyle name="20% - Accent4 4 4 3 4" xfId="11464"/>
    <cellStyle name="20% - Accent4 4 4 3 4 2" xfId="11465"/>
    <cellStyle name="20% - Accent4 4 4 4" xfId="11466"/>
    <cellStyle name="20% - Accent4 4 4 4 2" xfId="11467"/>
    <cellStyle name="20% - Accent4 4 4 4 2 2" xfId="11468"/>
    <cellStyle name="20% - Accent4 4 4 4 2 2 2" xfId="11469"/>
    <cellStyle name="20% - Accent4 4 4 4 3" xfId="11470"/>
    <cellStyle name="20% - Accent4 4 4 4 3 2" xfId="11471"/>
    <cellStyle name="20% - Accent4 4 4 5" xfId="11472"/>
    <cellStyle name="20% - Accent4 4 4 5 2" xfId="11473"/>
    <cellStyle name="20% - Accent4 4 4 5 2 2" xfId="11474"/>
    <cellStyle name="20% - Accent4 4 4 6" xfId="11475"/>
    <cellStyle name="20% - Accent4 4 4 6 2" xfId="11476"/>
    <cellStyle name="20% - Accent4 4 4 7" xfId="11477"/>
    <cellStyle name="20% - Accent4 4 5" xfId="11478"/>
    <cellStyle name="20% - Accent4 4 5 2" xfId="11479"/>
    <cellStyle name="20% - Accent4 4 5 2 2" xfId="11480"/>
    <cellStyle name="20% - Accent4 4 5 2 2 2" xfId="11481"/>
    <cellStyle name="20% - Accent4 4 5 2 2 2 2" xfId="11482"/>
    <cellStyle name="20% - Accent4 4 5 2 2 2 2 2" xfId="11483"/>
    <cellStyle name="20% - Accent4 4 5 2 2 2 2 2 2" xfId="11484"/>
    <cellStyle name="20% - Accent4 4 5 2 2 2 3" xfId="11485"/>
    <cellStyle name="20% - Accent4 4 5 2 2 2 3 2" xfId="11486"/>
    <cellStyle name="20% - Accent4 4 5 2 2 3" xfId="11487"/>
    <cellStyle name="20% - Accent4 4 5 2 2 3 2" xfId="11488"/>
    <cellStyle name="20% - Accent4 4 5 2 2 3 2 2" xfId="11489"/>
    <cellStyle name="20% - Accent4 4 5 2 2 4" xfId="11490"/>
    <cellStyle name="20% - Accent4 4 5 2 2 4 2" xfId="11491"/>
    <cellStyle name="20% - Accent4 4 5 2 3" xfId="11492"/>
    <cellStyle name="20% - Accent4 4 5 2 3 2" xfId="11493"/>
    <cellStyle name="20% - Accent4 4 5 2 3 2 2" xfId="11494"/>
    <cellStyle name="20% - Accent4 4 5 2 3 2 2 2" xfId="11495"/>
    <cellStyle name="20% - Accent4 4 5 2 3 3" xfId="11496"/>
    <cellStyle name="20% - Accent4 4 5 2 3 3 2" xfId="11497"/>
    <cellStyle name="20% - Accent4 4 5 2 4" xfId="11498"/>
    <cellStyle name="20% - Accent4 4 5 2 4 2" xfId="11499"/>
    <cellStyle name="20% - Accent4 4 5 2 4 2 2" xfId="11500"/>
    <cellStyle name="20% - Accent4 4 5 2 5" xfId="11501"/>
    <cellStyle name="20% - Accent4 4 5 2 5 2" xfId="11502"/>
    <cellStyle name="20% - Accent4 4 5 3" xfId="11503"/>
    <cellStyle name="20% - Accent4 4 5 3 2" xfId="11504"/>
    <cellStyle name="20% - Accent4 4 5 3 2 2" xfId="11505"/>
    <cellStyle name="20% - Accent4 4 5 3 2 2 2" xfId="11506"/>
    <cellStyle name="20% - Accent4 4 5 3 2 2 2 2" xfId="11507"/>
    <cellStyle name="20% - Accent4 4 5 3 2 3" xfId="11508"/>
    <cellStyle name="20% - Accent4 4 5 3 2 3 2" xfId="11509"/>
    <cellStyle name="20% - Accent4 4 5 3 3" xfId="11510"/>
    <cellStyle name="20% - Accent4 4 5 3 3 2" xfId="11511"/>
    <cellStyle name="20% - Accent4 4 5 3 3 2 2" xfId="11512"/>
    <cellStyle name="20% - Accent4 4 5 3 4" xfId="11513"/>
    <cellStyle name="20% - Accent4 4 5 3 4 2" xfId="11514"/>
    <cellStyle name="20% - Accent4 4 5 4" xfId="11515"/>
    <cellStyle name="20% - Accent4 4 5 4 2" xfId="11516"/>
    <cellStyle name="20% - Accent4 4 5 4 2 2" xfId="11517"/>
    <cellStyle name="20% - Accent4 4 5 4 2 2 2" xfId="11518"/>
    <cellStyle name="20% - Accent4 4 5 4 3" xfId="11519"/>
    <cellStyle name="20% - Accent4 4 5 4 3 2" xfId="11520"/>
    <cellStyle name="20% - Accent4 4 5 5" xfId="11521"/>
    <cellStyle name="20% - Accent4 4 5 5 2" xfId="11522"/>
    <cellStyle name="20% - Accent4 4 5 5 2 2" xfId="11523"/>
    <cellStyle name="20% - Accent4 4 5 6" xfId="11524"/>
    <cellStyle name="20% - Accent4 4 5 6 2" xfId="11525"/>
    <cellStyle name="20% - Accent4 4 5 7" xfId="11526"/>
    <cellStyle name="20% - Accent4 4 6" xfId="11527"/>
    <cellStyle name="20% - Accent4 4 6 2" xfId="11528"/>
    <cellStyle name="20% - Accent4 4 6 2 2" xfId="11529"/>
    <cellStyle name="20% - Accent4 4 6 2 2 2" xfId="11530"/>
    <cellStyle name="20% - Accent4 4 6 2 2 2 2" xfId="11531"/>
    <cellStyle name="20% - Accent4 4 6 2 2 2 2 2" xfId="11532"/>
    <cellStyle name="20% - Accent4 4 6 2 2 2 2 2 2" xfId="11533"/>
    <cellStyle name="20% - Accent4 4 6 2 2 2 3" xfId="11534"/>
    <cellStyle name="20% - Accent4 4 6 2 2 2 3 2" xfId="11535"/>
    <cellStyle name="20% - Accent4 4 6 2 2 3" xfId="11536"/>
    <cellStyle name="20% - Accent4 4 6 2 2 3 2" xfId="11537"/>
    <cellStyle name="20% - Accent4 4 6 2 2 3 2 2" xfId="11538"/>
    <cellStyle name="20% - Accent4 4 6 2 2 4" xfId="11539"/>
    <cellStyle name="20% - Accent4 4 6 2 2 4 2" xfId="11540"/>
    <cellStyle name="20% - Accent4 4 6 2 3" xfId="11541"/>
    <cellStyle name="20% - Accent4 4 6 2 3 2" xfId="11542"/>
    <cellStyle name="20% - Accent4 4 6 2 3 2 2" xfId="11543"/>
    <cellStyle name="20% - Accent4 4 6 2 3 2 2 2" xfId="11544"/>
    <cellStyle name="20% - Accent4 4 6 2 3 3" xfId="11545"/>
    <cellStyle name="20% - Accent4 4 6 2 3 3 2" xfId="11546"/>
    <cellStyle name="20% - Accent4 4 6 2 4" xfId="11547"/>
    <cellStyle name="20% - Accent4 4 6 2 4 2" xfId="11548"/>
    <cellStyle name="20% - Accent4 4 6 2 4 2 2" xfId="11549"/>
    <cellStyle name="20% - Accent4 4 6 2 5" xfId="11550"/>
    <cellStyle name="20% - Accent4 4 6 2 5 2" xfId="11551"/>
    <cellStyle name="20% - Accent4 4 6 3" xfId="11552"/>
    <cellStyle name="20% - Accent4 4 6 3 2" xfId="11553"/>
    <cellStyle name="20% - Accent4 4 6 3 2 2" xfId="11554"/>
    <cellStyle name="20% - Accent4 4 6 3 2 2 2" xfId="11555"/>
    <cellStyle name="20% - Accent4 4 6 3 2 2 2 2" xfId="11556"/>
    <cellStyle name="20% - Accent4 4 6 3 2 3" xfId="11557"/>
    <cellStyle name="20% - Accent4 4 6 3 2 3 2" xfId="11558"/>
    <cellStyle name="20% - Accent4 4 6 3 3" xfId="11559"/>
    <cellStyle name="20% - Accent4 4 6 3 3 2" xfId="11560"/>
    <cellStyle name="20% - Accent4 4 6 3 3 2 2" xfId="11561"/>
    <cellStyle name="20% - Accent4 4 6 3 4" xfId="11562"/>
    <cellStyle name="20% - Accent4 4 6 3 4 2" xfId="11563"/>
    <cellStyle name="20% - Accent4 4 6 4" xfId="11564"/>
    <cellStyle name="20% - Accent4 4 6 4 2" xfId="11565"/>
    <cellStyle name="20% - Accent4 4 6 4 2 2" xfId="11566"/>
    <cellStyle name="20% - Accent4 4 6 4 2 2 2" xfId="11567"/>
    <cellStyle name="20% - Accent4 4 6 4 3" xfId="11568"/>
    <cellStyle name="20% - Accent4 4 6 4 3 2" xfId="11569"/>
    <cellStyle name="20% - Accent4 4 6 5" xfId="11570"/>
    <cellStyle name="20% - Accent4 4 6 5 2" xfId="11571"/>
    <cellStyle name="20% - Accent4 4 6 5 2 2" xfId="11572"/>
    <cellStyle name="20% - Accent4 4 6 6" xfId="11573"/>
    <cellStyle name="20% - Accent4 4 6 6 2" xfId="11574"/>
    <cellStyle name="20% - Accent4 4 6 7" xfId="11575"/>
    <cellStyle name="20% - Accent4 4 7" xfId="11576"/>
    <cellStyle name="20% - Accent4 4 7 2" xfId="11577"/>
    <cellStyle name="20% - Accent4 4 7 2 2" xfId="11578"/>
    <cellStyle name="20% - Accent4 4 7 2 2 2" xfId="11579"/>
    <cellStyle name="20% - Accent4 4 7 2 2 2 2" xfId="11580"/>
    <cellStyle name="20% - Accent4 4 7 2 2 2 2 2" xfId="11581"/>
    <cellStyle name="20% - Accent4 4 7 2 2 2 2 2 2" xfId="11582"/>
    <cellStyle name="20% - Accent4 4 7 2 2 2 3" xfId="11583"/>
    <cellStyle name="20% - Accent4 4 7 2 2 2 3 2" xfId="11584"/>
    <cellStyle name="20% - Accent4 4 7 2 2 3" xfId="11585"/>
    <cellStyle name="20% - Accent4 4 7 2 2 3 2" xfId="11586"/>
    <cellStyle name="20% - Accent4 4 7 2 2 3 2 2" xfId="11587"/>
    <cellStyle name="20% - Accent4 4 7 2 2 4" xfId="11588"/>
    <cellStyle name="20% - Accent4 4 7 2 2 4 2" xfId="11589"/>
    <cellStyle name="20% - Accent4 4 7 2 3" xfId="11590"/>
    <cellStyle name="20% - Accent4 4 7 2 3 2" xfId="11591"/>
    <cellStyle name="20% - Accent4 4 7 2 3 2 2" xfId="11592"/>
    <cellStyle name="20% - Accent4 4 7 2 3 2 2 2" xfId="11593"/>
    <cellStyle name="20% - Accent4 4 7 2 3 3" xfId="11594"/>
    <cellStyle name="20% - Accent4 4 7 2 3 3 2" xfId="11595"/>
    <cellStyle name="20% - Accent4 4 7 2 4" xfId="11596"/>
    <cellStyle name="20% - Accent4 4 7 2 4 2" xfId="11597"/>
    <cellStyle name="20% - Accent4 4 7 2 4 2 2" xfId="11598"/>
    <cellStyle name="20% - Accent4 4 7 2 5" xfId="11599"/>
    <cellStyle name="20% - Accent4 4 7 2 5 2" xfId="11600"/>
    <cellStyle name="20% - Accent4 4 7 3" xfId="11601"/>
    <cellStyle name="20% - Accent4 4 7 3 2" xfId="11602"/>
    <cellStyle name="20% - Accent4 4 7 3 2 2" xfId="11603"/>
    <cellStyle name="20% - Accent4 4 7 3 2 2 2" xfId="11604"/>
    <cellStyle name="20% - Accent4 4 7 3 2 2 2 2" xfId="11605"/>
    <cellStyle name="20% - Accent4 4 7 3 2 3" xfId="11606"/>
    <cellStyle name="20% - Accent4 4 7 3 2 3 2" xfId="11607"/>
    <cellStyle name="20% - Accent4 4 7 3 3" xfId="11608"/>
    <cellStyle name="20% - Accent4 4 7 3 3 2" xfId="11609"/>
    <cellStyle name="20% - Accent4 4 7 3 3 2 2" xfId="11610"/>
    <cellStyle name="20% - Accent4 4 7 3 4" xfId="11611"/>
    <cellStyle name="20% - Accent4 4 7 3 4 2" xfId="11612"/>
    <cellStyle name="20% - Accent4 4 7 4" xfId="11613"/>
    <cellStyle name="20% - Accent4 4 7 4 2" xfId="11614"/>
    <cellStyle name="20% - Accent4 4 7 4 2 2" xfId="11615"/>
    <cellStyle name="20% - Accent4 4 7 4 2 2 2" xfId="11616"/>
    <cellStyle name="20% - Accent4 4 7 4 3" xfId="11617"/>
    <cellStyle name="20% - Accent4 4 7 4 3 2" xfId="11618"/>
    <cellStyle name="20% - Accent4 4 7 5" xfId="11619"/>
    <cellStyle name="20% - Accent4 4 7 5 2" xfId="11620"/>
    <cellStyle name="20% - Accent4 4 7 5 2 2" xfId="11621"/>
    <cellStyle name="20% - Accent4 4 7 6" xfId="11622"/>
    <cellStyle name="20% - Accent4 4 7 6 2" xfId="11623"/>
    <cellStyle name="20% - Accent4 4 7 7" xfId="11624"/>
    <cellStyle name="20% - Accent4 4 8" xfId="11625"/>
    <cellStyle name="20% - Accent4 4 8 2" xfId="11626"/>
    <cellStyle name="20% - Accent4 4 8 2 2" xfId="11627"/>
    <cellStyle name="20% - Accent4 4 8 2 2 2" xfId="11628"/>
    <cellStyle name="20% - Accent4 4 8 2 2 2 2" xfId="11629"/>
    <cellStyle name="20% - Accent4 4 8 2 2 2 2 2" xfId="11630"/>
    <cellStyle name="20% - Accent4 4 8 2 2 2 2 2 2" xfId="11631"/>
    <cellStyle name="20% - Accent4 4 8 2 2 2 3" xfId="11632"/>
    <cellStyle name="20% - Accent4 4 8 2 2 2 3 2" xfId="11633"/>
    <cellStyle name="20% - Accent4 4 8 2 2 3" xfId="11634"/>
    <cellStyle name="20% - Accent4 4 8 2 2 3 2" xfId="11635"/>
    <cellStyle name="20% - Accent4 4 8 2 2 3 2 2" xfId="11636"/>
    <cellStyle name="20% - Accent4 4 8 2 2 4" xfId="11637"/>
    <cellStyle name="20% - Accent4 4 8 2 2 4 2" xfId="11638"/>
    <cellStyle name="20% - Accent4 4 8 2 3" xfId="11639"/>
    <cellStyle name="20% - Accent4 4 8 2 3 2" xfId="11640"/>
    <cellStyle name="20% - Accent4 4 8 2 3 2 2" xfId="11641"/>
    <cellStyle name="20% - Accent4 4 8 2 3 2 2 2" xfId="11642"/>
    <cellStyle name="20% - Accent4 4 8 2 3 3" xfId="11643"/>
    <cellStyle name="20% - Accent4 4 8 2 3 3 2" xfId="11644"/>
    <cellStyle name="20% - Accent4 4 8 2 4" xfId="11645"/>
    <cellStyle name="20% - Accent4 4 8 2 4 2" xfId="11646"/>
    <cellStyle name="20% - Accent4 4 8 2 4 2 2" xfId="11647"/>
    <cellStyle name="20% - Accent4 4 8 2 5" xfId="11648"/>
    <cellStyle name="20% - Accent4 4 8 2 5 2" xfId="11649"/>
    <cellStyle name="20% - Accent4 4 8 3" xfId="11650"/>
    <cellStyle name="20% - Accent4 4 8 3 2" xfId="11651"/>
    <cellStyle name="20% - Accent4 4 8 3 2 2" xfId="11652"/>
    <cellStyle name="20% - Accent4 4 8 3 2 2 2" xfId="11653"/>
    <cellStyle name="20% - Accent4 4 8 3 2 2 2 2" xfId="11654"/>
    <cellStyle name="20% - Accent4 4 8 3 2 3" xfId="11655"/>
    <cellStyle name="20% - Accent4 4 8 3 2 3 2" xfId="11656"/>
    <cellStyle name="20% - Accent4 4 8 3 3" xfId="11657"/>
    <cellStyle name="20% - Accent4 4 8 3 3 2" xfId="11658"/>
    <cellStyle name="20% - Accent4 4 8 3 3 2 2" xfId="11659"/>
    <cellStyle name="20% - Accent4 4 8 3 4" xfId="11660"/>
    <cellStyle name="20% - Accent4 4 8 3 4 2" xfId="11661"/>
    <cellStyle name="20% - Accent4 4 8 4" xfId="11662"/>
    <cellStyle name="20% - Accent4 4 8 4 2" xfId="11663"/>
    <cellStyle name="20% - Accent4 4 8 4 2 2" xfId="11664"/>
    <cellStyle name="20% - Accent4 4 8 4 2 2 2" xfId="11665"/>
    <cellStyle name="20% - Accent4 4 8 4 3" xfId="11666"/>
    <cellStyle name="20% - Accent4 4 8 4 3 2" xfId="11667"/>
    <cellStyle name="20% - Accent4 4 8 5" xfId="11668"/>
    <cellStyle name="20% - Accent4 4 8 5 2" xfId="11669"/>
    <cellStyle name="20% - Accent4 4 8 5 2 2" xfId="11670"/>
    <cellStyle name="20% - Accent4 4 8 6" xfId="11671"/>
    <cellStyle name="20% - Accent4 4 8 6 2" xfId="11672"/>
    <cellStyle name="20% - Accent4 4 9" xfId="11673"/>
    <cellStyle name="20% - Accent4 4 9 2" xfId="11674"/>
    <cellStyle name="20% - Accent4 4 9 2 2" xfId="11675"/>
    <cellStyle name="20% - Accent4 4 9 2 2 2" xfId="11676"/>
    <cellStyle name="20% - Accent4 4 9 2 2 2 2" xfId="11677"/>
    <cellStyle name="20% - Accent4 4 9 2 2 2 2 2" xfId="11678"/>
    <cellStyle name="20% - Accent4 4 9 2 2 2 2 2 2" xfId="11679"/>
    <cellStyle name="20% - Accent4 4 9 2 2 2 3" xfId="11680"/>
    <cellStyle name="20% - Accent4 4 9 2 2 2 3 2" xfId="11681"/>
    <cellStyle name="20% - Accent4 4 9 2 2 3" xfId="11682"/>
    <cellStyle name="20% - Accent4 4 9 2 2 3 2" xfId="11683"/>
    <cellStyle name="20% - Accent4 4 9 2 2 3 2 2" xfId="11684"/>
    <cellStyle name="20% - Accent4 4 9 2 2 4" xfId="11685"/>
    <cellStyle name="20% - Accent4 4 9 2 2 4 2" xfId="11686"/>
    <cellStyle name="20% - Accent4 4 9 2 3" xfId="11687"/>
    <cellStyle name="20% - Accent4 4 9 2 3 2" xfId="11688"/>
    <cellStyle name="20% - Accent4 4 9 2 3 2 2" xfId="11689"/>
    <cellStyle name="20% - Accent4 4 9 2 3 2 2 2" xfId="11690"/>
    <cellStyle name="20% - Accent4 4 9 2 3 3" xfId="11691"/>
    <cellStyle name="20% - Accent4 4 9 2 3 3 2" xfId="11692"/>
    <cellStyle name="20% - Accent4 4 9 2 4" xfId="11693"/>
    <cellStyle name="20% - Accent4 4 9 2 4 2" xfId="11694"/>
    <cellStyle name="20% - Accent4 4 9 2 4 2 2" xfId="11695"/>
    <cellStyle name="20% - Accent4 4 9 2 5" xfId="11696"/>
    <cellStyle name="20% - Accent4 4 9 2 5 2" xfId="11697"/>
    <cellStyle name="20% - Accent4 4 9 3" xfId="11698"/>
    <cellStyle name="20% - Accent4 4 9 3 2" xfId="11699"/>
    <cellStyle name="20% - Accent4 4 9 3 2 2" xfId="11700"/>
    <cellStyle name="20% - Accent4 4 9 3 2 2 2" xfId="11701"/>
    <cellStyle name="20% - Accent4 4 9 3 2 2 2 2" xfId="11702"/>
    <cellStyle name="20% - Accent4 4 9 3 2 3" xfId="11703"/>
    <cellStyle name="20% - Accent4 4 9 3 2 3 2" xfId="11704"/>
    <cellStyle name="20% - Accent4 4 9 3 3" xfId="11705"/>
    <cellStyle name="20% - Accent4 4 9 3 3 2" xfId="11706"/>
    <cellStyle name="20% - Accent4 4 9 3 3 2 2" xfId="11707"/>
    <cellStyle name="20% - Accent4 4 9 3 4" xfId="11708"/>
    <cellStyle name="20% - Accent4 4 9 3 4 2" xfId="11709"/>
    <cellStyle name="20% - Accent4 4 9 4" xfId="11710"/>
    <cellStyle name="20% - Accent4 4 9 4 2" xfId="11711"/>
    <cellStyle name="20% - Accent4 4 9 4 2 2" xfId="11712"/>
    <cellStyle name="20% - Accent4 4 9 4 2 2 2" xfId="11713"/>
    <cellStyle name="20% - Accent4 4 9 4 3" xfId="11714"/>
    <cellStyle name="20% - Accent4 4 9 4 3 2" xfId="11715"/>
    <cellStyle name="20% - Accent4 4 9 5" xfId="11716"/>
    <cellStyle name="20% - Accent4 4 9 5 2" xfId="11717"/>
    <cellStyle name="20% - Accent4 4 9 5 2 2" xfId="11718"/>
    <cellStyle name="20% - Accent4 4 9 6" xfId="11719"/>
    <cellStyle name="20% - Accent4 4 9 6 2" xfId="11720"/>
    <cellStyle name="20% - Accent4 4 9 7" xfId="11721"/>
    <cellStyle name="20% - Accent4 4 9 8" xfId="11722"/>
    <cellStyle name="20% - Accent4 4 9 9" xfId="11723"/>
    <cellStyle name="20% - Accent4 40" xfId="11724"/>
    <cellStyle name="20% - Accent4 40 2" xfId="11725"/>
    <cellStyle name="20% - Accent4 40 2 2" xfId="11726"/>
    <cellStyle name="20% - Accent4 40 2 3" xfId="11727"/>
    <cellStyle name="20% - Accent4 40 2 4" xfId="11728"/>
    <cellStyle name="20% - Accent4 40 3" xfId="11729"/>
    <cellStyle name="20% - Accent4 40 3 2" xfId="11730"/>
    <cellStyle name="20% - Accent4 40 3 3" xfId="11731"/>
    <cellStyle name="20% - Accent4 40 4" xfId="11732"/>
    <cellStyle name="20% - Accent4 40 4 2" xfId="11733"/>
    <cellStyle name="20% - Accent4 40 5" xfId="11734"/>
    <cellStyle name="20% - Accent4 40 6" xfId="11735"/>
    <cellStyle name="20% - Accent4 40 7" xfId="11736"/>
    <cellStyle name="20% - Accent4 41" xfId="11737"/>
    <cellStyle name="20% - Accent4 41 2" xfId="11738"/>
    <cellStyle name="20% - Accent4 41 2 2" xfId="11739"/>
    <cellStyle name="20% - Accent4 41 2 3" xfId="11740"/>
    <cellStyle name="20% - Accent4 41 2 4" xfId="11741"/>
    <cellStyle name="20% - Accent4 41 3" xfId="11742"/>
    <cellStyle name="20% - Accent4 41 3 2" xfId="11743"/>
    <cellStyle name="20% - Accent4 41 3 3" xfId="11744"/>
    <cellStyle name="20% - Accent4 41 4" xfId="11745"/>
    <cellStyle name="20% - Accent4 41 4 2" xfId="11746"/>
    <cellStyle name="20% - Accent4 41 5" xfId="11747"/>
    <cellStyle name="20% - Accent4 41 6" xfId="11748"/>
    <cellStyle name="20% - Accent4 41 7" xfId="11749"/>
    <cellStyle name="20% - Accent4 42" xfId="11750"/>
    <cellStyle name="20% - Accent4 42 2" xfId="11751"/>
    <cellStyle name="20% - Accent4 42 2 2" xfId="11752"/>
    <cellStyle name="20% - Accent4 42 2 3" xfId="11753"/>
    <cellStyle name="20% - Accent4 42 2 4" xfId="11754"/>
    <cellStyle name="20% - Accent4 42 3" xfId="11755"/>
    <cellStyle name="20% - Accent4 42 3 2" xfId="11756"/>
    <cellStyle name="20% - Accent4 42 3 3" xfId="11757"/>
    <cellStyle name="20% - Accent4 42 4" xfId="11758"/>
    <cellStyle name="20% - Accent4 42 4 2" xfId="11759"/>
    <cellStyle name="20% - Accent4 42 5" xfId="11760"/>
    <cellStyle name="20% - Accent4 42 6" xfId="11761"/>
    <cellStyle name="20% - Accent4 42 7" xfId="11762"/>
    <cellStyle name="20% - Accent4 43" xfId="11763"/>
    <cellStyle name="20% - Accent4 43 2" xfId="11764"/>
    <cellStyle name="20% - Accent4 43 2 2" xfId="11765"/>
    <cellStyle name="20% - Accent4 43 2 3" xfId="11766"/>
    <cellStyle name="20% - Accent4 43 2 4" xfId="11767"/>
    <cellStyle name="20% - Accent4 43 3" xfId="11768"/>
    <cellStyle name="20% - Accent4 43 3 2" xfId="11769"/>
    <cellStyle name="20% - Accent4 43 3 3" xfId="11770"/>
    <cellStyle name="20% - Accent4 43 4" xfId="11771"/>
    <cellStyle name="20% - Accent4 43 4 2" xfId="11772"/>
    <cellStyle name="20% - Accent4 43 5" xfId="11773"/>
    <cellStyle name="20% - Accent4 43 6" xfId="11774"/>
    <cellStyle name="20% - Accent4 43 7" xfId="11775"/>
    <cellStyle name="20% - Accent4 44" xfId="11776"/>
    <cellStyle name="20% - Accent4 44 2" xfId="11777"/>
    <cellStyle name="20% - Accent4 44 2 2" xfId="11778"/>
    <cellStyle name="20% - Accent4 44 2 3" xfId="11779"/>
    <cellStyle name="20% - Accent4 44 2 4" xfId="11780"/>
    <cellStyle name="20% - Accent4 44 3" xfId="11781"/>
    <cellStyle name="20% - Accent4 44 3 2" xfId="11782"/>
    <cellStyle name="20% - Accent4 44 3 3" xfId="11783"/>
    <cellStyle name="20% - Accent4 44 4" xfId="11784"/>
    <cellStyle name="20% - Accent4 44 4 2" xfId="11785"/>
    <cellStyle name="20% - Accent4 44 5" xfId="11786"/>
    <cellStyle name="20% - Accent4 44 6" xfId="11787"/>
    <cellStyle name="20% - Accent4 44 7" xfId="11788"/>
    <cellStyle name="20% - Accent4 45" xfId="11789"/>
    <cellStyle name="20% - Accent4 45 2" xfId="11790"/>
    <cellStyle name="20% - Accent4 45 2 2" xfId="11791"/>
    <cellStyle name="20% - Accent4 45 2 3" xfId="11792"/>
    <cellStyle name="20% - Accent4 45 2 4" xfId="11793"/>
    <cellStyle name="20% - Accent4 45 3" xfId="11794"/>
    <cellStyle name="20% - Accent4 45 3 2" xfId="11795"/>
    <cellStyle name="20% - Accent4 45 3 3" xfId="11796"/>
    <cellStyle name="20% - Accent4 45 4" xfId="11797"/>
    <cellStyle name="20% - Accent4 45 4 2" xfId="11798"/>
    <cellStyle name="20% - Accent4 45 5" xfId="11799"/>
    <cellStyle name="20% - Accent4 45 6" xfId="11800"/>
    <cellStyle name="20% - Accent4 45 7" xfId="11801"/>
    <cellStyle name="20% - Accent4 46" xfId="11802"/>
    <cellStyle name="20% - Accent4 46 2" xfId="11803"/>
    <cellStyle name="20% - Accent4 46 2 2" xfId="11804"/>
    <cellStyle name="20% - Accent4 46 2 3" xfId="11805"/>
    <cellStyle name="20% - Accent4 46 2 4" xfId="11806"/>
    <cellStyle name="20% - Accent4 46 3" xfId="11807"/>
    <cellStyle name="20% - Accent4 46 3 2" xfId="11808"/>
    <cellStyle name="20% - Accent4 46 3 3" xfId="11809"/>
    <cellStyle name="20% - Accent4 46 4" xfId="11810"/>
    <cellStyle name="20% - Accent4 46 4 2" xfId="11811"/>
    <cellStyle name="20% - Accent4 46 5" xfId="11812"/>
    <cellStyle name="20% - Accent4 46 6" xfId="11813"/>
    <cellStyle name="20% - Accent4 46 7" xfId="11814"/>
    <cellStyle name="20% - Accent4 47" xfId="11815"/>
    <cellStyle name="20% - Accent4 47 2" xfId="11816"/>
    <cellStyle name="20% - Accent4 47 2 2" xfId="11817"/>
    <cellStyle name="20% - Accent4 47 2 3" xfId="11818"/>
    <cellStyle name="20% - Accent4 47 2 4" xfId="11819"/>
    <cellStyle name="20% - Accent4 47 3" xfId="11820"/>
    <cellStyle name="20% - Accent4 47 3 2" xfId="11821"/>
    <cellStyle name="20% - Accent4 47 3 3" xfId="11822"/>
    <cellStyle name="20% - Accent4 47 4" xfId="11823"/>
    <cellStyle name="20% - Accent4 47 4 2" xfId="11824"/>
    <cellStyle name="20% - Accent4 47 5" xfId="11825"/>
    <cellStyle name="20% - Accent4 47 6" xfId="11826"/>
    <cellStyle name="20% - Accent4 47 7" xfId="11827"/>
    <cellStyle name="20% - Accent4 48" xfId="11828"/>
    <cellStyle name="20% - Accent4 48 2" xfId="11829"/>
    <cellStyle name="20% - Accent4 48 2 2" xfId="11830"/>
    <cellStyle name="20% - Accent4 48 2 3" xfId="11831"/>
    <cellStyle name="20% - Accent4 48 2 4" xfId="11832"/>
    <cellStyle name="20% - Accent4 48 3" xfId="11833"/>
    <cellStyle name="20% - Accent4 48 3 2" xfId="11834"/>
    <cellStyle name="20% - Accent4 48 3 3" xfId="11835"/>
    <cellStyle name="20% - Accent4 48 4" xfId="11836"/>
    <cellStyle name="20% - Accent4 48 4 2" xfId="11837"/>
    <cellStyle name="20% - Accent4 48 5" xfId="11838"/>
    <cellStyle name="20% - Accent4 48 6" xfId="11839"/>
    <cellStyle name="20% - Accent4 48 7" xfId="11840"/>
    <cellStyle name="20% - Accent4 49" xfId="11841"/>
    <cellStyle name="20% - Accent4 49 2" xfId="11842"/>
    <cellStyle name="20% - Accent4 49 2 2" xfId="11843"/>
    <cellStyle name="20% - Accent4 49 2 3" xfId="11844"/>
    <cellStyle name="20% - Accent4 49 2 4" xfId="11845"/>
    <cellStyle name="20% - Accent4 49 3" xfId="11846"/>
    <cellStyle name="20% - Accent4 49 3 2" xfId="11847"/>
    <cellStyle name="20% - Accent4 49 3 3" xfId="11848"/>
    <cellStyle name="20% - Accent4 49 4" xfId="11849"/>
    <cellStyle name="20% - Accent4 49 4 2" xfId="11850"/>
    <cellStyle name="20% - Accent4 49 5" xfId="11851"/>
    <cellStyle name="20% - Accent4 49 6" xfId="11852"/>
    <cellStyle name="20% - Accent4 49 7" xfId="11853"/>
    <cellStyle name="20% - Accent4 5" xfId="11854"/>
    <cellStyle name="20% - Accent4 5 2" xfId="11855"/>
    <cellStyle name="20% - Accent4 5 3" xfId="11856"/>
    <cellStyle name="20% - Accent4 5 4" xfId="11857"/>
    <cellStyle name="20% - Accent4 5 5" xfId="11858"/>
    <cellStyle name="20% - Accent4 5 6" xfId="11859"/>
    <cellStyle name="20% - Accent4 5 7" xfId="11860"/>
    <cellStyle name="20% - Accent4 5 8" xfId="11861"/>
    <cellStyle name="20% - Accent4 50" xfId="11862"/>
    <cellStyle name="20% - Accent4 50 2" xfId="11863"/>
    <cellStyle name="20% - Accent4 50 2 2" xfId="11864"/>
    <cellStyle name="20% - Accent4 50 2 3" xfId="11865"/>
    <cellStyle name="20% - Accent4 50 2 4" xfId="11866"/>
    <cellStyle name="20% - Accent4 50 3" xfId="11867"/>
    <cellStyle name="20% - Accent4 50 3 2" xfId="11868"/>
    <cellStyle name="20% - Accent4 50 3 3" xfId="11869"/>
    <cellStyle name="20% - Accent4 50 4" xfId="11870"/>
    <cellStyle name="20% - Accent4 50 4 2" xfId="11871"/>
    <cellStyle name="20% - Accent4 50 5" xfId="11872"/>
    <cellStyle name="20% - Accent4 50 6" xfId="11873"/>
    <cellStyle name="20% - Accent4 50 7" xfId="11874"/>
    <cellStyle name="20% - Accent4 51" xfId="11875"/>
    <cellStyle name="20% - Accent4 51 2" xfId="11876"/>
    <cellStyle name="20% - Accent4 51 2 2" xfId="11877"/>
    <cellStyle name="20% - Accent4 51 2 3" xfId="11878"/>
    <cellStyle name="20% - Accent4 51 2 4" xfId="11879"/>
    <cellStyle name="20% - Accent4 51 3" xfId="11880"/>
    <cellStyle name="20% - Accent4 51 3 2" xfId="11881"/>
    <cellStyle name="20% - Accent4 51 3 3" xfId="11882"/>
    <cellStyle name="20% - Accent4 51 4" xfId="11883"/>
    <cellStyle name="20% - Accent4 51 4 2" xfId="11884"/>
    <cellStyle name="20% - Accent4 51 5" xfId="11885"/>
    <cellStyle name="20% - Accent4 51 6" xfId="11886"/>
    <cellStyle name="20% - Accent4 51 7" xfId="11887"/>
    <cellStyle name="20% - Accent4 52" xfId="11888"/>
    <cellStyle name="20% - Accent4 52 2" xfId="11889"/>
    <cellStyle name="20% - Accent4 52 2 2" xfId="11890"/>
    <cellStyle name="20% - Accent4 52 2 3" xfId="11891"/>
    <cellStyle name="20% - Accent4 52 2 4" xfId="11892"/>
    <cellStyle name="20% - Accent4 52 3" xfId="11893"/>
    <cellStyle name="20% - Accent4 52 3 2" xfId="11894"/>
    <cellStyle name="20% - Accent4 52 3 3" xfId="11895"/>
    <cellStyle name="20% - Accent4 52 4" xfId="11896"/>
    <cellStyle name="20% - Accent4 52 4 2" xfId="11897"/>
    <cellStyle name="20% - Accent4 52 5" xfId="11898"/>
    <cellStyle name="20% - Accent4 52 6" xfId="11899"/>
    <cellStyle name="20% - Accent4 52 7" xfId="11900"/>
    <cellStyle name="20% - Accent4 53" xfId="11901"/>
    <cellStyle name="20% - Accent4 53 2" xfId="11902"/>
    <cellStyle name="20% - Accent4 53 2 2" xfId="11903"/>
    <cellStyle name="20% - Accent4 53 2 3" xfId="11904"/>
    <cellStyle name="20% - Accent4 53 2 4" xfId="11905"/>
    <cellStyle name="20% - Accent4 53 3" xfId="11906"/>
    <cellStyle name="20% - Accent4 53 3 2" xfId="11907"/>
    <cellStyle name="20% - Accent4 53 3 3" xfId="11908"/>
    <cellStyle name="20% - Accent4 53 4" xfId="11909"/>
    <cellStyle name="20% - Accent4 53 4 2" xfId="11910"/>
    <cellStyle name="20% - Accent4 53 5" xfId="11911"/>
    <cellStyle name="20% - Accent4 53 6" xfId="11912"/>
    <cellStyle name="20% - Accent4 53 7" xfId="11913"/>
    <cellStyle name="20% - Accent4 54" xfId="11914"/>
    <cellStyle name="20% - Accent4 54 2" xfId="11915"/>
    <cellStyle name="20% - Accent4 54 2 2" xfId="11916"/>
    <cellStyle name="20% - Accent4 54 2 3" xfId="11917"/>
    <cellStyle name="20% - Accent4 54 2 4" xfId="11918"/>
    <cellStyle name="20% - Accent4 54 3" xfId="11919"/>
    <cellStyle name="20% - Accent4 54 3 2" xfId="11920"/>
    <cellStyle name="20% - Accent4 54 3 3" xfId="11921"/>
    <cellStyle name="20% - Accent4 54 4" xfId="11922"/>
    <cellStyle name="20% - Accent4 54 4 2" xfId="11923"/>
    <cellStyle name="20% - Accent4 54 5" xfId="11924"/>
    <cellStyle name="20% - Accent4 54 6" xfId="11925"/>
    <cellStyle name="20% - Accent4 54 7" xfId="11926"/>
    <cellStyle name="20% - Accent4 55" xfId="11927"/>
    <cellStyle name="20% - Accent4 55 2" xfId="11928"/>
    <cellStyle name="20% - Accent4 55 2 2" xfId="11929"/>
    <cellStyle name="20% - Accent4 55 2 3" xfId="11930"/>
    <cellStyle name="20% - Accent4 55 2 4" xfId="11931"/>
    <cellStyle name="20% - Accent4 55 3" xfId="11932"/>
    <cellStyle name="20% - Accent4 55 3 2" xfId="11933"/>
    <cellStyle name="20% - Accent4 55 3 3" xfId="11934"/>
    <cellStyle name="20% - Accent4 55 4" xfId="11935"/>
    <cellStyle name="20% - Accent4 55 4 2" xfId="11936"/>
    <cellStyle name="20% - Accent4 55 5" xfId="11937"/>
    <cellStyle name="20% - Accent4 55 6" xfId="11938"/>
    <cellStyle name="20% - Accent4 55 7" xfId="11939"/>
    <cellStyle name="20% - Accent4 56" xfId="11940"/>
    <cellStyle name="20% - Accent4 56 2" xfId="11941"/>
    <cellStyle name="20% - Accent4 56 2 2" xfId="11942"/>
    <cellStyle name="20% - Accent4 56 2 3" xfId="11943"/>
    <cellStyle name="20% - Accent4 56 2 4" xfId="11944"/>
    <cellStyle name="20% - Accent4 56 3" xfId="11945"/>
    <cellStyle name="20% - Accent4 56 3 2" xfId="11946"/>
    <cellStyle name="20% - Accent4 56 3 3" xfId="11947"/>
    <cellStyle name="20% - Accent4 56 4" xfId="11948"/>
    <cellStyle name="20% - Accent4 56 4 2" xfId="11949"/>
    <cellStyle name="20% - Accent4 56 5" xfId="11950"/>
    <cellStyle name="20% - Accent4 56 6" xfId="11951"/>
    <cellStyle name="20% - Accent4 56 7" xfId="11952"/>
    <cellStyle name="20% - Accent4 57" xfId="11953"/>
    <cellStyle name="20% - Accent4 57 2" xfId="11954"/>
    <cellStyle name="20% - Accent4 57 2 2" xfId="11955"/>
    <cellStyle name="20% - Accent4 57 2 3" xfId="11956"/>
    <cellStyle name="20% - Accent4 57 2 4" xfId="11957"/>
    <cellStyle name="20% - Accent4 57 3" xfId="11958"/>
    <cellStyle name="20% - Accent4 57 3 2" xfId="11959"/>
    <cellStyle name="20% - Accent4 57 3 3" xfId="11960"/>
    <cellStyle name="20% - Accent4 57 4" xfId="11961"/>
    <cellStyle name="20% - Accent4 57 4 2" xfId="11962"/>
    <cellStyle name="20% - Accent4 57 5" xfId="11963"/>
    <cellStyle name="20% - Accent4 57 6" xfId="11964"/>
    <cellStyle name="20% - Accent4 57 7" xfId="11965"/>
    <cellStyle name="20% - Accent4 58" xfId="11966"/>
    <cellStyle name="20% - Accent4 59" xfId="11967"/>
    <cellStyle name="20% - Accent4 6" xfId="11968"/>
    <cellStyle name="20% - Accent4 6 10" xfId="11969"/>
    <cellStyle name="20% - Accent4 6 10 2" xfId="11970"/>
    <cellStyle name="20% - Accent4 6 10 3" xfId="11971"/>
    <cellStyle name="20% - Accent4 6 11" xfId="11972"/>
    <cellStyle name="20% - Accent4 6 11 2" xfId="11973"/>
    <cellStyle name="20% - Accent4 6 12" xfId="11974"/>
    <cellStyle name="20% - Accent4 6 13" xfId="11975"/>
    <cellStyle name="20% - Accent4 6 14" xfId="11976"/>
    <cellStyle name="20% - Accent4 6 2" xfId="11977"/>
    <cellStyle name="20% - Accent4 6 3" xfId="11978"/>
    <cellStyle name="20% - Accent4 6 4" xfId="11979"/>
    <cellStyle name="20% - Accent4 6 5" xfId="11980"/>
    <cellStyle name="20% - Accent4 6 6" xfId="11981"/>
    <cellStyle name="20% - Accent4 6 7" xfId="11982"/>
    <cellStyle name="20% - Accent4 6 8" xfId="11983"/>
    <cellStyle name="20% - Accent4 6 9" xfId="11984"/>
    <cellStyle name="20% - Accent4 6 9 2" xfId="11985"/>
    <cellStyle name="20% - Accent4 6 9 3" xfId="11986"/>
    <cellStyle name="20% - Accent4 6 9 4" xfId="11987"/>
    <cellStyle name="20% - Accent4 60" xfId="11988"/>
    <cellStyle name="20% - Accent4 61" xfId="11989"/>
    <cellStyle name="20% - Accent4 62" xfId="11990"/>
    <cellStyle name="20% - Accent4 63" xfId="11991"/>
    <cellStyle name="20% - Accent4 64" xfId="11992"/>
    <cellStyle name="20% - Accent4 65" xfId="11993"/>
    <cellStyle name="20% - Accent4 65 2" xfId="11994"/>
    <cellStyle name="20% - Accent4 65 2 2" xfId="11995"/>
    <cellStyle name="20% - Accent4 65 2 3" xfId="11996"/>
    <cellStyle name="20% - Accent4 65 2 4" xfId="11997"/>
    <cellStyle name="20% - Accent4 65 3" xfId="11998"/>
    <cellStyle name="20% - Accent4 65 3 2" xfId="11999"/>
    <cellStyle name="20% - Accent4 65 3 3" xfId="12000"/>
    <cellStyle name="20% - Accent4 65 4" xfId="12001"/>
    <cellStyle name="20% - Accent4 65 4 2" xfId="12002"/>
    <cellStyle name="20% - Accent4 65 5" xfId="12003"/>
    <cellStyle name="20% - Accent4 65 6" xfId="12004"/>
    <cellStyle name="20% - Accent4 65 7" xfId="12005"/>
    <cellStyle name="20% - Accent4 66" xfId="12006"/>
    <cellStyle name="20% - Accent4 66 2" xfId="12007"/>
    <cellStyle name="20% - Accent4 66 2 2" xfId="12008"/>
    <cellStyle name="20% - Accent4 66 2 3" xfId="12009"/>
    <cellStyle name="20% - Accent4 66 2 4" xfId="12010"/>
    <cellStyle name="20% - Accent4 66 3" xfId="12011"/>
    <cellStyle name="20% - Accent4 66 3 2" xfId="12012"/>
    <cellStyle name="20% - Accent4 66 3 3" xfId="12013"/>
    <cellStyle name="20% - Accent4 66 4" xfId="12014"/>
    <cellStyle name="20% - Accent4 66 4 2" xfId="12015"/>
    <cellStyle name="20% - Accent4 66 5" xfId="12016"/>
    <cellStyle name="20% - Accent4 66 6" xfId="12017"/>
    <cellStyle name="20% - Accent4 66 7" xfId="12018"/>
    <cellStyle name="20% - Accent4 67" xfId="12019"/>
    <cellStyle name="20% - Accent4 67 2" xfId="12020"/>
    <cellStyle name="20% - Accent4 67 2 2" xfId="12021"/>
    <cellStyle name="20% - Accent4 67 2 3" xfId="12022"/>
    <cellStyle name="20% - Accent4 67 2 4" xfId="12023"/>
    <cellStyle name="20% - Accent4 67 3" xfId="12024"/>
    <cellStyle name="20% - Accent4 67 3 2" xfId="12025"/>
    <cellStyle name="20% - Accent4 67 3 3" xfId="12026"/>
    <cellStyle name="20% - Accent4 67 4" xfId="12027"/>
    <cellStyle name="20% - Accent4 67 4 2" xfId="12028"/>
    <cellStyle name="20% - Accent4 67 5" xfId="12029"/>
    <cellStyle name="20% - Accent4 67 6" xfId="12030"/>
    <cellStyle name="20% - Accent4 67 7" xfId="12031"/>
    <cellStyle name="20% - Accent4 68" xfId="12032"/>
    <cellStyle name="20% - Accent4 68 2" xfId="12033"/>
    <cellStyle name="20% - Accent4 68 2 2" xfId="12034"/>
    <cellStyle name="20% - Accent4 68 2 3" xfId="12035"/>
    <cellStyle name="20% - Accent4 68 2 4" xfId="12036"/>
    <cellStyle name="20% - Accent4 68 3" xfId="12037"/>
    <cellStyle name="20% - Accent4 68 3 2" xfId="12038"/>
    <cellStyle name="20% - Accent4 68 3 3" xfId="12039"/>
    <cellStyle name="20% - Accent4 68 4" xfId="12040"/>
    <cellStyle name="20% - Accent4 68 4 2" xfId="12041"/>
    <cellStyle name="20% - Accent4 68 5" xfId="12042"/>
    <cellStyle name="20% - Accent4 68 6" xfId="12043"/>
    <cellStyle name="20% - Accent4 68 7" xfId="12044"/>
    <cellStyle name="20% - Accent4 69" xfId="12045"/>
    <cellStyle name="20% - Accent4 69 2" xfId="12046"/>
    <cellStyle name="20% - Accent4 69 2 2" xfId="12047"/>
    <cellStyle name="20% - Accent4 69 2 3" xfId="12048"/>
    <cellStyle name="20% - Accent4 69 2 4" xfId="12049"/>
    <cellStyle name="20% - Accent4 69 3" xfId="12050"/>
    <cellStyle name="20% - Accent4 69 3 2" xfId="12051"/>
    <cellStyle name="20% - Accent4 69 3 3" xfId="12052"/>
    <cellStyle name="20% - Accent4 69 4" xfId="12053"/>
    <cellStyle name="20% - Accent4 69 4 2" xfId="12054"/>
    <cellStyle name="20% - Accent4 69 5" xfId="12055"/>
    <cellStyle name="20% - Accent4 69 6" xfId="12056"/>
    <cellStyle name="20% - Accent4 69 7" xfId="12057"/>
    <cellStyle name="20% - Accent4 7" xfId="12058"/>
    <cellStyle name="20% - Accent4 7 2" xfId="12059"/>
    <cellStyle name="20% - Accent4 7 3" xfId="12060"/>
    <cellStyle name="20% - Accent4 7 3 2" xfId="12061"/>
    <cellStyle name="20% - Accent4 7 3 3" xfId="12062"/>
    <cellStyle name="20% - Accent4 7 3 4" xfId="12063"/>
    <cellStyle name="20% - Accent4 7 4" xfId="12064"/>
    <cellStyle name="20% - Accent4 7 4 2" xfId="12065"/>
    <cellStyle name="20% - Accent4 7 4 3" xfId="12066"/>
    <cellStyle name="20% - Accent4 7 5" xfId="12067"/>
    <cellStyle name="20% - Accent4 7 5 2" xfId="12068"/>
    <cellStyle name="20% - Accent4 7 6" xfId="12069"/>
    <cellStyle name="20% - Accent4 7 7" xfId="12070"/>
    <cellStyle name="20% - Accent4 7 8" xfId="12071"/>
    <cellStyle name="20% - Accent4 70" xfId="12072"/>
    <cellStyle name="20% - Accent4 70 2" xfId="12073"/>
    <cellStyle name="20% - Accent4 70 2 2" xfId="12074"/>
    <cellStyle name="20% - Accent4 70 2 3" xfId="12075"/>
    <cellStyle name="20% - Accent4 70 2 4" xfId="12076"/>
    <cellStyle name="20% - Accent4 70 3" xfId="12077"/>
    <cellStyle name="20% - Accent4 70 3 2" xfId="12078"/>
    <cellStyle name="20% - Accent4 70 3 3" xfId="12079"/>
    <cellStyle name="20% - Accent4 70 4" xfId="12080"/>
    <cellStyle name="20% - Accent4 70 4 2" xfId="12081"/>
    <cellStyle name="20% - Accent4 70 5" xfId="12082"/>
    <cellStyle name="20% - Accent4 70 6" xfId="12083"/>
    <cellStyle name="20% - Accent4 70 7" xfId="12084"/>
    <cellStyle name="20% - Accent4 71" xfId="12085"/>
    <cellStyle name="20% - Accent4 71 2" xfId="12086"/>
    <cellStyle name="20% - Accent4 71 2 2" xfId="12087"/>
    <cellStyle name="20% - Accent4 71 2 3" xfId="12088"/>
    <cellStyle name="20% - Accent4 71 2 4" xfId="12089"/>
    <cellStyle name="20% - Accent4 71 3" xfId="12090"/>
    <cellStyle name="20% - Accent4 71 3 2" xfId="12091"/>
    <cellStyle name="20% - Accent4 71 3 3" xfId="12092"/>
    <cellStyle name="20% - Accent4 71 4" xfId="12093"/>
    <cellStyle name="20% - Accent4 71 4 2" xfId="12094"/>
    <cellStyle name="20% - Accent4 71 5" xfId="12095"/>
    <cellStyle name="20% - Accent4 71 6" xfId="12096"/>
    <cellStyle name="20% - Accent4 71 7" xfId="12097"/>
    <cellStyle name="20% - Accent4 72" xfId="12098"/>
    <cellStyle name="20% - Accent4 72 2" xfId="12099"/>
    <cellStyle name="20% - Accent4 72 2 2" xfId="12100"/>
    <cellStyle name="20% - Accent4 72 2 3" xfId="12101"/>
    <cellStyle name="20% - Accent4 72 2 4" xfId="12102"/>
    <cellStyle name="20% - Accent4 72 3" xfId="12103"/>
    <cellStyle name="20% - Accent4 72 3 2" xfId="12104"/>
    <cellStyle name="20% - Accent4 72 3 3" xfId="12105"/>
    <cellStyle name="20% - Accent4 72 4" xfId="12106"/>
    <cellStyle name="20% - Accent4 72 4 2" xfId="12107"/>
    <cellStyle name="20% - Accent4 72 5" xfId="12108"/>
    <cellStyle name="20% - Accent4 72 6" xfId="12109"/>
    <cellStyle name="20% - Accent4 72 7" xfId="12110"/>
    <cellStyle name="20% - Accent4 73" xfId="12111"/>
    <cellStyle name="20% - Accent4 73 2" xfId="12112"/>
    <cellStyle name="20% - Accent4 73 2 2" xfId="12113"/>
    <cellStyle name="20% - Accent4 73 2 3" xfId="12114"/>
    <cellStyle name="20% - Accent4 73 2 4" xfId="12115"/>
    <cellStyle name="20% - Accent4 73 3" xfId="12116"/>
    <cellStyle name="20% - Accent4 73 3 2" xfId="12117"/>
    <cellStyle name="20% - Accent4 73 3 3" xfId="12118"/>
    <cellStyle name="20% - Accent4 73 4" xfId="12119"/>
    <cellStyle name="20% - Accent4 73 4 2" xfId="12120"/>
    <cellStyle name="20% - Accent4 73 5" xfId="12121"/>
    <cellStyle name="20% - Accent4 73 6" xfId="12122"/>
    <cellStyle name="20% - Accent4 73 7" xfId="12123"/>
    <cellStyle name="20% - Accent4 74" xfId="12124"/>
    <cellStyle name="20% - Accent4 74 2" xfId="12125"/>
    <cellStyle name="20% - Accent4 74 2 2" xfId="12126"/>
    <cellStyle name="20% - Accent4 74 2 3" xfId="12127"/>
    <cellStyle name="20% - Accent4 74 2 4" xfId="12128"/>
    <cellStyle name="20% - Accent4 74 3" xfId="12129"/>
    <cellStyle name="20% - Accent4 74 3 2" xfId="12130"/>
    <cellStyle name="20% - Accent4 74 3 3" xfId="12131"/>
    <cellStyle name="20% - Accent4 74 4" xfId="12132"/>
    <cellStyle name="20% - Accent4 74 4 2" xfId="12133"/>
    <cellStyle name="20% - Accent4 74 5" xfId="12134"/>
    <cellStyle name="20% - Accent4 74 6" xfId="12135"/>
    <cellStyle name="20% - Accent4 74 7" xfId="12136"/>
    <cellStyle name="20% - Accent4 75" xfId="12137"/>
    <cellStyle name="20% - Accent4 75 2" xfId="12138"/>
    <cellStyle name="20% - Accent4 75 2 2" xfId="12139"/>
    <cellStyle name="20% - Accent4 75 2 3" xfId="12140"/>
    <cellStyle name="20% - Accent4 75 2 4" xfId="12141"/>
    <cellStyle name="20% - Accent4 75 3" xfId="12142"/>
    <cellStyle name="20% - Accent4 75 3 2" xfId="12143"/>
    <cellStyle name="20% - Accent4 75 3 3" xfId="12144"/>
    <cellStyle name="20% - Accent4 75 4" xfId="12145"/>
    <cellStyle name="20% - Accent4 75 4 2" xfId="12146"/>
    <cellStyle name="20% - Accent4 75 5" xfId="12147"/>
    <cellStyle name="20% - Accent4 75 6" xfId="12148"/>
    <cellStyle name="20% - Accent4 75 7" xfId="12149"/>
    <cellStyle name="20% - Accent4 76" xfId="12150"/>
    <cellStyle name="20% - Accent4 76 2" xfId="12151"/>
    <cellStyle name="20% - Accent4 76 2 2" xfId="12152"/>
    <cellStyle name="20% - Accent4 76 2 3" xfId="12153"/>
    <cellStyle name="20% - Accent4 76 2 4" xfId="12154"/>
    <cellStyle name="20% - Accent4 76 3" xfId="12155"/>
    <cellStyle name="20% - Accent4 76 3 2" xfId="12156"/>
    <cellStyle name="20% - Accent4 76 3 3" xfId="12157"/>
    <cellStyle name="20% - Accent4 76 4" xfId="12158"/>
    <cellStyle name="20% - Accent4 76 4 2" xfId="12159"/>
    <cellStyle name="20% - Accent4 76 5" xfId="12160"/>
    <cellStyle name="20% - Accent4 76 6" xfId="12161"/>
    <cellStyle name="20% - Accent4 76 7" xfId="12162"/>
    <cellStyle name="20% - Accent4 77" xfId="12163"/>
    <cellStyle name="20% - Accent4 77 2" xfId="12164"/>
    <cellStyle name="20% - Accent4 77 2 2" xfId="12165"/>
    <cellStyle name="20% - Accent4 77 2 3" xfId="12166"/>
    <cellStyle name="20% - Accent4 77 2 4" xfId="12167"/>
    <cellStyle name="20% - Accent4 77 3" xfId="12168"/>
    <cellStyle name="20% - Accent4 77 3 2" xfId="12169"/>
    <cellStyle name="20% - Accent4 77 3 3" xfId="12170"/>
    <cellStyle name="20% - Accent4 77 4" xfId="12171"/>
    <cellStyle name="20% - Accent4 77 4 2" xfId="12172"/>
    <cellStyle name="20% - Accent4 77 5" xfId="12173"/>
    <cellStyle name="20% - Accent4 77 6" xfId="12174"/>
    <cellStyle name="20% - Accent4 77 7" xfId="12175"/>
    <cellStyle name="20% - Accent4 78" xfId="12176"/>
    <cellStyle name="20% - Accent4 79" xfId="12177"/>
    <cellStyle name="20% - Accent4 79 2" xfId="12178"/>
    <cellStyle name="20% - Accent4 79 3" xfId="12179"/>
    <cellStyle name="20% - Accent4 8" xfId="12180"/>
    <cellStyle name="20% - Accent4 8 10" xfId="12181"/>
    <cellStyle name="20% - Accent4 8 11" xfId="12182"/>
    <cellStyle name="20% - Accent4 8 2" xfId="12183"/>
    <cellStyle name="20% - Accent4 8 2 10" xfId="12184"/>
    <cellStyle name="20% - Accent4 8 2 2" xfId="12185"/>
    <cellStyle name="20% - Accent4 8 2 2 2" xfId="12186"/>
    <cellStyle name="20% - Accent4 8 2 2 2 2" xfId="12187"/>
    <cellStyle name="20% - Accent4 8 2 2 2 3" xfId="12188"/>
    <cellStyle name="20% - Accent4 8 2 2 2 4" xfId="12189"/>
    <cellStyle name="20% - Accent4 8 2 2 3" xfId="12190"/>
    <cellStyle name="20% - Accent4 8 2 2 3 2" xfId="12191"/>
    <cellStyle name="20% - Accent4 8 2 2 3 3" xfId="12192"/>
    <cellStyle name="20% - Accent4 8 2 2 4" xfId="12193"/>
    <cellStyle name="20% - Accent4 8 2 2 4 2" xfId="12194"/>
    <cellStyle name="20% - Accent4 8 2 2 5" xfId="12195"/>
    <cellStyle name="20% - Accent4 8 2 2 6" xfId="12196"/>
    <cellStyle name="20% - Accent4 8 2 2 7" xfId="12197"/>
    <cellStyle name="20% - Accent4 8 2 3" xfId="12198"/>
    <cellStyle name="20% - Accent4 8 2 3 2" xfId="12199"/>
    <cellStyle name="20% - Accent4 8 2 3 2 2" xfId="12200"/>
    <cellStyle name="20% - Accent4 8 2 3 2 3" xfId="12201"/>
    <cellStyle name="20% - Accent4 8 2 3 2 4" xfId="12202"/>
    <cellStyle name="20% - Accent4 8 2 3 3" xfId="12203"/>
    <cellStyle name="20% - Accent4 8 2 3 3 2" xfId="12204"/>
    <cellStyle name="20% - Accent4 8 2 3 3 3" xfId="12205"/>
    <cellStyle name="20% - Accent4 8 2 3 4" xfId="12206"/>
    <cellStyle name="20% - Accent4 8 2 3 4 2" xfId="12207"/>
    <cellStyle name="20% - Accent4 8 2 3 5" xfId="12208"/>
    <cellStyle name="20% - Accent4 8 2 3 6" xfId="12209"/>
    <cellStyle name="20% - Accent4 8 2 3 7" xfId="12210"/>
    <cellStyle name="20% - Accent4 8 2 4" xfId="12211"/>
    <cellStyle name="20% - Accent4 8 2 4 2" xfId="12212"/>
    <cellStyle name="20% - Accent4 8 2 4 2 2" xfId="12213"/>
    <cellStyle name="20% - Accent4 8 2 4 2 3" xfId="12214"/>
    <cellStyle name="20% - Accent4 8 2 4 2 4" xfId="12215"/>
    <cellStyle name="20% - Accent4 8 2 4 3" xfId="12216"/>
    <cellStyle name="20% - Accent4 8 2 4 3 2" xfId="12217"/>
    <cellStyle name="20% - Accent4 8 2 4 3 3" xfId="12218"/>
    <cellStyle name="20% - Accent4 8 2 4 4" xfId="12219"/>
    <cellStyle name="20% - Accent4 8 2 4 4 2" xfId="12220"/>
    <cellStyle name="20% - Accent4 8 2 4 5" xfId="12221"/>
    <cellStyle name="20% - Accent4 8 2 4 6" xfId="12222"/>
    <cellStyle name="20% - Accent4 8 2 4 7" xfId="12223"/>
    <cellStyle name="20% - Accent4 8 2 5" xfId="12224"/>
    <cellStyle name="20% - Accent4 8 2 5 2" xfId="12225"/>
    <cellStyle name="20% - Accent4 8 2 5 3" xfId="12226"/>
    <cellStyle name="20% - Accent4 8 2 5 4" xfId="12227"/>
    <cellStyle name="20% - Accent4 8 2 6" xfId="12228"/>
    <cellStyle name="20% - Accent4 8 2 6 2" xfId="12229"/>
    <cellStyle name="20% - Accent4 8 2 6 3" xfId="12230"/>
    <cellStyle name="20% - Accent4 8 2 7" xfId="12231"/>
    <cellStyle name="20% - Accent4 8 2 7 2" xfId="12232"/>
    <cellStyle name="20% - Accent4 8 2 8" xfId="12233"/>
    <cellStyle name="20% - Accent4 8 2 9" xfId="12234"/>
    <cellStyle name="20% - Accent4 8 3" xfId="12235"/>
    <cellStyle name="20% - Accent4 8 3 2" xfId="12236"/>
    <cellStyle name="20% - Accent4 8 3 2 2" xfId="12237"/>
    <cellStyle name="20% - Accent4 8 3 2 3" xfId="12238"/>
    <cellStyle name="20% - Accent4 8 3 2 4" xfId="12239"/>
    <cellStyle name="20% - Accent4 8 3 3" xfId="12240"/>
    <cellStyle name="20% - Accent4 8 3 3 2" xfId="12241"/>
    <cellStyle name="20% - Accent4 8 3 3 3" xfId="12242"/>
    <cellStyle name="20% - Accent4 8 3 4" xfId="12243"/>
    <cellStyle name="20% - Accent4 8 3 4 2" xfId="12244"/>
    <cellStyle name="20% - Accent4 8 3 5" xfId="12245"/>
    <cellStyle name="20% - Accent4 8 3 6" xfId="12246"/>
    <cellStyle name="20% - Accent4 8 3 7" xfId="12247"/>
    <cellStyle name="20% - Accent4 8 4" xfId="12248"/>
    <cellStyle name="20% - Accent4 8 4 2" xfId="12249"/>
    <cellStyle name="20% - Accent4 8 4 2 2" xfId="12250"/>
    <cellStyle name="20% - Accent4 8 4 2 3" xfId="12251"/>
    <cellStyle name="20% - Accent4 8 4 2 4" xfId="12252"/>
    <cellStyle name="20% - Accent4 8 4 3" xfId="12253"/>
    <cellStyle name="20% - Accent4 8 4 3 2" xfId="12254"/>
    <cellStyle name="20% - Accent4 8 4 3 3" xfId="12255"/>
    <cellStyle name="20% - Accent4 8 4 4" xfId="12256"/>
    <cellStyle name="20% - Accent4 8 4 4 2" xfId="12257"/>
    <cellStyle name="20% - Accent4 8 4 5" xfId="12258"/>
    <cellStyle name="20% - Accent4 8 4 6" xfId="12259"/>
    <cellStyle name="20% - Accent4 8 4 7" xfId="12260"/>
    <cellStyle name="20% - Accent4 8 5" xfId="12261"/>
    <cellStyle name="20% - Accent4 8 5 2" xfId="12262"/>
    <cellStyle name="20% - Accent4 8 5 2 2" xfId="12263"/>
    <cellStyle name="20% - Accent4 8 5 2 3" xfId="12264"/>
    <cellStyle name="20% - Accent4 8 5 2 4" xfId="12265"/>
    <cellStyle name="20% - Accent4 8 5 3" xfId="12266"/>
    <cellStyle name="20% - Accent4 8 5 3 2" xfId="12267"/>
    <cellStyle name="20% - Accent4 8 5 3 3" xfId="12268"/>
    <cellStyle name="20% - Accent4 8 5 4" xfId="12269"/>
    <cellStyle name="20% - Accent4 8 5 4 2" xfId="12270"/>
    <cellStyle name="20% - Accent4 8 5 5" xfId="12271"/>
    <cellStyle name="20% - Accent4 8 5 6" xfId="12272"/>
    <cellStyle name="20% - Accent4 8 5 7" xfId="12273"/>
    <cellStyle name="20% - Accent4 8 6" xfId="12274"/>
    <cellStyle name="20% - Accent4 8 6 2" xfId="12275"/>
    <cellStyle name="20% - Accent4 8 6 3" xfId="12276"/>
    <cellStyle name="20% - Accent4 8 6 4" xfId="12277"/>
    <cellStyle name="20% - Accent4 8 7" xfId="12278"/>
    <cellStyle name="20% - Accent4 8 7 2" xfId="12279"/>
    <cellStyle name="20% - Accent4 8 7 3" xfId="12280"/>
    <cellStyle name="20% - Accent4 8 8" xfId="12281"/>
    <cellStyle name="20% - Accent4 8 8 2" xfId="12282"/>
    <cellStyle name="20% - Accent4 8 9" xfId="12283"/>
    <cellStyle name="20% - Accent4 80" xfId="12284"/>
    <cellStyle name="20% - Accent4 80 2" xfId="12285"/>
    <cellStyle name="20% - Accent4 80 3" xfId="12286"/>
    <cellStyle name="20% - Accent4 81" xfId="12287"/>
    <cellStyle name="20% - Accent4 81 2" xfId="12288"/>
    <cellStyle name="20% - Accent4 82" xfId="12289"/>
    <cellStyle name="20% - Accent4 83" xfId="12290"/>
    <cellStyle name="20% - Accent4 9" xfId="12291"/>
    <cellStyle name="20% - Accent4 9 10" xfId="12292"/>
    <cellStyle name="20% - Accent4 9 2" xfId="12293"/>
    <cellStyle name="20% - Accent4 9 2 2" xfId="12294"/>
    <cellStyle name="20% - Accent4 9 2 2 2" xfId="12295"/>
    <cellStyle name="20% - Accent4 9 2 2 3" xfId="12296"/>
    <cellStyle name="20% - Accent4 9 2 2 4" xfId="12297"/>
    <cellStyle name="20% - Accent4 9 2 3" xfId="12298"/>
    <cellStyle name="20% - Accent4 9 2 3 2" xfId="12299"/>
    <cellStyle name="20% - Accent4 9 2 3 3" xfId="12300"/>
    <cellStyle name="20% - Accent4 9 2 4" xfId="12301"/>
    <cellStyle name="20% - Accent4 9 2 4 2" xfId="12302"/>
    <cellStyle name="20% - Accent4 9 2 5" xfId="12303"/>
    <cellStyle name="20% - Accent4 9 2 6" xfId="12304"/>
    <cellStyle name="20% - Accent4 9 2 7" xfId="12305"/>
    <cellStyle name="20% - Accent4 9 3" xfId="12306"/>
    <cellStyle name="20% - Accent4 9 3 2" xfId="12307"/>
    <cellStyle name="20% - Accent4 9 3 2 2" xfId="12308"/>
    <cellStyle name="20% - Accent4 9 3 2 3" xfId="12309"/>
    <cellStyle name="20% - Accent4 9 3 2 4" xfId="12310"/>
    <cellStyle name="20% - Accent4 9 3 3" xfId="12311"/>
    <cellStyle name="20% - Accent4 9 3 3 2" xfId="12312"/>
    <cellStyle name="20% - Accent4 9 3 3 3" xfId="12313"/>
    <cellStyle name="20% - Accent4 9 3 4" xfId="12314"/>
    <cellStyle name="20% - Accent4 9 3 4 2" xfId="12315"/>
    <cellStyle name="20% - Accent4 9 3 5" xfId="12316"/>
    <cellStyle name="20% - Accent4 9 3 6" xfId="12317"/>
    <cellStyle name="20% - Accent4 9 3 7" xfId="12318"/>
    <cellStyle name="20% - Accent4 9 4" xfId="12319"/>
    <cellStyle name="20% - Accent4 9 4 2" xfId="12320"/>
    <cellStyle name="20% - Accent4 9 4 2 2" xfId="12321"/>
    <cellStyle name="20% - Accent4 9 4 2 3" xfId="12322"/>
    <cellStyle name="20% - Accent4 9 4 2 4" xfId="12323"/>
    <cellStyle name="20% - Accent4 9 4 3" xfId="12324"/>
    <cellStyle name="20% - Accent4 9 4 3 2" xfId="12325"/>
    <cellStyle name="20% - Accent4 9 4 3 3" xfId="12326"/>
    <cellStyle name="20% - Accent4 9 4 4" xfId="12327"/>
    <cellStyle name="20% - Accent4 9 4 4 2" xfId="12328"/>
    <cellStyle name="20% - Accent4 9 4 5" xfId="12329"/>
    <cellStyle name="20% - Accent4 9 4 6" xfId="12330"/>
    <cellStyle name="20% - Accent4 9 4 7" xfId="12331"/>
    <cellStyle name="20% - Accent4 9 5" xfId="12332"/>
    <cellStyle name="20% - Accent4 9 5 2" xfId="12333"/>
    <cellStyle name="20% - Accent4 9 5 3" xfId="12334"/>
    <cellStyle name="20% - Accent4 9 6" xfId="12335"/>
    <cellStyle name="20% - Accent4 9 6 2" xfId="12336"/>
    <cellStyle name="20% - Accent4 9 6 3" xfId="12337"/>
    <cellStyle name="20% - Accent4 9 7" xfId="12338"/>
    <cellStyle name="20% - Accent4 9 7 2" xfId="12339"/>
    <cellStyle name="20% - Accent4 9 8" xfId="12340"/>
    <cellStyle name="20% - Accent4 9 9" xfId="12341"/>
    <cellStyle name="20% - Accent5 10" xfId="12342"/>
    <cellStyle name="20% - Accent5 10 2" xfId="12343"/>
    <cellStyle name="20% - Accent5 10 2 2" xfId="12344"/>
    <cellStyle name="20% - Accent5 10 2 3" xfId="12345"/>
    <cellStyle name="20% - Accent5 10 2 4" xfId="12346"/>
    <cellStyle name="20% - Accent5 10 3" xfId="12347"/>
    <cellStyle name="20% - Accent5 10 3 2" xfId="12348"/>
    <cellStyle name="20% - Accent5 10 3 3" xfId="12349"/>
    <cellStyle name="20% - Accent5 10 4" xfId="12350"/>
    <cellStyle name="20% - Accent5 10 4 2" xfId="12351"/>
    <cellStyle name="20% - Accent5 10 5" xfId="12352"/>
    <cellStyle name="20% - Accent5 10 6" xfId="12353"/>
    <cellStyle name="20% - Accent5 10 7" xfId="12354"/>
    <cellStyle name="20% - Accent5 11" xfId="12355"/>
    <cellStyle name="20% - Accent5 11 2" xfId="12356"/>
    <cellStyle name="20% - Accent5 11 2 2" xfId="12357"/>
    <cellStyle name="20% - Accent5 11 2 3" xfId="12358"/>
    <cellStyle name="20% - Accent5 11 2 4" xfId="12359"/>
    <cellStyle name="20% - Accent5 11 3" xfId="12360"/>
    <cellStyle name="20% - Accent5 11 3 2" xfId="12361"/>
    <cellStyle name="20% - Accent5 11 3 3" xfId="12362"/>
    <cellStyle name="20% - Accent5 11 4" xfId="12363"/>
    <cellStyle name="20% - Accent5 11 4 2" xfId="12364"/>
    <cellStyle name="20% - Accent5 11 5" xfId="12365"/>
    <cellStyle name="20% - Accent5 11 6" xfId="12366"/>
    <cellStyle name="20% - Accent5 11 7" xfId="12367"/>
    <cellStyle name="20% - Accent5 12" xfId="12368"/>
    <cellStyle name="20% - Accent5 12 2" xfId="12369"/>
    <cellStyle name="20% - Accent5 12 2 2" xfId="12370"/>
    <cellStyle name="20% - Accent5 12 2 3" xfId="12371"/>
    <cellStyle name="20% - Accent5 12 2 4" xfId="12372"/>
    <cellStyle name="20% - Accent5 12 3" xfId="12373"/>
    <cellStyle name="20% - Accent5 12 3 2" xfId="12374"/>
    <cellStyle name="20% - Accent5 12 3 3" xfId="12375"/>
    <cellStyle name="20% - Accent5 12 4" xfId="12376"/>
    <cellStyle name="20% - Accent5 12 4 2" xfId="12377"/>
    <cellStyle name="20% - Accent5 12 5" xfId="12378"/>
    <cellStyle name="20% - Accent5 12 6" xfId="12379"/>
    <cellStyle name="20% - Accent5 12 7" xfId="12380"/>
    <cellStyle name="20% - Accent5 13" xfId="12381"/>
    <cellStyle name="20% - Accent5 13 2" xfId="12382"/>
    <cellStyle name="20% - Accent5 13 3" xfId="12383"/>
    <cellStyle name="20% - Accent5 13 4" xfId="12384"/>
    <cellStyle name="20% - Accent5 14" xfId="12385"/>
    <cellStyle name="20% - Accent5 14 10" xfId="12386"/>
    <cellStyle name="20% - Accent5 14 2" xfId="12387"/>
    <cellStyle name="20% - Accent5 14 2 2" xfId="12388"/>
    <cellStyle name="20% - Accent5 14 2 2 2" xfId="12389"/>
    <cellStyle name="20% - Accent5 14 2 2 2 2" xfId="12390"/>
    <cellStyle name="20% - Accent5 14 2 2 2 2 2" xfId="12391"/>
    <cellStyle name="20% - Accent5 14 2 2 2 2 2 2" xfId="12392"/>
    <cellStyle name="20% - Accent5 14 2 2 2 3" xfId="12393"/>
    <cellStyle name="20% - Accent5 14 2 2 2 3 2" xfId="12394"/>
    <cellStyle name="20% - Accent5 14 2 2 3" xfId="12395"/>
    <cellStyle name="20% - Accent5 14 2 2 3 2" xfId="12396"/>
    <cellStyle name="20% - Accent5 14 2 2 3 2 2" xfId="12397"/>
    <cellStyle name="20% - Accent5 14 2 2 4" xfId="12398"/>
    <cellStyle name="20% - Accent5 14 2 2 4 2" xfId="12399"/>
    <cellStyle name="20% - Accent5 14 2 2 5" xfId="12400"/>
    <cellStyle name="20% - Accent5 14 2 2 6" xfId="12401"/>
    <cellStyle name="20% - Accent5 14 2 2 7" xfId="12402"/>
    <cellStyle name="20% - Accent5 14 2 3" xfId="12403"/>
    <cellStyle name="20% - Accent5 14 2 3 2" xfId="12404"/>
    <cellStyle name="20% - Accent5 14 2 3 2 2" xfId="12405"/>
    <cellStyle name="20% - Accent5 14 2 3 2 2 2" xfId="12406"/>
    <cellStyle name="20% - Accent5 14 2 3 3" xfId="12407"/>
    <cellStyle name="20% - Accent5 14 2 3 3 2" xfId="12408"/>
    <cellStyle name="20% - Accent5 14 2 3 4" xfId="12409"/>
    <cellStyle name="20% - Accent5 14 2 3 5" xfId="12410"/>
    <cellStyle name="20% - Accent5 14 2 3 6" xfId="12411"/>
    <cellStyle name="20% - Accent5 14 2 4" xfId="12412"/>
    <cellStyle name="20% - Accent5 14 2 4 2" xfId="12413"/>
    <cellStyle name="20% - Accent5 14 2 4 2 2" xfId="12414"/>
    <cellStyle name="20% - Accent5 14 2 4 3" xfId="12415"/>
    <cellStyle name="20% - Accent5 14 2 5" xfId="12416"/>
    <cellStyle name="20% - Accent5 14 2 5 2" xfId="12417"/>
    <cellStyle name="20% - Accent5 14 2 6" xfId="12418"/>
    <cellStyle name="20% - Accent5 14 2 7" xfId="12419"/>
    <cellStyle name="20% - Accent5 14 2 8" xfId="12420"/>
    <cellStyle name="20% - Accent5 14 2 9" xfId="12421"/>
    <cellStyle name="20% - Accent5 14 3" xfId="12422"/>
    <cellStyle name="20% - Accent5 14 3 2" xfId="12423"/>
    <cellStyle name="20% - Accent5 14 3 2 2" xfId="12424"/>
    <cellStyle name="20% - Accent5 14 3 2 2 2" xfId="12425"/>
    <cellStyle name="20% - Accent5 14 3 2 2 2 2" xfId="12426"/>
    <cellStyle name="20% - Accent5 14 3 2 3" xfId="12427"/>
    <cellStyle name="20% - Accent5 14 3 2 3 2" xfId="12428"/>
    <cellStyle name="20% - Accent5 14 3 2 4" xfId="12429"/>
    <cellStyle name="20% - Accent5 14 3 2 5" xfId="12430"/>
    <cellStyle name="20% - Accent5 14 3 2 6" xfId="12431"/>
    <cellStyle name="20% - Accent5 14 3 3" xfId="12432"/>
    <cellStyle name="20% - Accent5 14 3 3 2" xfId="12433"/>
    <cellStyle name="20% - Accent5 14 3 3 2 2" xfId="12434"/>
    <cellStyle name="20% - Accent5 14 3 3 3" xfId="12435"/>
    <cellStyle name="20% - Accent5 14 3 3 4" xfId="12436"/>
    <cellStyle name="20% - Accent5 14 3 3 5" xfId="12437"/>
    <cellStyle name="20% - Accent5 14 3 4" xfId="12438"/>
    <cellStyle name="20% - Accent5 14 3 4 2" xfId="12439"/>
    <cellStyle name="20% - Accent5 14 3 4 3" xfId="12440"/>
    <cellStyle name="20% - Accent5 14 3 5" xfId="12441"/>
    <cellStyle name="20% - Accent5 14 3 6" xfId="12442"/>
    <cellStyle name="20% - Accent5 14 3 7" xfId="12443"/>
    <cellStyle name="20% - Accent5 14 3 8" xfId="12444"/>
    <cellStyle name="20% - Accent5 14 4" xfId="12445"/>
    <cellStyle name="20% - Accent5 14 4 2" xfId="12446"/>
    <cellStyle name="20% - Accent5 14 4 2 2" xfId="12447"/>
    <cellStyle name="20% - Accent5 14 4 2 2 2" xfId="12448"/>
    <cellStyle name="20% - Accent5 14 4 3" xfId="12449"/>
    <cellStyle name="20% - Accent5 14 4 3 2" xfId="12450"/>
    <cellStyle name="20% - Accent5 14 4 4" xfId="12451"/>
    <cellStyle name="20% - Accent5 14 4 5" xfId="12452"/>
    <cellStyle name="20% - Accent5 14 4 6" xfId="12453"/>
    <cellStyle name="20% - Accent5 14 5" xfId="12454"/>
    <cellStyle name="20% - Accent5 14 5 2" xfId="12455"/>
    <cellStyle name="20% - Accent5 14 5 2 2" xfId="12456"/>
    <cellStyle name="20% - Accent5 14 5 3" xfId="12457"/>
    <cellStyle name="20% - Accent5 14 5 4" xfId="12458"/>
    <cellStyle name="20% - Accent5 14 5 5" xfId="12459"/>
    <cellStyle name="20% - Accent5 14 6" xfId="12460"/>
    <cellStyle name="20% - Accent5 14 6 2" xfId="12461"/>
    <cellStyle name="20% - Accent5 14 6 3" xfId="12462"/>
    <cellStyle name="20% - Accent5 14 7" xfId="12463"/>
    <cellStyle name="20% - Accent5 14 8" xfId="12464"/>
    <cellStyle name="20% - Accent5 14 9" xfId="12465"/>
    <cellStyle name="20% - Accent5 15" xfId="12466"/>
    <cellStyle name="20% - Accent5 15 2" xfId="12467"/>
    <cellStyle name="20% - Accent5 15 2 2" xfId="12468"/>
    <cellStyle name="20% - Accent5 15 2 3" xfId="12469"/>
    <cellStyle name="20% - Accent5 15 2 4" xfId="12470"/>
    <cellStyle name="20% - Accent5 15 3" xfId="12471"/>
    <cellStyle name="20% - Accent5 15 3 2" xfId="12472"/>
    <cellStyle name="20% - Accent5 15 3 3" xfId="12473"/>
    <cellStyle name="20% - Accent5 15 4" xfId="12474"/>
    <cellStyle name="20% - Accent5 15 4 2" xfId="12475"/>
    <cellStyle name="20% - Accent5 15 5" xfId="12476"/>
    <cellStyle name="20% - Accent5 15 6" xfId="12477"/>
    <cellStyle name="20% - Accent5 15 7" xfId="12478"/>
    <cellStyle name="20% - Accent5 16" xfId="12479"/>
    <cellStyle name="20% - Accent5 16 2" xfId="12480"/>
    <cellStyle name="20% - Accent5 16 2 2" xfId="12481"/>
    <cellStyle name="20% - Accent5 16 2 3" xfId="12482"/>
    <cellStyle name="20% - Accent5 16 2 4" xfId="12483"/>
    <cellStyle name="20% - Accent5 16 3" xfId="12484"/>
    <cellStyle name="20% - Accent5 16 3 2" xfId="12485"/>
    <cellStyle name="20% - Accent5 16 3 3" xfId="12486"/>
    <cellStyle name="20% - Accent5 16 4" xfId="12487"/>
    <cellStyle name="20% - Accent5 16 4 2" xfId="12488"/>
    <cellStyle name="20% - Accent5 16 5" xfId="12489"/>
    <cellStyle name="20% - Accent5 16 6" xfId="12490"/>
    <cellStyle name="20% - Accent5 16 7" xfId="12491"/>
    <cellStyle name="20% - Accent5 17" xfId="12492"/>
    <cellStyle name="20% - Accent5 17 2" xfId="12493"/>
    <cellStyle name="20% - Accent5 17 2 2" xfId="12494"/>
    <cellStyle name="20% - Accent5 17 2 3" xfId="12495"/>
    <cellStyle name="20% - Accent5 17 2 4" xfId="12496"/>
    <cellStyle name="20% - Accent5 17 3" xfId="12497"/>
    <cellStyle name="20% - Accent5 17 3 2" xfId="12498"/>
    <cellStyle name="20% - Accent5 17 3 3" xfId="12499"/>
    <cellStyle name="20% - Accent5 17 4" xfId="12500"/>
    <cellStyle name="20% - Accent5 17 4 2" xfId="12501"/>
    <cellStyle name="20% - Accent5 17 5" xfId="12502"/>
    <cellStyle name="20% - Accent5 17 6" xfId="12503"/>
    <cellStyle name="20% - Accent5 17 7" xfId="12504"/>
    <cellStyle name="20% - Accent5 18" xfId="12505"/>
    <cellStyle name="20% - Accent5 18 2" xfId="12506"/>
    <cellStyle name="20% - Accent5 18 2 2" xfId="12507"/>
    <cellStyle name="20% - Accent5 18 2 3" xfId="12508"/>
    <cellStyle name="20% - Accent5 18 2 4" xfId="12509"/>
    <cellStyle name="20% - Accent5 18 3" xfId="12510"/>
    <cellStyle name="20% - Accent5 18 3 2" xfId="12511"/>
    <cellStyle name="20% - Accent5 18 3 3" xfId="12512"/>
    <cellStyle name="20% - Accent5 18 4" xfId="12513"/>
    <cellStyle name="20% - Accent5 18 4 2" xfId="12514"/>
    <cellStyle name="20% - Accent5 18 5" xfId="12515"/>
    <cellStyle name="20% - Accent5 18 6" xfId="12516"/>
    <cellStyle name="20% - Accent5 18 7" xfId="12517"/>
    <cellStyle name="20% - Accent5 19" xfId="12518"/>
    <cellStyle name="20% - Accent5 19 2" xfId="12519"/>
    <cellStyle name="20% - Accent5 19 2 2" xfId="12520"/>
    <cellStyle name="20% - Accent5 19 2 3" xfId="12521"/>
    <cellStyle name="20% - Accent5 19 2 4" xfId="12522"/>
    <cellStyle name="20% - Accent5 19 3" xfId="12523"/>
    <cellStyle name="20% - Accent5 19 3 2" xfId="12524"/>
    <cellStyle name="20% - Accent5 19 3 3" xfId="12525"/>
    <cellStyle name="20% - Accent5 19 4" xfId="12526"/>
    <cellStyle name="20% - Accent5 19 4 2" xfId="12527"/>
    <cellStyle name="20% - Accent5 19 5" xfId="12528"/>
    <cellStyle name="20% - Accent5 19 6" xfId="12529"/>
    <cellStyle name="20% - Accent5 19 7" xfId="12530"/>
    <cellStyle name="20% - Accent5 2" xfId="12531"/>
    <cellStyle name="20% - Accent5 2 10" xfId="12532"/>
    <cellStyle name="20% - Accent5 2 10 2" xfId="12533"/>
    <cellStyle name="20% - Accent5 2 10 2 2" xfId="12534"/>
    <cellStyle name="20% - Accent5 2 10 2 2 2" xfId="12535"/>
    <cellStyle name="20% - Accent5 2 10 2 2 2 2" xfId="12536"/>
    <cellStyle name="20% - Accent5 2 10 2 2 2 2 2" xfId="12537"/>
    <cellStyle name="20% - Accent5 2 10 2 2 2 2 2 2" xfId="12538"/>
    <cellStyle name="20% - Accent5 2 10 2 2 2 3" xfId="12539"/>
    <cellStyle name="20% - Accent5 2 10 2 2 2 3 2" xfId="12540"/>
    <cellStyle name="20% - Accent5 2 10 2 2 3" xfId="12541"/>
    <cellStyle name="20% - Accent5 2 10 2 2 3 2" xfId="12542"/>
    <cellStyle name="20% - Accent5 2 10 2 2 3 2 2" xfId="12543"/>
    <cellStyle name="20% - Accent5 2 10 2 2 4" xfId="12544"/>
    <cellStyle name="20% - Accent5 2 10 2 2 4 2" xfId="12545"/>
    <cellStyle name="20% - Accent5 2 10 2 3" xfId="12546"/>
    <cellStyle name="20% - Accent5 2 10 2 3 2" xfId="12547"/>
    <cellStyle name="20% - Accent5 2 10 2 3 2 2" xfId="12548"/>
    <cellStyle name="20% - Accent5 2 10 2 3 2 2 2" xfId="12549"/>
    <cellStyle name="20% - Accent5 2 10 2 3 3" xfId="12550"/>
    <cellStyle name="20% - Accent5 2 10 2 3 3 2" xfId="12551"/>
    <cellStyle name="20% - Accent5 2 10 2 4" xfId="12552"/>
    <cellStyle name="20% - Accent5 2 10 2 4 2" xfId="12553"/>
    <cellStyle name="20% - Accent5 2 10 2 4 2 2" xfId="12554"/>
    <cellStyle name="20% - Accent5 2 10 2 5" xfId="12555"/>
    <cellStyle name="20% - Accent5 2 10 2 5 2" xfId="12556"/>
    <cellStyle name="20% - Accent5 2 10 3" xfId="12557"/>
    <cellStyle name="20% - Accent5 2 10 3 2" xfId="12558"/>
    <cellStyle name="20% - Accent5 2 10 3 2 2" xfId="12559"/>
    <cellStyle name="20% - Accent5 2 10 3 2 2 2" xfId="12560"/>
    <cellStyle name="20% - Accent5 2 10 3 2 2 2 2" xfId="12561"/>
    <cellStyle name="20% - Accent5 2 10 3 2 3" xfId="12562"/>
    <cellStyle name="20% - Accent5 2 10 3 2 3 2" xfId="12563"/>
    <cellStyle name="20% - Accent5 2 10 3 3" xfId="12564"/>
    <cellStyle name="20% - Accent5 2 10 3 3 2" xfId="12565"/>
    <cellStyle name="20% - Accent5 2 10 3 3 2 2" xfId="12566"/>
    <cellStyle name="20% - Accent5 2 10 3 4" xfId="12567"/>
    <cellStyle name="20% - Accent5 2 10 3 4 2" xfId="12568"/>
    <cellStyle name="20% - Accent5 2 10 4" xfId="12569"/>
    <cellStyle name="20% - Accent5 2 10 4 2" xfId="12570"/>
    <cellStyle name="20% - Accent5 2 10 4 2 2" xfId="12571"/>
    <cellStyle name="20% - Accent5 2 10 4 2 2 2" xfId="12572"/>
    <cellStyle name="20% - Accent5 2 10 4 3" xfId="12573"/>
    <cellStyle name="20% - Accent5 2 10 4 3 2" xfId="12574"/>
    <cellStyle name="20% - Accent5 2 10 5" xfId="12575"/>
    <cellStyle name="20% - Accent5 2 10 5 2" xfId="12576"/>
    <cellStyle name="20% - Accent5 2 10 5 2 2" xfId="12577"/>
    <cellStyle name="20% - Accent5 2 10 6" xfId="12578"/>
    <cellStyle name="20% - Accent5 2 10 6 2" xfId="12579"/>
    <cellStyle name="20% - Accent5 2 11" xfId="12580"/>
    <cellStyle name="20% - Accent5 2 11 2" xfId="12581"/>
    <cellStyle name="20% - Accent5 2 11 2 2" xfId="12582"/>
    <cellStyle name="20% - Accent5 2 11 2 2 2" xfId="12583"/>
    <cellStyle name="20% - Accent5 2 11 2 2 2 2" xfId="12584"/>
    <cellStyle name="20% - Accent5 2 11 2 2 2 2 2" xfId="12585"/>
    <cellStyle name="20% - Accent5 2 11 2 2 2 2 2 2" xfId="12586"/>
    <cellStyle name="20% - Accent5 2 11 2 2 2 3" xfId="12587"/>
    <cellStyle name="20% - Accent5 2 11 2 2 2 3 2" xfId="12588"/>
    <cellStyle name="20% - Accent5 2 11 2 2 3" xfId="12589"/>
    <cellStyle name="20% - Accent5 2 11 2 2 3 2" xfId="12590"/>
    <cellStyle name="20% - Accent5 2 11 2 2 3 2 2" xfId="12591"/>
    <cellStyle name="20% - Accent5 2 11 2 2 4" xfId="12592"/>
    <cellStyle name="20% - Accent5 2 11 2 2 4 2" xfId="12593"/>
    <cellStyle name="20% - Accent5 2 11 2 3" xfId="12594"/>
    <cellStyle name="20% - Accent5 2 11 2 3 2" xfId="12595"/>
    <cellStyle name="20% - Accent5 2 11 2 3 2 2" xfId="12596"/>
    <cellStyle name="20% - Accent5 2 11 2 3 2 2 2" xfId="12597"/>
    <cellStyle name="20% - Accent5 2 11 2 3 3" xfId="12598"/>
    <cellStyle name="20% - Accent5 2 11 2 3 3 2" xfId="12599"/>
    <cellStyle name="20% - Accent5 2 11 2 4" xfId="12600"/>
    <cellStyle name="20% - Accent5 2 11 2 4 2" xfId="12601"/>
    <cellStyle name="20% - Accent5 2 11 2 4 2 2" xfId="12602"/>
    <cellStyle name="20% - Accent5 2 11 2 5" xfId="12603"/>
    <cellStyle name="20% - Accent5 2 11 2 5 2" xfId="12604"/>
    <cellStyle name="20% - Accent5 2 11 3" xfId="12605"/>
    <cellStyle name="20% - Accent5 2 11 3 2" xfId="12606"/>
    <cellStyle name="20% - Accent5 2 11 3 2 2" xfId="12607"/>
    <cellStyle name="20% - Accent5 2 11 3 2 2 2" xfId="12608"/>
    <cellStyle name="20% - Accent5 2 11 3 2 2 2 2" xfId="12609"/>
    <cellStyle name="20% - Accent5 2 11 3 2 3" xfId="12610"/>
    <cellStyle name="20% - Accent5 2 11 3 2 3 2" xfId="12611"/>
    <cellStyle name="20% - Accent5 2 11 3 3" xfId="12612"/>
    <cellStyle name="20% - Accent5 2 11 3 3 2" xfId="12613"/>
    <cellStyle name="20% - Accent5 2 11 3 3 2 2" xfId="12614"/>
    <cellStyle name="20% - Accent5 2 11 3 4" xfId="12615"/>
    <cellStyle name="20% - Accent5 2 11 3 4 2" xfId="12616"/>
    <cellStyle name="20% - Accent5 2 11 4" xfId="12617"/>
    <cellStyle name="20% - Accent5 2 11 4 2" xfId="12618"/>
    <cellStyle name="20% - Accent5 2 11 4 2 2" xfId="12619"/>
    <cellStyle name="20% - Accent5 2 11 4 2 2 2" xfId="12620"/>
    <cellStyle name="20% - Accent5 2 11 4 3" xfId="12621"/>
    <cellStyle name="20% - Accent5 2 11 4 3 2" xfId="12622"/>
    <cellStyle name="20% - Accent5 2 11 5" xfId="12623"/>
    <cellStyle name="20% - Accent5 2 11 5 2" xfId="12624"/>
    <cellStyle name="20% - Accent5 2 11 5 2 2" xfId="12625"/>
    <cellStyle name="20% - Accent5 2 11 6" xfId="12626"/>
    <cellStyle name="20% - Accent5 2 11 6 2" xfId="12627"/>
    <cellStyle name="20% - Accent5 2 12" xfId="12628"/>
    <cellStyle name="20% - Accent5 2 12 2" xfId="12629"/>
    <cellStyle name="20% - Accent5 2 12 2 2" xfId="12630"/>
    <cellStyle name="20% - Accent5 2 12 2 2 2" xfId="12631"/>
    <cellStyle name="20% - Accent5 2 12 2 2 2 2" xfId="12632"/>
    <cellStyle name="20% - Accent5 2 12 2 2 2 2 2" xfId="12633"/>
    <cellStyle name="20% - Accent5 2 12 2 2 2 2 2 2" xfId="12634"/>
    <cellStyle name="20% - Accent5 2 12 2 2 2 3" xfId="12635"/>
    <cellStyle name="20% - Accent5 2 12 2 2 2 3 2" xfId="12636"/>
    <cellStyle name="20% - Accent5 2 12 2 2 3" xfId="12637"/>
    <cellStyle name="20% - Accent5 2 12 2 2 3 2" xfId="12638"/>
    <cellStyle name="20% - Accent5 2 12 2 2 3 2 2" xfId="12639"/>
    <cellStyle name="20% - Accent5 2 12 2 2 4" xfId="12640"/>
    <cellStyle name="20% - Accent5 2 12 2 2 4 2" xfId="12641"/>
    <cellStyle name="20% - Accent5 2 12 2 3" xfId="12642"/>
    <cellStyle name="20% - Accent5 2 12 2 3 2" xfId="12643"/>
    <cellStyle name="20% - Accent5 2 12 2 3 2 2" xfId="12644"/>
    <cellStyle name="20% - Accent5 2 12 2 3 2 2 2" xfId="12645"/>
    <cellStyle name="20% - Accent5 2 12 2 3 3" xfId="12646"/>
    <cellStyle name="20% - Accent5 2 12 2 3 3 2" xfId="12647"/>
    <cellStyle name="20% - Accent5 2 12 2 4" xfId="12648"/>
    <cellStyle name="20% - Accent5 2 12 2 4 2" xfId="12649"/>
    <cellStyle name="20% - Accent5 2 12 2 4 2 2" xfId="12650"/>
    <cellStyle name="20% - Accent5 2 12 2 5" xfId="12651"/>
    <cellStyle name="20% - Accent5 2 12 2 5 2" xfId="12652"/>
    <cellStyle name="20% - Accent5 2 12 3" xfId="12653"/>
    <cellStyle name="20% - Accent5 2 12 3 2" xfId="12654"/>
    <cellStyle name="20% - Accent5 2 12 3 2 2" xfId="12655"/>
    <cellStyle name="20% - Accent5 2 12 3 2 2 2" xfId="12656"/>
    <cellStyle name="20% - Accent5 2 12 3 2 2 2 2" xfId="12657"/>
    <cellStyle name="20% - Accent5 2 12 3 2 3" xfId="12658"/>
    <cellStyle name="20% - Accent5 2 12 3 2 3 2" xfId="12659"/>
    <cellStyle name="20% - Accent5 2 12 3 3" xfId="12660"/>
    <cellStyle name="20% - Accent5 2 12 3 3 2" xfId="12661"/>
    <cellStyle name="20% - Accent5 2 12 3 3 2 2" xfId="12662"/>
    <cellStyle name="20% - Accent5 2 12 3 4" xfId="12663"/>
    <cellStyle name="20% - Accent5 2 12 3 4 2" xfId="12664"/>
    <cellStyle name="20% - Accent5 2 12 4" xfId="12665"/>
    <cellStyle name="20% - Accent5 2 12 4 2" xfId="12666"/>
    <cellStyle name="20% - Accent5 2 12 4 2 2" xfId="12667"/>
    <cellStyle name="20% - Accent5 2 12 4 2 2 2" xfId="12668"/>
    <cellStyle name="20% - Accent5 2 12 4 3" xfId="12669"/>
    <cellStyle name="20% - Accent5 2 12 4 3 2" xfId="12670"/>
    <cellStyle name="20% - Accent5 2 12 5" xfId="12671"/>
    <cellStyle name="20% - Accent5 2 12 5 2" xfId="12672"/>
    <cellStyle name="20% - Accent5 2 12 5 2 2" xfId="12673"/>
    <cellStyle name="20% - Accent5 2 12 6" xfId="12674"/>
    <cellStyle name="20% - Accent5 2 12 6 2" xfId="12675"/>
    <cellStyle name="20% - Accent5 2 13" xfId="12676"/>
    <cellStyle name="20% - Accent5 2 13 2" xfId="12677"/>
    <cellStyle name="20% - Accent5 2 13 2 2" xfId="12678"/>
    <cellStyle name="20% - Accent5 2 13 2 2 2" xfId="12679"/>
    <cellStyle name="20% - Accent5 2 13 2 2 2 2" xfId="12680"/>
    <cellStyle name="20% - Accent5 2 13 2 2 2 2 2" xfId="12681"/>
    <cellStyle name="20% - Accent5 2 13 2 2 2 2 2 2" xfId="12682"/>
    <cellStyle name="20% - Accent5 2 13 2 2 2 3" xfId="12683"/>
    <cellStyle name="20% - Accent5 2 13 2 2 2 3 2" xfId="12684"/>
    <cellStyle name="20% - Accent5 2 13 2 2 3" xfId="12685"/>
    <cellStyle name="20% - Accent5 2 13 2 2 3 2" xfId="12686"/>
    <cellStyle name="20% - Accent5 2 13 2 2 3 2 2" xfId="12687"/>
    <cellStyle name="20% - Accent5 2 13 2 2 4" xfId="12688"/>
    <cellStyle name="20% - Accent5 2 13 2 2 4 2" xfId="12689"/>
    <cellStyle name="20% - Accent5 2 13 2 3" xfId="12690"/>
    <cellStyle name="20% - Accent5 2 13 2 3 2" xfId="12691"/>
    <cellStyle name="20% - Accent5 2 13 2 3 2 2" xfId="12692"/>
    <cellStyle name="20% - Accent5 2 13 2 3 2 2 2" xfId="12693"/>
    <cellStyle name="20% - Accent5 2 13 2 3 3" xfId="12694"/>
    <cellStyle name="20% - Accent5 2 13 2 3 3 2" xfId="12695"/>
    <cellStyle name="20% - Accent5 2 13 2 4" xfId="12696"/>
    <cellStyle name="20% - Accent5 2 13 2 4 2" xfId="12697"/>
    <cellStyle name="20% - Accent5 2 13 2 4 2 2" xfId="12698"/>
    <cellStyle name="20% - Accent5 2 13 2 5" xfId="12699"/>
    <cellStyle name="20% - Accent5 2 13 2 5 2" xfId="12700"/>
    <cellStyle name="20% - Accent5 2 13 3" xfId="12701"/>
    <cellStyle name="20% - Accent5 2 13 3 2" xfId="12702"/>
    <cellStyle name="20% - Accent5 2 13 3 2 2" xfId="12703"/>
    <cellStyle name="20% - Accent5 2 13 3 2 2 2" xfId="12704"/>
    <cellStyle name="20% - Accent5 2 13 3 2 2 2 2" xfId="12705"/>
    <cellStyle name="20% - Accent5 2 13 3 2 3" xfId="12706"/>
    <cellStyle name="20% - Accent5 2 13 3 2 3 2" xfId="12707"/>
    <cellStyle name="20% - Accent5 2 13 3 3" xfId="12708"/>
    <cellStyle name="20% - Accent5 2 13 3 3 2" xfId="12709"/>
    <cellStyle name="20% - Accent5 2 13 3 3 2 2" xfId="12710"/>
    <cellStyle name="20% - Accent5 2 13 3 4" xfId="12711"/>
    <cellStyle name="20% - Accent5 2 13 3 4 2" xfId="12712"/>
    <cellStyle name="20% - Accent5 2 13 4" xfId="12713"/>
    <cellStyle name="20% - Accent5 2 13 4 2" xfId="12714"/>
    <cellStyle name="20% - Accent5 2 13 4 2 2" xfId="12715"/>
    <cellStyle name="20% - Accent5 2 13 4 2 2 2" xfId="12716"/>
    <cellStyle name="20% - Accent5 2 13 4 3" xfId="12717"/>
    <cellStyle name="20% - Accent5 2 13 4 3 2" xfId="12718"/>
    <cellStyle name="20% - Accent5 2 13 5" xfId="12719"/>
    <cellStyle name="20% - Accent5 2 13 5 2" xfId="12720"/>
    <cellStyle name="20% - Accent5 2 13 5 2 2" xfId="12721"/>
    <cellStyle name="20% - Accent5 2 13 6" xfId="12722"/>
    <cellStyle name="20% - Accent5 2 13 6 2" xfId="12723"/>
    <cellStyle name="20% - Accent5 2 14" xfId="12724"/>
    <cellStyle name="20% - Accent5 2 14 2" xfId="12725"/>
    <cellStyle name="20% - Accent5 2 14 2 2" xfId="12726"/>
    <cellStyle name="20% - Accent5 2 14 2 2 2" xfId="12727"/>
    <cellStyle name="20% - Accent5 2 14 2 2 2 2" xfId="12728"/>
    <cellStyle name="20% - Accent5 2 14 2 2 2 2 2" xfId="12729"/>
    <cellStyle name="20% - Accent5 2 14 2 2 3" xfId="12730"/>
    <cellStyle name="20% - Accent5 2 14 2 2 3 2" xfId="12731"/>
    <cellStyle name="20% - Accent5 2 14 2 3" xfId="12732"/>
    <cellStyle name="20% - Accent5 2 14 2 3 2" xfId="12733"/>
    <cellStyle name="20% - Accent5 2 14 2 3 2 2" xfId="12734"/>
    <cellStyle name="20% - Accent5 2 14 2 4" xfId="12735"/>
    <cellStyle name="20% - Accent5 2 14 2 4 2" xfId="12736"/>
    <cellStyle name="20% - Accent5 2 14 3" xfId="12737"/>
    <cellStyle name="20% - Accent5 2 14 3 2" xfId="12738"/>
    <cellStyle name="20% - Accent5 2 14 3 2 2" xfId="12739"/>
    <cellStyle name="20% - Accent5 2 14 3 2 2 2" xfId="12740"/>
    <cellStyle name="20% - Accent5 2 14 3 3" xfId="12741"/>
    <cellStyle name="20% - Accent5 2 14 3 3 2" xfId="12742"/>
    <cellStyle name="20% - Accent5 2 14 4" xfId="12743"/>
    <cellStyle name="20% - Accent5 2 14 4 2" xfId="12744"/>
    <cellStyle name="20% - Accent5 2 14 4 2 2" xfId="12745"/>
    <cellStyle name="20% - Accent5 2 14 5" xfId="12746"/>
    <cellStyle name="20% - Accent5 2 14 5 2" xfId="12747"/>
    <cellStyle name="20% - Accent5 2 15" xfId="12748"/>
    <cellStyle name="20% - Accent5 2 15 2" xfId="12749"/>
    <cellStyle name="20% - Accent5 2 15 2 2" xfId="12750"/>
    <cellStyle name="20% - Accent5 2 15 2 2 2" xfId="12751"/>
    <cellStyle name="20% - Accent5 2 15 2 2 2 2" xfId="12752"/>
    <cellStyle name="20% - Accent5 2 15 2 3" xfId="12753"/>
    <cellStyle name="20% - Accent5 2 15 2 3 2" xfId="12754"/>
    <cellStyle name="20% - Accent5 2 15 3" xfId="12755"/>
    <cellStyle name="20% - Accent5 2 15 3 2" xfId="12756"/>
    <cellStyle name="20% - Accent5 2 15 3 2 2" xfId="12757"/>
    <cellStyle name="20% - Accent5 2 15 4" xfId="12758"/>
    <cellStyle name="20% - Accent5 2 15 4 2" xfId="12759"/>
    <cellStyle name="20% - Accent5 2 16" xfId="12760"/>
    <cellStyle name="20% - Accent5 2 16 2" xfId="12761"/>
    <cellStyle name="20% - Accent5 2 16 2 2" xfId="12762"/>
    <cellStyle name="20% - Accent5 2 16 2 2 2" xfId="12763"/>
    <cellStyle name="20% - Accent5 2 16 3" xfId="12764"/>
    <cellStyle name="20% - Accent5 2 16 3 2" xfId="12765"/>
    <cellStyle name="20% - Accent5 2 17" xfId="12766"/>
    <cellStyle name="20% - Accent5 2 17 2" xfId="12767"/>
    <cellStyle name="20% - Accent5 2 17 2 2" xfId="12768"/>
    <cellStyle name="20% - Accent5 2 18" xfId="12769"/>
    <cellStyle name="20% - Accent5 2 19" xfId="12770"/>
    <cellStyle name="20% - Accent5 2 19 2" xfId="12771"/>
    <cellStyle name="20% - Accent5 2 2" xfId="12772"/>
    <cellStyle name="20% - Accent5 2 2 2" xfId="12773"/>
    <cellStyle name="20% - Accent5 2 2 2 2" xfId="12774"/>
    <cellStyle name="20% - Accent5 2 2 2 2 2" xfId="12775"/>
    <cellStyle name="20% - Accent5 2 2 2 2 2 2" xfId="12776"/>
    <cellStyle name="20% - Accent5 2 2 2 2 2 2 2" xfId="12777"/>
    <cellStyle name="20% - Accent5 2 2 2 2 2 2 2 2" xfId="12778"/>
    <cellStyle name="20% - Accent5 2 2 2 2 2 3" xfId="12779"/>
    <cellStyle name="20% - Accent5 2 2 2 2 2 3 2" xfId="12780"/>
    <cellStyle name="20% - Accent5 2 2 2 2 3" xfId="12781"/>
    <cellStyle name="20% - Accent5 2 2 2 2 3 2" xfId="12782"/>
    <cellStyle name="20% - Accent5 2 2 2 2 3 2 2" xfId="12783"/>
    <cellStyle name="20% - Accent5 2 2 2 2 4" xfId="12784"/>
    <cellStyle name="20% - Accent5 2 2 2 2 4 2" xfId="12785"/>
    <cellStyle name="20% - Accent5 2 2 2 3" xfId="12786"/>
    <cellStyle name="20% - Accent5 2 2 2 3 2" xfId="12787"/>
    <cellStyle name="20% - Accent5 2 2 2 3 2 2" xfId="12788"/>
    <cellStyle name="20% - Accent5 2 2 2 3 2 2 2" xfId="12789"/>
    <cellStyle name="20% - Accent5 2 2 2 3 3" xfId="12790"/>
    <cellStyle name="20% - Accent5 2 2 2 3 3 2" xfId="12791"/>
    <cellStyle name="20% - Accent5 2 2 2 4" xfId="12792"/>
    <cellStyle name="20% - Accent5 2 2 2 4 2" xfId="12793"/>
    <cellStyle name="20% - Accent5 2 2 2 4 2 2" xfId="12794"/>
    <cellStyle name="20% - Accent5 2 2 2 5" xfId="12795"/>
    <cellStyle name="20% - Accent5 2 2 2 5 2" xfId="12796"/>
    <cellStyle name="20% - Accent5 2 2 3" xfId="12797"/>
    <cellStyle name="20% - Accent5 2 2 3 2" xfId="12798"/>
    <cellStyle name="20% - Accent5 2 2 3 2 2" xfId="12799"/>
    <cellStyle name="20% - Accent5 2 2 3 2 2 2" xfId="12800"/>
    <cellStyle name="20% - Accent5 2 2 3 2 2 2 2" xfId="12801"/>
    <cellStyle name="20% - Accent5 2 2 3 2 3" xfId="12802"/>
    <cellStyle name="20% - Accent5 2 2 3 2 3 2" xfId="12803"/>
    <cellStyle name="20% - Accent5 2 2 3 3" xfId="12804"/>
    <cellStyle name="20% - Accent5 2 2 3 3 2" xfId="12805"/>
    <cellStyle name="20% - Accent5 2 2 3 3 2 2" xfId="12806"/>
    <cellStyle name="20% - Accent5 2 2 3 4" xfId="12807"/>
    <cellStyle name="20% - Accent5 2 2 3 4 2" xfId="12808"/>
    <cellStyle name="20% - Accent5 2 2 4" xfId="12809"/>
    <cellStyle name="20% - Accent5 2 2 4 2" xfId="12810"/>
    <cellStyle name="20% - Accent5 2 2 4 2 2" xfId="12811"/>
    <cellStyle name="20% - Accent5 2 2 4 2 2 2" xfId="12812"/>
    <cellStyle name="20% - Accent5 2 2 4 3" xfId="12813"/>
    <cellStyle name="20% - Accent5 2 2 4 3 2" xfId="12814"/>
    <cellStyle name="20% - Accent5 2 2 5" xfId="12815"/>
    <cellStyle name="20% - Accent5 2 2 5 2" xfId="12816"/>
    <cellStyle name="20% - Accent5 2 2 5 2 2" xfId="12817"/>
    <cellStyle name="20% - Accent5 2 2 6" xfId="12818"/>
    <cellStyle name="20% - Accent5 2 2 6 2" xfId="12819"/>
    <cellStyle name="20% - Accent5 2 2 7" xfId="12820"/>
    <cellStyle name="20% - Accent5 2 3" xfId="12821"/>
    <cellStyle name="20% - Accent5 2 3 2" xfId="12822"/>
    <cellStyle name="20% - Accent5 2 3 2 2" xfId="12823"/>
    <cellStyle name="20% - Accent5 2 3 2 2 2" xfId="12824"/>
    <cellStyle name="20% - Accent5 2 3 2 2 2 2" xfId="12825"/>
    <cellStyle name="20% - Accent5 2 3 2 2 2 2 2" xfId="12826"/>
    <cellStyle name="20% - Accent5 2 3 2 2 2 2 2 2" xfId="12827"/>
    <cellStyle name="20% - Accent5 2 3 2 2 2 3" xfId="12828"/>
    <cellStyle name="20% - Accent5 2 3 2 2 2 3 2" xfId="12829"/>
    <cellStyle name="20% - Accent5 2 3 2 2 3" xfId="12830"/>
    <cellStyle name="20% - Accent5 2 3 2 2 3 2" xfId="12831"/>
    <cellStyle name="20% - Accent5 2 3 2 2 3 2 2" xfId="12832"/>
    <cellStyle name="20% - Accent5 2 3 2 2 4" xfId="12833"/>
    <cellStyle name="20% - Accent5 2 3 2 2 4 2" xfId="12834"/>
    <cellStyle name="20% - Accent5 2 3 2 3" xfId="12835"/>
    <cellStyle name="20% - Accent5 2 3 2 3 2" xfId="12836"/>
    <cellStyle name="20% - Accent5 2 3 2 3 2 2" xfId="12837"/>
    <cellStyle name="20% - Accent5 2 3 2 3 2 2 2" xfId="12838"/>
    <cellStyle name="20% - Accent5 2 3 2 3 3" xfId="12839"/>
    <cellStyle name="20% - Accent5 2 3 2 3 3 2" xfId="12840"/>
    <cellStyle name="20% - Accent5 2 3 2 4" xfId="12841"/>
    <cellStyle name="20% - Accent5 2 3 2 4 2" xfId="12842"/>
    <cellStyle name="20% - Accent5 2 3 2 4 2 2" xfId="12843"/>
    <cellStyle name="20% - Accent5 2 3 2 5" xfId="12844"/>
    <cellStyle name="20% - Accent5 2 3 2 5 2" xfId="12845"/>
    <cellStyle name="20% - Accent5 2 3 3" xfId="12846"/>
    <cellStyle name="20% - Accent5 2 3 3 2" xfId="12847"/>
    <cellStyle name="20% - Accent5 2 3 3 2 2" xfId="12848"/>
    <cellStyle name="20% - Accent5 2 3 3 2 2 2" xfId="12849"/>
    <cellStyle name="20% - Accent5 2 3 3 2 2 2 2" xfId="12850"/>
    <cellStyle name="20% - Accent5 2 3 3 2 3" xfId="12851"/>
    <cellStyle name="20% - Accent5 2 3 3 2 3 2" xfId="12852"/>
    <cellStyle name="20% - Accent5 2 3 3 3" xfId="12853"/>
    <cellStyle name="20% - Accent5 2 3 3 3 2" xfId="12854"/>
    <cellStyle name="20% - Accent5 2 3 3 3 2 2" xfId="12855"/>
    <cellStyle name="20% - Accent5 2 3 3 4" xfId="12856"/>
    <cellStyle name="20% - Accent5 2 3 3 4 2" xfId="12857"/>
    <cellStyle name="20% - Accent5 2 3 4" xfId="12858"/>
    <cellStyle name="20% - Accent5 2 3 4 2" xfId="12859"/>
    <cellStyle name="20% - Accent5 2 3 4 2 2" xfId="12860"/>
    <cellStyle name="20% - Accent5 2 3 4 2 2 2" xfId="12861"/>
    <cellStyle name="20% - Accent5 2 3 4 3" xfId="12862"/>
    <cellStyle name="20% - Accent5 2 3 4 3 2" xfId="12863"/>
    <cellStyle name="20% - Accent5 2 3 5" xfId="12864"/>
    <cellStyle name="20% - Accent5 2 3 5 2" xfId="12865"/>
    <cellStyle name="20% - Accent5 2 3 5 2 2" xfId="12866"/>
    <cellStyle name="20% - Accent5 2 3 6" xfId="12867"/>
    <cellStyle name="20% - Accent5 2 3 6 2" xfId="12868"/>
    <cellStyle name="20% - Accent5 2 3 7" xfId="12869"/>
    <cellStyle name="20% - Accent5 2 4" xfId="12870"/>
    <cellStyle name="20% - Accent5 2 4 2" xfId="12871"/>
    <cellStyle name="20% - Accent5 2 4 2 2" xfId="12872"/>
    <cellStyle name="20% - Accent5 2 4 2 2 2" xfId="12873"/>
    <cellStyle name="20% - Accent5 2 4 2 2 2 2" xfId="12874"/>
    <cellStyle name="20% - Accent5 2 4 2 2 2 2 2" xfId="12875"/>
    <cellStyle name="20% - Accent5 2 4 2 2 2 2 2 2" xfId="12876"/>
    <cellStyle name="20% - Accent5 2 4 2 2 2 3" xfId="12877"/>
    <cellStyle name="20% - Accent5 2 4 2 2 2 3 2" xfId="12878"/>
    <cellStyle name="20% - Accent5 2 4 2 2 3" xfId="12879"/>
    <cellStyle name="20% - Accent5 2 4 2 2 3 2" xfId="12880"/>
    <cellStyle name="20% - Accent5 2 4 2 2 3 2 2" xfId="12881"/>
    <cellStyle name="20% - Accent5 2 4 2 2 4" xfId="12882"/>
    <cellStyle name="20% - Accent5 2 4 2 2 4 2" xfId="12883"/>
    <cellStyle name="20% - Accent5 2 4 2 3" xfId="12884"/>
    <cellStyle name="20% - Accent5 2 4 2 3 2" xfId="12885"/>
    <cellStyle name="20% - Accent5 2 4 2 3 2 2" xfId="12886"/>
    <cellStyle name="20% - Accent5 2 4 2 3 2 2 2" xfId="12887"/>
    <cellStyle name="20% - Accent5 2 4 2 3 3" xfId="12888"/>
    <cellStyle name="20% - Accent5 2 4 2 3 3 2" xfId="12889"/>
    <cellStyle name="20% - Accent5 2 4 2 4" xfId="12890"/>
    <cellStyle name="20% - Accent5 2 4 2 4 2" xfId="12891"/>
    <cellStyle name="20% - Accent5 2 4 2 4 2 2" xfId="12892"/>
    <cellStyle name="20% - Accent5 2 4 2 5" xfId="12893"/>
    <cellStyle name="20% - Accent5 2 4 2 5 2" xfId="12894"/>
    <cellStyle name="20% - Accent5 2 4 3" xfId="12895"/>
    <cellStyle name="20% - Accent5 2 4 3 2" xfId="12896"/>
    <cellStyle name="20% - Accent5 2 4 3 2 2" xfId="12897"/>
    <cellStyle name="20% - Accent5 2 4 3 2 2 2" xfId="12898"/>
    <cellStyle name="20% - Accent5 2 4 3 2 2 2 2" xfId="12899"/>
    <cellStyle name="20% - Accent5 2 4 3 2 3" xfId="12900"/>
    <cellStyle name="20% - Accent5 2 4 3 2 3 2" xfId="12901"/>
    <cellStyle name="20% - Accent5 2 4 3 3" xfId="12902"/>
    <cellStyle name="20% - Accent5 2 4 3 3 2" xfId="12903"/>
    <cellStyle name="20% - Accent5 2 4 3 3 2 2" xfId="12904"/>
    <cellStyle name="20% - Accent5 2 4 3 4" xfId="12905"/>
    <cellStyle name="20% - Accent5 2 4 3 4 2" xfId="12906"/>
    <cellStyle name="20% - Accent5 2 4 4" xfId="12907"/>
    <cellStyle name="20% - Accent5 2 4 4 2" xfId="12908"/>
    <cellStyle name="20% - Accent5 2 4 4 2 2" xfId="12909"/>
    <cellStyle name="20% - Accent5 2 4 4 2 2 2" xfId="12910"/>
    <cellStyle name="20% - Accent5 2 4 4 3" xfId="12911"/>
    <cellStyle name="20% - Accent5 2 4 4 3 2" xfId="12912"/>
    <cellStyle name="20% - Accent5 2 4 5" xfId="12913"/>
    <cellStyle name="20% - Accent5 2 4 5 2" xfId="12914"/>
    <cellStyle name="20% - Accent5 2 4 5 2 2" xfId="12915"/>
    <cellStyle name="20% - Accent5 2 4 6" xfId="12916"/>
    <cellStyle name="20% - Accent5 2 4 6 2" xfId="12917"/>
    <cellStyle name="20% - Accent5 2 4 7" xfId="12918"/>
    <cellStyle name="20% - Accent5 2 5" xfId="12919"/>
    <cellStyle name="20% - Accent5 2 5 2" xfId="12920"/>
    <cellStyle name="20% - Accent5 2 5 2 2" xfId="12921"/>
    <cellStyle name="20% - Accent5 2 5 2 2 2" xfId="12922"/>
    <cellStyle name="20% - Accent5 2 5 2 2 2 2" xfId="12923"/>
    <cellStyle name="20% - Accent5 2 5 2 2 2 2 2" xfId="12924"/>
    <cellStyle name="20% - Accent5 2 5 2 2 2 2 2 2" xfId="12925"/>
    <cellStyle name="20% - Accent5 2 5 2 2 2 3" xfId="12926"/>
    <cellStyle name="20% - Accent5 2 5 2 2 2 3 2" xfId="12927"/>
    <cellStyle name="20% - Accent5 2 5 2 2 3" xfId="12928"/>
    <cellStyle name="20% - Accent5 2 5 2 2 3 2" xfId="12929"/>
    <cellStyle name="20% - Accent5 2 5 2 2 3 2 2" xfId="12930"/>
    <cellStyle name="20% - Accent5 2 5 2 2 4" xfId="12931"/>
    <cellStyle name="20% - Accent5 2 5 2 2 4 2" xfId="12932"/>
    <cellStyle name="20% - Accent5 2 5 2 3" xfId="12933"/>
    <cellStyle name="20% - Accent5 2 5 2 3 2" xfId="12934"/>
    <cellStyle name="20% - Accent5 2 5 2 3 2 2" xfId="12935"/>
    <cellStyle name="20% - Accent5 2 5 2 3 2 2 2" xfId="12936"/>
    <cellStyle name="20% - Accent5 2 5 2 3 3" xfId="12937"/>
    <cellStyle name="20% - Accent5 2 5 2 3 3 2" xfId="12938"/>
    <cellStyle name="20% - Accent5 2 5 2 4" xfId="12939"/>
    <cellStyle name="20% - Accent5 2 5 2 4 2" xfId="12940"/>
    <cellStyle name="20% - Accent5 2 5 2 4 2 2" xfId="12941"/>
    <cellStyle name="20% - Accent5 2 5 2 5" xfId="12942"/>
    <cellStyle name="20% - Accent5 2 5 2 5 2" xfId="12943"/>
    <cellStyle name="20% - Accent5 2 5 3" xfId="12944"/>
    <cellStyle name="20% - Accent5 2 5 3 2" xfId="12945"/>
    <cellStyle name="20% - Accent5 2 5 3 2 2" xfId="12946"/>
    <cellStyle name="20% - Accent5 2 5 3 2 2 2" xfId="12947"/>
    <cellStyle name="20% - Accent5 2 5 3 2 2 2 2" xfId="12948"/>
    <cellStyle name="20% - Accent5 2 5 3 2 3" xfId="12949"/>
    <cellStyle name="20% - Accent5 2 5 3 2 3 2" xfId="12950"/>
    <cellStyle name="20% - Accent5 2 5 3 3" xfId="12951"/>
    <cellStyle name="20% - Accent5 2 5 3 3 2" xfId="12952"/>
    <cellStyle name="20% - Accent5 2 5 3 3 2 2" xfId="12953"/>
    <cellStyle name="20% - Accent5 2 5 3 4" xfId="12954"/>
    <cellStyle name="20% - Accent5 2 5 3 4 2" xfId="12955"/>
    <cellStyle name="20% - Accent5 2 5 4" xfId="12956"/>
    <cellStyle name="20% - Accent5 2 5 4 2" xfId="12957"/>
    <cellStyle name="20% - Accent5 2 5 4 2 2" xfId="12958"/>
    <cellStyle name="20% - Accent5 2 5 4 2 2 2" xfId="12959"/>
    <cellStyle name="20% - Accent5 2 5 4 3" xfId="12960"/>
    <cellStyle name="20% - Accent5 2 5 4 3 2" xfId="12961"/>
    <cellStyle name="20% - Accent5 2 5 5" xfId="12962"/>
    <cellStyle name="20% - Accent5 2 5 5 2" xfId="12963"/>
    <cellStyle name="20% - Accent5 2 5 5 2 2" xfId="12964"/>
    <cellStyle name="20% - Accent5 2 5 6" xfId="12965"/>
    <cellStyle name="20% - Accent5 2 5 6 2" xfId="12966"/>
    <cellStyle name="20% - Accent5 2 5 7" xfId="12967"/>
    <cellStyle name="20% - Accent5 2 6" xfId="12968"/>
    <cellStyle name="20% - Accent5 2 6 2" xfId="12969"/>
    <cellStyle name="20% - Accent5 2 6 2 2" xfId="12970"/>
    <cellStyle name="20% - Accent5 2 6 2 2 2" xfId="12971"/>
    <cellStyle name="20% - Accent5 2 6 2 2 2 2" xfId="12972"/>
    <cellStyle name="20% - Accent5 2 6 2 2 2 2 2" xfId="12973"/>
    <cellStyle name="20% - Accent5 2 6 2 2 2 2 2 2" xfId="12974"/>
    <cellStyle name="20% - Accent5 2 6 2 2 2 3" xfId="12975"/>
    <cellStyle name="20% - Accent5 2 6 2 2 2 3 2" xfId="12976"/>
    <cellStyle name="20% - Accent5 2 6 2 2 3" xfId="12977"/>
    <cellStyle name="20% - Accent5 2 6 2 2 3 2" xfId="12978"/>
    <cellStyle name="20% - Accent5 2 6 2 2 3 2 2" xfId="12979"/>
    <cellStyle name="20% - Accent5 2 6 2 2 4" xfId="12980"/>
    <cellStyle name="20% - Accent5 2 6 2 2 4 2" xfId="12981"/>
    <cellStyle name="20% - Accent5 2 6 2 3" xfId="12982"/>
    <cellStyle name="20% - Accent5 2 6 2 3 2" xfId="12983"/>
    <cellStyle name="20% - Accent5 2 6 2 3 2 2" xfId="12984"/>
    <cellStyle name="20% - Accent5 2 6 2 3 2 2 2" xfId="12985"/>
    <cellStyle name="20% - Accent5 2 6 2 3 3" xfId="12986"/>
    <cellStyle name="20% - Accent5 2 6 2 3 3 2" xfId="12987"/>
    <cellStyle name="20% - Accent5 2 6 2 4" xfId="12988"/>
    <cellStyle name="20% - Accent5 2 6 2 4 2" xfId="12989"/>
    <cellStyle name="20% - Accent5 2 6 2 4 2 2" xfId="12990"/>
    <cellStyle name="20% - Accent5 2 6 2 5" xfId="12991"/>
    <cellStyle name="20% - Accent5 2 6 2 5 2" xfId="12992"/>
    <cellStyle name="20% - Accent5 2 6 3" xfId="12993"/>
    <cellStyle name="20% - Accent5 2 6 3 2" xfId="12994"/>
    <cellStyle name="20% - Accent5 2 6 3 2 2" xfId="12995"/>
    <cellStyle name="20% - Accent5 2 6 3 2 2 2" xfId="12996"/>
    <cellStyle name="20% - Accent5 2 6 3 2 2 2 2" xfId="12997"/>
    <cellStyle name="20% - Accent5 2 6 3 2 3" xfId="12998"/>
    <cellStyle name="20% - Accent5 2 6 3 2 3 2" xfId="12999"/>
    <cellStyle name="20% - Accent5 2 6 3 3" xfId="13000"/>
    <cellStyle name="20% - Accent5 2 6 3 3 2" xfId="13001"/>
    <cellStyle name="20% - Accent5 2 6 3 3 2 2" xfId="13002"/>
    <cellStyle name="20% - Accent5 2 6 3 4" xfId="13003"/>
    <cellStyle name="20% - Accent5 2 6 3 4 2" xfId="13004"/>
    <cellStyle name="20% - Accent5 2 6 4" xfId="13005"/>
    <cellStyle name="20% - Accent5 2 6 4 2" xfId="13006"/>
    <cellStyle name="20% - Accent5 2 6 4 2 2" xfId="13007"/>
    <cellStyle name="20% - Accent5 2 6 4 2 2 2" xfId="13008"/>
    <cellStyle name="20% - Accent5 2 6 4 3" xfId="13009"/>
    <cellStyle name="20% - Accent5 2 6 4 3 2" xfId="13010"/>
    <cellStyle name="20% - Accent5 2 6 5" xfId="13011"/>
    <cellStyle name="20% - Accent5 2 6 5 2" xfId="13012"/>
    <cellStyle name="20% - Accent5 2 6 5 2 2" xfId="13013"/>
    <cellStyle name="20% - Accent5 2 6 6" xfId="13014"/>
    <cellStyle name="20% - Accent5 2 6 6 2" xfId="13015"/>
    <cellStyle name="20% - Accent5 2 6 7" xfId="13016"/>
    <cellStyle name="20% - Accent5 2 7" xfId="13017"/>
    <cellStyle name="20% - Accent5 2 7 2" xfId="13018"/>
    <cellStyle name="20% - Accent5 2 7 2 2" xfId="13019"/>
    <cellStyle name="20% - Accent5 2 7 2 2 2" xfId="13020"/>
    <cellStyle name="20% - Accent5 2 7 2 2 2 2" xfId="13021"/>
    <cellStyle name="20% - Accent5 2 7 2 2 2 2 2" xfId="13022"/>
    <cellStyle name="20% - Accent5 2 7 2 2 2 2 2 2" xfId="13023"/>
    <cellStyle name="20% - Accent5 2 7 2 2 2 3" xfId="13024"/>
    <cellStyle name="20% - Accent5 2 7 2 2 2 3 2" xfId="13025"/>
    <cellStyle name="20% - Accent5 2 7 2 2 3" xfId="13026"/>
    <cellStyle name="20% - Accent5 2 7 2 2 3 2" xfId="13027"/>
    <cellStyle name="20% - Accent5 2 7 2 2 3 2 2" xfId="13028"/>
    <cellStyle name="20% - Accent5 2 7 2 2 4" xfId="13029"/>
    <cellStyle name="20% - Accent5 2 7 2 2 4 2" xfId="13030"/>
    <cellStyle name="20% - Accent5 2 7 2 3" xfId="13031"/>
    <cellStyle name="20% - Accent5 2 7 2 3 2" xfId="13032"/>
    <cellStyle name="20% - Accent5 2 7 2 3 2 2" xfId="13033"/>
    <cellStyle name="20% - Accent5 2 7 2 3 2 2 2" xfId="13034"/>
    <cellStyle name="20% - Accent5 2 7 2 3 3" xfId="13035"/>
    <cellStyle name="20% - Accent5 2 7 2 3 3 2" xfId="13036"/>
    <cellStyle name="20% - Accent5 2 7 2 4" xfId="13037"/>
    <cellStyle name="20% - Accent5 2 7 2 4 2" xfId="13038"/>
    <cellStyle name="20% - Accent5 2 7 2 4 2 2" xfId="13039"/>
    <cellStyle name="20% - Accent5 2 7 2 5" xfId="13040"/>
    <cellStyle name="20% - Accent5 2 7 2 5 2" xfId="13041"/>
    <cellStyle name="20% - Accent5 2 7 3" xfId="13042"/>
    <cellStyle name="20% - Accent5 2 7 3 2" xfId="13043"/>
    <cellStyle name="20% - Accent5 2 7 3 2 2" xfId="13044"/>
    <cellStyle name="20% - Accent5 2 7 3 2 2 2" xfId="13045"/>
    <cellStyle name="20% - Accent5 2 7 3 2 2 2 2" xfId="13046"/>
    <cellStyle name="20% - Accent5 2 7 3 2 3" xfId="13047"/>
    <cellStyle name="20% - Accent5 2 7 3 2 3 2" xfId="13048"/>
    <cellStyle name="20% - Accent5 2 7 3 3" xfId="13049"/>
    <cellStyle name="20% - Accent5 2 7 3 3 2" xfId="13050"/>
    <cellStyle name="20% - Accent5 2 7 3 3 2 2" xfId="13051"/>
    <cellStyle name="20% - Accent5 2 7 3 4" xfId="13052"/>
    <cellStyle name="20% - Accent5 2 7 3 4 2" xfId="13053"/>
    <cellStyle name="20% - Accent5 2 7 4" xfId="13054"/>
    <cellStyle name="20% - Accent5 2 7 4 2" xfId="13055"/>
    <cellStyle name="20% - Accent5 2 7 4 2 2" xfId="13056"/>
    <cellStyle name="20% - Accent5 2 7 4 2 2 2" xfId="13057"/>
    <cellStyle name="20% - Accent5 2 7 4 3" xfId="13058"/>
    <cellStyle name="20% - Accent5 2 7 4 3 2" xfId="13059"/>
    <cellStyle name="20% - Accent5 2 7 5" xfId="13060"/>
    <cellStyle name="20% - Accent5 2 7 5 2" xfId="13061"/>
    <cellStyle name="20% - Accent5 2 7 5 2 2" xfId="13062"/>
    <cellStyle name="20% - Accent5 2 7 6" xfId="13063"/>
    <cellStyle name="20% - Accent5 2 7 6 2" xfId="13064"/>
    <cellStyle name="20% - Accent5 2 7 7" xfId="13065"/>
    <cellStyle name="20% - Accent5 2 8" xfId="13066"/>
    <cellStyle name="20% - Accent5 2 8 2" xfId="13067"/>
    <cellStyle name="20% - Accent5 2 8 2 2" xfId="13068"/>
    <cellStyle name="20% - Accent5 2 8 2 2 2" xfId="13069"/>
    <cellStyle name="20% - Accent5 2 8 2 2 2 2" xfId="13070"/>
    <cellStyle name="20% - Accent5 2 8 2 2 2 2 2" xfId="13071"/>
    <cellStyle name="20% - Accent5 2 8 2 2 2 2 2 2" xfId="13072"/>
    <cellStyle name="20% - Accent5 2 8 2 2 2 3" xfId="13073"/>
    <cellStyle name="20% - Accent5 2 8 2 2 2 3 2" xfId="13074"/>
    <cellStyle name="20% - Accent5 2 8 2 2 3" xfId="13075"/>
    <cellStyle name="20% - Accent5 2 8 2 2 3 2" xfId="13076"/>
    <cellStyle name="20% - Accent5 2 8 2 2 3 2 2" xfId="13077"/>
    <cellStyle name="20% - Accent5 2 8 2 2 4" xfId="13078"/>
    <cellStyle name="20% - Accent5 2 8 2 2 4 2" xfId="13079"/>
    <cellStyle name="20% - Accent5 2 8 2 3" xfId="13080"/>
    <cellStyle name="20% - Accent5 2 8 2 3 2" xfId="13081"/>
    <cellStyle name="20% - Accent5 2 8 2 3 2 2" xfId="13082"/>
    <cellStyle name="20% - Accent5 2 8 2 3 2 2 2" xfId="13083"/>
    <cellStyle name="20% - Accent5 2 8 2 3 3" xfId="13084"/>
    <cellStyle name="20% - Accent5 2 8 2 3 3 2" xfId="13085"/>
    <cellStyle name="20% - Accent5 2 8 2 4" xfId="13086"/>
    <cellStyle name="20% - Accent5 2 8 2 4 2" xfId="13087"/>
    <cellStyle name="20% - Accent5 2 8 2 4 2 2" xfId="13088"/>
    <cellStyle name="20% - Accent5 2 8 2 5" xfId="13089"/>
    <cellStyle name="20% - Accent5 2 8 2 5 2" xfId="13090"/>
    <cellStyle name="20% - Accent5 2 8 3" xfId="13091"/>
    <cellStyle name="20% - Accent5 2 8 3 2" xfId="13092"/>
    <cellStyle name="20% - Accent5 2 8 3 2 2" xfId="13093"/>
    <cellStyle name="20% - Accent5 2 8 3 2 2 2" xfId="13094"/>
    <cellStyle name="20% - Accent5 2 8 3 2 2 2 2" xfId="13095"/>
    <cellStyle name="20% - Accent5 2 8 3 2 3" xfId="13096"/>
    <cellStyle name="20% - Accent5 2 8 3 2 3 2" xfId="13097"/>
    <cellStyle name="20% - Accent5 2 8 3 3" xfId="13098"/>
    <cellStyle name="20% - Accent5 2 8 3 3 2" xfId="13099"/>
    <cellStyle name="20% - Accent5 2 8 3 3 2 2" xfId="13100"/>
    <cellStyle name="20% - Accent5 2 8 3 4" xfId="13101"/>
    <cellStyle name="20% - Accent5 2 8 3 4 2" xfId="13102"/>
    <cellStyle name="20% - Accent5 2 8 4" xfId="13103"/>
    <cellStyle name="20% - Accent5 2 8 4 2" xfId="13104"/>
    <cellStyle name="20% - Accent5 2 8 4 2 2" xfId="13105"/>
    <cellStyle name="20% - Accent5 2 8 4 2 2 2" xfId="13106"/>
    <cellStyle name="20% - Accent5 2 8 4 3" xfId="13107"/>
    <cellStyle name="20% - Accent5 2 8 4 3 2" xfId="13108"/>
    <cellStyle name="20% - Accent5 2 8 5" xfId="13109"/>
    <cellStyle name="20% - Accent5 2 8 5 2" xfId="13110"/>
    <cellStyle name="20% - Accent5 2 8 5 2 2" xfId="13111"/>
    <cellStyle name="20% - Accent5 2 8 6" xfId="13112"/>
    <cellStyle name="20% - Accent5 2 8 6 2" xfId="13113"/>
    <cellStyle name="20% - Accent5 2 9" xfId="13114"/>
    <cellStyle name="20% - Accent5 2 9 2" xfId="13115"/>
    <cellStyle name="20% - Accent5 2 9 2 2" xfId="13116"/>
    <cellStyle name="20% - Accent5 2 9 2 2 2" xfId="13117"/>
    <cellStyle name="20% - Accent5 2 9 2 2 2 2" xfId="13118"/>
    <cellStyle name="20% - Accent5 2 9 2 2 2 2 2" xfId="13119"/>
    <cellStyle name="20% - Accent5 2 9 2 2 2 2 2 2" xfId="13120"/>
    <cellStyle name="20% - Accent5 2 9 2 2 2 3" xfId="13121"/>
    <cellStyle name="20% - Accent5 2 9 2 2 2 3 2" xfId="13122"/>
    <cellStyle name="20% - Accent5 2 9 2 2 3" xfId="13123"/>
    <cellStyle name="20% - Accent5 2 9 2 2 3 2" xfId="13124"/>
    <cellStyle name="20% - Accent5 2 9 2 2 3 2 2" xfId="13125"/>
    <cellStyle name="20% - Accent5 2 9 2 2 4" xfId="13126"/>
    <cellStyle name="20% - Accent5 2 9 2 2 4 2" xfId="13127"/>
    <cellStyle name="20% - Accent5 2 9 2 3" xfId="13128"/>
    <cellStyle name="20% - Accent5 2 9 2 3 2" xfId="13129"/>
    <cellStyle name="20% - Accent5 2 9 2 3 2 2" xfId="13130"/>
    <cellStyle name="20% - Accent5 2 9 2 3 2 2 2" xfId="13131"/>
    <cellStyle name="20% - Accent5 2 9 2 3 3" xfId="13132"/>
    <cellStyle name="20% - Accent5 2 9 2 3 3 2" xfId="13133"/>
    <cellStyle name="20% - Accent5 2 9 2 4" xfId="13134"/>
    <cellStyle name="20% - Accent5 2 9 2 4 2" xfId="13135"/>
    <cellStyle name="20% - Accent5 2 9 2 4 2 2" xfId="13136"/>
    <cellStyle name="20% - Accent5 2 9 2 5" xfId="13137"/>
    <cellStyle name="20% - Accent5 2 9 2 5 2" xfId="13138"/>
    <cellStyle name="20% - Accent5 2 9 3" xfId="13139"/>
    <cellStyle name="20% - Accent5 2 9 3 2" xfId="13140"/>
    <cellStyle name="20% - Accent5 2 9 3 2 2" xfId="13141"/>
    <cellStyle name="20% - Accent5 2 9 3 2 2 2" xfId="13142"/>
    <cellStyle name="20% - Accent5 2 9 3 2 2 2 2" xfId="13143"/>
    <cellStyle name="20% - Accent5 2 9 3 2 3" xfId="13144"/>
    <cellStyle name="20% - Accent5 2 9 3 2 3 2" xfId="13145"/>
    <cellStyle name="20% - Accent5 2 9 3 3" xfId="13146"/>
    <cellStyle name="20% - Accent5 2 9 3 3 2" xfId="13147"/>
    <cellStyle name="20% - Accent5 2 9 3 3 2 2" xfId="13148"/>
    <cellStyle name="20% - Accent5 2 9 3 4" xfId="13149"/>
    <cellStyle name="20% - Accent5 2 9 3 4 2" xfId="13150"/>
    <cellStyle name="20% - Accent5 2 9 4" xfId="13151"/>
    <cellStyle name="20% - Accent5 2 9 4 2" xfId="13152"/>
    <cellStyle name="20% - Accent5 2 9 4 2 2" xfId="13153"/>
    <cellStyle name="20% - Accent5 2 9 4 2 2 2" xfId="13154"/>
    <cellStyle name="20% - Accent5 2 9 4 3" xfId="13155"/>
    <cellStyle name="20% - Accent5 2 9 4 3 2" xfId="13156"/>
    <cellStyle name="20% - Accent5 2 9 5" xfId="13157"/>
    <cellStyle name="20% - Accent5 2 9 5 2" xfId="13158"/>
    <cellStyle name="20% - Accent5 2 9 5 2 2" xfId="13159"/>
    <cellStyle name="20% - Accent5 2 9 6" xfId="13160"/>
    <cellStyle name="20% - Accent5 2 9 6 2" xfId="13161"/>
    <cellStyle name="20% - Accent5 20" xfId="13162"/>
    <cellStyle name="20% - Accent5 20 2" xfId="13163"/>
    <cellStyle name="20% - Accent5 21" xfId="13164"/>
    <cellStyle name="20% - Accent5 21 2" xfId="13165"/>
    <cellStyle name="20% - Accent5 21 2 2" xfId="13166"/>
    <cellStyle name="20% - Accent5 21 2 2 2" xfId="13167"/>
    <cellStyle name="20% - Accent5 21 2 2 2 2" xfId="13168"/>
    <cellStyle name="20% - Accent5 21 2 2 2 2 2" xfId="13169"/>
    <cellStyle name="20% - Accent5 21 2 2 2 2 2 2" xfId="13170"/>
    <cellStyle name="20% - Accent5 21 2 2 2 3" xfId="13171"/>
    <cellStyle name="20% - Accent5 21 2 2 2 3 2" xfId="13172"/>
    <cellStyle name="20% - Accent5 21 2 2 3" xfId="13173"/>
    <cellStyle name="20% - Accent5 21 2 2 3 2" xfId="13174"/>
    <cellStyle name="20% - Accent5 21 2 2 3 2 2" xfId="13175"/>
    <cellStyle name="20% - Accent5 21 2 2 4" xfId="13176"/>
    <cellStyle name="20% - Accent5 21 2 2 4 2" xfId="13177"/>
    <cellStyle name="20% - Accent5 21 2 3" xfId="13178"/>
    <cellStyle name="20% - Accent5 21 2 3 2" xfId="13179"/>
    <cellStyle name="20% - Accent5 21 2 3 2 2" xfId="13180"/>
    <cellStyle name="20% - Accent5 21 2 3 2 2 2" xfId="13181"/>
    <cellStyle name="20% - Accent5 21 2 3 3" xfId="13182"/>
    <cellStyle name="20% - Accent5 21 2 3 3 2" xfId="13183"/>
    <cellStyle name="20% - Accent5 21 2 4" xfId="13184"/>
    <cellStyle name="20% - Accent5 21 2 4 2" xfId="13185"/>
    <cellStyle name="20% - Accent5 21 2 4 2 2" xfId="13186"/>
    <cellStyle name="20% - Accent5 21 2 5" xfId="13187"/>
    <cellStyle name="20% - Accent5 21 2 5 2" xfId="13188"/>
    <cellStyle name="20% - Accent5 21 3" xfId="13189"/>
    <cellStyle name="20% - Accent5 21 3 2" xfId="13190"/>
    <cellStyle name="20% - Accent5 21 3 2 2" xfId="13191"/>
    <cellStyle name="20% - Accent5 21 3 2 2 2" xfId="13192"/>
    <cellStyle name="20% - Accent5 21 3 2 2 2 2" xfId="13193"/>
    <cellStyle name="20% - Accent5 21 3 2 3" xfId="13194"/>
    <cellStyle name="20% - Accent5 21 3 2 3 2" xfId="13195"/>
    <cellStyle name="20% - Accent5 21 3 3" xfId="13196"/>
    <cellStyle name="20% - Accent5 21 3 3 2" xfId="13197"/>
    <cellStyle name="20% - Accent5 21 3 3 2 2" xfId="13198"/>
    <cellStyle name="20% - Accent5 21 3 4" xfId="13199"/>
    <cellStyle name="20% - Accent5 21 3 4 2" xfId="13200"/>
    <cellStyle name="20% - Accent5 21 4" xfId="13201"/>
    <cellStyle name="20% - Accent5 21 4 2" xfId="13202"/>
    <cellStyle name="20% - Accent5 21 4 2 2" xfId="13203"/>
    <cellStyle name="20% - Accent5 21 4 2 2 2" xfId="13204"/>
    <cellStyle name="20% - Accent5 21 4 3" xfId="13205"/>
    <cellStyle name="20% - Accent5 21 4 3 2" xfId="13206"/>
    <cellStyle name="20% - Accent5 21 5" xfId="13207"/>
    <cellStyle name="20% - Accent5 21 5 2" xfId="13208"/>
    <cellStyle name="20% - Accent5 21 5 2 2" xfId="13209"/>
    <cellStyle name="20% - Accent5 21 6" xfId="13210"/>
    <cellStyle name="20% - Accent5 21 6 2" xfId="13211"/>
    <cellStyle name="20% - Accent5 21 7" xfId="13212"/>
    <cellStyle name="20% - Accent5 22" xfId="13213"/>
    <cellStyle name="20% - Accent5 22 10" xfId="13214"/>
    <cellStyle name="20% - Accent5 22 2" xfId="13215"/>
    <cellStyle name="20% - Accent5 22 2 2" xfId="13216"/>
    <cellStyle name="20% - Accent5 22 2 2 2" xfId="13217"/>
    <cellStyle name="20% - Accent5 22 2 2 2 2" xfId="13218"/>
    <cellStyle name="20% - Accent5 22 2 2 2 2 2" xfId="13219"/>
    <cellStyle name="20% - Accent5 22 2 2 2 2 2 2" xfId="13220"/>
    <cellStyle name="20% - Accent5 22 2 2 2 3" xfId="13221"/>
    <cellStyle name="20% - Accent5 22 2 2 2 3 2" xfId="13222"/>
    <cellStyle name="20% - Accent5 22 2 2 3" xfId="13223"/>
    <cellStyle name="20% - Accent5 22 2 2 3 2" xfId="13224"/>
    <cellStyle name="20% - Accent5 22 2 2 3 2 2" xfId="13225"/>
    <cellStyle name="20% - Accent5 22 2 2 4" xfId="13226"/>
    <cellStyle name="20% - Accent5 22 2 2 4 2" xfId="13227"/>
    <cellStyle name="20% - Accent5 22 2 3" xfId="13228"/>
    <cellStyle name="20% - Accent5 22 2 3 2" xfId="13229"/>
    <cellStyle name="20% - Accent5 22 2 3 2 2" xfId="13230"/>
    <cellStyle name="20% - Accent5 22 2 3 2 2 2" xfId="13231"/>
    <cellStyle name="20% - Accent5 22 2 3 3" xfId="13232"/>
    <cellStyle name="20% - Accent5 22 2 3 3 2" xfId="13233"/>
    <cellStyle name="20% - Accent5 22 2 4" xfId="13234"/>
    <cellStyle name="20% - Accent5 22 2 4 2" xfId="13235"/>
    <cellStyle name="20% - Accent5 22 2 4 2 2" xfId="13236"/>
    <cellStyle name="20% - Accent5 22 2 5" xfId="13237"/>
    <cellStyle name="20% - Accent5 22 2 5 2" xfId="13238"/>
    <cellStyle name="20% - Accent5 22 2 6" xfId="13239"/>
    <cellStyle name="20% - Accent5 22 2 7" xfId="13240"/>
    <cellStyle name="20% - Accent5 22 2 8" xfId="13241"/>
    <cellStyle name="20% - Accent5 22 3" xfId="13242"/>
    <cellStyle name="20% - Accent5 22 3 2" xfId="13243"/>
    <cellStyle name="20% - Accent5 22 3 2 2" xfId="13244"/>
    <cellStyle name="20% - Accent5 22 3 2 2 2" xfId="13245"/>
    <cellStyle name="20% - Accent5 22 3 2 2 2 2" xfId="13246"/>
    <cellStyle name="20% - Accent5 22 3 2 3" xfId="13247"/>
    <cellStyle name="20% - Accent5 22 3 2 3 2" xfId="13248"/>
    <cellStyle name="20% - Accent5 22 3 3" xfId="13249"/>
    <cellStyle name="20% - Accent5 22 3 3 2" xfId="13250"/>
    <cellStyle name="20% - Accent5 22 3 3 2 2" xfId="13251"/>
    <cellStyle name="20% - Accent5 22 3 4" xfId="13252"/>
    <cellStyle name="20% - Accent5 22 3 4 2" xfId="13253"/>
    <cellStyle name="20% - Accent5 22 3 5" xfId="13254"/>
    <cellStyle name="20% - Accent5 22 3 6" xfId="13255"/>
    <cellStyle name="20% - Accent5 22 3 7" xfId="13256"/>
    <cellStyle name="20% - Accent5 22 4" xfId="13257"/>
    <cellStyle name="20% - Accent5 22 4 2" xfId="13258"/>
    <cellStyle name="20% - Accent5 22 4 2 2" xfId="13259"/>
    <cellStyle name="20% - Accent5 22 4 2 2 2" xfId="13260"/>
    <cellStyle name="20% - Accent5 22 4 3" xfId="13261"/>
    <cellStyle name="20% - Accent5 22 4 3 2" xfId="13262"/>
    <cellStyle name="20% - Accent5 22 4 4" xfId="13263"/>
    <cellStyle name="20% - Accent5 22 5" xfId="13264"/>
    <cellStyle name="20% - Accent5 22 5 2" xfId="13265"/>
    <cellStyle name="20% - Accent5 22 5 2 2" xfId="13266"/>
    <cellStyle name="20% - Accent5 22 6" xfId="13267"/>
    <cellStyle name="20% - Accent5 22 6 2" xfId="13268"/>
    <cellStyle name="20% - Accent5 22 7" xfId="13269"/>
    <cellStyle name="20% - Accent5 22 8" xfId="13270"/>
    <cellStyle name="20% - Accent5 22 9" xfId="13271"/>
    <cellStyle name="20% - Accent5 23" xfId="13272"/>
    <cellStyle name="20% - Accent5 23 2" xfId="13273"/>
    <cellStyle name="20% - Accent5 23 2 2" xfId="13274"/>
    <cellStyle name="20% - Accent5 23 2 2 2" xfId="13275"/>
    <cellStyle name="20% - Accent5 23 2 2 2 2" xfId="13276"/>
    <cellStyle name="20% - Accent5 23 2 2 2 2 2" xfId="13277"/>
    <cellStyle name="20% - Accent5 23 2 2 2 2 2 2" xfId="13278"/>
    <cellStyle name="20% - Accent5 23 2 2 2 3" xfId="13279"/>
    <cellStyle name="20% - Accent5 23 2 2 2 3 2" xfId="13280"/>
    <cellStyle name="20% - Accent5 23 2 2 3" xfId="13281"/>
    <cellStyle name="20% - Accent5 23 2 2 3 2" xfId="13282"/>
    <cellStyle name="20% - Accent5 23 2 2 3 2 2" xfId="13283"/>
    <cellStyle name="20% - Accent5 23 2 2 4" xfId="13284"/>
    <cellStyle name="20% - Accent5 23 2 2 4 2" xfId="13285"/>
    <cellStyle name="20% - Accent5 23 2 3" xfId="13286"/>
    <cellStyle name="20% - Accent5 23 2 3 2" xfId="13287"/>
    <cellStyle name="20% - Accent5 23 2 3 2 2" xfId="13288"/>
    <cellStyle name="20% - Accent5 23 2 3 2 2 2" xfId="13289"/>
    <cellStyle name="20% - Accent5 23 2 3 3" xfId="13290"/>
    <cellStyle name="20% - Accent5 23 2 3 3 2" xfId="13291"/>
    <cellStyle name="20% - Accent5 23 2 4" xfId="13292"/>
    <cellStyle name="20% - Accent5 23 2 4 2" xfId="13293"/>
    <cellStyle name="20% - Accent5 23 2 4 2 2" xfId="13294"/>
    <cellStyle name="20% - Accent5 23 2 5" xfId="13295"/>
    <cellStyle name="20% - Accent5 23 2 5 2" xfId="13296"/>
    <cellStyle name="20% - Accent5 23 3" xfId="13297"/>
    <cellStyle name="20% - Accent5 23 3 2" xfId="13298"/>
    <cellStyle name="20% - Accent5 23 3 2 2" xfId="13299"/>
    <cellStyle name="20% - Accent5 23 3 2 2 2" xfId="13300"/>
    <cellStyle name="20% - Accent5 23 3 2 2 2 2" xfId="13301"/>
    <cellStyle name="20% - Accent5 23 3 2 3" xfId="13302"/>
    <cellStyle name="20% - Accent5 23 3 2 3 2" xfId="13303"/>
    <cellStyle name="20% - Accent5 23 3 3" xfId="13304"/>
    <cellStyle name="20% - Accent5 23 3 3 2" xfId="13305"/>
    <cellStyle name="20% - Accent5 23 3 3 2 2" xfId="13306"/>
    <cellStyle name="20% - Accent5 23 3 4" xfId="13307"/>
    <cellStyle name="20% - Accent5 23 3 4 2" xfId="13308"/>
    <cellStyle name="20% - Accent5 23 4" xfId="13309"/>
    <cellStyle name="20% - Accent5 23 4 2" xfId="13310"/>
    <cellStyle name="20% - Accent5 23 4 2 2" xfId="13311"/>
    <cellStyle name="20% - Accent5 23 4 2 2 2" xfId="13312"/>
    <cellStyle name="20% - Accent5 23 4 3" xfId="13313"/>
    <cellStyle name="20% - Accent5 23 4 3 2" xfId="13314"/>
    <cellStyle name="20% - Accent5 23 5" xfId="13315"/>
    <cellStyle name="20% - Accent5 23 5 2" xfId="13316"/>
    <cellStyle name="20% - Accent5 23 5 2 2" xfId="13317"/>
    <cellStyle name="20% - Accent5 23 6" xfId="13318"/>
    <cellStyle name="20% - Accent5 23 6 2" xfId="13319"/>
    <cellStyle name="20% - Accent5 23 7" xfId="13320"/>
    <cellStyle name="20% - Accent5 24" xfId="13321"/>
    <cellStyle name="20% - Accent5 24 2" xfId="13322"/>
    <cellStyle name="20% - Accent5 24 2 2" xfId="13323"/>
    <cellStyle name="20% - Accent5 24 2 2 2" xfId="13324"/>
    <cellStyle name="20% - Accent5 24 2 2 2 2" xfId="13325"/>
    <cellStyle name="20% - Accent5 24 2 2 2 2 2" xfId="13326"/>
    <cellStyle name="20% - Accent5 24 2 2 3" xfId="13327"/>
    <cellStyle name="20% - Accent5 24 2 2 3 2" xfId="13328"/>
    <cellStyle name="20% - Accent5 24 2 3" xfId="13329"/>
    <cellStyle name="20% - Accent5 24 2 3 2" xfId="13330"/>
    <cellStyle name="20% - Accent5 24 2 3 2 2" xfId="13331"/>
    <cellStyle name="20% - Accent5 24 2 4" xfId="13332"/>
    <cellStyle name="20% - Accent5 24 2 4 2" xfId="13333"/>
    <cellStyle name="20% - Accent5 24 3" xfId="13334"/>
    <cellStyle name="20% - Accent5 24 3 2" xfId="13335"/>
    <cellStyle name="20% - Accent5 24 3 2 2" xfId="13336"/>
    <cellStyle name="20% - Accent5 24 3 2 2 2" xfId="13337"/>
    <cellStyle name="20% - Accent5 24 3 3" xfId="13338"/>
    <cellStyle name="20% - Accent5 24 3 3 2" xfId="13339"/>
    <cellStyle name="20% - Accent5 24 4" xfId="13340"/>
    <cellStyle name="20% - Accent5 24 4 2" xfId="13341"/>
    <cellStyle name="20% - Accent5 24 4 2 2" xfId="13342"/>
    <cellStyle name="20% - Accent5 24 5" xfId="13343"/>
    <cellStyle name="20% - Accent5 24 5 2" xfId="13344"/>
    <cellStyle name="20% - Accent5 24 6" xfId="13345"/>
    <cellStyle name="20% - Accent5 25" xfId="13346"/>
    <cellStyle name="20% - Accent5 25 2" xfId="13347"/>
    <cellStyle name="20% - Accent5 25 2 2" xfId="13348"/>
    <cellStyle name="20% - Accent5 25 2 2 2" xfId="13349"/>
    <cellStyle name="20% - Accent5 25 2 2 2 2" xfId="13350"/>
    <cellStyle name="20% - Accent5 25 2 2 2 2 2" xfId="13351"/>
    <cellStyle name="20% - Accent5 25 2 2 3" xfId="13352"/>
    <cellStyle name="20% - Accent5 25 2 2 3 2" xfId="13353"/>
    <cellStyle name="20% - Accent5 25 2 3" xfId="13354"/>
    <cellStyle name="20% - Accent5 25 2 3 2" xfId="13355"/>
    <cellStyle name="20% - Accent5 25 2 3 2 2" xfId="13356"/>
    <cellStyle name="20% - Accent5 25 2 4" xfId="13357"/>
    <cellStyle name="20% - Accent5 25 2 4 2" xfId="13358"/>
    <cellStyle name="20% - Accent5 25 3" xfId="13359"/>
    <cellStyle name="20% - Accent5 25 3 2" xfId="13360"/>
    <cellStyle name="20% - Accent5 25 3 2 2" xfId="13361"/>
    <cellStyle name="20% - Accent5 25 3 2 2 2" xfId="13362"/>
    <cellStyle name="20% - Accent5 25 3 3" xfId="13363"/>
    <cellStyle name="20% - Accent5 25 3 3 2" xfId="13364"/>
    <cellStyle name="20% - Accent5 25 4" xfId="13365"/>
    <cellStyle name="20% - Accent5 25 4 2" xfId="13366"/>
    <cellStyle name="20% - Accent5 25 4 2 2" xfId="13367"/>
    <cellStyle name="20% - Accent5 25 5" xfId="13368"/>
    <cellStyle name="20% - Accent5 25 5 2" xfId="13369"/>
    <cellStyle name="20% - Accent5 25 6" xfId="13370"/>
    <cellStyle name="20% - Accent5 26" xfId="13371"/>
    <cellStyle name="20% - Accent5 26 2" xfId="13372"/>
    <cellStyle name="20% - Accent5 26 2 2" xfId="13373"/>
    <cellStyle name="20% - Accent5 26 2 2 2" xfId="13374"/>
    <cellStyle name="20% - Accent5 26 2 2 2 2" xfId="13375"/>
    <cellStyle name="20% - Accent5 26 2 2 2 2 2" xfId="13376"/>
    <cellStyle name="20% - Accent5 26 2 2 3" xfId="13377"/>
    <cellStyle name="20% - Accent5 26 2 2 3 2" xfId="13378"/>
    <cellStyle name="20% - Accent5 26 2 3" xfId="13379"/>
    <cellStyle name="20% - Accent5 26 2 3 2" xfId="13380"/>
    <cellStyle name="20% - Accent5 26 2 3 2 2" xfId="13381"/>
    <cellStyle name="20% - Accent5 26 2 4" xfId="13382"/>
    <cellStyle name="20% - Accent5 26 2 4 2" xfId="13383"/>
    <cellStyle name="20% - Accent5 26 3" xfId="13384"/>
    <cellStyle name="20% - Accent5 26 3 2" xfId="13385"/>
    <cellStyle name="20% - Accent5 26 3 2 2" xfId="13386"/>
    <cellStyle name="20% - Accent5 26 3 2 2 2" xfId="13387"/>
    <cellStyle name="20% - Accent5 26 3 3" xfId="13388"/>
    <cellStyle name="20% - Accent5 26 3 3 2" xfId="13389"/>
    <cellStyle name="20% - Accent5 26 4" xfId="13390"/>
    <cellStyle name="20% - Accent5 26 4 2" xfId="13391"/>
    <cellStyle name="20% - Accent5 26 4 2 2" xfId="13392"/>
    <cellStyle name="20% - Accent5 26 5" xfId="13393"/>
    <cellStyle name="20% - Accent5 26 5 2" xfId="13394"/>
    <cellStyle name="20% - Accent5 26 6" xfId="13395"/>
    <cellStyle name="20% - Accent5 27" xfId="13396"/>
    <cellStyle name="20% - Accent5 27 2" xfId="13397"/>
    <cellStyle name="20% - Accent5 27 2 2" xfId="13398"/>
    <cellStyle name="20% - Accent5 27 2 2 2" xfId="13399"/>
    <cellStyle name="20% - Accent5 27 2 2 2 2" xfId="13400"/>
    <cellStyle name="20% - Accent5 27 2 2 2 2 2" xfId="13401"/>
    <cellStyle name="20% - Accent5 27 2 2 3" xfId="13402"/>
    <cellStyle name="20% - Accent5 27 2 2 3 2" xfId="13403"/>
    <cellStyle name="20% - Accent5 27 2 3" xfId="13404"/>
    <cellStyle name="20% - Accent5 27 2 3 2" xfId="13405"/>
    <cellStyle name="20% - Accent5 27 2 3 2 2" xfId="13406"/>
    <cellStyle name="20% - Accent5 27 2 4" xfId="13407"/>
    <cellStyle name="20% - Accent5 27 2 4 2" xfId="13408"/>
    <cellStyle name="20% - Accent5 27 3" xfId="13409"/>
    <cellStyle name="20% - Accent5 27 3 2" xfId="13410"/>
    <cellStyle name="20% - Accent5 27 3 2 2" xfId="13411"/>
    <cellStyle name="20% - Accent5 27 3 2 2 2" xfId="13412"/>
    <cellStyle name="20% - Accent5 27 3 3" xfId="13413"/>
    <cellStyle name="20% - Accent5 27 3 3 2" xfId="13414"/>
    <cellStyle name="20% - Accent5 27 4" xfId="13415"/>
    <cellStyle name="20% - Accent5 27 4 2" xfId="13416"/>
    <cellStyle name="20% - Accent5 27 4 2 2" xfId="13417"/>
    <cellStyle name="20% - Accent5 27 5" xfId="13418"/>
    <cellStyle name="20% - Accent5 27 5 2" xfId="13419"/>
    <cellStyle name="20% - Accent5 27 6" xfId="13420"/>
    <cellStyle name="20% - Accent5 28" xfId="13421"/>
    <cellStyle name="20% - Accent5 28 2" xfId="13422"/>
    <cellStyle name="20% - Accent5 28 2 2" xfId="13423"/>
    <cellStyle name="20% - Accent5 28 2 2 2" xfId="13424"/>
    <cellStyle name="20% - Accent5 28 2 2 2 2" xfId="13425"/>
    <cellStyle name="20% - Accent5 28 2 3" xfId="13426"/>
    <cellStyle name="20% - Accent5 28 2 3 2" xfId="13427"/>
    <cellStyle name="20% - Accent5 28 3" xfId="13428"/>
    <cellStyle name="20% - Accent5 28 3 2" xfId="13429"/>
    <cellStyle name="20% - Accent5 28 3 2 2" xfId="13430"/>
    <cellStyle name="20% - Accent5 28 4" xfId="13431"/>
    <cellStyle name="20% - Accent5 28 4 2" xfId="13432"/>
    <cellStyle name="20% - Accent5 28 5" xfId="13433"/>
    <cellStyle name="20% - Accent5 29" xfId="13434"/>
    <cellStyle name="20% - Accent5 29 2" xfId="13435"/>
    <cellStyle name="20% - Accent5 29 2 2" xfId="13436"/>
    <cellStyle name="20% - Accent5 29 2 2 2" xfId="13437"/>
    <cellStyle name="20% - Accent5 29 3" xfId="13438"/>
    <cellStyle name="20% - Accent5 29 3 2" xfId="13439"/>
    <cellStyle name="20% - Accent5 29 4" xfId="13440"/>
    <cellStyle name="20% - Accent5 3" xfId="13441"/>
    <cellStyle name="20% - Accent5 3 10" xfId="13442"/>
    <cellStyle name="20% - Accent5 3 10 2" xfId="13443"/>
    <cellStyle name="20% - Accent5 3 10 2 2" xfId="13444"/>
    <cellStyle name="20% - Accent5 3 10 2 2 2" xfId="13445"/>
    <cellStyle name="20% - Accent5 3 10 2 2 2 2" xfId="13446"/>
    <cellStyle name="20% - Accent5 3 10 2 2 2 2 2" xfId="13447"/>
    <cellStyle name="20% - Accent5 3 10 2 2 2 2 2 2" xfId="13448"/>
    <cellStyle name="20% - Accent5 3 10 2 2 2 3" xfId="13449"/>
    <cellStyle name="20% - Accent5 3 10 2 2 2 3 2" xfId="13450"/>
    <cellStyle name="20% - Accent5 3 10 2 2 3" xfId="13451"/>
    <cellStyle name="20% - Accent5 3 10 2 2 3 2" xfId="13452"/>
    <cellStyle name="20% - Accent5 3 10 2 2 3 2 2" xfId="13453"/>
    <cellStyle name="20% - Accent5 3 10 2 2 4" xfId="13454"/>
    <cellStyle name="20% - Accent5 3 10 2 2 4 2" xfId="13455"/>
    <cellStyle name="20% - Accent5 3 10 2 3" xfId="13456"/>
    <cellStyle name="20% - Accent5 3 10 2 3 2" xfId="13457"/>
    <cellStyle name="20% - Accent5 3 10 2 3 2 2" xfId="13458"/>
    <cellStyle name="20% - Accent5 3 10 2 3 2 2 2" xfId="13459"/>
    <cellStyle name="20% - Accent5 3 10 2 3 3" xfId="13460"/>
    <cellStyle name="20% - Accent5 3 10 2 3 3 2" xfId="13461"/>
    <cellStyle name="20% - Accent5 3 10 2 4" xfId="13462"/>
    <cellStyle name="20% - Accent5 3 10 2 4 2" xfId="13463"/>
    <cellStyle name="20% - Accent5 3 10 2 4 2 2" xfId="13464"/>
    <cellStyle name="20% - Accent5 3 10 2 5" xfId="13465"/>
    <cellStyle name="20% - Accent5 3 10 2 5 2" xfId="13466"/>
    <cellStyle name="20% - Accent5 3 10 3" xfId="13467"/>
    <cellStyle name="20% - Accent5 3 10 3 2" xfId="13468"/>
    <cellStyle name="20% - Accent5 3 10 3 2 2" xfId="13469"/>
    <cellStyle name="20% - Accent5 3 10 3 2 2 2" xfId="13470"/>
    <cellStyle name="20% - Accent5 3 10 3 2 2 2 2" xfId="13471"/>
    <cellStyle name="20% - Accent5 3 10 3 2 3" xfId="13472"/>
    <cellStyle name="20% - Accent5 3 10 3 2 3 2" xfId="13473"/>
    <cellStyle name="20% - Accent5 3 10 3 3" xfId="13474"/>
    <cellStyle name="20% - Accent5 3 10 3 3 2" xfId="13475"/>
    <cellStyle name="20% - Accent5 3 10 3 3 2 2" xfId="13476"/>
    <cellStyle name="20% - Accent5 3 10 3 4" xfId="13477"/>
    <cellStyle name="20% - Accent5 3 10 3 4 2" xfId="13478"/>
    <cellStyle name="20% - Accent5 3 10 4" xfId="13479"/>
    <cellStyle name="20% - Accent5 3 10 4 2" xfId="13480"/>
    <cellStyle name="20% - Accent5 3 10 4 2 2" xfId="13481"/>
    <cellStyle name="20% - Accent5 3 10 4 2 2 2" xfId="13482"/>
    <cellStyle name="20% - Accent5 3 10 4 3" xfId="13483"/>
    <cellStyle name="20% - Accent5 3 10 4 3 2" xfId="13484"/>
    <cellStyle name="20% - Accent5 3 10 5" xfId="13485"/>
    <cellStyle name="20% - Accent5 3 10 5 2" xfId="13486"/>
    <cellStyle name="20% - Accent5 3 10 5 2 2" xfId="13487"/>
    <cellStyle name="20% - Accent5 3 10 6" xfId="13488"/>
    <cellStyle name="20% - Accent5 3 10 6 2" xfId="13489"/>
    <cellStyle name="20% - Accent5 3 10 7" xfId="13490"/>
    <cellStyle name="20% - Accent5 3 10 8" xfId="13491"/>
    <cellStyle name="20% - Accent5 3 10 9" xfId="13492"/>
    <cellStyle name="20% - Accent5 3 11" xfId="13493"/>
    <cellStyle name="20% - Accent5 3 11 2" xfId="13494"/>
    <cellStyle name="20% - Accent5 3 11 2 2" xfId="13495"/>
    <cellStyle name="20% - Accent5 3 11 2 2 2" xfId="13496"/>
    <cellStyle name="20% - Accent5 3 11 2 2 2 2" xfId="13497"/>
    <cellStyle name="20% - Accent5 3 11 2 2 2 2 2" xfId="13498"/>
    <cellStyle name="20% - Accent5 3 11 2 2 2 2 2 2" xfId="13499"/>
    <cellStyle name="20% - Accent5 3 11 2 2 2 3" xfId="13500"/>
    <cellStyle name="20% - Accent5 3 11 2 2 2 3 2" xfId="13501"/>
    <cellStyle name="20% - Accent5 3 11 2 2 3" xfId="13502"/>
    <cellStyle name="20% - Accent5 3 11 2 2 3 2" xfId="13503"/>
    <cellStyle name="20% - Accent5 3 11 2 2 3 2 2" xfId="13504"/>
    <cellStyle name="20% - Accent5 3 11 2 2 4" xfId="13505"/>
    <cellStyle name="20% - Accent5 3 11 2 2 4 2" xfId="13506"/>
    <cellStyle name="20% - Accent5 3 11 2 3" xfId="13507"/>
    <cellStyle name="20% - Accent5 3 11 2 3 2" xfId="13508"/>
    <cellStyle name="20% - Accent5 3 11 2 3 2 2" xfId="13509"/>
    <cellStyle name="20% - Accent5 3 11 2 3 2 2 2" xfId="13510"/>
    <cellStyle name="20% - Accent5 3 11 2 3 3" xfId="13511"/>
    <cellStyle name="20% - Accent5 3 11 2 3 3 2" xfId="13512"/>
    <cellStyle name="20% - Accent5 3 11 2 4" xfId="13513"/>
    <cellStyle name="20% - Accent5 3 11 2 4 2" xfId="13514"/>
    <cellStyle name="20% - Accent5 3 11 2 4 2 2" xfId="13515"/>
    <cellStyle name="20% - Accent5 3 11 2 5" xfId="13516"/>
    <cellStyle name="20% - Accent5 3 11 2 5 2" xfId="13517"/>
    <cellStyle name="20% - Accent5 3 11 3" xfId="13518"/>
    <cellStyle name="20% - Accent5 3 11 3 2" xfId="13519"/>
    <cellStyle name="20% - Accent5 3 11 3 2 2" xfId="13520"/>
    <cellStyle name="20% - Accent5 3 11 3 2 2 2" xfId="13521"/>
    <cellStyle name="20% - Accent5 3 11 3 2 2 2 2" xfId="13522"/>
    <cellStyle name="20% - Accent5 3 11 3 2 3" xfId="13523"/>
    <cellStyle name="20% - Accent5 3 11 3 2 3 2" xfId="13524"/>
    <cellStyle name="20% - Accent5 3 11 3 3" xfId="13525"/>
    <cellStyle name="20% - Accent5 3 11 3 3 2" xfId="13526"/>
    <cellStyle name="20% - Accent5 3 11 3 3 2 2" xfId="13527"/>
    <cellStyle name="20% - Accent5 3 11 3 4" xfId="13528"/>
    <cellStyle name="20% - Accent5 3 11 3 4 2" xfId="13529"/>
    <cellStyle name="20% - Accent5 3 11 4" xfId="13530"/>
    <cellStyle name="20% - Accent5 3 11 4 2" xfId="13531"/>
    <cellStyle name="20% - Accent5 3 11 4 2 2" xfId="13532"/>
    <cellStyle name="20% - Accent5 3 11 4 2 2 2" xfId="13533"/>
    <cellStyle name="20% - Accent5 3 11 4 3" xfId="13534"/>
    <cellStyle name="20% - Accent5 3 11 4 3 2" xfId="13535"/>
    <cellStyle name="20% - Accent5 3 11 5" xfId="13536"/>
    <cellStyle name="20% - Accent5 3 11 5 2" xfId="13537"/>
    <cellStyle name="20% - Accent5 3 11 5 2 2" xfId="13538"/>
    <cellStyle name="20% - Accent5 3 11 6" xfId="13539"/>
    <cellStyle name="20% - Accent5 3 11 6 2" xfId="13540"/>
    <cellStyle name="20% - Accent5 3 11 7" xfId="13541"/>
    <cellStyle name="20% - Accent5 3 12" xfId="13542"/>
    <cellStyle name="20% - Accent5 3 12 2" xfId="13543"/>
    <cellStyle name="20% - Accent5 3 12 2 2" xfId="13544"/>
    <cellStyle name="20% - Accent5 3 12 2 2 2" xfId="13545"/>
    <cellStyle name="20% - Accent5 3 12 2 2 2 2" xfId="13546"/>
    <cellStyle name="20% - Accent5 3 12 2 2 2 2 2" xfId="13547"/>
    <cellStyle name="20% - Accent5 3 12 2 2 2 2 2 2" xfId="13548"/>
    <cellStyle name="20% - Accent5 3 12 2 2 2 3" xfId="13549"/>
    <cellStyle name="20% - Accent5 3 12 2 2 2 3 2" xfId="13550"/>
    <cellStyle name="20% - Accent5 3 12 2 2 3" xfId="13551"/>
    <cellStyle name="20% - Accent5 3 12 2 2 3 2" xfId="13552"/>
    <cellStyle name="20% - Accent5 3 12 2 2 3 2 2" xfId="13553"/>
    <cellStyle name="20% - Accent5 3 12 2 2 4" xfId="13554"/>
    <cellStyle name="20% - Accent5 3 12 2 2 4 2" xfId="13555"/>
    <cellStyle name="20% - Accent5 3 12 2 3" xfId="13556"/>
    <cellStyle name="20% - Accent5 3 12 2 3 2" xfId="13557"/>
    <cellStyle name="20% - Accent5 3 12 2 3 2 2" xfId="13558"/>
    <cellStyle name="20% - Accent5 3 12 2 3 2 2 2" xfId="13559"/>
    <cellStyle name="20% - Accent5 3 12 2 3 3" xfId="13560"/>
    <cellStyle name="20% - Accent5 3 12 2 3 3 2" xfId="13561"/>
    <cellStyle name="20% - Accent5 3 12 2 4" xfId="13562"/>
    <cellStyle name="20% - Accent5 3 12 2 4 2" xfId="13563"/>
    <cellStyle name="20% - Accent5 3 12 2 4 2 2" xfId="13564"/>
    <cellStyle name="20% - Accent5 3 12 2 5" xfId="13565"/>
    <cellStyle name="20% - Accent5 3 12 2 5 2" xfId="13566"/>
    <cellStyle name="20% - Accent5 3 12 3" xfId="13567"/>
    <cellStyle name="20% - Accent5 3 12 3 2" xfId="13568"/>
    <cellStyle name="20% - Accent5 3 12 3 2 2" xfId="13569"/>
    <cellStyle name="20% - Accent5 3 12 3 2 2 2" xfId="13570"/>
    <cellStyle name="20% - Accent5 3 12 3 2 2 2 2" xfId="13571"/>
    <cellStyle name="20% - Accent5 3 12 3 2 3" xfId="13572"/>
    <cellStyle name="20% - Accent5 3 12 3 2 3 2" xfId="13573"/>
    <cellStyle name="20% - Accent5 3 12 3 3" xfId="13574"/>
    <cellStyle name="20% - Accent5 3 12 3 3 2" xfId="13575"/>
    <cellStyle name="20% - Accent5 3 12 3 3 2 2" xfId="13576"/>
    <cellStyle name="20% - Accent5 3 12 3 4" xfId="13577"/>
    <cellStyle name="20% - Accent5 3 12 3 4 2" xfId="13578"/>
    <cellStyle name="20% - Accent5 3 12 4" xfId="13579"/>
    <cellStyle name="20% - Accent5 3 12 4 2" xfId="13580"/>
    <cellStyle name="20% - Accent5 3 12 4 2 2" xfId="13581"/>
    <cellStyle name="20% - Accent5 3 12 4 2 2 2" xfId="13582"/>
    <cellStyle name="20% - Accent5 3 12 4 3" xfId="13583"/>
    <cellStyle name="20% - Accent5 3 12 4 3 2" xfId="13584"/>
    <cellStyle name="20% - Accent5 3 12 5" xfId="13585"/>
    <cellStyle name="20% - Accent5 3 12 5 2" xfId="13586"/>
    <cellStyle name="20% - Accent5 3 12 5 2 2" xfId="13587"/>
    <cellStyle name="20% - Accent5 3 12 6" xfId="13588"/>
    <cellStyle name="20% - Accent5 3 12 6 2" xfId="13589"/>
    <cellStyle name="20% - Accent5 3 13" xfId="13590"/>
    <cellStyle name="20% - Accent5 3 13 2" xfId="13591"/>
    <cellStyle name="20% - Accent5 3 13 2 2" xfId="13592"/>
    <cellStyle name="20% - Accent5 3 13 2 2 2" xfId="13593"/>
    <cellStyle name="20% - Accent5 3 13 2 2 2 2" xfId="13594"/>
    <cellStyle name="20% - Accent5 3 13 2 2 2 2 2" xfId="13595"/>
    <cellStyle name="20% - Accent5 3 13 2 2 2 2 2 2" xfId="13596"/>
    <cellStyle name="20% - Accent5 3 13 2 2 2 3" xfId="13597"/>
    <cellStyle name="20% - Accent5 3 13 2 2 2 3 2" xfId="13598"/>
    <cellStyle name="20% - Accent5 3 13 2 2 3" xfId="13599"/>
    <cellStyle name="20% - Accent5 3 13 2 2 3 2" xfId="13600"/>
    <cellStyle name="20% - Accent5 3 13 2 2 3 2 2" xfId="13601"/>
    <cellStyle name="20% - Accent5 3 13 2 2 4" xfId="13602"/>
    <cellStyle name="20% - Accent5 3 13 2 2 4 2" xfId="13603"/>
    <cellStyle name="20% - Accent5 3 13 2 3" xfId="13604"/>
    <cellStyle name="20% - Accent5 3 13 2 3 2" xfId="13605"/>
    <cellStyle name="20% - Accent5 3 13 2 3 2 2" xfId="13606"/>
    <cellStyle name="20% - Accent5 3 13 2 3 2 2 2" xfId="13607"/>
    <cellStyle name="20% - Accent5 3 13 2 3 3" xfId="13608"/>
    <cellStyle name="20% - Accent5 3 13 2 3 3 2" xfId="13609"/>
    <cellStyle name="20% - Accent5 3 13 2 4" xfId="13610"/>
    <cellStyle name="20% - Accent5 3 13 2 4 2" xfId="13611"/>
    <cellStyle name="20% - Accent5 3 13 2 4 2 2" xfId="13612"/>
    <cellStyle name="20% - Accent5 3 13 2 5" xfId="13613"/>
    <cellStyle name="20% - Accent5 3 13 2 5 2" xfId="13614"/>
    <cellStyle name="20% - Accent5 3 13 3" xfId="13615"/>
    <cellStyle name="20% - Accent5 3 13 3 2" xfId="13616"/>
    <cellStyle name="20% - Accent5 3 13 3 2 2" xfId="13617"/>
    <cellStyle name="20% - Accent5 3 13 3 2 2 2" xfId="13618"/>
    <cellStyle name="20% - Accent5 3 13 3 2 2 2 2" xfId="13619"/>
    <cellStyle name="20% - Accent5 3 13 3 2 3" xfId="13620"/>
    <cellStyle name="20% - Accent5 3 13 3 2 3 2" xfId="13621"/>
    <cellStyle name="20% - Accent5 3 13 3 3" xfId="13622"/>
    <cellStyle name="20% - Accent5 3 13 3 3 2" xfId="13623"/>
    <cellStyle name="20% - Accent5 3 13 3 3 2 2" xfId="13624"/>
    <cellStyle name="20% - Accent5 3 13 3 4" xfId="13625"/>
    <cellStyle name="20% - Accent5 3 13 3 4 2" xfId="13626"/>
    <cellStyle name="20% - Accent5 3 13 4" xfId="13627"/>
    <cellStyle name="20% - Accent5 3 13 4 2" xfId="13628"/>
    <cellStyle name="20% - Accent5 3 13 4 2 2" xfId="13629"/>
    <cellStyle name="20% - Accent5 3 13 4 2 2 2" xfId="13630"/>
    <cellStyle name="20% - Accent5 3 13 4 3" xfId="13631"/>
    <cellStyle name="20% - Accent5 3 13 4 3 2" xfId="13632"/>
    <cellStyle name="20% - Accent5 3 13 5" xfId="13633"/>
    <cellStyle name="20% - Accent5 3 13 5 2" xfId="13634"/>
    <cellStyle name="20% - Accent5 3 13 5 2 2" xfId="13635"/>
    <cellStyle name="20% - Accent5 3 13 6" xfId="13636"/>
    <cellStyle name="20% - Accent5 3 13 6 2" xfId="13637"/>
    <cellStyle name="20% - Accent5 3 14" xfId="13638"/>
    <cellStyle name="20% - Accent5 3 14 2" xfId="13639"/>
    <cellStyle name="20% - Accent5 3 14 2 2" xfId="13640"/>
    <cellStyle name="20% - Accent5 3 14 2 2 2" xfId="13641"/>
    <cellStyle name="20% - Accent5 3 14 2 2 2 2" xfId="13642"/>
    <cellStyle name="20% - Accent5 3 14 2 2 2 2 2" xfId="13643"/>
    <cellStyle name="20% - Accent5 3 14 2 2 3" xfId="13644"/>
    <cellStyle name="20% - Accent5 3 14 2 2 3 2" xfId="13645"/>
    <cellStyle name="20% - Accent5 3 14 2 3" xfId="13646"/>
    <cellStyle name="20% - Accent5 3 14 2 3 2" xfId="13647"/>
    <cellStyle name="20% - Accent5 3 14 2 3 2 2" xfId="13648"/>
    <cellStyle name="20% - Accent5 3 14 2 4" xfId="13649"/>
    <cellStyle name="20% - Accent5 3 14 2 4 2" xfId="13650"/>
    <cellStyle name="20% - Accent5 3 14 3" xfId="13651"/>
    <cellStyle name="20% - Accent5 3 14 3 2" xfId="13652"/>
    <cellStyle name="20% - Accent5 3 14 3 2 2" xfId="13653"/>
    <cellStyle name="20% - Accent5 3 14 3 2 2 2" xfId="13654"/>
    <cellStyle name="20% - Accent5 3 14 3 3" xfId="13655"/>
    <cellStyle name="20% - Accent5 3 14 3 3 2" xfId="13656"/>
    <cellStyle name="20% - Accent5 3 14 4" xfId="13657"/>
    <cellStyle name="20% - Accent5 3 14 4 2" xfId="13658"/>
    <cellStyle name="20% - Accent5 3 14 4 2 2" xfId="13659"/>
    <cellStyle name="20% - Accent5 3 14 5" xfId="13660"/>
    <cellStyle name="20% - Accent5 3 14 5 2" xfId="13661"/>
    <cellStyle name="20% - Accent5 3 15" xfId="13662"/>
    <cellStyle name="20% - Accent5 3 15 2" xfId="13663"/>
    <cellStyle name="20% - Accent5 3 15 2 2" xfId="13664"/>
    <cellStyle name="20% - Accent5 3 15 2 2 2" xfId="13665"/>
    <cellStyle name="20% - Accent5 3 15 2 2 2 2" xfId="13666"/>
    <cellStyle name="20% - Accent5 3 15 2 3" xfId="13667"/>
    <cellStyle name="20% - Accent5 3 15 2 3 2" xfId="13668"/>
    <cellStyle name="20% - Accent5 3 15 3" xfId="13669"/>
    <cellStyle name="20% - Accent5 3 15 3 2" xfId="13670"/>
    <cellStyle name="20% - Accent5 3 15 3 2 2" xfId="13671"/>
    <cellStyle name="20% - Accent5 3 15 4" xfId="13672"/>
    <cellStyle name="20% - Accent5 3 15 4 2" xfId="13673"/>
    <cellStyle name="20% - Accent5 3 16" xfId="13674"/>
    <cellStyle name="20% - Accent5 3 16 2" xfId="13675"/>
    <cellStyle name="20% - Accent5 3 16 2 2" xfId="13676"/>
    <cellStyle name="20% - Accent5 3 16 2 2 2" xfId="13677"/>
    <cellStyle name="20% - Accent5 3 16 3" xfId="13678"/>
    <cellStyle name="20% - Accent5 3 16 3 2" xfId="13679"/>
    <cellStyle name="20% - Accent5 3 17" xfId="13680"/>
    <cellStyle name="20% - Accent5 3 17 2" xfId="13681"/>
    <cellStyle name="20% - Accent5 3 17 2 2" xfId="13682"/>
    <cellStyle name="20% - Accent5 3 18" xfId="13683"/>
    <cellStyle name="20% - Accent5 3 18 2" xfId="13684"/>
    <cellStyle name="20% - Accent5 3 19" xfId="13685"/>
    <cellStyle name="20% - Accent5 3 2" xfId="13686"/>
    <cellStyle name="20% - Accent5 3 2 10" xfId="13687"/>
    <cellStyle name="20% - Accent5 3 2 11" xfId="13688"/>
    <cellStyle name="20% - Accent5 3 2 2" xfId="13689"/>
    <cellStyle name="20% - Accent5 3 2 2 2" xfId="13690"/>
    <cellStyle name="20% - Accent5 3 2 2 2 2" xfId="13691"/>
    <cellStyle name="20% - Accent5 3 2 2 2 2 2" xfId="13692"/>
    <cellStyle name="20% - Accent5 3 2 2 2 2 2 2" xfId="13693"/>
    <cellStyle name="20% - Accent5 3 2 2 2 2 2 2 2" xfId="13694"/>
    <cellStyle name="20% - Accent5 3 2 2 2 2 3" xfId="13695"/>
    <cellStyle name="20% - Accent5 3 2 2 2 2 3 2" xfId="13696"/>
    <cellStyle name="20% - Accent5 3 2 2 2 3" xfId="13697"/>
    <cellStyle name="20% - Accent5 3 2 2 2 3 2" xfId="13698"/>
    <cellStyle name="20% - Accent5 3 2 2 2 3 2 2" xfId="13699"/>
    <cellStyle name="20% - Accent5 3 2 2 2 4" xfId="13700"/>
    <cellStyle name="20% - Accent5 3 2 2 2 4 2" xfId="13701"/>
    <cellStyle name="20% - Accent5 3 2 2 3" xfId="13702"/>
    <cellStyle name="20% - Accent5 3 2 2 3 2" xfId="13703"/>
    <cellStyle name="20% - Accent5 3 2 2 3 2 2" xfId="13704"/>
    <cellStyle name="20% - Accent5 3 2 2 3 2 2 2" xfId="13705"/>
    <cellStyle name="20% - Accent5 3 2 2 3 3" xfId="13706"/>
    <cellStyle name="20% - Accent5 3 2 2 3 3 2" xfId="13707"/>
    <cellStyle name="20% - Accent5 3 2 2 4" xfId="13708"/>
    <cellStyle name="20% - Accent5 3 2 2 4 2" xfId="13709"/>
    <cellStyle name="20% - Accent5 3 2 2 4 2 2" xfId="13710"/>
    <cellStyle name="20% - Accent5 3 2 2 5" xfId="13711"/>
    <cellStyle name="20% - Accent5 3 2 2 5 2" xfId="13712"/>
    <cellStyle name="20% - Accent5 3 2 2 6" xfId="13713"/>
    <cellStyle name="20% - Accent5 3 2 2 7" xfId="13714"/>
    <cellStyle name="20% - Accent5 3 2 2 8" xfId="13715"/>
    <cellStyle name="20% - Accent5 3 2 3" xfId="13716"/>
    <cellStyle name="20% - Accent5 3 2 3 2" xfId="13717"/>
    <cellStyle name="20% - Accent5 3 2 3 2 2" xfId="13718"/>
    <cellStyle name="20% - Accent5 3 2 3 2 2 2" xfId="13719"/>
    <cellStyle name="20% - Accent5 3 2 3 2 2 2 2" xfId="13720"/>
    <cellStyle name="20% - Accent5 3 2 3 2 3" xfId="13721"/>
    <cellStyle name="20% - Accent5 3 2 3 2 3 2" xfId="13722"/>
    <cellStyle name="20% - Accent5 3 2 3 3" xfId="13723"/>
    <cellStyle name="20% - Accent5 3 2 3 3 2" xfId="13724"/>
    <cellStyle name="20% - Accent5 3 2 3 3 2 2" xfId="13725"/>
    <cellStyle name="20% - Accent5 3 2 3 4" xfId="13726"/>
    <cellStyle name="20% - Accent5 3 2 3 4 2" xfId="13727"/>
    <cellStyle name="20% - Accent5 3 2 3 5" xfId="13728"/>
    <cellStyle name="20% - Accent5 3 2 3 6" xfId="13729"/>
    <cellStyle name="20% - Accent5 3 2 3 7" xfId="13730"/>
    <cellStyle name="20% - Accent5 3 2 4" xfId="13731"/>
    <cellStyle name="20% - Accent5 3 2 4 2" xfId="13732"/>
    <cellStyle name="20% - Accent5 3 2 4 2 2" xfId="13733"/>
    <cellStyle name="20% - Accent5 3 2 4 2 2 2" xfId="13734"/>
    <cellStyle name="20% - Accent5 3 2 4 3" xfId="13735"/>
    <cellStyle name="20% - Accent5 3 2 4 3 2" xfId="13736"/>
    <cellStyle name="20% - Accent5 3 2 4 4" xfId="13737"/>
    <cellStyle name="20% - Accent5 3 2 5" xfId="13738"/>
    <cellStyle name="20% - Accent5 3 2 5 2" xfId="13739"/>
    <cellStyle name="20% - Accent5 3 2 5 2 2" xfId="13740"/>
    <cellStyle name="20% - Accent5 3 2 6" xfId="13741"/>
    <cellStyle name="20% - Accent5 3 2 6 2" xfId="13742"/>
    <cellStyle name="20% - Accent5 3 2 7" xfId="13743"/>
    <cellStyle name="20% - Accent5 3 2 8" xfId="13744"/>
    <cellStyle name="20% - Accent5 3 2 9" xfId="13745"/>
    <cellStyle name="20% - Accent5 3 20" xfId="13746"/>
    <cellStyle name="20% - Accent5 3 21" xfId="13747"/>
    <cellStyle name="20% - Accent5 3 22" xfId="13748"/>
    <cellStyle name="20% - Accent5 3 3" xfId="13749"/>
    <cellStyle name="20% - Accent5 3 3 10" xfId="13750"/>
    <cellStyle name="20% - Accent5 3 3 11" xfId="13751"/>
    <cellStyle name="20% - Accent5 3 3 2" xfId="13752"/>
    <cellStyle name="20% - Accent5 3 3 2 2" xfId="13753"/>
    <cellStyle name="20% - Accent5 3 3 2 2 2" xfId="13754"/>
    <cellStyle name="20% - Accent5 3 3 2 2 2 2" xfId="13755"/>
    <cellStyle name="20% - Accent5 3 3 2 2 2 2 2" xfId="13756"/>
    <cellStyle name="20% - Accent5 3 3 2 2 2 2 2 2" xfId="13757"/>
    <cellStyle name="20% - Accent5 3 3 2 2 2 3" xfId="13758"/>
    <cellStyle name="20% - Accent5 3 3 2 2 2 3 2" xfId="13759"/>
    <cellStyle name="20% - Accent5 3 3 2 2 3" xfId="13760"/>
    <cellStyle name="20% - Accent5 3 3 2 2 3 2" xfId="13761"/>
    <cellStyle name="20% - Accent5 3 3 2 2 3 2 2" xfId="13762"/>
    <cellStyle name="20% - Accent5 3 3 2 2 4" xfId="13763"/>
    <cellStyle name="20% - Accent5 3 3 2 2 4 2" xfId="13764"/>
    <cellStyle name="20% - Accent5 3 3 2 3" xfId="13765"/>
    <cellStyle name="20% - Accent5 3 3 2 3 2" xfId="13766"/>
    <cellStyle name="20% - Accent5 3 3 2 3 2 2" xfId="13767"/>
    <cellStyle name="20% - Accent5 3 3 2 3 2 2 2" xfId="13768"/>
    <cellStyle name="20% - Accent5 3 3 2 3 3" xfId="13769"/>
    <cellStyle name="20% - Accent5 3 3 2 3 3 2" xfId="13770"/>
    <cellStyle name="20% - Accent5 3 3 2 4" xfId="13771"/>
    <cellStyle name="20% - Accent5 3 3 2 4 2" xfId="13772"/>
    <cellStyle name="20% - Accent5 3 3 2 4 2 2" xfId="13773"/>
    <cellStyle name="20% - Accent5 3 3 2 5" xfId="13774"/>
    <cellStyle name="20% - Accent5 3 3 2 5 2" xfId="13775"/>
    <cellStyle name="20% - Accent5 3 3 2 6" xfId="13776"/>
    <cellStyle name="20% - Accent5 3 3 2 7" xfId="13777"/>
    <cellStyle name="20% - Accent5 3 3 2 8" xfId="13778"/>
    <cellStyle name="20% - Accent5 3 3 3" xfId="13779"/>
    <cellStyle name="20% - Accent5 3 3 3 2" xfId="13780"/>
    <cellStyle name="20% - Accent5 3 3 3 2 2" xfId="13781"/>
    <cellStyle name="20% - Accent5 3 3 3 2 2 2" xfId="13782"/>
    <cellStyle name="20% - Accent5 3 3 3 2 2 2 2" xfId="13783"/>
    <cellStyle name="20% - Accent5 3 3 3 2 3" xfId="13784"/>
    <cellStyle name="20% - Accent5 3 3 3 2 3 2" xfId="13785"/>
    <cellStyle name="20% - Accent5 3 3 3 3" xfId="13786"/>
    <cellStyle name="20% - Accent5 3 3 3 3 2" xfId="13787"/>
    <cellStyle name="20% - Accent5 3 3 3 3 2 2" xfId="13788"/>
    <cellStyle name="20% - Accent5 3 3 3 4" xfId="13789"/>
    <cellStyle name="20% - Accent5 3 3 3 4 2" xfId="13790"/>
    <cellStyle name="20% - Accent5 3 3 3 5" xfId="13791"/>
    <cellStyle name="20% - Accent5 3 3 3 6" xfId="13792"/>
    <cellStyle name="20% - Accent5 3 3 3 7" xfId="13793"/>
    <cellStyle name="20% - Accent5 3 3 4" xfId="13794"/>
    <cellStyle name="20% - Accent5 3 3 4 2" xfId="13795"/>
    <cellStyle name="20% - Accent5 3 3 4 2 2" xfId="13796"/>
    <cellStyle name="20% - Accent5 3 3 4 2 2 2" xfId="13797"/>
    <cellStyle name="20% - Accent5 3 3 4 3" xfId="13798"/>
    <cellStyle name="20% - Accent5 3 3 4 3 2" xfId="13799"/>
    <cellStyle name="20% - Accent5 3 3 4 4" xfId="13800"/>
    <cellStyle name="20% - Accent5 3 3 5" xfId="13801"/>
    <cellStyle name="20% - Accent5 3 3 5 2" xfId="13802"/>
    <cellStyle name="20% - Accent5 3 3 5 2 2" xfId="13803"/>
    <cellStyle name="20% - Accent5 3 3 6" xfId="13804"/>
    <cellStyle name="20% - Accent5 3 3 6 2" xfId="13805"/>
    <cellStyle name="20% - Accent5 3 3 7" xfId="13806"/>
    <cellStyle name="20% - Accent5 3 3 8" xfId="13807"/>
    <cellStyle name="20% - Accent5 3 3 9" xfId="13808"/>
    <cellStyle name="20% - Accent5 3 4" xfId="13809"/>
    <cellStyle name="20% - Accent5 3 4 2" xfId="13810"/>
    <cellStyle name="20% - Accent5 3 4 2 2" xfId="13811"/>
    <cellStyle name="20% - Accent5 3 4 2 2 2" xfId="13812"/>
    <cellStyle name="20% - Accent5 3 4 2 2 2 2" xfId="13813"/>
    <cellStyle name="20% - Accent5 3 4 2 2 2 2 2" xfId="13814"/>
    <cellStyle name="20% - Accent5 3 4 2 2 2 2 2 2" xfId="13815"/>
    <cellStyle name="20% - Accent5 3 4 2 2 2 3" xfId="13816"/>
    <cellStyle name="20% - Accent5 3 4 2 2 2 3 2" xfId="13817"/>
    <cellStyle name="20% - Accent5 3 4 2 2 3" xfId="13818"/>
    <cellStyle name="20% - Accent5 3 4 2 2 3 2" xfId="13819"/>
    <cellStyle name="20% - Accent5 3 4 2 2 3 2 2" xfId="13820"/>
    <cellStyle name="20% - Accent5 3 4 2 2 4" xfId="13821"/>
    <cellStyle name="20% - Accent5 3 4 2 2 4 2" xfId="13822"/>
    <cellStyle name="20% - Accent5 3 4 2 3" xfId="13823"/>
    <cellStyle name="20% - Accent5 3 4 2 3 2" xfId="13824"/>
    <cellStyle name="20% - Accent5 3 4 2 3 2 2" xfId="13825"/>
    <cellStyle name="20% - Accent5 3 4 2 3 2 2 2" xfId="13826"/>
    <cellStyle name="20% - Accent5 3 4 2 3 3" xfId="13827"/>
    <cellStyle name="20% - Accent5 3 4 2 3 3 2" xfId="13828"/>
    <cellStyle name="20% - Accent5 3 4 2 4" xfId="13829"/>
    <cellStyle name="20% - Accent5 3 4 2 4 2" xfId="13830"/>
    <cellStyle name="20% - Accent5 3 4 2 4 2 2" xfId="13831"/>
    <cellStyle name="20% - Accent5 3 4 2 5" xfId="13832"/>
    <cellStyle name="20% - Accent5 3 4 2 5 2" xfId="13833"/>
    <cellStyle name="20% - Accent5 3 4 3" xfId="13834"/>
    <cellStyle name="20% - Accent5 3 4 3 2" xfId="13835"/>
    <cellStyle name="20% - Accent5 3 4 3 2 2" xfId="13836"/>
    <cellStyle name="20% - Accent5 3 4 3 2 2 2" xfId="13837"/>
    <cellStyle name="20% - Accent5 3 4 3 2 2 2 2" xfId="13838"/>
    <cellStyle name="20% - Accent5 3 4 3 2 3" xfId="13839"/>
    <cellStyle name="20% - Accent5 3 4 3 2 3 2" xfId="13840"/>
    <cellStyle name="20% - Accent5 3 4 3 3" xfId="13841"/>
    <cellStyle name="20% - Accent5 3 4 3 3 2" xfId="13842"/>
    <cellStyle name="20% - Accent5 3 4 3 3 2 2" xfId="13843"/>
    <cellStyle name="20% - Accent5 3 4 3 4" xfId="13844"/>
    <cellStyle name="20% - Accent5 3 4 3 4 2" xfId="13845"/>
    <cellStyle name="20% - Accent5 3 4 4" xfId="13846"/>
    <cellStyle name="20% - Accent5 3 4 4 2" xfId="13847"/>
    <cellStyle name="20% - Accent5 3 4 4 2 2" xfId="13848"/>
    <cellStyle name="20% - Accent5 3 4 4 2 2 2" xfId="13849"/>
    <cellStyle name="20% - Accent5 3 4 4 3" xfId="13850"/>
    <cellStyle name="20% - Accent5 3 4 4 3 2" xfId="13851"/>
    <cellStyle name="20% - Accent5 3 4 5" xfId="13852"/>
    <cellStyle name="20% - Accent5 3 4 5 2" xfId="13853"/>
    <cellStyle name="20% - Accent5 3 4 5 2 2" xfId="13854"/>
    <cellStyle name="20% - Accent5 3 4 6" xfId="13855"/>
    <cellStyle name="20% - Accent5 3 4 6 2" xfId="13856"/>
    <cellStyle name="20% - Accent5 3 4 7" xfId="13857"/>
    <cellStyle name="20% - Accent5 3 5" xfId="13858"/>
    <cellStyle name="20% - Accent5 3 5 2" xfId="13859"/>
    <cellStyle name="20% - Accent5 3 5 2 2" xfId="13860"/>
    <cellStyle name="20% - Accent5 3 5 2 2 2" xfId="13861"/>
    <cellStyle name="20% - Accent5 3 5 2 2 2 2" xfId="13862"/>
    <cellStyle name="20% - Accent5 3 5 2 2 2 2 2" xfId="13863"/>
    <cellStyle name="20% - Accent5 3 5 2 2 2 2 2 2" xfId="13864"/>
    <cellStyle name="20% - Accent5 3 5 2 2 2 3" xfId="13865"/>
    <cellStyle name="20% - Accent5 3 5 2 2 2 3 2" xfId="13866"/>
    <cellStyle name="20% - Accent5 3 5 2 2 3" xfId="13867"/>
    <cellStyle name="20% - Accent5 3 5 2 2 3 2" xfId="13868"/>
    <cellStyle name="20% - Accent5 3 5 2 2 3 2 2" xfId="13869"/>
    <cellStyle name="20% - Accent5 3 5 2 2 4" xfId="13870"/>
    <cellStyle name="20% - Accent5 3 5 2 2 4 2" xfId="13871"/>
    <cellStyle name="20% - Accent5 3 5 2 3" xfId="13872"/>
    <cellStyle name="20% - Accent5 3 5 2 3 2" xfId="13873"/>
    <cellStyle name="20% - Accent5 3 5 2 3 2 2" xfId="13874"/>
    <cellStyle name="20% - Accent5 3 5 2 3 2 2 2" xfId="13875"/>
    <cellStyle name="20% - Accent5 3 5 2 3 3" xfId="13876"/>
    <cellStyle name="20% - Accent5 3 5 2 3 3 2" xfId="13877"/>
    <cellStyle name="20% - Accent5 3 5 2 4" xfId="13878"/>
    <cellStyle name="20% - Accent5 3 5 2 4 2" xfId="13879"/>
    <cellStyle name="20% - Accent5 3 5 2 4 2 2" xfId="13880"/>
    <cellStyle name="20% - Accent5 3 5 2 5" xfId="13881"/>
    <cellStyle name="20% - Accent5 3 5 2 5 2" xfId="13882"/>
    <cellStyle name="20% - Accent5 3 5 3" xfId="13883"/>
    <cellStyle name="20% - Accent5 3 5 3 2" xfId="13884"/>
    <cellStyle name="20% - Accent5 3 5 3 2 2" xfId="13885"/>
    <cellStyle name="20% - Accent5 3 5 3 2 2 2" xfId="13886"/>
    <cellStyle name="20% - Accent5 3 5 3 2 2 2 2" xfId="13887"/>
    <cellStyle name="20% - Accent5 3 5 3 2 3" xfId="13888"/>
    <cellStyle name="20% - Accent5 3 5 3 2 3 2" xfId="13889"/>
    <cellStyle name="20% - Accent5 3 5 3 3" xfId="13890"/>
    <cellStyle name="20% - Accent5 3 5 3 3 2" xfId="13891"/>
    <cellStyle name="20% - Accent5 3 5 3 3 2 2" xfId="13892"/>
    <cellStyle name="20% - Accent5 3 5 3 4" xfId="13893"/>
    <cellStyle name="20% - Accent5 3 5 3 4 2" xfId="13894"/>
    <cellStyle name="20% - Accent5 3 5 4" xfId="13895"/>
    <cellStyle name="20% - Accent5 3 5 4 2" xfId="13896"/>
    <cellStyle name="20% - Accent5 3 5 4 2 2" xfId="13897"/>
    <cellStyle name="20% - Accent5 3 5 4 2 2 2" xfId="13898"/>
    <cellStyle name="20% - Accent5 3 5 4 3" xfId="13899"/>
    <cellStyle name="20% - Accent5 3 5 4 3 2" xfId="13900"/>
    <cellStyle name="20% - Accent5 3 5 5" xfId="13901"/>
    <cellStyle name="20% - Accent5 3 5 5 2" xfId="13902"/>
    <cellStyle name="20% - Accent5 3 5 5 2 2" xfId="13903"/>
    <cellStyle name="20% - Accent5 3 5 6" xfId="13904"/>
    <cellStyle name="20% - Accent5 3 5 6 2" xfId="13905"/>
    <cellStyle name="20% - Accent5 3 5 7" xfId="13906"/>
    <cellStyle name="20% - Accent5 3 6" xfId="13907"/>
    <cellStyle name="20% - Accent5 3 6 2" xfId="13908"/>
    <cellStyle name="20% - Accent5 3 6 2 2" xfId="13909"/>
    <cellStyle name="20% - Accent5 3 6 2 2 2" xfId="13910"/>
    <cellStyle name="20% - Accent5 3 6 2 2 2 2" xfId="13911"/>
    <cellStyle name="20% - Accent5 3 6 2 2 2 2 2" xfId="13912"/>
    <cellStyle name="20% - Accent5 3 6 2 2 2 2 2 2" xfId="13913"/>
    <cellStyle name="20% - Accent5 3 6 2 2 2 3" xfId="13914"/>
    <cellStyle name="20% - Accent5 3 6 2 2 2 3 2" xfId="13915"/>
    <cellStyle name="20% - Accent5 3 6 2 2 3" xfId="13916"/>
    <cellStyle name="20% - Accent5 3 6 2 2 3 2" xfId="13917"/>
    <cellStyle name="20% - Accent5 3 6 2 2 3 2 2" xfId="13918"/>
    <cellStyle name="20% - Accent5 3 6 2 2 4" xfId="13919"/>
    <cellStyle name="20% - Accent5 3 6 2 2 4 2" xfId="13920"/>
    <cellStyle name="20% - Accent5 3 6 2 3" xfId="13921"/>
    <cellStyle name="20% - Accent5 3 6 2 3 2" xfId="13922"/>
    <cellStyle name="20% - Accent5 3 6 2 3 2 2" xfId="13923"/>
    <cellStyle name="20% - Accent5 3 6 2 3 2 2 2" xfId="13924"/>
    <cellStyle name="20% - Accent5 3 6 2 3 3" xfId="13925"/>
    <cellStyle name="20% - Accent5 3 6 2 3 3 2" xfId="13926"/>
    <cellStyle name="20% - Accent5 3 6 2 4" xfId="13927"/>
    <cellStyle name="20% - Accent5 3 6 2 4 2" xfId="13928"/>
    <cellStyle name="20% - Accent5 3 6 2 4 2 2" xfId="13929"/>
    <cellStyle name="20% - Accent5 3 6 2 5" xfId="13930"/>
    <cellStyle name="20% - Accent5 3 6 2 5 2" xfId="13931"/>
    <cellStyle name="20% - Accent5 3 6 3" xfId="13932"/>
    <cellStyle name="20% - Accent5 3 6 3 2" xfId="13933"/>
    <cellStyle name="20% - Accent5 3 6 3 2 2" xfId="13934"/>
    <cellStyle name="20% - Accent5 3 6 3 2 2 2" xfId="13935"/>
    <cellStyle name="20% - Accent5 3 6 3 2 2 2 2" xfId="13936"/>
    <cellStyle name="20% - Accent5 3 6 3 2 3" xfId="13937"/>
    <cellStyle name="20% - Accent5 3 6 3 2 3 2" xfId="13938"/>
    <cellStyle name="20% - Accent5 3 6 3 3" xfId="13939"/>
    <cellStyle name="20% - Accent5 3 6 3 3 2" xfId="13940"/>
    <cellStyle name="20% - Accent5 3 6 3 3 2 2" xfId="13941"/>
    <cellStyle name="20% - Accent5 3 6 3 4" xfId="13942"/>
    <cellStyle name="20% - Accent5 3 6 3 4 2" xfId="13943"/>
    <cellStyle name="20% - Accent5 3 6 4" xfId="13944"/>
    <cellStyle name="20% - Accent5 3 6 4 2" xfId="13945"/>
    <cellStyle name="20% - Accent5 3 6 4 2 2" xfId="13946"/>
    <cellStyle name="20% - Accent5 3 6 4 2 2 2" xfId="13947"/>
    <cellStyle name="20% - Accent5 3 6 4 3" xfId="13948"/>
    <cellStyle name="20% - Accent5 3 6 4 3 2" xfId="13949"/>
    <cellStyle name="20% - Accent5 3 6 5" xfId="13950"/>
    <cellStyle name="20% - Accent5 3 6 5 2" xfId="13951"/>
    <cellStyle name="20% - Accent5 3 6 5 2 2" xfId="13952"/>
    <cellStyle name="20% - Accent5 3 6 6" xfId="13953"/>
    <cellStyle name="20% - Accent5 3 6 6 2" xfId="13954"/>
    <cellStyle name="20% - Accent5 3 6 7" xfId="13955"/>
    <cellStyle name="20% - Accent5 3 7" xfId="13956"/>
    <cellStyle name="20% - Accent5 3 7 2" xfId="13957"/>
    <cellStyle name="20% - Accent5 3 7 2 2" xfId="13958"/>
    <cellStyle name="20% - Accent5 3 7 2 2 2" xfId="13959"/>
    <cellStyle name="20% - Accent5 3 7 2 2 2 2" xfId="13960"/>
    <cellStyle name="20% - Accent5 3 7 2 2 2 2 2" xfId="13961"/>
    <cellStyle name="20% - Accent5 3 7 2 2 2 2 2 2" xfId="13962"/>
    <cellStyle name="20% - Accent5 3 7 2 2 2 3" xfId="13963"/>
    <cellStyle name="20% - Accent5 3 7 2 2 2 3 2" xfId="13964"/>
    <cellStyle name="20% - Accent5 3 7 2 2 3" xfId="13965"/>
    <cellStyle name="20% - Accent5 3 7 2 2 3 2" xfId="13966"/>
    <cellStyle name="20% - Accent5 3 7 2 2 3 2 2" xfId="13967"/>
    <cellStyle name="20% - Accent5 3 7 2 2 4" xfId="13968"/>
    <cellStyle name="20% - Accent5 3 7 2 2 4 2" xfId="13969"/>
    <cellStyle name="20% - Accent5 3 7 2 3" xfId="13970"/>
    <cellStyle name="20% - Accent5 3 7 2 3 2" xfId="13971"/>
    <cellStyle name="20% - Accent5 3 7 2 3 2 2" xfId="13972"/>
    <cellStyle name="20% - Accent5 3 7 2 3 2 2 2" xfId="13973"/>
    <cellStyle name="20% - Accent5 3 7 2 3 3" xfId="13974"/>
    <cellStyle name="20% - Accent5 3 7 2 3 3 2" xfId="13975"/>
    <cellStyle name="20% - Accent5 3 7 2 4" xfId="13976"/>
    <cellStyle name="20% - Accent5 3 7 2 4 2" xfId="13977"/>
    <cellStyle name="20% - Accent5 3 7 2 4 2 2" xfId="13978"/>
    <cellStyle name="20% - Accent5 3 7 2 5" xfId="13979"/>
    <cellStyle name="20% - Accent5 3 7 2 5 2" xfId="13980"/>
    <cellStyle name="20% - Accent5 3 7 3" xfId="13981"/>
    <cellStyle name="20% - Accent5 3 7 3 2" xfId="13982"/>
    <cellStyle name="20% - Accent5 3 7 3 2 2" xfId="13983"/>
    <cellStyle name="20% - Accent5 3 7 3 2 2 2" xfId="13984"/>
    <cellStyle name="20% - Accent5 3 7 3 2 2 2 2" xfId="13985"/>
    <cellStyle name="20% - Accent5 3 7 3 2 3" xfId="13986"/>
    <cellStyle name="20% - Accent5 3 7 3 2 3 2" xfId="13987"/>
    <cellStyle name="20% - Accent5 3 7 3 3" xfId="13988"/>
    <cellStyle name="20% - Accent5 3 7 3 3 2" xfId="13989"/>
    <cellStyle name="20% - Accent5 3 7 3 3 2 2" xfId="13990"/>
    <cellStyle name="20% - Accent5 3 7 3 4" xfId="13991"/>
    <cellStyle name="20% - Accent5 3 7 3 4 2" xfId="13992"/>
    <cellStyle name="20% - Accent5 3 7 4" xfId="13993"/>
    <cellStyle name="20% - Accent5 3 7 4 2" xfId="13994"/>
    <cellStyle name="20% - Accent5 3 7 4 2 2" xfId="13995"/>
    <cellStyle name="20% - Accent5 3 7 4 2 2 2" xfId="13996"/>
    <cellStyle name="20% - Accent5 3 7 4 3" xfId="13997"/>
    <cellStyle name="20% - Accent5 3 7 4 3 2" xfId="13998"/>
    <cellStyle name="20% - Accent5 3 7 5" xfId="13999"/>
    <cellStyle name="20% - Accent5 3 7 5 2" xfId="14000"/>
    <cellStyle name="20% - Accent5 3 7 5 2 2" xfId="14001"/>
    <cellStyle name="20% - Accent5 3 7 6" xfId="14002"/>
    <cellStyle name="20% - Accent5 3 7 6 2" xfId="14003"/>
    <cellStyle name="20% - Accent5 3 7 7" xfId="14004"/>
    <cellStyle name="20% - Accent5 3 8" xfId="14005"/>
    <cellStyle name="20% - Accent5 3 8 2" xfId="14006"/>
    <cellStyle name="20% - Accent5 3 8 2 2" xfId="14007"/>
    <cellStyle name="20% - Accent5 3 8 2 2 2" xfId="14008"/>
    <cellStyle name="20% - Accent5 3 8 2 2 2 2" xfId="14009"/>
    <cellStyle name="20% - Accent5 3 8 2 2 2 2 2" xfId="14010"/>
    <cellStyle name="20% - Accent5 3 8 2 2 2 2 2 2" xfId="14011"/>
    <cellStyle name="20% - Accent5 3 8 2 2 2 3" xfId="14012"/>
    <cellStyle name="20% - Accent5 3 8 2 2 2 3 2" xfId="14013"/>
    <cellStyle name="20% - Accent5 3 8 2 2 3" xfId="14014"/>
    <cellStyle name="20% - Accent5 3 8 2 2 3 2" xfId="14015"/>
    <cellStyle name="20% - Accent5 3 8 2 2 3 2 2" xfId="14016"/>
    <cellStyle name="20% - Accent5 3 8 2 2 4" xfId="14017"/>
    <cellStyle name="20% - Accent5 3 8 2 2 4 2" xfId="14018"/>
    <cellStyle name="20% - Accent5 3 8 2 3" xfId="14019"/>
    <cellStyle name="20% - Accent5 3 8 2 3 2" xfId="14020"/>
    <cellStyle name="20% - Accent5 3 8 2 3 2 2" xfId="14021"/>
    <cellStyle name="20% - Accent5 3 8 2 3 2 2 2" xfId="14022"/>
    <cellStyle name="20% - Accent5 3 8 2 3 3" xfId="14023"/>
    <cellStyle name="20% - Accent5 3 8 2 3 3 2" xfId="14024"/>
    <cellStyle name="20% - Accent5 3 8 2 4" xfId="14025"/>
    <cellStyle name="20% - Accent5 3 8 2 4 2" xfId="14026"/>
    <cellStyle name="20% - Accent5 3 8 2 4 2 2" xfId="14027"/>
    <cellStyle name="20% - Accent5 3 8 2 5" xfId="14028"/>
    <cellStyle name="20% - Accent5 3 8 2 5 2" xfId="14029"/>
    <cellStyle name="20% - Accent5 3 8 3" xfId="14030"/>
    <cellStyle name="20% - Accent5 3 8 3 2" xfId="14031"/>
    <cellStyle name="20% - Accent5 3 8 3 2 2" xfId="14032"/>
    <cellStyle name="20% - Accent5 3 8 3 2 2 2" xfId="14033"/>
    <cellStyle name="20% - Accent5 3 8 3 2 2 2 2" xfId="14034"/>
    <cellStyle name="20% - Accent5 3 8 3 2 3" xfId="14035"/>
    <cellStyle name="20% - Accent5 3 8 3 2 3 2" xfId="14036"/>
    <cellStyle name="20% - Accent5 3 8 3 3" xfId="14037"/>
    <cellStyle name="20% - Accent5 3 8 3 3 2" xfId="14038"/>
    <cellStyle name="20% - Accent5 3 8 3 3 2 2" xfId="14039"/>
    <cellStyle name="20% - Accent5 3 8 3 4" xfId="14040"/>
    <cellStyle name="20% - Accent5 3 8 3 4 2" xfId="14041"/>
    <cellStyle name="20% - Accent5 3 8 4" xfId="14042"/>
    <cellStyle name="20% - Accent5 3 8 4 2" xfId="14043"/>
    <cellStyle name="20% - Accent5 3 8 4 2 2" xfId="14044"/>
    <cellStyle name="20% - Accent5 3 8 4 2 2 2" xfId="14045"/>
    <cellStyle name="20% - Accent5 3 8 4 3" xfId="14046"/>
    <cellStyle name="20% - Accent5 3 8 4 3 2" xfId="14047"/>
    <cellStyle name="20% - Accent5 3 8 5" xfId="14048"/>
    <cellStyle name="20% - Accent5 3 8 5 2" xfId="14049"/>
    <cellStyle name="20% - Accent5 3 8 5 2 2" xfId="14050"/>
    <cellStyle name="20% - Accent5 3 8 6" xfId="14051"/>
    <cellStyle name="20% - Accent5 3 8 6 2" xfId="14052"/>
    <cellStyle name="20% - Accent5 3 9" xfId="14053"/>
    <cellStyle name="20% - Accent5 3 9 2" xfId="14054"/>
    <cellStyle name="20% - Accent5 3 9 2 2" xfId="14055"/>
    <cellStyle name="20% - Accent5 3 9 2 2 2" xfId="14056"/>
    <cellStyle name="20% - Accent5 3 9 2 2 2 2" xfId="14057"/>
    <cellStyle name="20% - Accent5 3 9 2 2 2 2 2" xfId="14058"/>
    <cellStyle name="20% - Accent5 3 9 2 2 2 2 2 2" xfId="14059"/>
    <cellStyle name="20% - Accent5 3 9 2 2 2 3" xfId="14060"/>
    <cellStyle name="20% - Accent5 3 9 2 2 2 3 2" xfId="14061"/>
    <cellStyle name="20% - Accent5 3 9 2 2 3" xfId="14062"/>
    <cellStyle name="20% - Accent5 3 9 2 2 3 2" xfId="14063"/>
    <cellStyle name="20% - Accent5 3 9 2 2 3 2 2" xfId="14064"/>
    <cellStyle name="20% - Accent5 3 9 2 2 4" xfId="14065"/>
    <cellStyle name="20% - Accent5 3 9 2 2 4 2" xfId="14066"/>
    <cellStyle name="20% - Accent5 3 9 2 3" xfId="14067"/>
    <cellStyle name="20% - Accent5 3 9 2 3 2" xfId="14068"/>
    <cellStyle name="20% - Accent5 3 9 2 3 2 2" xfId="14069"/>
    <cellStyle name="20% - Accent5 3 9 2 3 2 2 2" xfId="14070"/>
    <cellStyle name="20% - Accent5 3 9 2 3 3" xfId="14071"/>
    <cellStyle name="20% - Accent5 3 9 2 3 3 2" xfId="14072"/>
    <cellStyle name="20% - Accent5 3 9 2 4" xfId="14073"/>
    <cellStyle name="20% - Accent5 3 9 2 4 2" xfId="14074"/>
    <cellStyle name="20% - Accent5 3 9 2 4 2 2" xfId="14075"/>
    <cellStyle name="20% - Accent5 3 9 2 5" xfId="14076"/>
    <cellStyle name="20% - Accent5 3 9 2 5 2" xfId="14077"/>
    <cellStyle name="20% - Accent5 3 9 3" xfId="14078"/>
    <cellStyle name="20% - Accent5 3 9 3 2" xfId="14079"/>
    <cellStyle name="20% - Accent5 3 9 3 2 2" xfId="14080"/>
    <cellStyle name="20% - Accent5 3 9 3 2 2 2" xfId="14081"/>
    <cellStyle name="20% - Accent5 3 9 3 2 2 2 2" xfId="14082"/>
    <cellStyle name="20% - Accent5 3 9 3 2 3" xfId="14083"/>
    <cellStyle name="20% - Accent5 3 9 3 2 3 2" xfId="14084"/>
    <cellStyle name="20% - Accent5 3 9 3 3" xfId="14085"/>
    <cellStyle name="20% - Accent5 3 9 3 3 2" xfId="14086"/>
    <cellStyle name="20% - Accent5 3 9 3 3 2 2" xfId="14087"/>
    <cellStyle name="20% - Accent5 3 9 3 4" xfId="14088"/>
    <cellStyle name="20% - Accent5 3 9 3 4 2" xfId="14089"/>
    <cellStyle name="20% - Accent5 3 9 4" xfId="14090"/>
    <cellStyle name="20% - Accent5 3 9 4 2" xfId="14091"/>
    <cellStyle name="20% - Accent5 3 9 4 2 2" xfId="14092"/>
    <cellStyle name="20% - Accent5 3 9 4 2 2 2" xfId="14093"/>
    <cellStyle name="20% - Accent5 3 9 4 3" xfId="14094"/>
    <cellStyle name="20% - Accent5 3 9 4 3 2" xfId="14095"/>
    <cellStyle name="20% - Accent5 3 9 5" xfId="14096"/>
    <cellStyle name="20% - Accent5 3 9 5 2" xfId="14097"/>
    <cellStyle name="20% - Accent5 3 9 5 2 2" xfId="14098"/>
    <cellStyle name="20% - Accent5 3 9 6" xfId="14099"/>
    <cellStyle name="20% - Accent5 3 9 6 2" xfId="14100"/>
    <cellStyle name="20% - Accent5 3 9 7" xfId="14101"/>
    <cellStyle name="20% - Accent5 3 9 8" xfId="14102"/>
    <cellStyle name="20% - Accent5 3 9 9" xfId="14103"/>
    <cellStyle name="20% - Accent5 30" xfId="14104"/>
    <cellStyle name="20% - Accent5 30 2" xfId="14105"/>
    <cellStyle name="20% - Accent5 30 2 2" xfId="14106"/>
    <cellStyle name="20% - Accent5 30 2 2 2" xfId="14107"/>
    <cellStyle name="20% - Accent5 30 3" xfId="14108"/>
    <cellStyle name="20% - Accent5 30 3 2" xfId="14109"/>
    <cellStyle name="20% - Accent5 30 4" xfId="14110"/>
    <cellStyle name="20% - Accent5 31" xfId="14111"/>
    <cellStyle name="20% - Accent5 31 2" xfId="14112"/>
    <cellStyle name="20% - Accent5 31 2 2" xfId="14113"/>
    <cellStyle name="20% - Accent5 31 2 2 2" xfId="14114"/>
    <cellStyle name="20% - Accent5 31 3" xfId="14115"/>
    <cellStyle name="20% - Accent5 31 3 2" xfId="14116"/>
    <cellStyle name="20% - Accent5 31 4" xfId="14117"/>
    <cellStyle name="20% - Accent5 32" xfId="14118"/>
    <cellStyle name="20% - Accent5 32 2" xfId="14119"/>
    <cellStyle name="20% - Accent5 32 2 2" xfId="14120"/>
    <cellStyle name="20% - Accent5 32 3" xfId="14121"/>
    <cellStyle name="20% - Accent5 33" xfId="14122"/>
    <cellStyle name="20% - Accent5 33 2" xfId="14123"/>
    <cellStyle name="20% - Accent5 33 2 2" xfId="14124"/>
    <cellStyle name="20% - Accent5 33 3" xfId="14125"/>
    <cellStyle name="20% - Accent5 34" xfId="14126"/>
    <cellStyle name="20% - Accent5 34 2" xfId="14127"/>
    <cellStyle name="20% - Accent5 34 2 2" xfId="14128"/>
    <cellStyle name="20% - Accent5 34 3" xfId="14129"/>
    <cellStyle name="20% - Accent5 35" xfId="14130"/>
    <cellStyle name="20% - Accent5 35 2" xfId="14131"/>
    <cellStyle name="20% - Accent5 35 3" xfId="14132"/>
    <cellStyle name="20% - Accent5 36" xfId="14133"/>
    <cellStyle name="20% - Accent5 36 2" xfId="14134"/>
    <cellStyle name="20% - Accent5 36 2 2" xfId="14135"/>
    <cellStyle name="20% - Accent5 36 2 3" xfId="14136"/>
    <cellStyle name="20% - Accent5 36 2 4" xfId="14137"/>
    <cellStyle name="20% - Accent5 36 3" xfId="14138"/>
    <cellStyle name="20% - Accent5 36 3 2" xfId="14139"/>
    <cellStyle name="20% - Accent5 36 3 3" xfId="14140"/>
    <cellStyle name="20% - Accent5 36 4" xfId="14141"/>
    <cellStyle name="20% - Accent5 36 4 2" xfId="14142"/>
    <cellStyle name="20% - Accent5 36 5" xfId="14143"/>
    <cellStyle name="20% - Accent5 36 6" xfId="14144"/>
    <cellStyle name="20% - Accent5 36 7" xfId="14145"/>
    <cellStyle name="20% - Accent5 37" xfId="14146"/>
    <cellStyle name="20% - Accent5 38" xfId="14147"/>
    <cellStyle name="20% - Accent5 39" xfId="14148"/>
    <cellStyle name="20% - Accent5 4" xfId="14149"/>
    <cellStyle name="20% - Accent5 4 10" xfId="14150"/>
    <cellStyle name="20% - Accent5 4 10 2" xfId="14151"/>
    <cellStyle name="20% - Accent5 4 10 2 2" xfId="14152"/>
    <cellStyle name="20% - Accent5 4 10 2 2 2" xfId="14153"/>
    <cellStyle name="20% - Accent5 4 10 2 2 2 2" xfId="14154"/>
    <cellStyle name="20% - Accent5 4 10 2 2 2 2 2" xfId="14155"/>
    <cellStyle name="20% - Accent5 4 10 2 2 2 2 2 2" xfId="14156"/>
    <cellStyle name="20% - Accent5 4 10 2 2 2 3" xfId="14157"/>
    <cellStyle name="20% - Accent5 4 10 2 2 2 3 2" xfId="14158"/>
    <cellStyle name="20% - Accent5 4 10 2 2 3" xfId="14159"/>
    <cellStyle name="20% - Accent5 4 10 2 2 3 2" xfId="14160"/>
    <cellStyle name="20% - Accent5 4 10 2 2 3 2 2" xfId="14161"/>
    <cellStyle name="20% - Accent5 4 10 2 2 4" xfId="14162"/>
    <cellStyle name="20% - Accent5 4 10 2 2 4 2" xfId="14163"/>
    <cellStyle name="20% - Accent5 4 10 2 3" xfId="14164"/>
    <cellStyle name="20% - Accent5 4 10 2 3 2" xfId="14165"/>
    <cellStyle name="20% - Accent5 4 10 2 3 2 2" xfId="14166"/>
    <cellStyle name="20% - Accent5 4 10 2 3 2 2 2" xfId="14167"/>
    <cellStyle name="20% - Accent5 4 10 2 3 3" xfId="14168"/>
    <cellStyle name="20% - Accent5 4 10 2 3 3 2" xfId="14169"/>
    <cellStyle name="20% - Accent5 4 10 2 4" xfId="14170"/>
    <cellStyle name="20% - Accent5 4 10 2 4 2" xfId="14171"/>
    <cellStyle name="20% - Accent5 4 10 2 4 2 2" xfId="14172"/>
    <cellStyle name="20% - Accent5 4 10 2 5" xfId="14173"/>
    <cellStyle name="20% - Accent5 4 10 2 5 2" xfId="14174"/>
    <cellStyle name="20% - Accent5 4 10 3" xfId="14175"/>
    <cellStyle name="20% - Accent5 4 10 3 2" xfId="14176"/>
    <cellStyle name="20% - Accent5 4 10 3 2 2" xfId="14177"/>
    <cellStyle name="20% - Accent5 4 10 3 2 2 2" xfId="14178"/>
    <cellStyle name="20% - Accent5 4 10 3 2 2 2 2" xfId="14179"/>
    <cellStyle name="20% - Accent5 4 10 3 2 3" xfId="14180"/>
    <cellStyle name="20% - Accent5 4 10 3 2 3 2" xfId="14181"/>
    <cellStyle name="20% - Accent5 4 10 3 3" xfId="14182"/>
    <cellStyle name="20% - Accent5 4 10 3 3 2" xfId="14183"/>
    <cellStyle name="20% - Accent5 4 10 3 3 2 2" xfId="14184"/>
    <cellStyle name="20% - Accent5 4 10 3 4" xfId="14185"/>
    <cellStyle name="20% - Accent5 4 10 3 4 2" xfId="14186"/>
    <cellStyle name="20% - Accent5 4 10 4" xfId="14187"/>
    <cellStyle name="20% - Accent5 4 10 4 2" xfId="14188"/>
    <cellStyle name="20% - Accent5 4 10 4 2 2" xfId="14189"/>
    <cellStyle name="20% - Accent5 4 10 4 2 2 2" xfId="14190"/>
    <cellStyle name="20% - Accent5 4 10 4 3" xfId="14191"/>
    <cellStyle name="20% - Accent5 4 10 4 3 2" xfId="14192"/>
    <cellStyle name="20% - Accent5 4 10 5" xfId="14193"/>
    <cellStyle name="20% - Accent5 4 10 5 2" xfId="14194"/>
    <cellStyle name="20% - Accent5 4 10 5 2 2" xfId="14195"/>
    <cellStyle name="20% - Accent5 4 10 6" xfId="14196"/>
    <cellStyle name="20% - Accent5 4 10 6 2" xfId="14197"/>
    <cellStyle name="20% - Accent5 4 10 7" xfId="14198"/>
    <cellStyle name="20% - Accent5 4 10 8" xfId="14199"/>
    <cellStyle name="20% - Accent5 4 10 9" xfId="14200"/>
    <cellStyle name="20% - Accent5 4 11" xfId="14201"/>
    <cellStyle name="20% - Accent5 4 11 2" xfId="14202"/>
    <cellStyle name="20% - Accent5 4 11 2 2" xfId="14203"/>
    <cellStyle name="20% - Accent5 4 11 2 2 2" xfId="14204"/>
    <cellStyle name="20% - Accent5 4 11 2 2 2 2" xfId="14205"/>
    <cellStyle name="20% - Accent5 4 11 2 2 2 2 2" xfId="14206"/>
    <cellStyle name="20% - Accent5 4 11 2 2 2 2 2 2" xfId="14207"/>
    <cellStyle name="20% - Accent5 4 11 2 2 2 3" xfId="14208"/>
    <cellStyle name="20% - Accent5 4 11 2 2 2 3 2" xfId="14209"/>
    <cellStyle name="20% - Accent5 4 11 2 2 3" xfId="14210"/>
    <cellStyle name="20% - Accent5 4 11 2 2 3 2" xfId="14211"/>
    <cellStyle name="20% - Accent5 4 11 2 2 3 2 2" xfId="14212"/>
    <cellStyle name="20% - Accent5 4 11 2 2 4" xfId="14213"/>
    <cellStyle name="20% - Accent5 4 11 2 2 4 2" xfId="14214"/>
    <cellStyle name="20% - Accent5 4 11 2 3" xfId="14215"/>
    <cellStyle name="20% - Accent5 4 11 2 3 2" xfId="14216"/>
    <cellStyle name="20% - Accent5 4 11 2 3 2 2" xfId="14217"/>
    <cellStyle name="20% - Accent5 4 11 2 3 2 2 2" xfId="14218"/>
    <cellStyle name="20% - Accent5 4 11 2 3 3" xfId="14219"/>
    <cellStyle name="20% - Accent5 4 11 2 3 3 2" xfId="14220"/>
    <cellStyle name="20% - Accent5 4 11 2 4" xfId="14221"/>
    <cellStyle name="20% - Accent5 4 11 2 4 2" xfId="14222"/>
    <cellStyle name="20% - Accent5 4 11 2 4 2 2" xfId="14223"/>
    <cellStyle name="20% - Accent5 4 11 2 5" xfId="14224"/>
    <cellStyle name="20% - Accent5 4 11 2 5 2" xfId="14225"/>
    <cellStyle name="20% - Accent5 4 11 3" xfId="14226"/>
    <cellStyle name="20% - Accent5 4 11 3 2" xfId="14227"/>
    <cellStyle name="20% - Accent5 4 11 3 2 2" xfId="14228"/>
    <cellStyle name="20% - Accent5 4 11 3 2 2 2" xfId="14229"/>
    <cellStyle name="20% - Accent5 4 11 3 2 2 2 2" xfId="14230"/>
    <cellStyle name="20% - Accent5 4 11 3 2 3" xfId="14231"/>
    <cellStyle name="20% - Accent5 4 11 3 2 3 2" xfId="14232"/>
    <cellStyle name="20% - Accent5 4 11 3 3" xfId="14233"/>
    <cellStyle name="20% - Accent5 4 11 3 3 2" xfId="14234"/>
    <cellStyle name="20% - Accent5 4 11 3 3 2 2" xfId="14235"/>
    <cellStyle name="20% - Accent5 4 11 3 4" xfId="14236"/>
    <cellStyle name="20% - Accent5 4 11 3 4 2" xfId="14237"/>
    <cellStyle name="20% - Accent5 4 11 4" xfId="14238"/>
    <cellStyle name="20% - Accent5 4 11 4 2" xfId="14239"/>
    <cellStyle name="20% - Accent5 4 11 4 2 2" xfId="14240"/>
    <cellStyle name="20% - Accent5 4 11 4 2 2 2" xfId="14241"/>
    <cellStyle name="20% - Accent5 4 11 4 3" xfId="14242"/>
    <cellStyle name="20% - Accent5 4 11 4 3 2" xfId="14243"/>
    <cellStyle name="20% - Accent5 4 11 5" xfId="14244"/>
    <cellStyle name="20% - Accent5 4 11 5 2" xfId="14245"/>
    <cellStyle name="20% - Accent5 4 11 5 2 2" xfId="14246"/>
    <cellStyle name="20% - Accent5 4 11 6" xfId="14247"/>
    <cellStyle name="20% - Accent5 4 11 6 2" xfId="14248"/>
    <cellStyle name="20% - Accent5 4 11 7" xfId="14249"/>
    <cellStyle name="20% - Accent5 4 12" xfId="14250"/>
    <cellStyle name="20% - Accent5 4 12 2" xfId="14251"/>
    <cellStyle name="20% - Accent5 4 12 2 2" xfId="14252"/>
    <cellStyle name="20% - Accent5 4 12 2 2 2" xfId="14253"/>
    <cellStyle name="20% - Accent5 4 12 2 2 2 2" xfId="14254"/>
    <cellStyle name="20% - Accent5 4 12 2 2 2 2 2" xfId="14255"/>
    <cellStyle name="20% - Accent5 4 12 2 2 2 2 2 2" xfId="14256"/>
    <cellStyle name="20% - Accent5 4 12 2 2 2 3" xfId="14257"/>
    <cellStyle name="20% - Accent5 4 12 2 2 2 3 2" xfId="14258"/>
    <cellStyle name="20% - Accent5 4 12 2 2 3" xfId="14259"/>
    <cellStyle name="20% - Accent5 4 12 2 2 3 2" xfId="14260"/>
    <cellStyle name="20% - Accent5 4 12 2 2 3 2 2" xfId="14261"/>
    <cellStyle name="20% - Accent5 4 12 2 2 4" xfId="14262"/>
    <cellStyle name="20% - Accent5 4 12 2 2 4 2" xfId="14263"/>
    <cellStyle name="20% - Accent5 4 12 2 3" xfId="14264"/>
    <cellStyle name="20% - Accent5 4 12 2 3 2" xfId="14265"/>
    <cellStyle name="20% - Accent5 4 12 2 3 2 2" xfId="14266"/>
    <cellStyle name="20% - Accent5 4 12 2 3 2 2 2" xfId="14267"/>
    <cellStyle name="20% - Accent5 4 12 2 3 3" xfId="14268"/>
    <cellStyle name="20% - Accent5 4 12 2 3 3 2" xfId="14269"/>
    <cellStyle name="20% - Accent5 4 12 2 4" xfId="14270"/>
    <cellStyle name="20% - Accent5 4 12 2 4 2" xfId="14271"/>
    <cellStyle name="20% - Accent5 4 12 2 4 2 2" xfId="14272"/>
    <cellStyle name="20% - Accent5 4 12 2 5" xfId="14273"/>
    <cellStyle name="20% - Accent5 4 12 2 5 2" xfId="14274"/>
    <cellStyle name="20% - Accent5 4 12 3" xfId="14275"/>
    <cellStyle name="20% - Accent5 4 12 3 2" xfId="14276"/>
    <cellStyle name="20% - Accent5 4 12 3 2 2" xfId="14277"/>
    <cellStyle name="20% - Accent5 4 12 3 2 2 2" xfId="14278"/>
    <cellStyle name="20% - Accent5 4 12 3 2 2 2 2" xfId="14279"/>
    <cellStyle name="20% - Accent5 4 12 3 2 3" xfId="14280"/>
    <cellStyle name="20% - Accent5 4 12 3 2 3 2" xfId="14281"/>
    <cellStyle name="20% - Accent5 4 12 3 3" xfId="14282"/>
    <cellStyle name="20% - Accent5 4 12 3 3 2" xfId="14283"/>
    <cellStyle name="20% - Accent5 4 12 3 3 2 2" xfId="14284"/>
    <cellStyle name="20% - Accent5 4 12 3 4" xfId="14285"/>
    <cellStyle name="20% - Accent5 4 12 3 4 2" xfId="14286"/>
    <cellStyle name="20% - Accent5 4 12 4" xfId="14287"/>
    <cellStyle name="20% - Accent5 4 12 4 2" xfId="14288"/>
    <cellStyle name="20% - Accent5 4 12 4 2 2" xfId="14289"/>
    <cellStyle name="20% - Accent5 4 12 4 2 2 2" xfId="14290"/>
    <cellStyle name="20% - Accent5 4 12 4 3" xfId="14291"/>
    <cellStyle name="20% - Accent5 4 12 4 3 2" xfId="14292"/>
    <cellStyle name="20% - Accent5 4 12 5" xfId="14293"/>
    <cellStyle name="20% - Accent5 4 12 5 2" xfId="14294"/>
    <cellStyle name="20% - Accent5 4 12 5 2 2" xfId="14295"/>
    <cellStyle name="20% - Accent5 4 12 6" xfId="14296"/>
    <cellStyle name="20% - Accent5 4 12 6 2" xfId="14297"/>
    <cellStyle name="20% - Accent5 4 13" xfId="14298"/>
    <cellStyle name="20% - Accent5 4 13 2" xfId="14299"/>
    <cellStyle name="20% - Accent5 4 13 2 2" xfId="14300"/>
    <cellStyle name="20% - Accent5 4 13 2 2 2" xfId="14301"/>
    <cellStyle name="20% - Accent5 4 13 2 2 2 2" xfId="14302"/>
    <cellStyle name="20% - Accent5 4 13 2 2 2 2 2" xfId="14303"/>
    <cellStyle name="20% - Accent5 4 13 2 2 2 2 2 2" xfId="14304"/>
    <cellStyle name="20% - Accent5 4 13 2 2 2 3" xfId="14305"/>
    <cellStyle name="20% - Accent5 4 13 2 2 2 3 2" xfId="14306"/>
    <cellStyle name="20% - Accent5 4 13 2 2 3" xfId="14307"/>
    <cellStyle name="20% - Accent5 4 13 2 2 3 2" xfId="14308"/>
    <cellStyle name="20% - Accent5 4 13 2 2 3 2 2" xfId="14309"/>
    <cellStyle name="20% - Accent5 4 13 2 2 4" xfId="14310"/>
    <cellStyle name="20% - Accent5 4 13 2 2 4 2" xfId="14311"/>
    <cellStyle name="20% - Accent5 4 13 2 3" xfId="14312"/>
    <cellStyle name="20% - Accent5 4 13 2 3 2" xfId="14313"/>
    <cellStyle name="20% - Accent5 4 13 2 3 2 2" xfId="14314"/>
    <cellStyle name="20% - Accent5 4 13 2 3 2 2 2" xfId="14315"/>
    <cellStyle name="20% - Accent5 4 13 2 3 3" xfId="14316"/>
    <cellStyle name="20% - Accent5 4 13 2 3 3 2" xfId="14317"/>
    <cellStyle name="20% - Accent5 4 13 2 4" xfId="14318"/>
    <cellStyle name="20% - Accent5 4 13 2 4 2" xfId="14319"/>
    <cellStyle name="20% - Accent5 4 13 2 4 2 2" xfId="14320"/>
    <cellStyle name="20% - Accent5 4 13 2 5" xfId="14321"/>
    <cellStyle name="20% - Accent5 4 13 2 5 2" xfId="14322"/>
    <cellStyle name="20% - Accent5 4 13 3" xfId="14323"/>
    <cellStyle name="20% - Accent5 4 13 3 2" xfId="14324"/>
    <cellStyle name="20% - Accent5 4 13 3 2 2" xfId="14325"/>
    <cellStyle name="20% - Accent5 4 13 3 2 2 2" xfId="14326"/>
    <cellStyle name="20% - Accent5 4 13 3 2 2 2 2" xfId="14327"/>
    <cellStyle name="20% - Accent5 4 13 3 2 3" xfId="14328"/>
    <cellStyle name="20% - Accent5 4 13 3 2 3 2" xfId="14329"/>
    <cellStyle name="20% - Accent5 4 13 3 3" xfId="14330"/>
    <cellStyle name="20% - Accent5 4 13 3 3 2" xfId="14331"/>
    <cellStyle name="20% - Accent5 4 13 3 3 2 2" xfId="14332"/>
    <cellStyle name="20% - Accent5 4 13 3 4" xfId="14333"/>
    <cellStyle name="20% - Accent5 4 13 3 4 2" xfId="14334"/>
    <cellStyle name="20% - Accent5 4 13 4" xfId="14335"/>
    <cellStyle name="20% - Accent5 4 13 4 2" xfId="14336"/>
    <cellStyle name="20% - Accent5 4 13 4 2 2" xfId="14337"/>
    <cellStyle name="20% - Accent5 4 13 4 2 2 2" xfId="14338"/>
    <cellStyle name="20% - Accent5 4 13 4 3" xfId="14339"/>
    <cellStyle name="20% - Accent5 4 13 4 3 2" xfId="14340"/>
    <cellStyle name="20% - Accent5 4 13 5" xfId="14341"/>
    <cellStyle name="20% - Accent5 4 13 5 2" xfId="14342"/>
    <cellStyle name="20% - Accent5 4 13 5 2 2" xfId="14343"/>
    <cellStyle name="20% - Accent5 4 13 6" xfId="14344"/>
    <cellStyle name="20% - Accent5 4 13 6 2" xfId="14345"/>
    <cellStyle name="20% - Accent5 4 14" xfId="14346"/>
    <cellStyle name="20% - Accent5 4 15" xfId="14347"/>
    <cellStyle name="20% - Accent5 4 16" xfId="14348"/>
    <cellStyle name="20% - Accent5 4 17" xfId="14349"/>
    <cellStyle name="20% - Accent5 4 18" xfId="14350"/>
    <cellStyle name="20% - Accent5 4 2" xfId="14351"/>
    <cellStyle name="20% - Accent5 4 2 10" xfId="14352"/>
    <cellStyle name="20% - Accent5 4 2 11" xfId="14353"/>
    <cellStyle name="20% - Accent5 4 2 2" xfId="14354"/>
    <cellStyle name="20% - Accent5 4 2 2 2" xfId="14355"/>
    <cellStyle name="20% - Accent5 4 2 2 2 2" xfId="14356"/>
    <cellStyle name="20% - Accent5 4 2 2 2 2 2" xfId="14357"/>
    <cellStyle name="20% - Accent5 4 2 2 2 2 2 2" xfId="14358"/>
    <cellStyle name="20% - Accent5 4 2 2 2 2 2 2 2" xfId="14359"/>
    <cellStyle name="20% - Accent5 4 2 2 2 2 3" xfId="14360"/>
    <cellStyle name="20% - Accent5 4 2 2 2 2 3 2" xfId="14361"/>
    <cellStyle name="20% - Accent5 4 2 2 2 3" xfId="14362"/>
    <cellStyle name="20% - Accent5 4 2 2 2 3 2" xfId="14363"/>
    <cellStyle name="20% - Accent5 4 2 2 2 3 2 2" xfId="14364"/>
    <cellStyle name="20% - Accent5 4 2 2 2 4" xfId="14365"/>
    <cellStyle name="20% - Accent5 4 2 2 2 4 2" xfId="14366"/>
    <cellStyle name="20% - Accent5 4 2 2 3" xfId="14367"/>
    <cellStyle name="20% - Accent5 4 2 2 3 2" xfId="14368"/>
    <cellStyle name="20% - Accent5 4 2 2 3 2 2" xfId="14369"/>
    <cellStyle name="20% - Accent5 4 2 2 3 2 2 2" xfId="14370"/>
    <cellStyle name="20% - Accent5 4 2 2 3 3" xfId="14371"/>
    <cellStyle name="20% - Accent5 4 2 2 3 3 2" xfId="14372"/>
    <cellStyle name="20% - Accent5 4 2 2 4" xfId="14373"/>
    <cellStyle name="20% - Accent5 4 2 2 4 2" xfId="14374"/>
    <cellStyle name="20% - Accent5 4 2 2 4 2 2" xfId="14375"/>
    <cellStyle name="20% - Accent5 4 2 2 5" xfId="14376"/>
    <cellStyle name="20% - Accent5 4 2 2 5 2" xfId="14377"/>
    <cellStyle name="20% - Accent5 4 2 2 6" xfId="14378"/>
    <cellStyle name="20% - Accent5 4 2 2 7" xfId="14379"/>
    <cellStyle name="20% - Accent5 4 2 2 8" xfId="14380"/>
    <cellStyle name="20% - Accent5 4 2 3" xfId="14381"/>
    <cellStyle name="20% - Accent5 4 2 3 2" xfId="14382"/>
    <cellStyle name="20% - Accent5 4 2 3 2 2" xfId="14383"/>
    <cellStyle name="20% - Accent5 4 2 3 2 2 2" xfId="14384"/>
    <cellStyle name="20% - Accent5 4 2 3 2 2 2 2" xfId="14385"/>
    <cellStyle name="20% - Accent5 4 2 3 2 3" xfId="14386"/>
    <cellStyle name="20% - Accent5 4 2 3 2 3 2" xfId="14387"/>
    <cellStyle name="20% - Accent5 4 2 3 3" xfId="14388"/>
    <cellStyle name="20% - Accent5 4 2 3 3 2" xfId="14389"/>
    <cellStyle name="20% - Accent5 4 2 3 3 2 2" xfId="14390"/>
    <cellStyle name="20% - Accent5 4 2 3 4" xfId="14391"/>
    <cellStyle name="20% - Accent5 4 2 3 4 2" xfId="14392"/>
    <cellStyle name="20% - Accent5 4 2 3 5" xfId="14393"/>
    <cellStyle name="20% - Accent5 4 2 3 6" xfId="14394"/>
    <cellStyle name="20% - Accent5 4 2 3 7" xfId="14395"/>
    <cellStyle name="20% - Accent5 4 2 4" xfId="14396"/>
    <cellStyle name="20% - Accent5 4 2 4 2" xfId="14397"/>
    <cellStyle name="20% - Accent5 4 2 4 2 2" xfId="14398"/>
    <cellStyle name="20% - Accent5 4 2 4 2 2 2" xfId="14399"/>
    <cellStyle name="20% - Accent5 4 2 4 3" xfId="14400"/>
    <cellStyle name="20% - Accent5 4 2 4 3 2" xfId="14401"/>
    <cellStyle name="20% - Accent5 4 2 4 4" xfId="14402"/>
    <cellStyle name="20% - Accent5 4 2 5" xfId="14403"/>
    <cellStyle name="20% - Accent5 4 2 5 2" xfId="14404"/>
    <cellStyle name="20% - Accent5 4 2 5 2 2" xfId="14405"/>
    <cellStyle name="20% - Accent5 4 2 6" xfId="14406"/>
    <cellStyle name="20% - Accent5 4 2 6 2" xfId="14407"/>
    <cellStyle name="20% - Accent5 4 2 7" xfId="14408"/>
    <cellStyle name="20% - Accent5 4 2 8" xfId="14409"/>
    <cellStyle name="20% - Accent5 4 2 9" xfId="14410"/>
    <cellStyle name="20% - Accent5 4 3" xfId="14411"/>
    <cellStyle name="20% - Accent5 4 3 10" xfId="14412"/>
    <cellStyle name="20% - Accent5 4 3 11" xfId="14413"/>
    <cellStyle name="20% - Accent5 4 3 2" xfId="14414"/>
    <cellStyle name="20% - Accent5 4 3 2 2" xfId="14415"/>
    <cellStyle name="20% - Accent5 4 3 2 2 2" xfId="14416"/>
    <cellStyle name="20% - Accent5 4 3 2 2 2 2" xfId="14417"/>
    <cellStyle name="20% - Accent5 4 3 2 2 2 2 2" xfId="14418"/>
    <cellStyle name="20% - Accent5 4 3 2 2 2 2 2 2" xfId="14419"/>
    <cellStyle name="20% - Accent5 4 3 2 2 2 3" xfId="14420"/>
    <cellStyle name="20% - Accent5 4 3 2 2 2 3 2" xfId="14421"/>
    <cellStyle name="20% - Accent5 4 3 2 2 3" xfId="14422"/>
    <cellStyle name="20% - Accent5 4 3 2 2 3 2" xfId="14423"/>
    <cellStyle name="20% - Accent5 4 3 2 2 3 2 2" xfId="14424"/>
    <cellStyle name="20% - Accent5 4 3 2 2 4" xfId="14425"/>
    <cellStyle name="20% - Accent5 4 3 2 2 4 2" xfId="14426"/>
    <cellStyle name="20% - Accent5 4 3 2 3" xfId="14427"/>
    <cellStyle name="20% - Accent5 4 3 2 3 2" xfId="14428"/>
    <cellStyle name="20% - Accent5 4 3 2 3 2 2" xfId="14429"/>
    <cellStyle name="20% - Accent5 4 3 2 3 2 2 2" xfId="14430"/>
    <cellStyle name="20% - Accent5 4 3 2 3 3" xfId="14431"/>
    <cellStyle name="20% - Accent5 4 3 2 3 3 2" xfId="14432"/>
    <cellStyle name="20% - Accent5 4 3 2 4" xfId="14433"/>
    <cellStyle name="20% - Accent5 4 3 2 4 2" xfId="14434"/>
    <cellStyle name="20% - Accent5 4 3 2 4 2 2" xfId="14435"/>
    <cellStyle name="20% - Accent5 4 3 2 5" xfId="14436"/>
    <cellStyle name="20% - Accent5 4 3 2 5 2" xfId="14437"/>
    <cellStyle name="20% - Accent5 4 3 2 6" xfId="14438"/>
    <cellStyle name="20% - Accent5 4 3 2 7" xfId="14439"/>
    <cellStyle name="20% - Accent5 4 3 2 8" xfId="14440"/>
    <cellStyle name="20% - Accent5 4 3 3" xfId="14441"/>
    <cellStyle name="20% - Accent5 4 3 3 2" xfId="14442"/>
    <cellStyle name="20% - Accent5 4 3 3 2 2" xfId="14443"/>
    <cellStyle name="20% - Accent5 4 3 3 2 2 2" xfId="14444"/>
    <cellStyle name="20% - Accent5 4 3 3 2 2 2 2" xfId="14445"/>
    <cellStyle name="20% - Accent5 4 3 3 2 3" xfId="14446"/>
    <cellStyle name="20% - Accent5 4 3 3 2 3 2" xfId="14447"/>
    <cellStyle name="20% - Accent5 4 3 3 3" xfId="14448"/>
    <cellStyle name="20% - Accent5 4 3 3 3 2" xfId="14449"/>
    <cellStyle name="20% - Accent5 4 3 3 3 2 2" xfId="14450"/>
    <cellStyle name="20% - Accent5 4 3 3 4" xfId="14451"/>
    <cellStyle name="20% - Accent5 4 3 3 4 2" xfId="14452"/>
    <cellStyle name="20% - Accent5 4 3 3 5" xfId="14453"/>
    <cellStyle name="20% - Accent5 4 3 3 6" xfId="14454"/>
    <cellStyle name="20% - Accent5 4 3 3 7" xfId="14455"/>
    <cellStyle name="20% - Accent5 4 3 4" xfId="14456"/>
    <cellStyle name="20% - Accent5 4 3 4 2" xfId="14457"/>
    <cellStyle name="20% - Accent5 4 3 4 2 2" xfId="14458"/>
    <cellStyle name="20% - Accent5 4 3 4 2 2 2" xfId="14459"/>
    <cellStyle name="20% - Accent5 4 3 4 3" xfId="14460"/>
    <cellStyle name="20% - Accent5 4 3 4 3 2" xfId="14461"/>
    <cellStyle name="20% - Accent5 4 3 4 4" xfId="14462"/>
    <cellStyle name="20% - Accent5 4 3 5" xfId="14463"/>
    <cellStyle name="20% - Accent5 4 3 5 2" xfId="14464"/>
    <cellStyle name="20% - Accent5 4 3 5 2 2" xfId="14465"/>
    <cellStyle name="20% - Accent5 4 3 6" xfId="14466"/>
    <cellStyle name="20% - Accent5 4 3 6 2" xfId="14467"/>
    <cellStyle name="20% - Accent5 4 3 7" xfId="14468"/>
    <cellStyle name="20% - Accent5 4 3 8" xfId="14469"/>
    <cellStyle name="20% - Accent5 4 3 9" xfId="14470"/>
    <cellStyle name="20% - Accent5 4 4" xfId="14471"/>
    <cellStyle name="20% - Accent5 4 4 2" xfId="14472"/>
    <cellStyle name="20% - Accent5 4 4 2 2" xfId="14473"/>
    <cellStyle name="20% - Accent5 4 4 2 2 2" xfId="14474"/>
    <cellStyle name="20% - Accent5 4 4 2 2 2 2" xfId="14475"/>
    <cellStyle name="20% - Accent5 4 4 2 2 2 2 2" xfId="14476"/>
    <cellStyle name="20% - Accent5 4 4 2 2 2 2 2 2" xfId="14477"/>
    <cellStyle name="20% - Accent5 4 4 2 2 2 3" xfId="14478"/>
    <cellStyle name="20% - Accent5 4 4 2 2 2 3 2" xfId="14479"/>
    <cellStyle name="20% - Accent5 4 4 2 2 3" xfId="14480"/>
    <cellStyle name="20% - Accent5 4 4 2 2 3 2" xfId="14481"/>
    <cellStyle name="20% - Accent5 4 4 2 2 3 2 2" xfId="14482"/>
    <cellStyle name="20% - Accent5 4 4 2 2 4" xfId="14483"/>
    <cellStyle name="20% - Accent5 4 4 2 2 4 2" xfId="14484"/>
    <cellStyle name="20% - Accent5 4 4 2 3" xfId="14485"/>
    <cellStyle name="20% - Accent5 4 4 2 3 2" xfId="14486"/>
    <cellStyle name="20% - Accent5 4 4 2 3 2 2" xfId="14487"/>
    <cellStyle name="20% - Accent5 4 4 2 3 2 2 2" xfId="14488"/>
    <cellStyle name="20% - Accent5 4 4 2 3 3" xfId="14489"/>
    <cellStyle name="20% - Accent5 4 4 2 3 3 2" xfId="14490"/>
    <cellStyle name="20% - Accent5 4 4 2 4" xfId="14491"/>
    <cellStyle name="20% - Accent5 4 4 2 4 2" xfId="14492"/>
    <cellStyle name="20% - Accent5 4 4 2 4 2 2" xfId="14493"/>
    <cellStyle name="20% - Accent5 4 4 2 5" xfId="14494"/>
    <cellStyle name="20% - Accent5 4 4 2 5 2" xfId="14495"/>
    <cellStyle name="20% - Accent5 4 4 3" xfId="14496"/>
    <cellStyle name="20% - Accent5 4 4 3 2" xfId="14497"/>
    <cellStyle name="20% - Accent5 4 4 3 2 2" xfId="14498"/>
    <cellStyle name="20% - Accent5 4 4 3 2 2 2" xfId="14499"/>
    <cellStyle name="20% - Accent5 4 4 3 2 2 2 2" xfId="14500"/>
    <cellStyle name="20% - Accent5 4 4 3 2 3" xfId="14501"/>
    <cellStyle name="20% - Accent5 4 4 3 2 3 2" xfId="14502"/>
    <cellStyle name="20% - Accent5 4 4 3 3" xfId="14503"/>
    <cellStyle name="20% - Accent5 4 4 3 3 2" xfId="14504"/>
    <cellStyle name="20% - Accent5 4 4 3 3 2 2" xfId="14505"/>
    <cellStyle name="20% - Accent5 4 4 3 4" xfId="14506"/>
    <cellStyle name="20% - Accent5 4 4 3 4 2" xfId="14507"/>
    <cellStyle name="20% - Accent5 4 4 4" xfId="14508"/>
    <cellStyle name="20% - Accent5 4 4 4 2" xfId="14509"/>
    <cellStyle name="20% - Accent5 4 4 4 2 2" xfId="14510"/>
    <cellStyle name="20% - Accent5 4 4 4 2 2 2" xfId="14511"/>
    <cellStyle name="20% - Accent5 4 4 4 3" xfId="14512"/>
    <cellStyle name="20% - Accent5 4 4 4 3 2" xfId="14513"/>
    <cellStyle name="20% - Accent5 4 4 5" xfId="14514"/>
    <cellStyle name="20% - Accent5 4 4 5 2" xfId="14515"/>
    <cellStyle name="20% - Accent5 4 4 5 2 2" xfId="14516"/>
    <cellStyle name="20% - Accent5 4 4 6" xfId="14517"/>
    <cellStyle name="20% - Accent5 4 4 6 2" xfId="14518"/>
    <cellStyle name="20% - Accent5 4 4 7" xfId="14519"/>
    <cellStyle name="20% - Accent5 4 5" xfId="14520"/>
    <cellStyle name="20% - Accent5 4 5 2" xfId="14521"/>
    <cellStyle name="20% - Accent5 4 5 2 2" xfId="14522"/>
    <cellStyle name="20% - Accent5 4 5 2 2 2" xfId="14523"/>
    <cellStyle name="20% - Accent5 4 5 2 2 2 2" xfId="14524"/>
    <cellStyle name="20% - Accent5 4 5 2 2 2 2 2" xfId="14525"/>
    <cellStyle name="20% - Accent5 4 5 2 2 2 2 2 2" xfId="14526"/>
    <cellStyle name="20% - Accent5 4 5 2 2 2 3" xfId="14527"/>
    <cellStyle name="20% - Accent5 4 5 2 2 2 3 2" xfId="14528"/>
    <cellStyle name="20% - Accent5 4 5 2 2 3" xfId="14529"/>
    <cellStyle name="20% - Accent5 4 5 2 2 3 2" xfId="14530"/>
    <cellStyle name="20% - Accent5 4 5 2 2 3 2 2" xfId="14531"/>
    <cellStyle name="20% - Accent5 4 5 2 2 4" xfId="14532"/>
    <cellStyle name="20% - Accent5 4 5 2 2 4 2" xfId="14533"/>
    <cellStyle name="20% - Accent5 4 5 2 3" xfId="14534"/>
    <cellStyle name="20% - Accent5 4 5 2 3 2" xfId="14535"/>
    <cellStyle name="20% - Accent5 4 5 2 3 2 2" xfId="14536"/>
    <cellStyle name="20% - Accent5 4 5 2 3 2 2 2" xfId="14537"/>
    <cellStyle name="20% - Accent5 4 5 2 3 3" xfId="14538"/>
    <cellStyle name="20% - Accent5 4 5 2 3 3 2" xfId="14539"/>
    <cellStyle name="20% - Accent5 4 5 2 4" xfId="14540"/>
    <cellStyle name="20% - Accent5 4 5 2 4 2" xfId="14541"/>
    <cellStyle name="20% - Accent5 4 5 2 4 2 2" xfId="14542"/>
    <cellStyle name="20% - Accent5 4 5 2 5" xfId="14543"/>
    <cellStyle name="20% - Accent5 4 5 2 5 2" xfId="14544"/>
    <cellStyle name="20% - Accent5 4 5 3" xfId="14545"/>
    <cellStyle name="20% - Accent5 4 5 3 2" xfId="14546"/>
    <cellStyle name="20% - Accent5 4 5 3 2 2" xfId="14547"/>
    <cellStyle name="20% - Accent5 4 5 3 2 2 2" xfId="14548"/>
    <cellStyle name="20% - Accent5 4 5 3 2 2 2 2" xfId="14549"/>
    <cellStyle name="20% - Accent5 4 5 3 2 3" xfId="14550"/>
    <cellStyle name="20% - Accent5 4 5 3 2 3 2" xfId="14551"/>
    <cellStyle name="20% - Accent5 4 5 3 3" xfId="14552"/>
    <cellStyle name="20% - Accent5 4 5 3 3 2" xfId="14553"/>
    <cellStyle name="20% - Accent5 4 5 3 3 2 2" xfId="14554"/>
    <cellStyle name="20% - Accent5 4 5 3 4" xfId="14555"/>
    <cellStyle name="20% - Accent5 4 5 3 4 2" xfId="14556"/>
    <cellStyle name="20% - Accent5 4 5 4" xfId="14557"/>
    <cellStyle name="20% - Accent5 4 5 4 2" xfId="14558"/>
    <cellStyle name="20% - Accent5 4 5 4 2 2" xfId="14559"/>
    <cellStyle name="20% - Accent5 4 5 4 2 2 2" xfId="14560"/>
    <cellStyle name="20% - Accent5 4 5 4 3" xfId="14561"/>
    <cellStyle name="20% - Accent5 4 5 4 3 2" xfId="14562"/>
    <cellStyle name="20% - Accent5 4 5 5" xfId="14563"/>
    <cellStyle name="20% - Accent5 4 5 5 2" xfId="14564"/>
    <cellStyle name="20% - Accent5 4 5 5 2 2" xfId="14565"/>
    <cellStyle name="20% - Accent5 4 5 6" xfId="14566"/>
    <cellStyle name="20% - Accent5 4 5 6 2" xfId="14567"/>
    <cellStyle name="20% - Accent5 4 5 7" xfId="14568"/>
    <cellStyle name="20% - Accent5 4 6" xfId="14569"/>
    <cellStyle name="20% - Accent5 4 6 2" xfId="14570"/>
    <cellStyle name="20% - Accent5 4 6 2 2" xfId="14571"/>
    <cellStyle name="20% - Accent5 4 6 2 2 2" xfId="14572"/>
    <cellStyle name="20% - Accent5 4 6 2 2 2 2" xfId="14573"/>
    <cellStyle name="20% - Accent5 4 6 2 2 2 2 2" xfId="14574"/>
    <cellStyle name="20% - Accent5 4 6 2 2 2 2 2 2" xfId="14575"/>
    <cellStyle name="20% - Accent5 4 6 2 2 2 3" xfId="14576"/>
    <cellStyle name="20% - Accent5 4 6 2 2 2 3 2" xfId="14577"/>
    <cellStyle name="20% - Accent5 4 6 2 2 3" xfId="14578"/>
    <cellStyle name="20% - Accent5 4 6 2 2 3 2" xfId="14579"/>
    <cellStyle name="20% - Accent5 4 6 2 2 3 2 2" xfId="14580"/>
    <cellStyle name="20% - Accent5 4 6 2 2 4" xfId="14581"/>
    <cellStyle name="20% - Accent5 4 6 2 2 4 2" xfId="14582"/>
    <cellStyle name="20% - Accent5 4 6 2 3" xfId="14583"/>
    <cellStyle name="20% - Accent5 4 6 2 3 2" xfId="14584"/>
    <cellStyle name="20% - Accent5 4 6 2 3 2 2" xfId="14585"/>
    <cellStyle name="20% - Accent5 4 6 2 3 2 2 2" xfId="14586"/>
    <cellStyle name="20% - Accent5 4 6 2 3 3" xfId="14587"/>
    <cellStyle name="20% - Accent5 4 6 2 3 3 2" xfId="14588"/>
    <cellStyle name="20% - Accent5 4 6 2 4" xfId="14589"/>
    <cellStyle name="20% - Accent5 4 6 2 4 2" xfId="14590"/>
    <cellStyle name="20% - Accent5 4 6 2 4 2 2" xfId="14591"/>
    <cellStyle name="20% - Accent5 4 6 2 5" xfId="14592"/>
    <cellStyle name="20% - Accent5 4 6 2 5 2" xfId="14593"/>
    <cellStyle name="20% - Accent5 4 6 3" xfId="14594"/>
    <cellStyle name="20% - Accent5 4 6 3 2" xfId="14595"/>
    <cellStyle name="20% - Accent5 4 6 3 2 2" xfId="14596"/>
    <cellStyle name="20% - Accent5 4 6 3 2 2 2" xfId="14597"/>
    <cellStyle name="20% - Accent5 4 6 3 2 2 2 2" xfId="14598"/>
    <cellStyle name="20% - Accent5 4 6 3 2 3" xfId="14599"/>
    <cellStyle name="20% - Accent5 4 6 3 2 3 2" xfId="14600"/>
    <cellStyle name="20% - Accent5 4 6 3 3" xfId="14601"/>
    <cellStyle name="20% - Accent5 4 6 3 3 2" xfId="14602"/>
    <cellStyle name="20% - Accent5 4 6 3 3 2 2" xfId="14603"/>
    <cellStyle name="20% - Accent5 4 6 3 4" xfId="14604"/>
    <cellStyle name="20% - Accent5 4 6 3 4 2" xfId="14605"/>
    <cellStyle name="20% - Accent5 4 6 4" xfId="14606"/>
    <cellStyle name="20% - Accent5 4 6 4 2" xfId="14607"/>
    <cellStyle name="20% - Accent5 4 6 4 2 2" xfId="14608"/>
    <cellStyle name="20% - Accent5 4 6 4 2 2 2" xfId="14609"/>
    <cellStyle name="20% - Accent5 4 6 4 3" xfId="14610"/>
    <cellStyle name="20% - Accent5 4 6 4 3 2" xfId="14611"/>
    <cellStyle name="20% - Accent5 4 6 5" xfId="14612"/>
    <cellStyle name="20% - Accent5 4 6 5 2" xfId="14613"/>
    <cellStyle name="20% - Accent5 4 6 5 2 2" xfId="14614"/>
    <cellStyle name="20% - Accent5 4 6 6" xfId="14615"/>
    <cellStyle name="20% - Accent5 4 6 6 2" xfId="14616"/>
    <cellStyle name="20% - Accent5 4 6 7" xfId="14617"/>
    <cellStyle name="20% - Accent5 4 7" xfId="14618"/>
    <cellStyle name="20% - Accent5 4 7 2" xfId="14619"/>
    <cellStyle name="20% - Accent5 4 7 2 2" xfId="14620"/>
    <cellStyle name="20% - Accent5 4 7 2 2 2" xfId="14621"/>
    <cellStyle name="20% - Accent5 4 7 2 2 2 2" xfId="14622"/>
    <cellStyle name="20% - Accent5 4 7 2 2 2 2 2" xfId="14623"/>
    <cellStyle name="20% - Accent5 4 7 2 2 2 2 2 2" xfId="14624"/>
    <cellStyle name="20% - Accent5 4 7 2 2 2 3" xfId="14625"/>
    <cellStyle name="20% - Accent5 4 7 2 2 2 3 2" xfId="14626"/>
    <cellStyle name="20% - Accent5 4 7 2 2 3" xfId="14627"/>
    <cellStyle name="20% - Accent5 4 7 2 2 3 2" xfId="14628"/>
    <cellStyle name="20% - Accent5 4 7 2 2 3 2 2" xfId="14629"/>
    <cellStyle name="20% - Accent5 4 7 2 2 4" xfId="14630"/>
    <cellStyle name="20% - Accent5 4 7 2 2 4 2" xfId="14631"/>
    <cellStyle name="20% - Accent5 4 7 2 3" xfId="14632"/>
    <cellStyle name="20% - Accent5 4 7 2 3 2" xfId="14633"/>
    <cellStyle name="20% - Accent5 4 7 2 3 2 2" xfId="14634"/>
    <cellStyle name="20% - Accent5 4 7 2 3 2 2 2" xfId="14635"/>
    <cellStyle name="20% - Accent5 4 7 2 3 3" xfId="14636"/>
    <cellStyle name="20% - Accent5 4 7 2 3 3 2" xfId="14637"/>
    <cellStyle name="20% - Accent5 4 7 2 4" xfId="14638"/>
    <cellStyle name="20% - Accent5 4 7 2 4 2" xfId="14639"/>
    <cellStyle name="20% - Accent5 4 7 2 4 2 2" xfId="14640"/>
    <cellStyle name="20% - Accent5 4 7 2 5" xfId="14641"/>
    <cellStyle name="20% - Accent5 4 7 2 5 2" xfId="14642"/>
    <cellStyle name="20% - Accent5 4 7 3" xfId="14643"/>
    <cellStyle name="20% - Accent5 4 7 3 2" xfId="14644"/>
    <cellStyle name="20% - Accent5 4 7 3 2 2" xfId="14645"/>
    <cellStyle name="20% - Accent5 4 7 3 2 2 2" xfId="14646"/>
    <cellStyle name="20% - Accent5 4 7 3 2 2 2 2" xfId="14647"/>
    <cellStyle name="20% - Accent5 4 7 3 2 3" xfId="14648"/>
    <cellStyle name="20% - Accent5 4 7 3 2 3 2" xfId="14649"/>
    <cellStyle name="20% - Accent5 4 7 3 3" xfId="14650"/>
    <cellStyle name="20% - Accent5 4 7 3 3 2" xfId="14651"/>
    <cellStyle name="20% - Accent5 4 7 3 3 2 2" xfId="14652"/>
    <cellStyle name="20% - Accent5 4 7 3 4" xfId="14653"/>
    <cellStyle name="20% - Accent5 4 7 3 4 2" xfId="14654"/>
    <cellStyle name="20% - Accent5 4 7 4" xfId="14655"/>
    <cellStyle name="20% - Accent5 4 7 4 2" xfId="14656"/>
    <cellStyle name="20% - Accent5 4 7 4 2 2" xfId="14657"/>
    <cellStyle name="20% - Accent5 4 7 4 2 2 2" xfId="14658"/>
    <cellStyle name="20% - Accent5 4 7 4 3" xfId="14659"/>
    <cellStyle name="20% - Accent5 4 7 4 3 2" xfId="14660"/>
    <cellStyle name="20% - Accent5 4 7 5" xfId="14661"/>
    <cellStyle name="20% - Accent5 4 7 5 2" xfId="14662"/>
    <cellStyle name="20% - Accent5 4 7 5 2 2" xfId="14663"/>
    <cellStyle name="20% - Accent5 4 7 6" xfId="14664"/>
    <cellStyle name="20% - Accent5 4 7 6 2" xfId="14665"/>
    <cellStyle name="20% - Accent5 4 7 7" xfId="14666"/>
    <cellStyle name="20% - Accent5 4 8" xfId="14667"/>
    <cellStyle name="20% - Accent5 4 8 2" xfId="14668"/>
    <cellStyle name="20% - Accent5 4 8 2 2" xfId="14669"/>
    <cellStyle name="20% - Accent5 4 8 2 2 2" xfId="14670"/>
    <cellStyle name="20% - Accent5 4 8 2 2 2 2" xfId="14671"/>
    <cellStyle name="20% - Accent5 4 8 2 2 2 2 2" xfId="14672"/>
    <cellStyle name="20% - Accent5 4 8 2 2 2 2 2 2" xfId="14673"/>
    <cellStyle name="20% - Accent5 4 8 2 2 2 3" xfId="14674"/>
    <cellStyle name="20% - Accent5 4 8 2 2 2 3 2" xfId="14675"/>
    <cellStyle name="20% - Accent5 4 8 2 2 3" xfId="14676"/>
    <cellStyle name="20% - Accent5 4 8 2 2 3 2" xfId="14677"/>
    <cellStyle name="20% - Accent5 4 8 2 2 3 2 2" xfId="14678"/>
    <cellStyle name="20% - Accent5 4 8 2 2 4" xfId="14679"/>
    <cellStyle name="20% - Accent5 4 8 2 2 4 2" xfId="14680"/>
    <cellStyle name="20% - Accent5 4 8 2 3" xfId="14681"/>
    <cellStyle name="20% - Accent5 4 8 2 3 2" xfId="14682"/>
    <cellStyle name="20% - Accent5 4 8 2 3 2 2" xfId="14683"/>
    <cellStyle name="20% - Accent5 4 8 2 3 2 2 2" xfId="14684"/>
    <cellStyle name="20% - Accent5 4 8 2 3 3" xfId="14685"/>
    <cellStyle name="20% - Accent5 4 8 2 3 3 2" xfId="14686"/>
    <cellStyle name="20% - Accent5 4 8 2 4" xfId="14687"/>
    <cellStyle name="20% - Accent5 4 8 2 4 2" xfId="14688"/>
    <cellStyle name="20% - Accent5 4 8 2 4 2 2" xfId="14689"/>
    <cellStyle name="20% - Accent5 4 8 2 5" xfId="14690"/>
    <cellStyle name="20% - Accent5 4 8 2 5 2" xfId="14691"/>
    <cellStyle name="20% - Accent5 4 8 3" xfId="14692"/>
    <cellStyle name="20% - Accent5 4 8 3 2" xfId="14693"/>
    <cellStyle name="20% - Accent5 4 8 3 2 2" xfId="14694"/>
    <cellStyle name="20% - Accent5 4 8 3 2 2 2" xfId="14695"/>
    <cellStyle name="20% - Accent5 4 8 3 2 2 2 2" xfId="14696"/>
    <cellStyle name="20% - Accent5 4 8 3 2 3" xfId="14697"/>
    <cellStyle name="20% - Accent5 4 8 3 2 3 2" xfId="14698"/>
    <cellStyle name="20% - Accent5 4 8 3 3" xfId="14699"/>
    <cellStyle name="20% - Accent5 4 8 3 3 2" xfId="14700"/>
    <cellStyle name="20% - Accent5 4 8 3 3 2 2" xfId="14701"/>
    <cellStyle name="20% - Accent5 4 8 3 4" xfId="14702"/>
    <cellStyle name="20% - Accent5 4 8 3 4 2" xfId="14703"/>
    <cellStyle name="20% - Accent5 4 8 4" xfId="14704"/>
    <cellStyle name="20% - Accent5 4 8 4 2" xfId="14705"/>
    <cellStyle name="20% - Accent5 4 8 4 2 2" xfId="14706"/>
    <cellStyle name="20% - Accent5 4 8 4 2 2 2" xfId="14707"/>
    <cellStyle name="20% - Accent5 4 8 4 3" xfId="14708"/>
    <cellStyle name="20% - Accent5 4 8 4 3 2" xfId="14709"/>
    <cellStyle name="20% - Accent5 4 8 5" xfId="14710"/>
    <cellStyle name="20% - Accent5 4 8 5 2" xfId="14711"/>
    <cellStyle name="20% - Accent5 4 8 5 2 2" xfId="14712"/>
    <cellStyle name="20% - Accent5 4 8 6" xfId="14713"/>
    <cellStyle name="20% - Accent5 4 8 6 2" xfId="14714"/>
    <cellStyle name="20% - Accent5 4 9" xfId="14715"/>
    <cellStyle name="20% - Accent5 4 9 2" xfId="14716"/>
    <cellStyle name="20% - Accent5 4 9 2 2" xfId="14717"/>
    <cellStyle name="20% - Accent5 4 9 2 2 2" xfId="14718"/>
    <cellStyle name="20% - Accent5 4 9 2 2 2 2" xfId="14719"/>
    <cellStyle name="20% - Accent5 4 9 2 2 2 2 2" xfId="14720"/>
    <cellStyle name="20% - Accent5 4 9 2 2 2 2 2 2" xfId="14721"/>
    <cellStyle name="20% - Accent5 4 9 2 2 2 3" xfId="14722"/>
    <cellStyle name="20% - Accent5 4 9 2 2 2 3 2" xfId="14723"/>
    <cellStyle name="20% - Accent5 4 9 2 2 3" xfId="14724"/>
    <cellStyle name="20% - Accent5 4 9 2 2 3 2" xfId="14725"/>
    <cellStyle name="20% - Accent5 4 9 2 2 3 2 2" xfId="14726"/>
    <cellStyle name="20% - Accent5 4 9 2 2 4" xfId="14727"/>
    <cellStyle name="20% - Accent5 4 9 2 2 4 2" xfId="14728"/>
    <cellStyle name="20% - Accent5 4 9 2 3" xfId="14729"/>
    <cellStyle name="20% - Accent5 4 9 2 3 2" xfId="14730"/>
    <cellStyle name="20% - Accent5 4 9 2 3 2 2" xfId="14731"/>
    <cellStyle name="20% - Accent5 4 9 2 3 2 2 2" xfId="14732"/>
    <cellStyle name="20% - Accent5 4 9 2 3 3" xfId="14733"/>
    <cellStyle name="20% - Accent5 4 9 2 3 3 2" xfId="14734"/>
    <cellStyle name="20% - Accent5 4 9 2 4" xfId="14735"/>
    <cellStyle name="20% - Accent5 4 9 2 4 2" xfId="14736"/>
    <cellStyle name="20% - Accent5 4 9 2 4 2 2" xfId="14737"/>
    <cellStyle name="20% - Accent5 4 9 2 5" xfId="14738"/>
    <cellStyle name="20% - Accent5 4 9 2 5 2" xfId="14739"/>
    <cellStyle name="20% - Accent5 4 9 3" xfId="14740"/>
    <cellStyle name="20% - Accent5 4 9 3 2" xfId="14741"/>
    <cellStyle name="20% - Accent5 4 9 3 2 2" xfId="14742"/>
    <cellStyle name="20% - Accent5 4 9 3 2 2 2" xfId="14743"/>
    <cellStyle name="20% - Accent5 4 9 3 2 2 2 2" xfId="14744"/>
    <cellStyle name="20% - Accent5 4 9 3 2 3" xfId="14745"/>
    <cellStyle name="20% - Accent5 4 9 3 2 3 2" xfId="14746"/>
    <cellStyle name="20% - Accent5 4 9 3 3" xfId="14747"/>
    <cellStyle name="20% - Accent5 4 9 3 3 2" xfId="14748"/>
    <cellStyle name="20% - Accent5 4 9 3 3 2 2" xfId="14749"/>
    <cellStyle name="20% - Accent5 4 9 3 4" xfId="14750"/>
    <cellStyle name="20% - Accent5 4 9 3 4 2" xfId="14751"/>
    <cellStyle name="20% - Accent5 4 9 4" xfId="14752"/>
    <cellStyle name="20% - Accent5 4 9 4 2" xfId="14753"/>
    <cellStyle name="20% - Accent5 4 9 4 2 2" xfId="14754"/>
    <cellStyle name="20% - Accent5 4 9 4 2 2 2" xfId="14755"/>
    <cellStyle name="20% - Accent5 4 9 4 3" xfId="14756"/>
    <cellStyle name="20% - Accent5 4 9 4 3 2" xfId="14757"/>
    <cellStyle name="20% - Accent5 4 9 5" xfId="14758"/>
    <cellStyle name="20% - Accent5 4 9 5 2" xfId="14759"/>
    <cellStyle name="20% - Accent5 4 9 5 2 2" xfId="14760"/>
    <cellStyle name="20% - Accent5 4 9 6" xfId="14761"/>
    <cellStyle name="20% - Accent5 4 9 6 2" xfId="14762"/>
    <cellStyle name="20% - Accent5 4 9 7" xfId="14763"/>
    <cellStyle name="20% - Accent5 4 9 8" xfId="14764"/>
    <cellStyle name="20% - Accent5 4 9 9" xfId="14765"/>
    <cellStyle name="20% - Accent5 40" xfId="14766"/>
    <cellStyle name="20% - Accent5 40 2" xfId="14767"/>
    <cellStyle name="20% - Accent5 40 2 2" xfId="14768"/>
    <cellStyle name="20% - Accent5 40 2 3" xfId="14769"/>
    <cellStyle name="20% - Accent5 40 2 4" xfId="14770"/>
    <cellStyle name="20% - Accent5 40 3" xfId="14771"/>
    <cellStyle name="20% - Accent5 40 3 2" xfId="14772"/>
    <cellStyle name="20% - Accent5 40 3 3" xfId="14773"/>
    <cellStyle name="20% - Accent5 40 4" xfId="14774"/>
    <cellStyle name="20% - Accent5 40 4 2" xfId="14775"/>
    <cellStyle name="20% - Accent5 40 5" xfId="14776"/>
    <cellStyle name="20% - Accent5 40 6" xfId="14777"/>
    <cellStyle name="20% - Accent5 40 7" xfId="14778"/>
    <cellStyle name="20% - Accent5 41" xfId="14779"/>
    <cellStyle name="20% - Accent5 41 2" xfId="14780"/>
    <cellStyle name="20% - Accent5 41 2 2" xfId="14781"/>
    <cellStyle name="20% - Accent5 41 2 3" xfId="14782"/>
    <cellStyle name="20% - Accent5 41 2 4" xfId="14783"/>
    <cellStyle name="20% - Accent5 41 3" xfId="14784"/>
    <cellStyle name="20% - Accent5 41 3 2" xfId="14785"/>
    <cellStyle name="20% - Accent5 41 3 3" xfId="14786"/>
    <cellStyle name="20% - Accent5 41 4" xfId="14787"/>
    <cellStyle name="20% - Accent5 41 4 2" xfId="14788"/>
    <cellStyle name="20% - Accent5 41 5" xfId="14789"/>
    <cellStyle name="20% - Accent5 41 6" xfId="14790"/>
    <cellStyle name="20% - Accent5 41 7" xfId="14791"/>
    <cellStyle name="20% - Accent5 42" xfId="14792"/>
    <cellStyle name="20% - Accent5 42 2" xfId="14793"/>
    <cellStyle name="20% - Accent5 42 2 2" xfId="14794"/>
    <cellStyle name="20% - Accent5 42 2 3" xfId="14795"/>
    <cellStyle name="20% - Accent5 42 2 4" xfId="14796"/>
    <cellStyle name="20% - Accent5 42 3" xfId="14797"/>
    <cellStyle name="20% - Accent5 42 3 2" xfId="14798"/>
    <cellStyle name="20% - Accent5 42 3 3" xfId="14799"/>
    <cellStyle name="20% - Accent5 42 4" xfId="14800"/>
    <cellStyle name="20% - Accent5 42 4 2" xfId="14801"/>
    <cellStyle name="20% - Accent5 42 5" xfId="14802"/>
    <cellStyle name="20% - Accent5 42 6" xfId="14803"/>
    <cellStyle name="20% - Accent5 42 7" xfId="14804"/>
    <cellStyle name="20% - Accent5 43" xfId="14805"/>
    <cellStyle name="20% - Accent5 43 2" xfId="14806"/>
    <cellStyle name="20% - Accent5 43 2 2" xfId="14807"/>
    <cellStyle name="20% - Accent5 43 2 3" xfId="14808"/>
    <cellStyle name="20% - Accent5 43 2 4" xfId="14809"/>
    <cellStyle name="20% - Accent5 43 3" xfId="14810"/>
    <cellStyle name="20% - Accent5 43 3 2" xfId="14811"/>
    <cellStyle name="20% - Accent5 43 3 3" xfId="14812"/>
    <cellStyle name="20% - Accent5 43 4" xfId="14813"/>
    <cellStyle name="20% - Accent5 43 4 2" xfId="14814"/>
    <cellStyle name="20% - Accent5 43 5" xfId="14815"/>
    <cellStyle name="20% - Accent5 43 6" xfId="14816"/>
    <cellStyle name="20% - Accent5 43 7" xfId="14817"/>
    <cellStyle name="20% - Accent5 44" xfId="14818"/>
    <cellStyle name="20% - Accent5 44 2" xfId="14819"/>
    <cellStyle name="20% - Accent5 44 2 2" xfId="14820"/>
    <cellStyle name="20% - Accent5 44 2 3" xfId="14821"/>
    <cellStyle name="20% - Accent5 44 2 4" xfId="14822"/>
    <cellStyle name="20% - Accent5 44 3" xfId="14823"/>
    <cellStyle name="20% - Accent5 44 3 2" xfId="14824"/>
    <cellStyle name="20% - Accent5 44 3 3" xfId="14825"/>
    <cellStyle name="20% - Accent5 44 4" xfId="14826"/>
    <cellStyle name="20% - Accent5 44 4 2" xfId="14827"/>
    <cellStyle name="20% - Accent5 44 5" xfId="14828"/>
    <cellStyle name="20% - Accent5 44 6" xfId="14829"/>
    <cellStyle name="20% - Accent5 44 7" xfId="14830"/>
    <cellStyle name="20% - Accent5 45" xfId="14831"/>
    <cellStyle name="20% - Accent5 45 2" xfId="14832"/>
    <cellStyle name="20% - Accent5 45 2 2" xfId="14833"/>
    <cellStyle name="20% - Accent5 45 2 3" xfId="14834"/>
    <cellStyle name="20% - Accent5 45 2 4" xfId="14835"/>
    <cellStyle name="20% - Accent5 45 3" xfId="14836"/>
    <cellStyle name="20% - Accent5 45 3 2" xfId="14837"/>
    <cellStyle name="20% - Accent5 45 3 3" xfId="14838"/>
    <cellStyle name="20% - Accent5 45 4" xfId="14839"/>
    <cellStyle name="20% - Accent5 45 4 2" xfId="14840"/>
    <cellStyle name="20% - Accent5 45 5" xfId="14841"/>
    <cellStyle name="20% - Accent5 45 6" xfId="14842"/>
    <cellStyle name="20% - Accent5 45 7" xfId="14843"/>
    <cellStyle name="20% - Accent5 46" xfId="14844"/>
    <cellStyle name="20% - Accent5 46 2" xfId="14845"/>
    <cellStyle name="20% - Accent5 46 2 2" xfId="14846"/>
    <cellStyle name="20% - Accent5 46 2 3" xfId="14847"/>
    <cellStyle name="20% - Accent5 46 2 4" xfId="14848"/>
    <cellStyle name="20% - Accent5 46 3" xfId="14849"/>
    <cellStyle name="20% - Accent5 46 3 2" xfId="14850"/>
    <cellStyle name="20% - Accent5 46 3 3" xfId="14851"/>
    <cellStyle name="20% - Accent5 46 4" xfId="14852"/>
    <cellStyle name="20% - Accent5 46 4 2" xfId="14853"/>
    <cellStyle name="20% - Accent5 46 5" xfId="14854"/>
    <cellStyle name="20% - Accent5 46 6" xfId="14855"/>
    <cellStyle name="20% - Accent5 46 7" xfId="14856"/>
    <cellStyle name="20% - Accent5 47" xfId="14857"/>
    <cellStyle name="20% - Accent5 47 2" xfId="14858"/>
    <cellStyle name="20% - Accent5 47 2 2" xfId="14859"/>
    <cellStyle name="20% - Accent5 47 2 3" xfId="14860"/>
    <cellStyle name="20% - Accent5 47 2 4" xfId="14861"/>
    <cellStyle name="20% - Accent5 47 3" xfId="14862"/>
    <cellStyle name="20% - Accent5 47 3 2" xfId="14863"/>
    <cellStyle name="20% - Accent5 47 3 3" xfId="14864"/>
    <cellStyle name="20% - Accent5 47 4" xfId="14865"/>
    <cellStyle name="20% - Accent5 47 4 2" xfId="14866"/>
    <cellStyle name="20% - Accent5 47 5" xfId="14867"/>
    <cellStyle name="20% - Accent5 47 6" xfId="14868"/>
    <cellStyle name="20% - Accent5 47 7" xfId="14869"/>
    <cellStyle name="20% - Accent5 48" xfId="14870"/>
    <cellStyle name="20% - Accent5 48 2" xfId="14871"/>
    <cellStyle name="20% - Accent5 48 2 2" xfId="14872"/>
    <cellStyle name="20% - Accent5 48 2 3" xfId="14873"/>
    <cellStyle name="20% - Accent5 48 2 4" xfId="14874"/>
    <cellStyle name="20% - Accent5 48 3" xfId="14875"/>
    <cellStyle name="20% - Accent5 48 3 2" xfId="14876"/>
    <cellStyle name="20% - Accent5 48 3 3" xfId="14877"/>
    <cellStyle name="20% - Accent5 48 4" xfId="14878"/>
    <cellStyle name="20% - Accent5 48 4 2" xfId="14879"/>
    <cellStyle name="20% - Accent5 48 5" xfId="14880"/>
    <cellStyle name="20% - Accent5 48 6" xfId="14881"/>
    <cellStyle name="20% - Accent5 48 7" xfId="14882"/>
    <cellStyle name="20% - Accent5 49" xfId="14883"/>
    <cellStyle name="20% - Accent5 49 2" xfId="14884"/>
    <cellStyle name="20% - Accent5 49 2 2" xfId="14885"/>
    <cellStyle name="20% - Accent5 49 2 3" xfId="14886"/>
    <cellStyle name="20% - Accent5 49 2 4" xfId="14887"/>
    <cellStyle name="20% - Accent5 49 3" xfId="14888"/>
    <cellStyle name="20% - Accent5 49 3 2" xfId="14889"/>
    <cellStyle name="20% - Accent5 49 3 3" xfId="14890"/>
    <cellStyle name="20% - Accent5 49 4" xfId="14891"/>
    <cellStyle name="20% - Accent5 49 4 2" xfId="14892"/>
    <cellStyle name="20% - Accent5 49 5" xfId="14893"/>
    <cellStyle name="20% - Accent5 49 6" xfId="14894"/>
    <cellStyle name="20% - Accent5 49 7" xfId="14895"/>
    <cellStyle name="20% - Accent5 5" xfId="14896"/>
    <cellStyle name="20% - Accent5 5 2" xfId="14897"/>
    <cellStyle name="20% - Accent5 5 3" xfId="14898"/>
    <cellStyle name="20% - Accent5 5 4" xfId="14899"/>
    <cellStyle name="20% - Accent5 5 5" xfId="14900"/>
    <cellStyle name="20% - Accent5 5 6" xfId="14901"/>
    <cellStyle name="20% - Accent5 5 7" xfId="14902"/>
    <cellStyle name="20% - Accent5 5 8" xfId="14903"/>
    <cellStyle name="20% - Accent5 50" xfId="14904"/>
    <cellStyle name="20% - Accent5 50 2" xfId="14905"/>
    <cellStyle name="20% - Accent5 50 2 2" xfId="14906"/>
    <cellStyle name="20% - Accent5 50 2 3" xfId="14907"/>
    <cellStyle name="20% - Accent5 50 2 4" xfId="14908"/>
    <cellStyle name="20% - Accent5 50 3" xfId="14909"/>
    <cellStyle name="20% - Accent5 50 3 2" xfId="14910"/>
    <cellStyle name="20% - Accent5 50 3 3" xfId="14911"/>
    <cellStyle name="20% - Accent5 50 4" xfId="14912"/>
    <cellStyle name="20% - Accent5 50 4 2" xfId="14913"/>
    <cellStyle name="20% - Accent5 50 5" xfId="14914"/>
    <cellStyle name="20% - Accent5 50 6" xfId="14915"/>
    <cellStyle name="20% - Accent5 50 7" xfId="14916"/>
    <cellStyle name="20% - Accent5 51" xfId="14917"/>
    <cellStyle name="20% - Accent5 51 2" xfId="14918"/>
    <cellStyle name="20% - Accent5 51 2 2" xfId="14919"/>
    <cellStyle name="20% - Accent5 51 2 3" xfId="14920"/>
    <cellStyle name="20% - Accent5 51 2 4" xfId="14921"/>
    <cellStyle name="20% - Accent5 51 3" xfId="14922"/>
    <cellStyle name="20% - Accent5 51 3 2" xfId="14923"/>
    <cellStyle name="20% - Accent5 51 3 3" xfId="14924"/>
    <cellStyle name="20% - Accent5 51 4" xfId="14925"/>
    <cellStyle name="20% - Accent5 51 4 2" xfId="14926"/>
    <cellStyle name="20% - Accent5 51 5" xfId="14927"/>
    <cellStyle name="20% - Accent5 51 6" xfId="14928"/>
    <cellStyle name="20% - Accent5 51 7" xfId="14929"/>
    <cellStyle name="20% - Accent5 52" xfId="14930"/>
    <cellStyle name="20% - Accent5 52 2" xfId="14931"/>
    <cellStyle name="20% - Accent5 52 2 2" xfId="14932"/>
    <cellStyle name="20% - Accent5 52 2 3" xfId="14933"/>
    <cellStyle name="20% - Accent5 52 2 4" xfId="14934"/>
    <cellStyle name="20% - Accent5 52 3" xfId="14935"/>
    <cellStyle name="20% - Accent5 52 3 2" xfId="14936"/>
    <cellStyle name="20% - Accent5 52 3 3" xfId="14937"/>
    <cellStyle name="20% - Accent5 52 4" xfId="14938"/>
    <cellStyle name="20% - Accent5 52 4 2" xfId="14939"/>
    <cellStyle name="20% - Accent5 52 5" xfId="14940"/>
    <cellStyle name="20% - Accent5 52 6" xfId="14941"/>
    <cellStyle name="20% - Accent5 52 7" xfId="14942"/>
    <cellStyle name="20% - Accent5 53" xfId="14943"/>
    <cellStyle name="20% - Accent5 53 2" xfId="14944"/>
    <cellStyle name="20% - Accent5 53 2 2" xfId="14945"/>
    <cellStyle name="20% - Accent5 53 2 3" xfId="14946"/>
    <cellStyle name="20% - Accent5 53 2 4" xfId="14947"/>
    <cellStyle name="20% - Accent5 53 3" xfId="14948"/>
    <cellStyle name="20% - Accent5 53 3 2" xfId="14949"/>
    <cellStyle name="20% - Accent5 53 3 3" xfId="14950"/>
    <cellStyle name="20% - Accent5 53 4" xfId="14951"/>
    <cellStyle name="20% - Accent5 53 4 2" xfId="14952"/>
    <cellStyle name="20% - Accent5 53 5" xfId="14953"/>
    <cellStyle name="20% - Accent5 53 6" xfId="14954"/>
    <cellStyle name="20% - Accent5 53 7" xfId="14955"/>
    <cellStyle name="20% - Accent5 54" xfId="14956"/>
    <cellStyle name="20% - Accent5 54 2" xfId="14957"/>
    <cellStyle name="20% - Accent5 54 2 2" xfId="14958"/>
    <cellStyle name="20% - Accent5 54 2 3" xfId="14959"/>
    <cellStyle name="20% - Accent5 54 2 4" xfId="14960"/>
    <cellStyle name="20% - Accent5 54 3" xfId="14961"/>
    <cellStyle name="20% - Accent5 54 3 2" xfId="14962"/>
    <cellStyle name="20% - Accent5 54 3 3" xfId="14963"/>
    <cellStyle name="20% - Accent5 54 4" xfId="14964"/>
    <cellStyle name="20% - Accent5 54 4 2" xfId="14965"/>
    <cellStyle name="20% - Accent5 54 5" xfId="14966"/>
    <cellStyle name="20% - Accent5 54 6" xfId="14967"/>
    <cellStyle name="20% - Accent5 54 7" xfId="14968"/>
    <cellStyle name="20% - Accent5 55" xfId="14969"/>
    <cellStyle name="20% - Accent5 55 2" xfId="14970"/>
    <cellStyle name="20% - Accent5 55 2 2" xfId="14971"/>
    <cellStyle name="20% - Accent5 55 2 3" xfId="14972"/>
    <cellStyle name="20% - Accent5 55 2 4" xfId="14973"/>
    <cellStyle name="20% - Accent5 55 3" xfId="14974"/>
    <cellStyle name="20% - Accent5 55 3 2" xfId="14975"/>
    <cellStyle name="20% - Accent5 55 3 3" xfId="14976"/>
    <cellStyle name="20% - Accent5 55 4" xfId="14977"/>
    <cellStyle name="20% - Accent5 55 4 2" xfId="14978"/>
    <cellStyle name="20% - Accent5 55 5" xfId="14979"/>
    <cellStyle name="20% - Accent5 55 6" xfId="14980"/>
    <cellStyle name="20% - Accent5 55 7" xfId="14981"/>
    <cellStyle name="20% - Accent5 56" xfId="14982"/>
    <cellStyle name="20% - Accent5 56 2" xfId="14983"/>
    <cellStyle name="20% - Accent5 56 2 2" xfId="14984"/>
    <cellStyle name="20% - Accent5 56 2 3" xfId="14985"/>
    <cellStyle name="20% - Accent5 56 2 4" xfId="14986"/>
    <cellStyle name="20% - Accent5 56 3" xfId="14987"/>
    <cellStyle name="20% - Accent5 56 3 2" xfId="14988"/>
    <cellStyle name="20% - Accent5 56 3 3" xfId="14989"/>
    <cellStyle name="20% - Accent5 56 4" xfId="14990"/>
    <cellStyle name="20% - Accent5 56 4 2" xfId="14991"/>
    <cellStyle name="20% - Accent5 56 5" xfId="14992"/>
    <cellStyle name="20% - Accent5 56 6" xfId="14993"/>
    <cellStyle name="20% - Accent5 56 7" xfId="14994"/>
    <cellStyle name="20% - Accent5 57" xfId="14995"/>
    <cellStyle name="20% - Accent5 57 2" xfId="14996"/>
    <cellStyle name="20% - Accent5 57 2 2" xfId="14997"/>
    <cellStyle name="20% - Accent5 57 2 3" xfId="14998"/>
    <cellStyle name="20% - Accent5 57 2 4" xfId="14999"/>
    <cellStyle name="20% - Accent5 57 3" xfId="15000"/>
    <cellStyle name="20% - Accent5 57 3 2" xfId="15001"/>
    <cellStyle name="20% - Accent5 57 3 3" xfId="15002"/>
    <cellStyle name="20% - Accent5 57 4" xfId="15003"/>
    <cellStyle name="20% - Accent5 57 4 2" xfId="15004"/>
    <cellStyle name="20% - Accent5 57 5" xfId="15005"/>
    <cellStyle name="20% - Accent5 57 6" xfId="15006"/>
    <cellStyle name="20% - Accent5 57 7" xfId="15007"/>
    <cellStyle name="20% - Accent5 58" xfId="15008"/>
    <cellStyle name="20% - Accent5 59" xfId="15009"/>
    <cellStyle name="20% - Accent5 6" xfId="15010"/>
    <cellStyle name="20% - Accent5 6 10" xfId="15011"/>
    <cellStyle name="20% - Accent5 6 10 2" xfId="15012"/>
    <cellStyle name="20% - Accent5 6 10 3" xfId="15013"/>
    <cellStyle name="20% - Accent5 6 11" xfId="15014"/>
    <cellStyle name="20% - Accent5 6 11 2" xfId="15015"/>
    <cellStyle name="20% - Accent5 6 12" xfId="15016"/>
    <cellStyle name="20% - Accent5 6 13" xfId="15017"/>
    <cellStyle name="20% - Accent5 6 14" xfId="15018"/>
    <cellStyle name="20% - Accent5 6 2" xfId="15019"/>
    <cellStyle name="20% - Accent5 6 3" xfId="15020"/>
    <cellStyle name="20% - Accent5 6 4" xfId="15021"/>
    <cellStyle name="20% - Accent5 6 5" xfId="15022"/>
    <cellStyle name="20% - Accent5 6 6" xfId="15023"/>
    <cellStyle name="20% - Accent5 6 7" xfId="15024"/>
    <cellStyle name="20% - Accent5 6 8" xfId="15025"/>
    <cellStyle name="20% - Accent5 6 9" xfId="15026"/>
    <cellStyle name="20% - Accent5 6 9 2" xfId="15027"/>
    <cellStyle name="20% - Accent5 6 9 3" xfId="15028"/>
    <cellStyle name="20% - Accent5 6 9 4" xfId="15029"/>
    <cellStyle name="20% - Accent5 60" xfId="15030"/>
    <cellStyle name="20% - Accent5 61" xfId="15031"/>
    <cellStyle name="20% - Accent5 62" xfId="15032"/>
    <cellStyle name="20% - Accent5 63" xfId="15033"/>
    <cellStyle name="20% - Accent5 64" xfId="15034"/>
    <cellStyle name="20% - Accent5 65" xfId="15035"/>
    <cellStyle name="20% - Accent5 65 2" xfId="15036"/>
    <cellStyle name="20% - Accent5 65 2 2" xfId="15037"/>
    <cellStyle name="20% - Accent5 65 2 3" xfId="15038"/>
    <cellStyle name="20% - Accent5 65 2 4" xfId="15039"/>
    <cellStyle name="20% - Accent5 65 3" xfId="15040"/>
    <cellStyle name="20% - Accent5 65 3 2" xfId="15041"/>
    <cellStyle name="20% - Accent5 65 3 3" xfId="15042"/>
    <cellStyle name="20% - Accent5 65 4" xfId="15043"/>
    <cellStyle name="20% - Accent5 65 4 2" xfId="15044"/>
    <cellStyle name="20% - Accent5 65 5" xfId="15045"/>
    <cellStyle name="20% - Accent5 65 6" xfId="15046"/>
    <cellStyle name="20% - Accent5 65 7" xfId="15047"/>
    <cellStyle name="20% - Accent5 66" xfId="15048"/>
    <cellStyle name="20% - Accent5 66 2" xfId="15049"/>
    <cellStyle name="20% - Accent5 66 2 2" xfId="15050"/>
    <cellStyle name="20% - Accent5 66 2 3" xfId="15051"/>
    <cellStyle name="20% - Accent5 66 2 4" xfId="15052"/>
    <cellStyle name="20% - Accent5 66 3" xfId="15053"/>
    <cellStyle name="20% - Accent5 66 3 2" xfId="15054"/>
    <cellStyle name="20% - Accent5 66 3 3" xfId="15055"/>
    <cellStyle name="20% - Accent5 66 4" xfId="15056"/>
    <cellStyle name="20% - Accent5 66 4 2" xfId="15057"/>
    <cellStyle name="20% - Accent5 66 5" xfId="15058"/>
    <cellStyle name="20% - Accent5 66 6" xfId="15059"/>
    <cellStyle name="20% - Accent5 66 7" xfId="15060"/>
    <cellStyle name="20% - Accent5 67" xfId="15061"/>
    <cellStyle name="20% - Accent5 67 2" xfId="15062"/>
    <cellStyle name="20% - Accent5 67 2 2" xfId="15063"/>
    <cellStyle name="20% - Accent5 67 2 3" xfId="15064"/>
    <cellStyle name="20% - Accent5 67 2 4" xfId="15065"/>
    <cellStyle name="20% - Accent5 67 3" xfId="15066"/>
    <cellStyle name="20% - Accent5 67 3 2" xfId="15067"/>
    <cellStyle name="20% - Accent5 67 3 3" xfId="15068"/>
    <cellStyle name="20% - Accent5 67 4" xfId="15069"/>
    <cellStyle name="20% - Accent5 67 4 2" xfId="15070"/>
    <cellStyle name="20% - Accent5 67 5" xfId="15071"/>
    <cellStyle name="20% - Accent5 67 6" xfId="15072"/>
    <cellStyle name="20% - Accent5 67 7" xfId="15073"/>
    <cellStyle name="20% - Accent5 68" xfId="15074"/>
    <cellStyle name="20% - Accent5 68 2" xfId="15075"/>
    <cellStyle name="20% - Accent5 68 2 2" xfId="15076"/>
    <cellStyle name="20% - Accent5 68 2 3" xfId="15077"/>
    <cellStyle name="20% - Accent5 68 2 4" xfId="15078"/>
    <cellStyle name="20% - Accent5 68 3" xfId="15079"/>
    <cellStyle name="20% - Accent5 68 3 2" xfId="15080"/>
    <cellStyle name="20% - Accent5 68 3 3" xfId="15081"/>
    <cellStyle name="20% - Accent5 68 4" xfId="15082"/>
    <cellStyle name="20% - Accent5 68 4 2" xfId="15083"/>
    <cellStyle name="20% - Accent5 68 5" xfId="15084"/>
    <cellStyle name="20% - Accent5 68 6" xfId="15085"/>
    <cellStyle name="20% - Accent5 68 7" xfId="15086"/>
    <cellStyle name="20% - Accent5 69" xfId="15087"/>
    <cellStyle name="20% - Accent5 69 2" xfId="15088"/>
    <cellStyle name="20% - Accent5 69 2 2" xfId="15089"/>
    <cellStyle name="20% - Accent5 69 2 3" xfId="15090"/>
    <cellStyle name="20% - Accent5 69 2 4" xfId="15091"/>
    <cellStyle name="20% - Accent5 69 3" xfId="15092"/>
    <cellStyle name="20% - Accent5 69 3 2" xfId="15093"/>
    <cellStyle name="20% - Accent5 69 3 3" xfId="15094"/>
    <cellStyle name="20% - Accent5 69 4" xfId="15095"/>
    <cellStyle name="20% - Accent5 69 4 2" xfId="15096"/>
    <cellStyle name="20% - Accent5 69 5" xfId="15097"/>
    <cellStyle name="20% - Accent5 69 6" xfId="15098"/>
    <cellStyle name="20% - Accent5 69 7" xfId="15099"/>
    <cellStyle name="20% - Accent5 7" xfId="15100"/>
    <cellStyle name="20% - Accent5 7 2" xfId="15101"/>
    <cellStyle name="20% - Accent5 7 3" xfId="15102"/>
    <cellStyle name="20% - Accent5 7 3 2" xfId="15103"/>
    <cellStyle name="20% - Accent5 7 3 3" xfId="15104"/>
    <cellStyle name="20% - Accent5 7 3 4" xfId="15105"/>
    <cellStyle name="20% - Accent5 7 4" xfId="15106"/>
    <cellStyle name="20% - Accent5 7 4 2" xfId="15107"/>
    <cellStyle name="20% - Accent5 7 4 3" xfId="15108"/>
    <cellStyle name="20% - Accent5 7 5" xfId="15109"/>
    <cellStyle name="20% - Accent5 7 5 2" xfId="15110"/>
    <cellStyle name="20% - Accent5 7 6" xfId="15111"/>
    <cellStyle name="20% - Accent5 7 7" xfId="15112"/>
    <cellStyle name="20% - Accent5 7 8" xfId="15113"/>
    <cellStyle name="20% - Accent5 70" xfId="15114"/>
    <cellStyle name="20% - Accent5 70 2" xfId="15115"/>
    <cellStyle name="20% - Accent5 70 2 2" xfId="15116"/>
    <cellStyle name="20% - Accent5 70 2 3" xfId="15117"/>
    <cellStyle name="20% - Accent5 70 2 4" xfId="15118"/>
    <cellStyle name="20% - Accent5 70 3" xfId="15119"/>
    <cellStyle name="20% - Accent5 70 3 2" xfId="15120"/>
    <cellStyle name="20% - Accent5 70 3 3" xfId="15121"/>
    <cellStyle name="20% - Accent5 70 4" xfId="15122"/>
    <cellStyle name="20% - Accent5 70 4 2" xfId="15123"/>
    <cellStyle name="20% - Accent5 70 5" xfId="15124"/>
    <cellStyle name="20% - Accent5 70 6" xfId="15125"/>
    <cellStyle name="20% - Accent5 70 7" xfId="15126"/>
    <cellStyle name="20% - Accent5 71" xfId="15127"/>
    <cellStyle name="20% - Accent5 71 2" xfId="15128"/>
    <cellStyle name="20% - Accent5 71 2 2" xfId="15129"/>
    <cellStyle name="20% - Accent5 71 2 3" xfId="15130"/>
    <cellStyle name="20% - Accent5 71 2 4" xfId="15131"/>
    <cellStyle name="20% - Accent5 71 3" xfId="15132"/>
    <cellStyle name="20% - Accent5 71 3 2" xfId="15133"/>
    <cellStyle name="20% - Accent5 71 3 3" xfId="15134"/>
    <cellStyle name="20% - Accent5 71 4" xfId="15135"/>
    <cellStyle name="20% - Accent5 71 4 2" xfId="15136"/>
    <cellStyle name="20% - Accent5 71 5" xfId="15137"/>
    <cellStyle name="20% - Accent5 71 6" xfId="15138"/>
    <cellStyle name="20% - Accent5 71 7" xfId="15139"/>
    <cellStyle name="20% - Accent5 72" xfId="15140"/>
    <cellStyle name="20% - Accent5 72 2" xfId="15141"/>
    <cellStyle name="20% - Accent5 72 2 2" xfId="15142"/>
    <cellStyle name="20% - Accent5 72 2 3" xfId="15143"/>
    <cellStyle name="20% - Accent5 72 2 4" xfId="15144"/>
    <cellStyle name="20% - Accent5 72 3" xfId="15145"/>
    <cellStyle name="20% - Accent5 72 3 2" xfId="15146"/>
    <cellStyle name="20% - Accent5 72 3 3" xfId="15147"/>
    <cellStyle name="20% - Accent5 72 4" xfId="15148"/>
    <cellStyle name="20% - Accent5 72 4 2" xfId="15149"/>
    <cellStyle name="20% - Accent5 72 5" xfId="15150"/>
    <cellStyle name="20% - Accent5 72 6" xfId="15151"/>
    <cellStyle name="20% - Accent5 72 7" xfId="15152"/>
    <cellStyle name="20% - Accent5 73" xfId="15153"/>
    <cellStyle name="20% - Accent5 73 2" xfId="15154"/>
    <cellStyle name="20% - Accent5 73 2 2" xfId="15155"/>
    <cellStyle name="20% - Accent5 73 2 3" xfId="15156"/>
    <cellStyle name="20% - Accent5 73 2 4" xfId="15157"/>
    <cellStyle name="20% - Accent5 73 3" xfId="15158"/>
    <cellStyle name="20% - Accent5 73 3 2" xfId="15159"/>
    <cellStyle name="20% - Accent5 73 3 3" xfId="15160"/>
    <cellStyle name="20% - Accent5 73 4" xfId="15161"/>
    <cellStyle name="20% - Accent5 73 4 2" xfId="15162"/>
    <cellStyle name="20% - Accent5 73 5" xfId="15163"/>
    <cellStyle name="20% - Accent5 73 6" xfId="15164"/>
    <cellStyle name="20% - Accent5 73 7" xfId="15165"/>
    <cellStyle name="20% - Accent5 74" xfId="15166"/>
    <cellStyle name="20% - Accent5 74 2" xfId="15167"/>
    <cellStyle name="20% - Accent5 74 2 2" xfId="15168"/>
    <cellStyle name="20% - Accent5 74 2 3" xfId="15169"/>
    <cellStyle name="20% - Accent5 74 2 4" xfId="15170"/>
    <cellStyle name="20% - Accent5 74 3" xfId="15171"/>
    <cellStyle name="20% - Accent5 74 3 2" xfId="15172"/>
    <cellStyle name="20% - Accent5 74 3 3" xfId="15173"/>
    <cellStyle name="20% - Accent5 74 4" xfId="15174"/>
    <cellStyle name="20% - Accent5 74 4 2" xfId="15175"/>
    <cellStyle name="20% - Accent5 74 5" xfId="15176"/>
    <cellStyle name="20% - Accent5 74 6" xfId="15177"/>
    <cellStyle name="20% - Accent5 74 7" xfId="15178"/>
    <cellStyle name="20% - Accent5 75" xfId="15179"/>
    <cellStyle name="20% - Accent5 75 2" xfId="15180"/>
    <cellStyle name="20% - Accent5 75 2 2" xfId="15181"/>
    <cellStyle name="20% - Accent5 75 2 3" xfId="15182"/>
    <cellStyle name="20% - Accent5 75 2 4" xfId="15183"/>
    <cellStyle name="20% - Accent5 75 3" xfId="15184"/>
    <cellStyle name="20% - Accent5 75 3 2" xfId="15185"/>
    <cellStyle name="20% - Accent5 75 3 3" xfId="15186"/>
    <cellStyle name="20% - Accent5 75 4" xfId="15187"/>
    <cellStyle name="20% - Accent5 75 4 2" xfId="15188"/>
    <cellStyle name="20% - Accent5 75 5" xfId="15189"/>
    <cellStyle name="20% - Accent5 75 6" xfId="15190"/>
    <cellStyle name="20% - Accent5 75 7" xfId="15191"/>
    <cellStyle name="20% - Accent5 76" xfId="15192"/>
    <cellStyle name="20% - Accent5 76 2" xfId="15193"/>
    <cellStyle name="20% - Accent5 76 2 2" xfId="15194"/>
    <cellStyle name="20% - Accent5 76 2 3" xfId="15195"/>
    <cellStyle name="20% - Accent5 76 2 4" xfId="15196"/>
    <cellStyle name="20% - Accent5 76 3" xfId="15197"/>
    <cellStyle name="20% - Accent5 76 3 2" xfId="15198"/>
    <cellStyle name="20% - Accent5 76 3 3" xfId="15199"/>
    <cellStyle name="20% - Accent5 76 4" xfId="15200"/>
    <cellStyle name="20% - Accent5 76 4 2" xfId="15201"/>
    <cellStyle name="20% - Accent5 76 5" xfId="15202"/>
    <cellStyle name="20% - Accent5 76 6" xfId="15203"/>
    <cellStyle name="20% - Accent5 76 7" xfId="15204"/>
    <cellStyle name="20% - Accent5 77" xfId="15205"/>
    <cellStyle name="20% - Accent5 77 2" xfId="15206"/>
    <cellStyle name="20% - Accent5 77 2 2" xfId="15207"/>
    <cellStyle name="20% - Accent5 77 2 3" xfId="15208"/>
    <cellStyle name="20% - Accent5 77 2 4" xfId="15209"/>
    <cellStyle name="20% - Accent5 77 3" xfId="15210"/>
    <cellStyle name="20% - Accent5 77 3 2" xfId="15211"/>
    <cellStyle name="20% - Accent5 77 3 3" xfId="15212"/>
    <cellStyle name="20% - Accent5 77 4" xfId="15213"/>
    <cellStyle name="20% - Accent5 77 4 2" xfId="15214"/>
    <cellStyle name="20% - Accent5 77 5" xfId="15215"/>
    <cellStyle name="20% - Accent5 77 6" xfId="15216"/>
    <cellStyle name="20% - Accent5 77 7" xfId="15217"/>
    <cellStyle name="20% - Accent5 78" xfId="15218"/>
    <cellStyle name="20% - Accent5 79" xfId="15219"/>
    <cellStyle name="20% - Accent5 79 2" xfId="15220"/>
    <cellStyle name="20% - Accent5 79 3" xfId="15221"/>
    <cellStyle name="20% - Accent5 8" xfId="15222"/>
    <cellStyle name="20% - Accent5 8 10" xfId="15223"/>
    <cellStyle name="20% - Accent5 8 11" xfId="15224"/>
    <cellStyle name="20% - Accent5 8 2" xfId="15225"/>
    <cellStyle name="20% - Accent5 8 2 10" xfId="15226"/>
    <cellStyle name="20% - Accent5 8 2 2" xfId="15227"/>
    <cellStyle name="20% - Accent5 8 2 2 2" xfId="15228"/>
    <cellStyle name="20% - Accent5 8 2 2 2 2" xfId="15229"/>
    <cellStyle name="20% - Accent5 8 2 2 2 3" xfId="15230"/>
    <cellStyle name="20% - Accent5 8 2 2 2 4" xfId="15231"/>
    <cellStyle name="20% - Accent5 8 2 2 3" xfId="15232"/>
    <cellStyle name="20% - Accent5 8 2 2 3 2" xfId="15233"/>
    <cellStyle name="20% - Accent5 8 2 2 3 3" xfId="15234"/>
    <cellStyle name="20% - Accent5 8 2 2 4" xfId="15235"/>
    <cellStyle name="20% - Accent5 8 2 2 4 2" xfId="15236"/>
    <cellStyle name="20% - Accent5 8 2 2 5" xfId="15237"/>
    <cellStyle name="20% - Accent5 8 2 2 6" xfId="15238"/>
    <cellStyle name="20% - Accent5 8 2 2 7" xfId="15239"/>
    <cellStyle name="20% - Accent5 8 2 3" xfId="15240"/>
    <cellStyle name="20% - Accent5 8 2 3 2" xfId="15241"/>
    <cellStyle name="20% - Accent5 8 2 3 2 2" xfId="15242"/>
    <cellStyle name="20% - Accent5 8 2 3 2 3" xfId="15243"/>
    <cellStyle name="20% - Accent5 8 2 3 2 4" xfId="15244"/>
    <cellStyle name="20% - Accent5 8 2 3 3" xfId="15245"/>
    <cellStyle name="20% - Accent5 8 2 3 3 2" xfId="15246"/>
    <cellStyle name="20% - Accent5 8 2 3 3 3" xfId="15247"/>
    <cellStyle name="20% - Accent5 8 2 3 4" xfId="15248"/>
    <cellStyle name="20% - Accent5 8 2 3 4 2" xfId="15249"/>
    <cellStyle name="20% - Accent5 8 2 3 5" xfId="15250"/>
    <cellStyle name="20% - Accent5 8 2 3 6" xfId="15251"/>
    <cellStyle name="20% - Accent5 8 2 3 7" xfId="15252"/>
    <cellStyle name="20% - Accent5 8 2 4" xfId="15253"/>
    <cellStyle name="20% - Accent5 8 2 4 2" xfId="15254"/>
    <cellStyle name="20% - Accent5 8 2 4 2 2" xfId="15255"/>
    <cellStyle name="20% - Accent5 8 2 4 2 3" xfId="15256"/>
    <cellStyle name="20% - Accent5 8 2 4 2 4" xfId="15257"/>
    <cellStyle name="20% - Accent5 8 2 4 3" xfId="15258"/>
    <cellStyle name="20% - Accent5 8 2 4 3 2" xfId="15259"/>
    <cellStyle name="20% - Accent5 8 2 4 3 3" xfId="15260"/>
    <cellStyle name="20% - Accent5 8 2 4 4" xfId="15261"/>
    <cellStyle name="20% - Accent5 8 2 4 4 2" xfId="15262"/>
    <cellStyle name="20% - Accent5 8 2 4 5" xfId="15263"/>
    <cellStyle name="20% - Accent5 8 2 4 6" xfId="15264"/>
    <cellStyle name="20% - Accent5 8 2 4 7" xfId="15265"/>
    <cellStyle name="20% - Accent5 8 2 5" xfId="15266"/>
    <cellStyle name="20% - Accent5 8 2 5 2" xfId="15267"/>
    <cellStyle name="20% - Accent5 8 2 5 3" xfId="15268"/>
    <cellStyle name="20% - Accent5 8 2 5 4" xfId="15269"/>
    <cellStyle name="20% - Accent5 8 2 6" xfId="15270"/>
    <cellStyle name="20% - Accent5 8 2 6 2" xfId="15271"/>
    <cellStyle name="20% - Accent5 8 2 6 3" xfId="15272"/>
    <cellStyle name="20% - Accent5 8 2 7" xfId="15273"/>
    <cellStyle name="20% - Accent5 8 2 7 2" xfId="15274"/>
    <cellStyle name="20% - Accent5 8 2 8" xfId="15275"/>
    <cellStyle name="20% - Accent5 8 2 9" xfId="15276"/>
    <cellStyle name="20% - Accent5 8 3" xfId="15277"/>
    <cellStyle name="20% - Accent5 8 3 2" xfId="15278"/>
    <cellStyle name="20% - Accent5 8 3 2 2" xfId="15279"/>
    <cellStyle name="20% - Accent5 8 3 2 3" xfId="15280"/>
    <cellStyle name="20% - Accent5 8 3 2 4" xfId="15281"/>
    <cellStyle name="20% - Accent5 8 3 3" xfId="15282"/>
    <cellStyle name="20% - Accent5 8 3 3 2" xfId="15283"/>
    <cellStyle name="20% - Accent5 8 3 3 3" xfId="15284"/>
    <cellStyle name="20% - Accent5 8 3 4" xfId="15285"/>
    <cellStyle name="20% - Accent5 8 3 4 2" xfId="15286"/>
    <cellStyle name="20% - Accent5 8 3 5" xfId="15287"/>
    <cellStyle name="20% - Accent5 8 3 6" xfId="15288"/>
    <cellStyle name="20% - Accent5 8 3 7" xfId="15289"/>
    <cellStyle name="20% - Accent5 8 4" xfId="15290"/>
    <cellStyle name="20% - Accent5 8 4 2" xfId="15291"/>
    <cellStyle name="20% - Accent5 8 4 2 2" xfId="15292"/>
    <cellStyle name="20% - Accent5 8 4 2 3" xfId="15293"/>
    <cellStyle name="20% - Accent5 8 4 2 4" xfId="15294"/>
    <cellStyle name="20% - Accent5 8 4 3" xfId="15295"/>
    <cellStyle name="20% - Accent5 8 4 3 2" xfId="15296"/>
    <cellStyle name="20% - Accent5 8 4 3 3" xfId="15297"/>
    <cellStyle name="20% - Accent5 8 4 4" xfId="15298"/>
    <cellStyle name="20% - Accent5 8 4 4 2" xfId="15299"/>
    <cellStyle name="20% - Accent5 8 4 5" xfId="15300"/>
    <cellStyle name="20% - Accent5 8 4 6" xfId="15301"/>
    <cellStyle name="20% - Accent5 8 4 7" xfId="15302"/>
    <cellStyle name="20% - Accent5 8 5" xfId="15303"/>
    <cellStyle name="20% - Accent5 8 5 2" xfId="15304"/>
    <cellStyle name="20% - Accent5 8 5 2 2" xfId="15305"/>
    <cellStyle name="20% - Accent5 8 5 2 3" xfId="15306"/>
    <cellStyle name="20% - Accent5 8 5 2 4" xfId="15307"/>
    <cellStyle name="20% - Accent5 8 5 3" xfId="15308"/>
    <cellStyle name="20% - Accent5 8 5 3 2" xfId="15309"/>
    <cellStyle name="20% - Accent5 8 5 3 3" xfId="15310"/>
    <cellStyle name="20% - Accent5 8 5 4" xfId="15311"/>
    <cellStyle name="20% - Accent5 8 5 4 2" xfId="15312"/>
    <cellStyle name="20% - Accent5 8 5 5" xfId="15313"/>
    <cellStyle name="20% - Accent5 8 5 6" xfId="15314"/>
    <cellStyle name="20% - Accent5 8 5 7" xfId="15315"/>
    <cellStyle name="20% - Accent5 8 6" xfId="15316"/>
    <cellStyle name="20% - Accent5 8 6 2" xfId="15317"/>
    <cellStyle name="20% - Accent5 8 6 3" xfId="15318"/>
    <cellStyle name="20% - Accent5 8 6 4" xfId="15319"/>
    <cellStyle name="20% - Accent5 8 7" xfId="15320"/>
    <cellStyle name="20% - Accent5 8 7 2" xfId="15321"/>
    <cellStyle name="20% - Accent5 8 7 3" xfId="15322"/>
    <cellStyle name="20% - Accent5 8 8" xfId="15323"/>
    <cellStyle name="20% - Accent5 8 8 2" xfId="15324"/>
    <cellStyle name="20% - Accent5 8 9" xfId="15325"/>
    <cellStyle name="20% - Accent5 80" xfId="15326"/>
    <cellStyle name="20% - Accent5 80 2" xfId="15327"/>
    <cellStyle name="20% - Accent5 80 3" xfId="15328"/>
    <cellStyle name="20% - Accent5 81" xfId="15329"/>
    <cellStyle name="20% - Accent5 81 2" xfId="15330"/>
    <cellStyle name="20% - Accent5 82" xfId="15331"/>
    <cellStyle name="20% - Accent5 83" xfId="15332"/>
    <cellStyle name="20% - Accent5 9" xfId="15333"/>
    <cellStyle name="20% - Accent5 9 10" xfId="15334"/>
    <cellStyle name="20% - Accent5 9 2" xfId="15335"/>
    <cellStyle name="20% - Accent5 9 2 2" xfId="15336"/>
    <cellStyle name="20% - Accent5 9 2 2 2" xfId="15337"/>
    <cellStyle name="20% - Accent5 9 2 2 3" xfId="15338"/>
    <cellStyle name="20% - Accent5 9 2 2 4" xfId="15339"/>
    <cellStyle name="20% - Accent5 9 2 3" xfId="15340"/>
    <cellStyle name="20% - Accent5 9 2 3 2" xfId="15341"/>
    <cellStyle name="20% - Accent5 9 2 3 3" xfId="15342"/>
    <cellStyle name="20% - Accent5 9 2 4" xfId="15343"/>
    <cellStyle name="20% - Accent5 9 2 4 2" xfId="15344"/>
    <cellStyle name="20% - Accent5 9 2 5" xfId="15345"/>
    <cellStyle name="20% - Accent5 9 2 6" xfId="15346"/>
    <cellStyle name="20% - Accent5 9 2 7" xfId="15347"/>
    <cellStyle name="20% - Accent5 9 3" xfId="15348"/>
    <cellStyle name="20% - Accent5 9 3 2" xfId="15349"/>
    <cellStyle name="20% - Accent5 9 3 2 2" xfId="15350"/>
    <cellStyle name="20% - Accent5 9 3 2 3" xfId="15351"/>
    <cellStyle name="20% - Accent5 9 3 2 4" xfId="15352"/>
    <cellStyle name="20% - Accent5 9 3 3" xfId="15353"/>
    <cellStyle name="20% - Accent5 9 3 3 2" xfId="15354"/>
    <cellStyle name="20% - Accent5 9 3 3 3" xfId="15355"/>
    <cellStyle name="20% - Accent5 9 3 4" xfId="15356"/>
    <cellStyle name="20% - Accent5 9 3 4 2" xfId="15357"/>
    <cellStyle name="20% - Accent5 9 3 5" xfId="15358"/>
    <cellStyle name="20% - Accent5 9 3 6" xfId="15359"/>
    <cellStyle name="20% - Accent5 9 3 7" xfId="15360"/>
    <cellStyle name="20% - Accent5 9 4" xfId="15361"/>
    <cellStyle name="20% - Accent5 9 4 2" xfId="15362"/>
    <cellStyle name="20% - Accent5 9 4 2 2" xfId="15363"/>
    <cellStyle name="20% - Accent5 9 4 2 3" xfId="15364"/>
    <cellStyle name="20% - Accent5 9 4 2 4" xfId="15365"/>
    <cellStyle name="20% - Accent5 9 4 3" xfId="15366"/>
    <cellStyle name="20% - Accent5 9 4 3 2" xfId="15367"/>
    <cellStyle name="20% - Accent5 9 4 3 3" xfId="15368"/>
    <cellStyle name="20% - Accent5 9 4 4" xfId="15369"/>
    <cellStyle name="20% - Accent5 9 4 4 2" xfId="15370"/>
    <cellStyle name="20% - Accent5 9 4 5" xfId="15371"/>
    <cellStyle name="20% - Accent5 9 4 6" xfId="15372"/>
    <cellStyle name="20% - Accent5 9 4 7" xfId="15373"/>
    <cellStyle name="20% - Accent5 9 5" xfId="15374"/>
    <cellStyle name="20% - Accent5 9 5 2" xfId="15375"/>
    <cellStyle name="20% - Accent5 9 5 3" xfId="15376"/>
    <cellStyle name="20% - Accent5 9 6" xfId="15377"/>
    <cellStyle name="20% - Accent5 9 6 2" xfId="15378"/>
    <cellStyle name="20% - Accent5 9 6 3" xfId="15379"/>
    <cellStyle name="20% - Accent5 9 7" xfId="15380"/>
    <cellStyle name="20% - Accent5 9 7 2" xfId="15381"/>
    <cellStyle name="20% - Accent5 9 8" xfId="15382"/>
    <cellStyle name="20% - Accent5 9 9" xfId="15383"/>
    <cellStyle name="20% - Accent6 10" xfId="15384"/>
    <cellStyle name="20% - Accent6 10 2" xfId="15385"/>
    <cellStyle name="20% - Accent6 10 2 2" xfId="15386"/>
    <cellStyle name="20% - Accent6 10 2 3" xfId="15387"/>
    <cellStyle name="20% - Accent6 10 2 4" xfId="15388"/>
    <cellStyle name="20% - Accent6 10 3" xfId="15389"/>
    <cellStyle name="20% - Accent6 10 3 2" xfId="15390"/>
    <cellStyle name="20% - Accent6 10 3 3" xfId="15391"/>
    <cellStyle name="20% - Accent6 10 4" xfId="15392"/>
    <cellStyle name="20% - Accent6 10 4 2" xfId="15393"/>
    <cellStyle name="20% - Accent6 10 5" xfId="15394"/>
    <cellStyle name="20% - Accent6 10 6" xfId="15395"/>
    <cellStyle name="20% - Accent6 10 7" xfId="15396"/>
    <cellStyle name="20% - Accent6 11" xfId="15397"/>
    <cellStyle name="20% - Accent6 11 2" xfId="15398"/>
    <cellStyle name="20% - Accent6 11 2 2" xfId="15399"/>
    <cellStyle name="20% - Accent6 11 2 3" xfId="15400"/>
    <cellStyle name="20% - Accent6 11 2 4" xfId="15401"/>
    <cellStyle name="20% - Accent6 11 3" xfId="15402"/>
    <cellStyle name="20% - Accent6 11 3 2" xfId="15403"/>
    <cellStyle name="20% - Accent6 11 3 3" xfId="15404"/>
    <cellStyle name="20% - Accent6 11 4" xfId="15405"/>
    <cellStyle name="20% - Accent6 11 4 2" xfId="15406"/>
    <cellStyle name="20% - Accent6 11 5" xfId="15407"/>
    <cellStyle name="20% - Accent6 11 6" xfId="15408"/>
    <cellStyle name="20% - Accent6 11 7" xfId="15409"/>
    <cellStyle name="20% - Accent6 12" xfId="15410"/>
    <cellStyle name="20% - Accent6 12 2" xfId="15411"/>
    <cellStyle name="20% - Accent6 12 2 2" xfId="15412"/>
    <cellStyle name="20% - Accent6 12 2 3" xfId="15413"/>
    <cellStyle name="20% - Accent6 12 2 4" xfId="15414"/>
    <cellStyle name="20% - Accent6 12 3" xfId="15415"/>
    <cellStyle name="20% - Accent6 12 3 2" xfId="15416"/>
    <cellStyle name="20% - Accent6 12 3 3" xfId="15417"/>
    <cellStyle name="20% - Accent6 12 4" xfId="15418"/>
    <cellStyle name="20% - Accent6 12 4 2" xfId="15419"/>
    <cellStyle name="20% - Accent6 12 5" xfId="15420"/>
    <cellStyle name="20% - Accent6 12 6" xfId="15421"/>
    <cellStyle name="20% - Accent6 12 7" xfId="15422"/>
    <cellStyle name="20% - Accent6 13" xfId="15423"/>
    <cellStyle name="20% - Accent6 13 2" xfId="15424"/>
    <cellStyle name="20% - Accent6 13 3" xfId="15425"/>
    <cellStyle name="20% - Accent6 13 4" xfId="15426"/>
    <cellStyle name="20% - Accent6 14" xfId="15427"/>
    <cellStyle name="20% - Accent6 14 10" xfId="15428"/>
    <cellStyle name="20% - Accent6 14 2" xfId="15429"/>
    <cellStyle name="20% - Accent6 14 2 2" xfId="15430"/>
    <cellStyle name="20% - Accent6 14 2 2 2" xfId="15431"/>
    <cellStyle name="20% - Accent6 14 2 2 2 2" xfId="15432"/>
    <cellStyle name="20% - Accent6 14 2 2 2 2 2" xfId="15433"/>
    <cellStyle name="20% - Accent6 14 2 2 2 2 2 2" xfId="15434"/>
    <cellStyle name="20% - Accent6 14 2 2 2 3" xfId="15435"/>
    <cellStyle name="20% - Accent6 14 2 2 2 3 2" xfId="15436"/>
    <cellStyle name="20% - Accent6 14 2 2 3" xfId="15437"/>
    <cellStyle name="20% - Accent6 14 2 2 3 2" xfId="15438"/>
    <cellStyle name="20% - Accent6 14 2 2 3 2 2" xfId="15439"/>
    <cellStyle name="20% - Accent6 14 2 2 4" xfId="15440"/>
    <cellStyle name="20% - Accent6 14 2 2 4 2" xfId="15441"/>
    <cellStyle name="20% - Accent6 14 2 2 5" xfId="15442"/>
    <cellStyle name="20% - Accent6 14 2 2 6" xfId="15443"/>
    <cellStyle name="20% - Accent6 14 2 2 7" xfId="15444"/>
    <cellStyle name="20% - Accent6 14 2 3" xfId="15445"/>
    <cellStyle name="20% - Accent6 14 2 3 2" xfId="15446"/>
    <cellStyle name="20% - Accent6 14 2 3 2 2" xfId="15447"/>
    <cellStyle name="20% - Accent6 14 2 3 2 2 2" xfId="15448"/>
    <cellStyle name="20% - Accent6 14 2 3 3" xfId="15449"/>
    <cellStyle name="20% - Accent6 14 2 3 3 2" xfId="15450"/>
    <cellStyle name="20% - Accent6 14 2 3 4" xfId="15451"/>
    <cellStyle name="20% - Accent6 14 2 3 5" xfId="15452"/>
    <cellStyle name="20% - Accent6 14 2 3 6" xfId="15453"/>
    <cellStyle name="20% - Accent6 14 2 4" xfId="15454"/>
    <cellStyle name="20% - Accent6 14 2 4 2" xfId="15455"/>
    <cellStyle name="20% - Accent6 14 2 4 2 2" xfId="15456"/>
    <cellStyle name="20% - Accent6 14 2 4 3" xfId="15457"/>
    <cellStyle name="20% - Accent6 14 2 5" xfId="15458"/>
    <cellStyle name="20% - Accent6 14 2 5 2" xfId="15459"/>
    <cellStyle name="20% - Accent6 14 2 6" xfId="15460"/>
    <cellStyle name="20% - Accent6 14 2 7" xfId="15461"/>
    <cellStyle name="20% - Accent6 14 2 8" xfId="15462"/>
    <cellStyle name="20% - Accent6 14 2 9" xfId="15463"/>
    <cellStyle name="20% - Accent6 14 3" xfId="15464"/>
    <cellStyle name="20% - Accent6 14 3 2" xfId="15465"/>
    <cellStyle name="20% - Accent6 14 3 2 2" xfId="15466"/>
    <cellStyle name="20% - Accent6 14 3 2 2 2" xfId="15467"/>
    <cellStyle name="20% - Accent6 14 3 2 2 2 2" xfId="15468"/>
    <cellStyle name="20% - Accent6 14 3 2 3" xfId="15469"/>
    <cellStyle name="20% - Accent6 14 3 2 3 2" xfId="15470"/>
    <cellStyle name="20% - Accent6 14 3 2 4" xfId="15471"/>
    <cellStyle name="20% - Accent6 14 3 2 5" xfId="15472"/>
    <cellStyle name="20% - Accent6 14 3 2 6" xfId="15473"/>
    <cellStyle name="20% - Accent6 14 3 3" xfId="15474"/>
    <cellStyle name="20% - Accent6 14 3 3 2" xfId="15475"/>
    <cellStyle name="20% - Accent6 14 3 3 2 2" xfId="15476"/>
    <cellStyle name="20% - Accent6 14 3 3 3" xfId="15477"/>
    <cellStyle name="20% - Accent6 14 3 3 4" xfId="15478"/>
    <cellStyle name="20% - Accent6 14 3 3 5" xfId="15479"/>
    <cellStyle name="20% - Accent6 14 3 4" xfId="15480"/>
    <cellStyle name="20% - Accent6 14 3 4 2" xfId="15481"/>
    <cellStyle name="20% - Accent6 14 3 4 3" xfId="15482"/>
    <cellStyle name="20% - Accent6 14 3 5" xfId="15483"/>
    <cellStyle name="20% - Accent6 14 3 6" xfId="15484"/>
    <cellStyle name="20% - Accent6 14 3 7" xfId="15485"/>
    <cellStyle name="20% - Accent6 14 3 8" xfId="15486"/>
    <cellStyle name="20% - Accent6 14 4" xfId="15487"/>
    <cellStyle name="20% - Accent6 14 4 2" xfId="15488"/>
    <cellStyle name="20% - Accent6 14 4 2 2" xfId="15489"/>
    <cellStyle name="20% - Accent6 14 4 2 2 2" xfId="15490"/>
    <cellStyle name="20% - Accent6 14 4 3" xfId="15491"/>
    <cellStyle name="20% - Accent6 14 4 3 2" xfId="15492"/>
    <cellStyle name="20% - Accent6 14 4 4" xfId="15493"/>
    <cellStyle name="20% - Accent6 14 4 5" xfId="15494"/>
    <cellStyle name="20% - Accent6 14 4 6" xfId="15495"/>
    <cellStyle name="20% - Accent6 14 5" xfId="15496"/>
    <cellStyle name="20% - Accent6 14 5 2" xfId="15497"/>
    <cellStyle name="20% - Accent6 14 5 2 2" xfId="15498"/>
    <cellStyle name="20% - Accent6 14 5 3" xfId="15499"/>
    <cellStyle name="20% - Accent6 14 5 4" xfId="15500"/>
    <cellStyle name="20% - Accent6 14 5 5" xfId="15501"/>
    <cellStyle name="20% - Accent6 14 6" xfId="15502"/>
    <cellStyle name="20% - Accent6 14 6 2" xfId="15503"/>
    <cellStyle name="20% - Accent6 14 6 3" xfId="15504"/>
    <cellStyle name="20% - Accent6 14 7" xfId="15505"/>
    <cellStyle name="20% - Accent6 14 8" xfId="15506"/>
    <cellStyle name="20% - Accent6 14 9" xfId="15507"/>
    <cellStyle name="20% - Accent6 15" xfId="15508"/>
    <cellStyle name="20% - Accent6 15 2" xfId="15509"/>
    <cellStyle name="20% - Accent6 15 2 2" xfId="15510"/>
    <cellStyle name="20% - Accent6 15 2 3" xfId="15511"/>
    <cellStyle name="20% - Accent6 15 2 4" xfId="15512"/>
    <cellStyle name="20% - Accent6 15 3" xfId="15513"/>
    <cellStyle name="20% - Accent6 15 3 2" xfId="15514"/>
    <cellStyle name="20% - Accent6 15 3 3" xfId="15515"/>
    <cellStyle name="20% - Accent6 15 4" xfId="15516"/>
    <cellStyle name="20% - Accent6 15 4 2" xfId="15517"/>
    <cellStyle name="20% - Accent6 15 5" xfId="15518"/>
    <cellStyle name="20% - Accent6 15 6" xfId="15519"/>
    <cellStyle name="20% - Accent6 15 7" xfId="15520"/>
    <cellStyle name="20% - Accent6 16" xfId="15521"/>
    <cellStyle name="20% - Accent6 16 2" xfId="15522"/>
    <cellStyle name="20% - Accent6 16 2 2" xfId="15523"/>
    <cellStyle name="20% - Accent6 16 2 3" xfId="15524"/>
    <cellStyle name="20% - Accent6 16 2 4" xfId="15525"/>
    <cellStyle name="20% - Accent6 16 3" xfId="15526"/>
    <cellStyle name="20% - Accent6 16 3 2" xfId="15527"/>
    <cellStyle name="20% - Accent6 16 3 3" xfId="15528"/>
    <cellStyle name="20% - Accent6 16 4" xfId="15529"/>
    <cellStyle name="20% - Accent6 16 4 2" xfId="15530"/>
    <cellStyle name="20% - Accent6 16 5" xfId="15531"/>
    <cellStyle name="20% - Accent6 16 6" xfId="15532"/>
    <cellStyle name="20% - Accent6 16 7" xfId="15533"/>
    <cellStyle name="20% - Accent6 17" xfId="15534"/>
    <cellStyle name="20% - Accent6 17 2" xfId="15535"/>
    <cellStyle name="20% - Accent6 17 2 2" xfId="15536"/>
    <cellStyle name="20% - Accent6 17 2 3" xfId="15537"/>
    <cellStyle name="20% - Accent6 17 2 4" xfId="15538"/>
    <cellStyle name="20% - Accent6 17 3" xfId="15539"/>
    <cellStyle name="20% - Accent6 17 3 2" xfId="15540"/>
    <cellStyle name="20% - Accent6 17 3 3" xfId="15541"/>
    <cellStyle name="20% - Accent6 17 4" xfId="15542"/>
    <cellStyle name="20% - Accent6 17 4 2" xfId="15543"/>
    <cellStyle name="20% - Accent6 17 5" xfId="15544"/>
    <cellStyle name="20% - Accent6 17 6" xfId="15545"/>
    <cellStyle name="20% - Accent6 17 7" xfId="15546"/>
    <cellStyle name="20% - Accent6 18" xfId="15547"/>
    <cellStyle name="20% - Accent6 18 2" xfId="15548"/>
    <cellStyle name="20% - Accent6 18 2 2" xfId="15549"/>
    <cellStyle name="20% - Accent6 18 2 3" xfId="15550"/>
    <cellStyle name="20% - Accent6 18 2 4" xfId="15551"/>
    <cellStyle name="20% - Accent6 18 3" xfId="15552"/>
    <cellStyle name="20% - Accent6 18 3 2" xfId="15553"/>
    <cellStyle name="20% - Accent6 18 3 3" xfId="15554"/>
    <cellStyle name="20% - Accent6 18 4" xfId="15555"/>
    <cellStyle name="20% - Accent6 18 4 2" xfId="15556"/>
    <cellStyle name="20% - Accent6 18 5" xfId="15557"/>
    <cellStyle name="20% - Accent6 18 6" xfId="15558"/>
    <cellStyle name="20% - Accent6 18 7" xfId="15559"/>
    <cellStyle name="20% - Accent6 19" xfId="15560"/>
    <cellStyle name="20% - Accent6 19 2" xfId="15561"/>
    <cellStyle name="20% - Accent6 19 2 2" xfId="15562"/>
    <cellStyle name="20% - Accent6 19 2 3" xfId="15563"/>
    <cellStyle name="20% - Accent6 19 2 4" xfId="15564"/>
    <cellStyle name="20% - Accent6 19 3" xfId="15565"/>
    <cellStyle name="20% - Accent6 19 3 2" xfId="15566"/>
    <cellStyle name="20% - Accent6 19 3 3" xfId="15567"/>
    <cellStyle name="20% - Accent6 19 4" xfId="15568"/>
    <cellStyle name="20% - Accent6 19 4 2" xfId="15569"/>
    <cellStyle name="20% - Accent6 19 5" xfId="15570"/>
    <cellStyle name="20% - Accent6 19 6" xfId="15571"/>
    <cellStyle name="20% - Accent6 19 7" xfId="15572"/>
    <cellStyle name="20% - Accent6 2" xfId="15573"/>
    <cellStyle name="20% - Accent6 2 10" xfId="15574"/>
    <cellStyle name="20% - Accent6 2 10 2" xfId="15575"/>
    <cellStyle name="20% - Accent6 2 10 2 2" xfId="15576"/>
    <cellStyle name="20% - Accent6 2 10 2 2 2" xfId="15577"/>
    <cellStyle name="20% - Accent6 2 10 2 2 2 2" xfId="15578"/>
    <cellStyle name="20% - Accent6 2 10 2 2 2 2 2" xfId="15579"/>
    <cellStyle name="20% - Accent6 2 10 2 2 2 2 2 2" xfId="15580"/>
    <cellStyle name="20% - Accent6 2 10 2 2 2 3" xfId="15581"/>
    <cellStyle name="20% - Accent6 2 10 2 2 2 3 2" xfId="15582"/>
    <cellStyle name="20% - Accent6 2 10 2 2 3" xfId="15583"/>
    <cellStyle name="20% - Accent6 2 10 2 2 3 2" xfId="15584"/>
    <cellStyle name="20% - Accent6 2 10 2 2 3 2 2" xfId="15585"/>
    <cellStyle name="20% - Accent6 2 10 2 2 4" xfId="15586"/>
    <cellStyle name="20% - Accent6 2 10 2 2 4 2" xfId="15587"/>
    <cellStyle name="20% - Accent6 2 10 2 3" xfId="15588"/>
    <cellStyle name="20% - Accent6 2 10 2 3 2" xfId="15589"/>
    <cellStyle name="20% - Accent6 2 10 2 3 2 2" xfId="15590"/>
    <cellStyle name="20% - Accent6 2 10 2 3 2 2 2" xfId="15591"/>
    <cellStyle name="20% - Accent6 2 10 2 3 3" xfId="15592"/>
    <cellStyle name="20% - Accent6 2 10 2 3 3 2" xfId="15593"/>
    <cellStyle name="20% - Accent6 2 10 2 4" xfId="15594"/>
    <cellStyle name="20% - Accent6 2 10 2 4 2" xfId="15595"/>
    <cellStyle name="20% - Accent6 2 10 2 4 2 2" xfId="15596"/>
    <cellStyle name="20% - Accent6 2 10 2 5" xfId="15597"/>
    <cellStyle name="20% - Accent6 2 10 2 5 2" xfId="15598"/>
    <cellStyle name="20% - Accent6 2 10 3" xfId="15599"/>
    <cellStyle name="20% - Accent6 2 10 3 2" xfId="15600"/>
    <cellStyle name="20% - Accent6 2 10 3 2 2" xfId="15601"/>
    <cellStyle name="20% - Accent6 2 10 3 2 2 2" xfId="15602"/>
    <cellStyle name="20% - Accent6 2 10 3 2 2 2 2" xfId="15603"/>
    <cellStyle name="20% - Accent6 2 10 3 2 3" xfId="15604"/>
    <cellStyle name="20% - Accent6 2 10 3 2 3 2" xfId="15605"/>
    <cellStyle name="20% - Accent6 2 10 3 3" xfId="15606"/>
    <cellStyle name="20% - Accent6 2 10 3 3 2" xfId="15607"/>
    <cellStyle name="20% - Accent6 2 10 3 3 2 2" xfId="15608"/>
    <cellStyle name="20% - Accent6 2 10 3 4" xfId="15609"/>
    <cellStyle name="20% - Accent6 2 10 3 4 2" xfId="15610"/>
    <cellStyle name="20% - Accent6 2 10 4" xfId="15611"/>
    <cellStyle name="20% - Accent6 2 10 4 2" xfId="15612"/>
    <cellStyle name="20% - Accent6 2 10 4 2 2" xfId="15613"/>
    <cellStyle name="20% - Accent6 2 10 4 2 2 2" xfId="15614"/>
    <cellStyle name="20% - Accent6 2 10 4 3" xfId="15615"/>
    <cellStyle name="20% - Accent6 2 10 4 3 2" xfId="15616"/>
    <cellStyle name="20% - Accent6 2 10 5" xfId="15617"/>
    <cellStyle name="20% - Accent6 2 10 5 2" xfId="15618"/>
    <cellStyle name="20% - Accent6 2 10 5 2 2" xfId="15619"/>
    <cellStyle name="20% - Accent6 2 10 6" xfId="15620"/>
    <cellStyle name="20% - Accent6 2 10 6 2" xfId="15621"/>
    <cellStyle name="20% - Accent6 2 11" xfId="15622"/>
    <cellStyle name="20% - Accent6 2 11 2" xfId="15623"/>
    <cellStyle name="20% - Accent6 2 11 2 2" xfId="15624"/>
    <cellStyle name="20% - Accent6 2 11 2 2 2" xfId="15625"/>
    <cellStyle name="20% - Accent6 2 11 2 2 2 2" xfId="15626"/>
    <cellStyle name="20% - Accent6 2 11 2 2 2 2 2" xfId="15627"/>
    <cellStyle name="20% - Accent6 2 11 2 2 2 2 2 2" xfId="15628"/>
    <cellStyle name="20% - Accent6 2 11 2 2 2 3" xfId="15629"/>
    <cellStyle name="20% - Accent6 2 11 2 2 2 3 2" xfId="15630"/>
    <cellStyle name="20% - Accent6 2 11 2 2 3" xfId="15631"/>
    <cellStyle name="20% - Accent6 2 11 2 2 3 2" xfId="15632"/>
    <cellStyle name="20% - Accent6 2 11 2 2 3 2 2" xfId="15633"/>
    <cellStyle name="20% - Accent6 2 11 2 2 4" xfId="15634"/>
    <cellStyle name="20% - Accent6 2 11 2 2 4 2" xfId="15635"/>
    <cellStyle name="20% - Accent6 2 11 2 3" xfId="15636"/>
    <cellStyle name="20% - Accent6 2 11 2 3 2" xfId="15637"/>
    <cellStyle name="20% - Accent6 2 11 2 3 2 2" xfId="15638"/>
    <cellStyle name="20% - Accent6 2 11 2 3 2 2 2" xfId="15639"/>
    <cellStyle name="20% - Accent6 2 11 2 3 3" xfId="15640"/>
    <cellStyle name="20% - Accent6 2 11 2 3 3 2" xfId="15641"/>
    <cellStyle name="20% - Accent6 2 11 2 4" xfId="15642"/>
    <cellStyle name="20% - Accent6 2 11 2 4 2" xfId="15643"/>
    <cellStyle name="20% - Accent6 2 11 2 4 2 2" xfId="15644"/>
    <cellStyle name="20% - Accent6 2 11 2 5" xfId="15645"/>
    <cellStyle name="20% - Accent6 2 11 2 5 2" xfId="15646"/>
    <cellStyle name="20% - Accent6 2 11 3" xfId="15647"/>
    <cellStyle name="20% - Accent6 2 11 3 2" xfId="15648"/>
    <cellStyle name="20% - Accent6 2 11 3 2 2" xfId="15649"/>
    <cellStyle name="20% - Accent6 2 11 3 2 2 2" xfId="15650"/>
    <cellStyle name="20% - Accent6 2 11 3 2 2 2 2" xfId="15651"/>
    <cellStyle name="20% - Accent6 2 11 3 2 3" xfId="15652"/>
    <cellStyle name="20% - Accent6 2 11 3 2 3 2" xfId="15653"/>
    <cellStyle name="20% - Accent6 2 11 3 3" xfId="15654"/>
    <cellStyle name="20% - Accent6 2 11 3 3 2" xfId="15655"/>
    <cellStyle name="20% - Accent6 2 11 3 3 2 2" xfId="15656"/>
    <cellStyle name="20% - Accent6 2 11 3 4" xfId="15657"/>
    <cellStyle name="20% - Accent6 2 11 3 4 2" xfId="15658"/>
    <cellStyle name="20% - Accent6 2 11 4" xfId="15659"/>
    <cellStyle name="20% - Accent6 2 11 4 2" xfId="15660"/>
    <cellStyle name="20% - Accent6 2 11 4 2 2" xfId="15661"/>
    <cellStyle name="20% - Accent6 2 11 4 2 2 2" xfId="15662"/>
    <cellStyle name="20% - Accent6 2 11 4 3" xfId="15663"/>
    <cellStyle name="20% - Accent6 2 11 4 3 2" xfId="15664"/>
    <cellStyle name="20% - Accent6 2 11 5" xfId="15665"/>
    <cellStyle name="20% - Accent6 2 11 5 2" xfId="15666"/>
    <cellStyle name="20% - Accent6 2 11 5 2 2" xfId="15667"/>
    <cellStyle name="20% - Accent6 2 11 6" xfId="15668"/>
    <cellStyle name="20% - Accent6 2 11 6 2" xfId="15669"/>
    <cellStyle name="20% - Accent6 2 12" xfId="15670"/>
    <cellStyle name="20% - Accent6 2 12 2" xfId="15671"/>
    <cellStyle name="20% - Accent6 2 12 2 2" xfId="15672"/>
    <cellStyle name="20% - Accent6 2 12 2 2 2" xfId="15673"/>
    <cellStyle name="20% - Accent6 2 12 2 2 2 2" xfId="15674"/>
    <cellStyle name="20% - Accent6 2 12 2 2 2 2 2" xfId="15675"/>
    <cellStyle name="20% - Accent6 2 12 2 2 2 2 2 2" xfId="15676"/>
    <cellStyle name="20% - Accent6 2 12 2 2 2 3" xfId="15677"/>
    <cellStyle name="20% - Accent6 2 12 2 2 2 3 2" xfId="15678"/>
    <cellStyle name="20% - Accent6 2 12 2 2 3" xfId="15679"/>
    <cellStyle name="20% - Accent6 2 12 2 2 3 2" xfId="15680"/>
    <cellStyle name="20% - Accent6 2 12 2 2 3 2 2" xfId="15681"/>
    <cellStyle name="20% - Accent6 2 12 2 2 4" xfId="15682"/>
    <cellStyle name="20% - Accent6 2 12 2 2 4 2" xfId="15683"/>
    <cellStyle name="20% - Accent6 2 12 2 3" xfId="15684"/>
    <cellStyle name="20% - Accent6 2 12 2 3 2" xfId="15685"/>
    <cellStyle name="20% - Accent6 2 12 2 3 2 2" xfId="15686"/>
    <cellStyle name="20% - Accent6 2 12 2 3 2 2 2" xfId="15687"/>
    <cellStyle name="20% - Accent6 2 12 2 3 3" xfId="15688"/>
    <cellStyle name="20% - Accent6 2 12 2 3 3 2" xfId="15689"/>
    <cellStyle name="20% - Accent6 2 12 2 4" xfId="15690"/>
    <cellStyle name="20% - Accent6 2 12 2 4 2" xfId="15691"/>
    <cellStyle name="20% - Accent6 2 12 2 4 2 2" xfId="15692"/>
    <cellStyle name="20% - Accent6 2 12 2 5" xfId="15693"/>
    <cellStyle name="20% - Accent6 2 12 2 5 2" xfId="15694"/>
    <cellStyle name="20% - Accent6 2 12 3" xfId="15695"/>
    <cellStyle name="20% - Accent6 2 12 3 2" xfId="15696"/>
    <cellStyle name="20% - Accent6 2 12 3 2 2" xfId="15697"/>
    <cellStyle name="20% - Accent6 2 12 3 2 2 2" xfId="15698"/>
    <cellStyle name="20% - Accent6 2 12 3 2 2 2 2" xfId="15699"/>
    <cellStyle name="20% - Accent6 2 12 3 2 3" xfId="15700"/>
    <cellStyle name="20% - Accent6 2 12 3 2 3 2" xfId="15701"/>
    <cellStyle name="20% - Accent6 2 12 3 3" xfId="15702"/>
    <cellStyle name="20% - Accent6 2 12 3 3 2" xfId="15703"/>
    <cellStyle name="20% - Accent6 2 12 3 3 2 2" xfId="15704"/>
    <cellStyle name="20% - Accent6 2 12 3 4" xfId="15705"/>
    <cellStyle name="20% - Accent6 2 12 3 4 2" xfId="15706"/>
    <cellStyle name="20% - Accent6 2 12 4" xfId="15707"/>
    <cellStyle name="20% - Accent6 2 12 4 2" xfId="15708"/>
    <cellStyle name="20% - Accent6 2 12 4 2 2" xfId="15709"/>
    <cellStyle name="20% - Accent6 2 12 4 2 2 2" xfId="15710"/>
    <cellStyle name="20% - Accent6 2 12 4 3" xfId="15711"/>
    <cellStyle name="20% - Accent6 2 12 4 3 2" xfId="15712"/>
    <cellStyle name="20% - Accent6 2 12 5" xfId="15713"/>
    <cellStyle name="20% - Accent6 2 12 5 2" xfId="15714"/>
    <cellStyle name="20% - Accent6 2 12 5 2 2" xfId="15715"/>
    <cellStyle name="20% - Accent6 2 12 6" xfId="15716"/>
    <cellStyle name="20% - Accent6 2 12 6 2" xfId="15717"/>
    <cellStyle name="20% - Accent6 2 13" xfId="15718"/>
    <cellStyle name="20% - Accent6 2 13 2" xfId="15719"/>
    <cellStyle name="20% - Accent6 2 13 2 2" xfId="15720"/>
    <cellStyle name="20% - Accent6 2 13 2 2 2" xfId="15721"/>
    <cellStyle name="20% - Accent6 2 13 2 2 2 2" xfId="15722"/>
    <cellStyle name="20% - Accent6 2 13 2 2 2 2 2" xfId="15723"/>
    <cellStyle name="20% - Accent6 2 13 2 2 2 2 2 2" xfId="15724"/>
    <cellStyle name="20% - Accent6 2 13 2 2 2 3" xfId="15725"/>
    <cellStyle name="20% - Accent6 2 13 2 2 2 3 2" xfId="15726"/>
    <cellStyle name="20% - Accent6 2 13 2 2 3" xfId="15727"/>
    <cellStyle name="20% - Accent6 2 13 2 2 3 2" xfId="15728"/>
    <cellStyle name="20% - Accent6 2 13 2 2 3 2 2" xfId="15729"/>
    <cellStyle name="20% - Accent6 2 13 2 2 4" xfId="15730"/>
    <cellStyle name="20% - Accent6 2 13 2 2 4 2" xfId="15731"/>
    <cellStyle name="20% - Accent6 2 13 2 3" xfId="15732"/>
    <cellStyle name="20% - Accent6 2 13 2 3 2" xfId="15733"/>
    <cellStyle name="20% - Accent6 2 13 2 3 2 2" xfId="15734"/>
    <cellStyle name="20% - Accent6 2 13 2 3 2 2 2" xfId="15735"/>
    <cellStyle name="20% - Accent6 2 13 2 3 3" xfId="15736"/>
    <cellStyle name="20% - Accent6 2 13 2 3 3 2" xfId="15737"/>
    <cellStyle name="20% - Accent6 2 13 2 4" xfId="15738"/>
    <cellStyle name="20% - Accent6 2 13 2 4 2" xfId="15739"/>
    <cellStyle name="20% - Accent6 2 13 2 4 2 2" xfId="15740"/>
    <cellStyle name="20% - Accent6 2 13 2 5" xfId="15741"/>
    <cellStyle name="20% - Accent6 2 13 2 5 2" xfId="15742"/>
    <cellStyle name="20% - Accent6 2 13 3" xfId="15743"/>
    <cellStyle name="20% - Accent6 2 13 3 2" xfId="15744"/>
    <cellStyle name="20% - Accent6 2 13 3 2 2" xfId="15745"/>
    <cellStyle name="20% - Accent6 2 13 3 2 2 2" xfId="15746"/>
    <cellStyle name="20% - Accent6 2 13 3 2 2 2 2" xfId="15747"/>
    <cellStyle name="20% - Accent6 2 13 3 2 3" xfId="15748"/>
    <cellStyle name="20% - Accent6 2 13 3 2 3 2" xfId="15749"/>
    <cellStyle name="20% - Accent6 2 13 3 3" xfId="15750"/>
    <cellStyle name="20% - Accent6 2 13 3 3 2" xfId="15751"/>
    <cellStyle name="20% - Accent6 2 13 3 3 2 2" xfId="15752"/>
    <cellStyle name="20% - Accent6 2 13 3 4" xfId="15753"/>
    <cellStyle name="20% - Accent6 2 13 3 4 2" xfId="15754"/>
    <cellStyle name="20% - Accent6 2 13 4" xfId="15755"/>
    <cellStyle name="20% - Accent6 2 13 4 2" xfId="15756"/>
    <cellStyle name="20% - Accent6 2 13 4 2 2" xfId="15757"/>
    <cellStyle name="20% - Accent6 2 13 4 2 2 2" xfId="15758"/>
    <cellStyle name="20% - Accent6 2 13 4 3" xfId="15759"/>
    <cellStyle name="20% - Accent6 2 13 4 3 2" xfId="15760"/>
    <cellStyle name="20% - Accent6 2 13 5" xfId="15761"/>
    <cellStyle name="20% - Accent6 2 13 5 2" xfId="15762"/>
    <cellStyle name="20% - Accent6 2 13 5 2 2" xfId="15763"/>
    <cellStyle name="20% - Accent6 2 13 6" xfId="15764"/>
    <cellStyle name="20% - Accent6 2 13 6 2" xfId="15765"/>
    <cellStyle name="20% - Accent6 2 14" xfId="15766"/>
    <cellStyle name="20% - Accent6 2 14 2" xfId="15767"/>
    <cellStyle name="20% - Accent6 2 14 2 2" xfId="15768"/>
    <cellStyle name="20% - Accent6 2 14 2 2 2" xfId="15769"/>
    <cellStyle name="20% - Accent6 2 14 2 2 2 2" xfId="15770"/>
    <cellStyle name="20% - Accent6 2 14 2 2 2 2 2" xfId="15771"/>
    <cellStyle name="20% - Accent6 2 14 2 2 3" xfId="15772"/>
    <cellStyle name="20% - Accent6 2 14 2 2 3 2" xfId="15773"/>
    <cellStyle name="20% - Accent6 2 14 2 3" xfId="15774"/>
    <cellStyle name="20% - Accent6 2 14 2 3 2" xfId="15775"/>
    <cellStyle name="20% - Accent6 2 14 2 3 2 2" xfId="15776"/>
    <cellStyle name="20% - Accent6 2 14 2 4" xfId="15777"/>
    <cellStyle name="20% - Accent6 2 14 2 4 2" xfId="15778"/>
    <cellStyle name="20% - Accent6 2 14 3" xfId="15779"/>
    <cellStyle name="20% - Accent6 2 14 3 2" xfId="15780"/>
    <cellStyle name="20% - Accent6 2 14 3 2 2" xfId="15781"/>
    <cellStyle name="20% - Accent6 2 14 3 2 2 2" xfId="15782"/>
    <cellStyle name="20% - Accent6 2 14 3 3" xfId="15783"/>
    <cellStyle name="20% - Accent6 2 14 3 3 2" xfId="15784"/>
    <cellStyle name="20% - Accent6 2 14 4" xfId="15785"/>
    <cellStyle name="20% - Accent6 2 14 4 2" xfId="15786"/>
    <cellStyle name="20% - Accent6 2 14 4 2 2" xfId="15787"/>
    <cellStyle name="20% - Accent6 2 14 5" xfId="15788"/>
    <cellStyle name="20% - Accent6 2 14 5 2" xfId="15789"/>
    <cellStyle name="20% - Accent6 2 15" xfId="15790"/>
    <cellStyle name="20% - Accent6 2 15 2" xfId="15791"/>
    <cellStyle name="20% - Accent6 2 15 2 2" xfId="15792"/>
    <cellStyle name="20% - Accent6 2 15 2 2 2" xfId="15793"/>
    <cellStyle name="20% - Accent6 2 15 2 2 2 2" xfId="15794"/>
    <cellStyle name="20% - Accent6 2 15 2 3" xfId="15795"/>
    <cellStyle name="20% - Accent6 2 15 2 3 2" xfId="15796"/>
    <cellStyle name="20% - Accent6 2 15 3" xfId="15797"/>
    <cellStyle name="20% - Accent6 2 15 3 2" xfId="15798"/>
    <cellStyle name="20% - Accent6 2 15 3 2 2" xfId="15799"/>
    <cellStyle name="20% - Accent6 2 15 4" xfId="15800"/>
    <cellStyle name="20% - Accent6 2 15 4 2" xfId="15801"/>
    <cellStyle name="20% - Accent6 2 16" xfId="15802"/>
    <cellStyle name="20% - Accent6 2 16 2" xfId="15803"/>
    <cellStyle name="20% - Accent6 2 16 2 2" xfId="15804"/>
    <cellStyle name="20% - Accent6 2 16 2 2 2" xfId="15805"/>
    <cellStyle name="20% - Accent6 2 16 3" xfId="15806"/>
    <cellStyle name="20% - Accent6 2 16 3 2" xfId="15807"/>
    <cellStyle name="20% - Accent6 2 17" xfId="15808"/>
    <cellStyle name="20% - Accent6 2 17 2" xfId="15809"/>
    <cellStyle name="20% - Accent6 2 17 2 2" xfId="15810"/>
    <cellStyle name="20% - Accent6 2 18" xfId="15811"/>
    <cellStyle name="20% - Accent6 2 19" xfId="15812"/>
    <cellStyle name="20% - Accent6 2 19 2" xfId="15813"/>
    <cellStyle name="20% - Accent6 2 2" xfId="15814"/>
    <cellStyle name="20% - Accent6 2 2 2" xfId="15815"/>
    <cellStyle name="20% - Accent6 2 2 2 2" xfId="15816"/>
    <cellStyle name="20% - Accent6 2 2 2 2 2" xfId="15817"/>
    <cellStyle name="20% - Accent6 2 2 2 2 2 2" xfId="15818"/>
    <cellStyle name="20% - Accent6 2 2 2 2 2 2 2" xfId="15819"/>
    <cellStyle name="20% - Accent6 2 2 2 2 2 2 2 2" xfId="15820"/>
    <cellStyle name="20% - Accent6 2 2 2 2 2 3" xfId="15821"/>
    <cellStyle name="20% - Accent6 2 2 2 2 2 3 2" xfId="15822"/>
    <cellStyle name="20% - Accent6 2 2 2 2 3" xfId="15823"/>
    <cellStyle name="20% - Accent6 2 2 2 2 3 2" xfId="15824"/>
    <cellStyle name="20% - Accent6 2 2 2 2 3 2 2" xfId="15825"/>
    <cellStyle name="20% - Accent6 2 2 2 2 4" xfId="15826"/>
    <cellStyle name="20% - Accent6 2 2 2 2 4 2" xfId="15827"/>
    <cellStyle name="20% - Accent6 2 2 2 3" xfId="15828"/>
    <cellStyle name="20% - Accent6 2 2 2 3 2" xfId="15829"/>
    <cellStyle name="20% - Accent6 2 2 2 3 2 2" xfId="15830"/>
    <cellStyle name="20% - Accent6 2 2 2 3 2 2 2" xfId="15831"/>
    <cellStyle name="20% - Accent6 2 2 2 3 3" xfId="15832"/>
    <cellStyle name="20% - Accent6 2 2 2 3 3 2" xfId="15833"/>
    <cellStyle name="20% - Accent6 2 2 2 4" xfId="15834"/>
    <cellStyle name="20% - Accent6 2 2 2 4 2" xfId="15835"/>
    <cellStyle name="20% - Accent6 2 2 2 4 2 2" xfId="15836"/>
    <cellStyle name="20% - Accent6 2 2 2 5" xfId="15837"/>
    <cellStyle name="20% - Accent6 2 2 2 5 2" xfId="15838"/>
    <cellStyle name="20% - Accent6 2 2 3" xfId="15839"/>
    <cellStyle name="20% - Accent6 2 2 3 2" xfId="15840"/>
    <cellStyle name="20% - Accent6 2 2 3 2 2" xfId="15841"/>
    <cellStyle name="20% - Accent6 2 2 3 2 2 2" xfId="15842"/>
    <cellStyle name="20% - Accent6 2 2 3 2 2 2 2" xfId="15843"/>
    <cellStyle name="20% - Accent6 2 2 3 2 3" xfId="15844"/>
    <cellStyle name="20% - Accent6 2 2 3 2 3 2" xfId="15845"/>
    <cellStyle name="20% - Accent6 2 2 3 3" xfId="15846"/>
    <cellStyle name="20% - Accent6 2 2 3 3 2" xfId="15847"/>
    <cellStyle name="20% - Accent6 2 2 3 3 2 2" xfId="15848"/>
    <cellStyle name="20% - Accent6 2 2 3 4" xfId="15849"/>
    <cellStyle name="20% - Accent6 2 2 3 4 2" xfId="15850"/>
    <cellStyle name="20% - Accent6 2 2 4" xfId="15851"/>
    <cellStyle name="20% - Accent6 2 2 4 2" xfId="15852"/>
    <cellStyle name="20% - Accent6 2 2 4 2 2" xfId="15853"/>
    <cellStyle name="20% - Accent6 2 2 4 2 2 2" xfId="15854"/>
    <cellStyle name="20% - Accent6 2 2 4 3" xfId="15855"/>
    <cellStyle name="20% - Accent6 2 2 4 3 2" xfId="15856"/>
    <cellStyle name="20% - Accent6 2 2 5" xfId="15857"/>
    <cellStyle name="20% - Accent6 2 2 5 2" xfId="15858"/>
    <cellStyle name="20% - Accent6 2 2 5 2 2" xfId="15859"/>
    <cellStyle name="20% - Accent6 2 2 6" xfId="15860"/>
    <cellStyle name="20% - Accent6 2 2 6 2" xfId="15861"/>
    <cellStyle name="20% - Accent6 2 2 7" xfId="15862"/>
    <cellStyle name="20% - Accent6 2 3" xfId="15863"/>
    <cellStyle name="20% - Accent6 2 3 2" xfId="15864"/>
    <cellStyle name="20% - Accent6 2 3 2 2" xfId="15865"/>
    <cellStyle name="20% - Accent6 2 3 2 2 2" xfId="15866"/>
    <cellStyle name="20% - Accent6 2 3 2 2 2 2" xfId="15867"/>
    <cellStyle name="20% - Accent6 2 3 2 2 2 2 2" xfId="15868"/>
    <cellStyle name="20% - Accent6 2 3 2 2 2 2 2 2" xfId="15869"/>
    <cellStyle name="20% - Accent6 2 3 2 2 2 3" xfId="15870"/>
    <cellStyle name="20% - Accent6 2 3 2 2 2 3 2" xfId="15871"/>
    <cellStyle name="20% - Accent6 2 3 2 2 3" xfId="15872"/>
    <cellStyle name="20% - Accent6 2 3 2 2 3 2" xfId="15873"/>
    <cellStyle name="20% - Accent6 2 3 2 2 3 2 2" xfId="15874"/>
    <cellStyle name="20% - Accent6 2 3 2 2 4" xfId="15875"/>
    <cellStyle name="20% - Accent6 2 3 2 2 4 2" xfId="15876"/>
    <cellStyle name="20% - Accent6 2 3 2 3" xfId="15877"/>
    <cellStyle name="20% - Accent6 2 3 2 3 2" xfId="15878"/>
    <cellStyle name="20% - Accent6 2 3 2 3 2 2" xfId="15879"/>
    <cellStyle name="20% - Accent6 2 3 2 3 2 2 2" xfId="15880"/>
    <cellStyle name="20% - Accent6 2 3 2 3 3" xfId="15881"/>
    <cellStyle name="20% - Accent6 2 3 2 3 3 2" xfId="15882"/>
    <cellStyle name="20% - Accent6 2 3 2 4" xfId="15883"/>
    <cellStyle name="20% - Accent6 2 3 2 4 2" xfId="15884"/>
    <cellStyle name="20% - Accent6 2 3 2 4 2 2" xfId="15885"/>
    <cellStyle name="20% - Accent6 2 3 2 5" xfId="15886"/>
    <cellStyle name="20% - Accent6 2 3 2 5 2" xfId="15887"/>
    <cellStyle name="20% - Accent6 2 3 3" xfId="15888"/>
    <cellStyle name="20% - Accent6 2 3 3 2" xfId="15889"/>
    <cellStyle name="20% - Accent6 2 3 3 2 2" xfId="15890"/>
    <cellStyle name="20% - Accent6 2 3 3 2 2 2" xfId="15891"/>
    <cellStyle name="20% - Accent6 2 3 3 2 2 2 2" xfId="15892"/>
    <cellStyle name="20% - Accent6 2 3 3 2 3" xfId="15893"/>
    <cellStyle name="20% - Accent6 2 3 3 2 3 2" xfId="15894"/>
    <cellStyle name="20% - Accent6 2 3 3 3" xfId="15895"/>
    <cellStyle name="20% - Accent6 2 3 3 3 2" xfId="15896"/>
    <cellStyle name="20% - Accent6 2 3 3 3 2 2" xfId="15897"/>
    <cellStyle name="20% - Accent6 2 3 3 4" xfId="15898"/>
    <cellStyle name="20% - Accent6 2 3 3 4 2" xfId="15899"/>
    <cellStyle name="20% - Accent6 2 3 4" xfId="15900"/>
    <cellStyle name="20% - Accent6 2 3 4 2" xfId="15901"/>
    <cellStyle name="20% - Accent6 2 3 4 2 2" xfId="15902"/>
    <cellStyle name="20% - Accent6 2 3 4 2 2 2" xfId="15903"/>
    <cellStyle name="20% - Accent6 2 3 4 3" xfId="15904"/>
    <cellStyle name="20% - Accent6 2 3 4 3 2" xfId="15905"/>
    <cellStyle name="20% - Accent6 2 3 5" xfId="15906"/>
    <cellStyle name="20% - Accent6 2 3 5 2" xfId="15907"/>
    <cellStyle name="20% - Accent6 2 3 5 2 2" xfId="15908"/>
    <cellStyle name="20% - Accent6 2 3 6" xfId="15909"/>
    <cellStyle name="20% - Accent6 2 3 6 2" xfId="15910"/>
    <cellStyle name="20% - Accent6 2 3 7" xfId="15911"/>
    <cellStyle name="20% - Accent6 2 4" xfId="15912"/>
    <cellStyle name="20% - Accent6 2 4 2" xfId="15913"/>
    <cellStyle name="20% - Accent6 2 4 2 2" xfId="15914"/>
    <cellStyle name="20% - Accent6 2 4 2 2 2" xfId="15915"/>
    <cellStyle name="20% - Accent6 2 4 2 2 2 2" xfId="15916"/>
    <cellStyle name="20% - Accent6 2 4 2 2 2 2 2" xfId="15917"/>
    <cellStyle name="20% - Accent6 2 4 2 2 2 2 2 2" xfId="15918"/>
    <cellStyle name="20% - Accent6 2 4 2 2 2 3" xfId="15919"/>
    <cellStyle name="20% - Accent6 2 4 2 2 2 3 2" xfId="15920"/>
    <cellStyle name="20% - Accent6 2 4 2 2 3" xfId="15921"/>
    <cellStyle name="20% - Accent6 2 4 2 2 3 2" xfId="15922"/>
    <cellStyle name="20% - Accent6 2 4 2 2 3 2 2" xfId="15923"/>
    <cellStyle name="20% - Accent6 2 4 2 2 4" xfId="15924"/>
    <cellStyle name="20% - Accent6 2 4 2 2 4 2" xfId="15925"/>
    <cellStyle name="20% - Accent6 2 4 2 3" xfId="15926"/>
    <cellStyle name="20% - Accent6 2 4 2 3 2" xfId="15927"/>
    <cellStyle name="20% - Accent6 2 4 2 3 2 2" xfId="15928"/>
    <cellStyle name="20% - Accent6 2 4 2 3 2 2 2" xfId="15929"/>
    <cellStyle name="20% - Accent6 2 4 2 3 3" xfId="15930"/>
    <cellStyle name="20% - Accent6 2 4 2 3 3 2" xfId="15931"/>
    <cellStyle name="20% - Accent6 2 4 2 4" xfId="15932"/>
    <cellStyle name="20% - Accent6 2 4 2 4 2" xfId="15933"/>
    <cellStyle name="20% - Accent6 2 4 2 4 2 2" xfId="15934"/>
    <cellStyle name="20% - Accent6 2 4 2 5" xfId="15935"/>
    <cellStyle name="20% - Accent6 2 4 2 5 2" xfId="15936"/>
    <cellStyle name="20% - Accent6 2 4 3" xfId="15937"/>
    <cellStyle name="20% - Accent6 2 4 3 2" xfId="15938"/>
    <cellStyle name="20% - Accent6 2 4 3 2 2" xfId="15939"/>
    <cellStyle name="20% - Accent6 2 4 3 2 2 2" xfId="15940"/>
    <cellStyle name="20% - Accent6 2 4 3 2 2 2 2" xfId="15941"/>
    <cellStyle name="20% - Accent6 2 4 3 2 3" xfId="15942"/>
    <cellStyle name="20% - Accent6 2 4 3 2 3 2" xfId="15943"/>
    <cellStyle name="20% - Accent6 2 4 3 3" xfId="15944"/>
    <cellStyle name="20% - Accent6 2 4 3 3 2" xfId="15945"/>
    <cellStyle name="20% - Accent6 2 4 3 3 2 2" xfId="15946"/>
    <cellStyle name="20% - Accent6 2 4 3 4" xfId="15947"/>
    <cellStyle name="20% - Accent6 2 4 3 4 2" xfId="15948"/>
    <cellStyle name="20% - Accent6 2 4 4" xfId="15949"/>
    <cellStyle name="20% - Accent6 2 4 4 2" xfId="15950"/>
    <cellStyle name="20% - Accent6 2 4 4 2 2" xfId="15951"/>
    <cellStyle name="20% - Accent6 2 4 4 2 2 2" xfId="15952"/>
    <cellStyle name="20% - Accent6 2 4 4 3" xfId="15953"/>
    <cellStyle name="20% - Accent6 2 4 4 3 2" xfId="15954"/>
    <cellStyle name="20% - Accent6 2 4 5" xfId="15955"/>
    <cellStyle name="20% - Accent6 2 4 5 2" xfId="15956"/>
    <cellStyle name="20% - Accent6 2 4 5 2 2" xfId="15957"/>
    <cellStyle name="20% - Accent6 2 4 6" xfId="15958"/>
    <cellStyle name="20% - Accent6 2 4 6 2" xfId="15959"/>
    <cellStyle name="20% - Accent6 2 4 7" xfId="15960"/>
    <cellStyle name="20% - Accent6 2 5" xfId="15961"/>
    <cellStyle name="20% - Accent6 2 5 2" xfId="15962"/>
    <cellStyle name="20% - Accent6 2 5 2 2" xfId="15963"/>
    <cellStyle name="20% - Accent6 2 5 2 2 2" xfId="15964"/>
    <cellStyle name="20% - Accent6 2 5 2 2 2 2" xfId="15965"/>
    <cellStyle name="20% - Accent6 2 5 2 2 2 2 2" xfId="15966"/>
    <cellStyle name="20% - Accent6 2 5 2 2 2 2 2 2" xfId="15967"/>
    <cellStyle name="20% - Accent6 2 5 2 2 2 3" xfId="15968"/>
    <cellStyle name="20% - Accent6 2 5 2 2 2 3 2" xfId="15969"/>
    <cellStyle name="20% - Accent6 2 5 2 2 3" xfId="15970"/>
    <cellStyle name="20% - Accent6 2 5 2 2 3 2" xfId="15971"/>
    <cellStyle name="20% - Accent6 2 5 2 2 3 2 2" xfId="15972"/>
    <cellStyle name="20% - Accent6 2 5 2 2 4" xfId="15973"/>
    <cellStyle name="20% - Accent6 2 5 2 2 4 2" xfId="15974"/>
    <cellStyle name="20% - Accent6 2 5 2 3" xfId="15975"/>
    <cellStyle name="20% - Accent6 2 5 2 3 2" xfId="15976"/>
    <cellStyle name="20% - Accent6 2 5 2 3 2 2" xfId="15977"/>
    <cellStyle name="20% - Accent6 2 5 2 3 2 2 2" xfId="15978"/>
    <cellStyle name="20% - Accent6 2 5 2 3 3" xfId="15979"/>
    <cellStyle name="20% - Accent6 2 5 2 3 3 2" xfId="15980"/>
    <cellStyle name="20% - Accent6 2 5 2 4" xfId="15981"/>
    <cellStyle name="20% - Accent6 2 5 2 4 2" xfId="15982"/>
    <cellStyle name="20% - Accent6 2 5 2 4 2 2" xfId="15983"/>
    <cellStyle name="20% - Accent6 2 5 2 5" xfId="15984"/>
    <cellStyle name="20% - Accent6 2 5 2 5 2" xfId="15985"/>
    <cellStyle name="20% - Accent6 2 5 3" xfId="15986"/>
    <cellStyle name="20% - Accent6 2 5 3 2" xfId="15987"/>
    <cellStyle name="20% - Accent6 2 5 3 2 2" xfId="15988"/>
    <cellStyle name="20% - Accent6 2 5 3 2 2 2" xfId="15989"/>
    <cellStyle name="20% - Accent6 2 5 3 2 2 2 2" xfId="15990"/>
    <cellStyle name="20% - Accent6 2 5 3 2 3" xfId="15991"/>
    <cellStyle name="20% - Accent6 2 5 3 2 3 2" xfId="15992"/>
    <cellStyle name="20% - Accent6 2 5 3 3" xfId="15993"/>
    <cellStyle name="20% - Accent6 2 5 3 3 2" xfId="15994"/>
    <cellStyle name="20% - Accent6 2 5 3 3 2 2" xfId="15995"/>
    <cellStyle name="20% - Accent6 2 5 3 4" xfId="15996"/>
    <cellStyle name="20% - Accent6 2 5 3 4 2" xfId="15997"/>
    <cellStyle name="20% - Accent6 2 5 4" xfId="15998"/>
    <cellStyle name="20% - Accent6 2 5 4 2" xfId="15999"/>
    <cellStyle name="20% - Accent6 2 5 4 2 2" xfId="16000"/>
    <cellStyle name="20% - Accent6 2 5 4 2 2 2" xfId="16001"/>
    <cellStyle name="20% - Accent6 2 5 4 3" xfId="16002"/>
    <cellStyle name="20% - Accent6 2 5 4 3 2" xfId="16003"/>
    <cellStyle name="20% - Accent6 2 5 5" xfId="16004"/>
    <cellStyle name="20% - Accent6 2 5 5 2" xfId="16005"/>
    <cellStyle name="20% - Accent6 2 5 5 2 2" xfId="16006"/>
    <cellStyle name="20% - Accent6 2 5 6" xfId="16007"/>
    <cellStyle name="20% - Accent6 2 5 6 2" xfId="16008"/>
    <cellStyle name="20% - Accent6 2 5 7" xfId="16009"/>
    <cellStyle name="20% - Accent6 2 6" xfId="16010"/>
    <cellStyle name="20% - Accent6 2 6 2" xfId="16011"/>
    <cellStyle name="20% - Accent6 2 6 2 2" xfId="16012"/>
    <cellStyle name="20% - Accent6 2 6 2 2 2" xfId="16013"/>
    <cellStyle name="20% - Accent6 2 6 2 2 2 2" xfId="16014"/>
    <cellStyle name="20% - Accent6 2 6 2 2 2 2 2" xfId="16015"/>
    <cellStyle name="20% - Accent6 2 6 2 2 2 2 2 2" xfId="16016"/>
    <cellStyle name="20% - Accent6 2 6 2 2 2 3" xfId="16017"/>
    <cellStyle name="20% - Accent6 2 6 2 2 2 3 2" xfId="16018"/>
    <cellStyle name="20% - Accent6 2 6 2 2 3" xfId="16019"/>
    <cellStyle name="20% - Accent6 2 6 2 2 3 2" xfId="16020"/>
    <cellStyle name="20% - Accent6 2 6 2 2 3 2 2" xfId="16021"/>
    <cellStyle name="20% - Accent6 2 6 2 2 4" xfId="16022"/>
    <cellStyle name="20% - Accent6 2 6 2 2 4 2" xfId="16023"/>
    <cellStyle name="20% - Accent6 2 6 2 3" xfId="16024"/>
    <cellStyle name="20% - Accent6 2 6 2 3 2" xfId="16025"/>
    <cellStyle name="20% - Accent6 2 6 2 3 2 2" xfId="16026"/>
    <cellStyle name="20% - Accent6 2 6 2 3 2 2 2" xfId="16027"/>
    <cellStyle name="20% - Accent6 2 6 2 3 3" xfId="16028"/>
    <cellStyle name="20% - Accent6 2 6 2 3 3 2" xfId="16029"/>
    <cellStyle name="20% - Accent6 2 6 2 4" xfId="16030"/>
    <cellStyle name="20% - Accent6 2 6 2 4 2" xfId="16031"/>
    <cellStyle name="20% - Accent6 2 6 2 4 2 2" xfId="16032"/>
    <cellStyle name="20% - Accent6 2 6 2 5" xfId="16033"/>
    <cellStyle name="20% - Accent6 2 6 2 5 2" xfId="16034"/>
    <cellStyle name="20% - Accent6 2 6 3" xfId="16035"/>
    <cellStyle name="20% - Accent6 2 6 3 2" xfId="16036"/>
    <cellStyle name="20% - Accent6 2 6 3 2 2" xfId="16037"/>
    <cellStyle name="20% - Accent6 2 6 3 2 2 2" xfId="16038"/>
    <cellStyle name="20% - Accent6 2 6 3 2 2 2 2" xfId="16039"/>
    <cellStyle name="20% - Accent6 2 6 3 2 3" xfId="16040"/>
    <cellStyle name="20% - Accent6 2 6 3 2 3 2" xfId="16041"/>
    <cellStyle name="20% - Accent6 2 6 3 3" xfId="16042"/>
    <cellStyle name="20% - Accent6 2 6 3 3 2" xfId="16043"/>
    <cellStyle name="20% - Accent6 2 6 3 3 2 2" xfId="16044"/>
    <cellStyle name="20% - Accent6 2 6 3 4" xfId="16045"/>
    <cellStyle name="20% - Accent6 2 6 3 4 2" xfId="16046"/>
    <cellStyle name="20% - Accent6 2 6 4" xfId="16047"/>
    <cellStyle name="20% - Accent6 2 6 4 2" xfId="16048"/>
    <cellStyle name="20% - Accent6 2 6 4 2 2" xfId="16049"/>
    <cellStyle name="20% - Accent6 2 6 4 2 2 2" xfId="16050"/>
    <cellStyle name="20% - Accent6 2 6 4 3" xfId="16051"/>
    <cellStyle name="20% - Accent6 2 6 4 3 2" xfId="16052"/>
    <cellStyle name="20% - Accent6 2 6 5" xfId="16053"/>
    <cellStyle name="20% - Accent6 2 6 5 2" xfId="16054"/>
    <cellStyle name="20% - Accent6 2 6 5 2 2" xfId="16055"/>
    <cellStyle name="20% - Accent6 2 6 6" xfId="16056"/>
    <cellStyle name="20% - Accent6 2 6 6 2" xfId="16057"/>
    <cellStyle name="20% - Accent6 2 6 7" xfId="16058"/>
    <cellStyle name="20% - Accent6 2 7" xfId="16059"/>
    <cellStyle name="20% - Accent6 2 7 2" xfId="16060"/>
    <cellStyle name="20% - Accent6 2 7 2 2" xfId="16061"/>
    <cellStyle name="20% - Accent6 2 7 2 2 2" xfId="16062"/>
    <cellStyle name="20% - Accent6 2 7 2 2 2 2" xfId="16063"/>
    <cellStyle name="20% - Accent6 2 7 2 2 2 2 2" xfId="16064"/>
    <cellStyle name="20% - Accent6 2 7 2 2 2 2 2 2" xfId="16065"/>
    <cellStyle name="20% - Accent6 2 7 2 2 2 3" xfId="16066"/>
    <cellStyle name="20% - Accent6 2 7 2 2 2 3 2" xfId="16067"/>
    <cellStyle name="20% - Accent6 2 7 2 2 3" xfId="16068"/>
    <cellStyle name="20% - Accent6 2 7 2 2 3 2" xfId="16069"/>
    <cellStyle name="20% - Accent6 2 7 2 2 3 2 2" xfId="16070"/>
    <cellStyle name="20% - Accent6 2 7 2 2 4" xfId="16071"/>
    <cellStyle name="20% - Accent6 2 7 2 2 4 2" xfId="16072"/>
    <cellStyle name="20% - Accent6 2 7 2 3" xfId="16073"/>
    <cellStyle name="20% - Accent6 2 7 2 3 2" xfId="16074"/>
    <cellStyle name="20% - Accent6 2 7 2 3 2 2" xfId="16075"/>
    <cellStyle name="20% - Accent6 2 7 2 3 2 2 2" xfId="16076"/>
    <cellStyle name="20% - Accent6 2 7 2 3 3" xfId="16077"/>
    <cellStyle name="20% - Accent6 2 7 2 3 3 2" xfId="16078"/>
    <cellStyle name="20% - Accent6 2 7 2 4" xfId="16079"/>
    <cellStyle name="20% - Accent6 2 7 2 4 2" xfId="16080"/>
    <cellStyle name="20% - Accent6 2 7 2 4 2 2" xfId="16081"/>
    <cellStyle name="20% - Accent6 2 7 2 5" xfId="16082"/>
    <cellStyle name="20% - Accent6 2 7 2 5 2" xfId="16083"/>
    <cellStyle name="20% - Accent6 2 7 3" xfId="16084"/>
    <cellStyle name="20% - Accent6 2 7 3 2" xfId="16085"/>
    <cellStyle name="20% - Accent6 2 7 3 2 2" xfId="16086"/>
    <cellStyle name="20% - Accent6 2 7 3 2 2 2" xfId="16087"/>
    <cellStyle name="20% - Accent6 2 7 3 2 2 2 2" xfId="16088"/>
    <cellStyle name="20% - Accent6 2 7 3 2 3" xfId="16089"/>
    <cellStyle name="20% - Accent6 2 7 3 2 3 2" xfId="16090"/>
    <cellStyle name="20% - Accent6 2 7 3 3" xfId="16091"/>
    <cellStyle name="20% - Accent6 2 7 3 3 2" xfId="16092"/>
    <cellStyle name="20% - Accent6 2 7 3 3 2 2" xfId="16093"/>
    <cellStyle name="20% - Accent6 2 7 3 4" xfId="16094"/>
    <cellStyle name="20% - Accent6 2 7 3 4 2" xfId="16095"/>
    <cellStyle name="20% - Accent6 2 7 4" xfId="16096"/>
    <cellStyle name="20% - Accent6 2 7 4 2" xfId="16097"/>
    <cellStyle name="20% - Accent6 2 7 4 2 2" xfId="16098"/>
    <cellStyle name="20% - Accent6 2 7 4 2 2 2" xfId="16099"/>
    <cellStyle name="20% - Accent6 2 7 4 3" xfId="16100"/>
    <cellStyle name="20% - Accent6 2 7 4 3 2" xfId="16101"/>
    <cellStyle name="20% - Accent6 2 7 5" xfId="16102"/>
    <cellStyle name="20% - Accent6 2 7 5 2" xfId="16103"/>
    <cellStyle name="20% - Accent6 2 7 5 2 2" xfId="16104"/>
    <cellStyle name="20% - Accent6 2 7 6" xfId="16105"/>
    <cellStyle name="20% - Accent6 2 7 6 2" xfId="16106"/>
    <cellStyle name="20% - Accent6 2 7 7" xfId="16107"/>
    <cellStyle name="20% - Accent6 2 8" xfId="16108"/>
    <cellStyle name="20% - Accent6 2 8 2" xfId="16109"/>
    <cellStyle name="20% - Accent6 2 8 2 2" xfId="16110"/>
    <cellStyle name="20% - Accent6 2 8 2 2 2" xfId="16111"/>
    <cellStyle name="20% - Accent6 2 8 2 2 2 2" xfId="16112"/>
    <cellStyle name="20% - Accent6 2 8 2 2 2 2 2" xfId="16113"/>
    <cellStyle name="20% - Accent6 2 8 2 2 2 2 2 2" xfId="16114"/>
    <cellStyle name="20% - Accent6 2 8 2 2 2 3" xfId="16115"/>
    <cellStyle name="20% - Accent6 2 8 2 2 2 3 2" xfId="16116"/>
    <cellStyle name="20% - Accent6 2 8 2 2 3" xfId="16117"/>
    <cellStyle name="20% - Accent6 2 8 2 2 3 2" xfId="16118"/>
    <cellStyle name="20% - Accent6 2 8 2 2 3 2 2" xfId="16119"/>
    <cellStyle name="20% - Accent6 2 8 2 2 4" xfId="16120"/>
    <cellStyle name="20% - Accent6 2 8 2 2 4 2" xfId="16121"/>
    <cellStyle name="20% - Accent6 2 8 2 3" xfId="16122"/>
    <cellStyle name="20% - Accent6 2 8 2 3 2" xfId="16123"/>
    <cellStyle name="20% - Accent6 2 8 2 3 2 2" xfId="16124"/>
    <cellStyle name="20% - Accent6 2 8 2 3 2 2 2" xfId="16125"/>
    <cellStyle name="20% - Accent6 2 8 2 3 3" xfId="16126"/>
    <cellStyle name="20% - Accent6 2 8 2 3 3 2" xfId="16127"/>
    <cellStyle name="20% - Accent6 2 8 2 4" xfId="16128"/>
    <cellStyle name="20% - Accent6 2 8 2 4 2" xfId="16129"/>
    <cellStyle name="20% - Accent6 2 8 2 4 2 2" xfId="16130"/>
    <cellStyle name="20% - Accent6 2 8 2 5" xfId="16131"/>
    <cellStyle name="20% - Accent6 2 8 2 5 2" xfId="16132"/>
    <cellStyle name="20% - Accent6 2 8 3" xfId="16133"/>
    <cellStyle name="20% - Accent6 2 8 3 2" xfId="16134"/>
    <cellStyle name="20% - Accent6 2 8 3 2 2" xfId="16135"/>
    <cellStyle name="20% - Accent6 2 8 3 2 2 2" xfId="16136"/>
    <cellStyle name="20% - Accent6 2 8 3 2 2 2 2" xfId="16137"/>
    <cellStyle name="20% - Accent6 2 8 3 2 3" xfId="16138"/>
    <cellStyle name="20% - Accent6 2 8 3 2 3 2" xfId="16139"/>
    <cellStyle name="20% - Accent6 2 8 3 3" xfId="16140"/>
    <cellStyle name="20% - Accent6 2 8 3 3 2" xfId="16141"/>
    <cellStyle name="20% - Accent6 2 8 3 3 2 2" xfId="16142"/>
    <cellStyle name="20% - Accent6 2 8 3 4" xfId="16143"/>
    <cellStyle name="20% - Accent6 2 8 3 4 2" xfId="16144"/>
    <cellStyle name="20% - Accent6 2 8 4" xfId="16145"/>
    <cellStyle name="20% - Accent6 2 8 4 2" xfId="16146"/>
    <cellStyle name="20% - Accent6 2 8 4 2 2" xfId="16147"/>
    <cellStyle name="20% - Accent6 2 8 4 2 2 2" xfId="16148"/>
    <cellStyle name="20% - Accent6 2 8 4 3" xfId="16149"/>
    <cellStyle name="20% - Accent6 2 8 4 3 2" xfId="16150"/>
    <cellStyle name="20% - Accent6 2 8 5" xfId="16151"/>
    <cellStyle name="20% - Accent6 2 8 5 2" xfId="16152"/>
    <cellStyle name="20% - Accent6 2 8 5 2 2" xfId="16153"/>
    <cellStyle name="20% - Accent6 2 8 6" xfId="16154"/>
    <cellStyle name="20% - Accent6 2 8 6 2" xfId="16155"/>
    <cellStyle name="20% - Accent6 2 9" xfId="16156"/>
    <cellStyle name="20% - Accent6 2 9 2" xfId="16157"/>
    <cellStyle name="20% - Accent6 2 9 2 2" xfId="16158"/>
    <cellStyle name="20% - Accent6 2 9 2 2 2" xfId="16159"/>
    <cellStyle name="20% - Accent6 2 9 2 2 2 2" xfId="16160"/>
    <cellStyle name="20% - Accent6 2 9 2 2 2 2 2" xfId="16161"/>
    <cellStyle name="20% - Accent6 2 9 2 2 2 2 2 2" xfId="16162"/>
    <cellStyle name="20% - Accent6 2 9 2 2 2 3" xfId="16163"/>
    <cellStyle name="20% - Accent6 2 9 2 2 2 3 2" xfId="16164"/>
    <cellStyle name="20% - Accent6 2 9 2 2 3" xfId="16165"/>
    <cellStyle name="20% - Accent6 2 9 2 2 3 2" xfId="16166"/>
    <cellStyle name="20% - Accent6 2 9 2 2 3 2 2" xfId="16167"/>
    <cellStyle name="20% - Accent6 2 9 2 2 4" xfId="16168"/>
    <cellStyle name="20% - Accent6 2 9 2 2 4 2" xfId="16169"/>
    <cellStyle name="20% - Accent6 2 9 2 3" xfId="16170"/>
    <cellStyle name="20% - Accent6 2 9 2 3 2" xfId="16171"/>
    <cellStyle name="20% - Accent6 2 9 2 3 2 2" xfId="16172"/>
    <cellStyle name="20% - Accent6 2 9 2 3 2 2 2" xfId="16173"/>
    <cellStyle name="20% - Accent6 2 9 2 3 3" xfId="16174"/>
    <cellStyle name="20% - Accent6 2 9 2 3 3 2" xfId="16175"/>
    <cellStyle name="20% - Accent6 2 9 2 4" xfId="16176"/>
    <cellStyle name="20% - Accent6 2 9 2 4 2" xfId="16177"/>
    <cellStyle name="20% - Accent6 2 9 2 4 2 2" xfId="16178"/>
    <cellStyle name="20% - Accent6 2 9 2 5" xfId="16179"/>
    <cellStyle name="20% - Accent6 2 9 2 5 2" xfId="16180"/>
    <cellStyle name="20% - Accent6 2 9 3" xfId="16181"/>
    <cellStyle name="20% - Accent6 2 9 3 2" xfId="16182"/>
    <cellStyle name="20% - Accent6 2 9 3 2 2" xfId="16183"/>
    <cellStyle name="20% - Accent6 2 9 3 2 2 2" xfId="16184"/>
    <cellStyle name="20% - Accent6 2 9 3 2 2 2 2" xfId="16185"/>
    <cellStyle name="20% - Accent6 2 9 3 2 3" xfId="16186"/>
    <cellStyle name="20% - Accent6 2 9 3 2 3 2" xfId="16187"/>
    <cellStyle name="20% - Accent6 2 9 3 3" xfId="16188"/>
    <cellStyle name="20% - Accent6 2 9 3 3 2" xfId="16189"/>
    <cellStyle name="20% - Accent6 2 9 3 3 2 2" xfId="16190"/>
    <cellStyle name="20% - Accent6 2 9 3 4" xfId="16191"/>
    <cellStyle name="20% - Accent6 2 9 3 4 2" xfId="16192"/>
    <cellStyle name="20% - Accent6 2 9 4" xfId="16193"/>
    <cellStyle name="20% - Accent6 2 9 4 2" xfId="16194"/>
    <cellStyle name="20% - Accent6 2 9 4 2 2" xfId="16195"/>
    <cellStyle name="20% - Accent6 2 9 4 2 2 2" xfId="16196"/>
    <cellStyle name="20% - Accent6 2 9 4 3" xfId="16197"/>
    <cellStyle name="20% - Accent6 2 9 4 3 2" xfId="16198"/>
    <cellStyle name="20% - Accent6 2 9 5" xfId="16199"/>
    <cellStyle name="20% - Accent6 2 9 5 2" xfId="16200"/>
    <cellStyle name="20% - Accent6 2 9 5 2 2" xfId="16201"/>
    <cellStyle name="20% - Accent6 2 9 6" xfId="16202"/>
    <cellStyle name="20% - Accent6 2 9 6 2" xfId="16203"/>
    <cellStyle name="20% - Accent6 20" xfId="16204"/>
    <cellStyle name="20% - Accent6 20 2" xfId="16205"/>
    <cellStyle name="20% - Accent6 21" xfId="16206"/>
    <cellStyle name="20% - Accent6 21 2" xfId="16207"/>
    <cellStyle name="20% - Accent6 21 2 2" xfId="16208"/>
    <cellStyle name="20% - Accent6 21 2 2 2" xfId="16209"/>
    <cellStyle name="20% - Accent6 21 2 2 2 2" xfId="16210"/>
    <cellStyle name="20% - Accent6 21 2 2 2 2 2" xfId="16211"/>
    <cellStyle name="20% - Accent6 21 2 2 2 2 2 2" xfId="16212"/>
    <cellStyle name="20% - Accent6 21 2 2 2 3" xfId="16213"/>
    <cellStyle name="20% - Accent6 21 2 2 2 3 2" xfId="16214"/>
    <cellStyle name="20% - Accent6 21 2 2 3" xfId="16215"/>
    <cellStyle name="20% - Accent6 21 2 2 3 2" xfId="16216"/>
    <cellStyle name="20% - Accent6 21 2 2 3 2 2" xfId="16217"/>
    <cellStyle name="20% - Accent6 21 2 2 4" xfId="16218"/>
    <cellStyle name="20% - Accent6 21 2 2 4 2" xfId="16219"/>
    <cellStyle name="20% - Accent6 21 2 3" xfId="16220"/>
    <cellStyle name="20% - Accent6 21 2 3 2" xfId="16221"/>
    <cellStyle name="20% - Accent6 21 2 3 2 2" xfId="16222"/>
    <cellStyle name="20% - Accent6 21 2 3 2 2 2" xfId="16223"/>
    <cellStyle name="20% - Accent6 21 2 3 3" xfId="16224"/>
    <cellStyle name="20% - Accent6 21 2 3 3 2" xfId="16225"/>
    <cellStyle name="20% - Accent6 21 2 4" xfId="16226"/>
    <cellStyle name="20% - Accent6 21 2 4 2" xfId="16227"/>
    <cellStyle name="20% - Accent6 21 2 4 2 2" xfId="16228"/>
    <cellStyle name="20% - Accent6 21 2 5" xfId="16229"/>
    <cellStyle name="20% - Accent6 21 2 5 2" xfId="16230"/>
    <cellStyle name="20% - Accent6 21 3" xfId="16231"/>
    <cellStyle name="20% - Accent6 21 3 2" xfId="16232"/>
    <cellStyle name="20% - Accent6 21 3 2 2" xfId="16233"/>
    <cellStyle name="20% - Accent6 21 3 2 2 2" xfId="16234"/>
    <cellStyle name="20% - Accent6 21 3 2 2 2 2" xfId="16235"/>
    <cellStyle name="20% - Accent6 21 3 2 3" xfId="16236"/>
    <cellStyle name="20% - Accent6 21 3 2 3 2" xfId="16237"/>
    <cellStyle name="20% - Accent6 21 3 3" xfId="16238"/>
    <cellStyle name="20% - Accent6 21 3 3 2" xfId="16239"/>
    <cellStyle name="20% - Accent6 21 3 3 2 2" xfId="16240"/>
    <cellStyle name="20% - Accent6 21 3 4" xfId="16241"/>
    <cellStyle name="20% - Accent6 21 3 4 2" xfId="16242"/>
    <cellStyle name="20% - Accent6 21 4" xfId="16243"/>
    <cellStyle name="20% - Accent6 21 4 2" xfId="16244"/>
    <cellStyle name="20% - Accent6 21 4 2 2" xfId="16245"/>
    <cellStyle name="20% - Accent6 21 4 2 2 2" xfId="16246"/>
    <cellStyle name="20% - Accent6 21 4 3" xfId="16247"/>
    <cellStyle name="20% - Accent6 21 4 3 2" xfId="16248"/>
    <cellStyle name="20% - Accent6 21 5" xfId="16249"/>
    <cellStyle name="20% - Accent6 21 5 2" xfId="16250"/>
    <cellStyle name="20% - Accent6 21 5 2 2" xfId="16251"/>
    <cellStyle name="20% - Accent6 21 6" xfId="16252"/>
    <cellStyle name="20% - Accent6 21 6 2" xfId="16253"/>
    <cellStyle name="20% - Accent6 21 7" xfId="16254"/>
    <cellStyle name="20% - Accent6 22" xfId="16255"/>
    <cellStyle name="20% - Accent6 22 10" xfId="16256"/>
    <cellStyle name="20% - Accent6 22 2" xfId="16257"/>
    <cellStyle name="20% - Accent6 22 2 2" xfId="16258"/>
    <cellStyle name="20% - Accent6 22 2 2 2" xfId="16259"/>
    <cellStyle name="20% - Accent6 22 2 2 2 2" xfId="16260"/>
    <cellStyle name="20% - Accent6 22 2 2 2 2 2" xfId="16261"/>
    <cellStyle name="20% - Accent6 22 2 2 2 2 2 2" xfId="16262"/>
    <cellStyle name="20% - Accent6 22 2 2 2 3" xfId="16263"/>
    <cellStyle name="20% - Accent6 22 2 2 2 3 2" xfId="16264"/>
    <cellStyle name="20% - Accent6 22 2 2 3" xfId="16265"/>
    <cellStyle name="20% - Accent6 22 2 2 3 2" xfId="16266"/>
    <cellStyle name="20% - Accent6 22 2 2 3 2 2" xfId="16267"/>
    <cellStyle name="20% - Accent6 22 2 2 4" xfId="16268"/>
    <cellStyle name="20% - Accent6 22 2 2 4 2" xfId="16269"/>
    <cellStyle name="20% - Accent6 22 2 3" xfId="16270"/>
    <cellStyle name="20% - Accent6 22 2 3 2" xfId="16271"/>
    <cellStyle name="20% - Accent6 22 2 3 2 2" xfId="16272"/>
    <cellStyle name="20% - Accent6 22 2 3 2 2 2" xfId="16273"/>
    <cellStyle name="20% - Accent6 22 2 3 3" xfId="16274"/>
    <cellStyle name="20% - Accent6 22 2 3 3 2" xfId="16275"/>
    <cellStyle name="20% - Accent6 22 2 4" xfId="16276"/>
    <cellStyle name="20% - Accent6 22 2 4 2" xfId="16277"/>
    <cellStyle name="20% - Accent6 22 2 4 2 2" xfId="16278"/>
    <cellStyle name="20% - Accent6 22 2 5" xfId="16279"/>
    <cellStyle name="20% - Accent6 22 2 5 2" xfId="16280"/>
    <cellStyle name="20% - Accent6 22 2 6" xfId="16281"/>
    <cellStyle name="20% - Accent6 22 2 7" xfId="16282"/>
    <cellStyle name="20% - Accent6 22 2 8" xfId="16283"/>
    <cellStyle name="20% - Accent6 22 3" xfId="16284"/>
    <cellStyle name="20% - Accent6 22 3 2" xfId="16285"/>
    <cellStyle name="20% - Accent6 22 3 2 2" xfId="16286"/>
    <cellStyle name="20% - Accent6 22 3 2 2 2" xfId="16287"/>
    <cellStyle name="20% - Accent6 22 3 2 2 2 2" xfId="16288"/>
    <cellStyle name="20% - Accent6 22 3 2 3" xfId="16289"/>
    <cellStyle name="20% - Accent6 22 3 2 3 2" xfId="16290"/>
    <cellStyle name="20% - Accent6 22 3 3" xfId="16291"/>
    <cellStyle name="20% - Accent6 22 3 3 2" xfId="16292"/>
    <cellStyle name="20% - Accent6 22 3 3 2 2" xfId="16293"/>
    <cellStyle name="20% - Accent6 22 3 4" xfId="16294"/>
    <cellStyle name="20% - Accent6 22 3 4 2" xfId="16295"/>
    <cellStyle name="20% - Accent6 22 3 5" xfId="16296"/>
    <cellStyle name="20% - Accent6 22 3 6" xfId="16297"/>
    <cellStyle name="20% - Accent6 22 3 7" xfId="16298"/>
    <cellStyle name="20% - Accent6 22 4" xfId="16299"/>
    <cellStyle name="20% - Accent6 22 4 2" xfId="16300"/>
    <cellStyle name="20% - Accent6 22 4 2 2" xfId="16301"/>
    <cellStyle name="20% - Accent6 22 4 2 2 2" xfId="16302"/>
    <cellStyle name="20% - Accent6 22 4 3" xfId="16303"/>
    <cellStyle name="20% - Accent6 22 4 3 2" xfId="16304"/>
    <cellStyle name="20% - Accent6 22 4 4" xfId="16305"/>
    <cellStyle name="20% - Accent6 22 5" xfId="16306"/>
    <cellStyle name="20% - Accent6 22 5 2" xfId="16307"/>
    <cellStyle name="20% - Accent6 22 5 2 2" xfId="16308"/>
    <cellStyle name="20% - Accent6 22 6" xfId="16309"/>
    <cellStyle name="20% - Accent6 22 6 2" xfId="16310"/>
    <cellStyle name="20% - Accent6 22 7" xfId="16311"/>
    <cellStyle name="20% - Accent6 22 8" xfId="16312"/>
    <cellStyle name="20% - Accent6 22 9" xfId="16313"/>
    <cellStyle name="20% - Accent6 23" xfId="16314"/>
    <cellStyle name="20% - Accent6 23 2" xfId="16315"/>
    <cellStyle name="20% - Accent6 23 2 2" xfId="16316"/>
    <cellStyle name="20% - Accent6 23 2 2 2" xfId="16317"/>
    <cellStyle name="20% - Accent6 23 2 2 2 2" xfId="16318"/>
    <cellStyle name="20% - Accent6 23 2 2 2 2 2" xfId="16319"/>
    <cellStyle name="20% - Accent6 23 2 2 2 2 2 2" xfId="16320"/>
    <cellStyle name="20% - Accent6 23 2 2 2 3" xfId="16321"/>
    <cellStyle name="20% - Accent6 23 2 2 2 3 2" xfId="16322"/>
    <cellStyle name="20% - Accent6 23 2 2 3" xfId="16323"/>
    <cellStyle name="20% - Accent6 23 2 2 3 2" xfId="16324"/>
    <cellStyle name="20% - Accent6 23 2 2 3 2 2" xfId="16325"/>
    <cellStyle name="20% - Accent6 23 2 2 4" xfId="16326"/>
    <cellStyle name="20% - Accent6 23 2 2 4 2" xfId="16327"/>
    <cellStyle name="20% - Accent6 23 2 3" xfId="16328"/>
    <cellStyle name="20% - Accent6 23 2 3 2" xfId="16329"/>
    <cellStyle name="20% - Accent6 23 2 3 2 2" xfId="16330"/>
    <cellStyle name="20% - Accent6 23 2 3 2 2 2" xfId="16331"/>
    <cellStyle name="20% - Accent6 23 2 3 3" xfId="16332"/>
    <cellStyle name="20% - Accent6 23 2 3 3 2" xfId="16333"/>
    <cellStyle name="20% - Accent6 23 2 4" xfId="16334"/>
    <cellStyle name="20% - Accent6 23 2 4 2" xfId="16335"/>
    <cellStyle name="20% - Accent6 23 2 4 2 2" xfId="16336"/>
    <cellStyle name="20% - Accent6 23 2 5" xfId="16337"/>
    <cellStyle name="20% - Accent6 23 2 5 2" xfId="16338"/>
    <cellStyle name="20% - Accent6 23 3" xfId="16339"/>
    <cellStyle name="20% - Accent6 23 3 2" xfId="16340"/>
    <cellStyle name="20% - Accent6 23 3 2 2" xfId="16341"/>
    <cellStyle name="20% - Accent6 23 3 2 2 2" xfId="16342"/>
    <cellStyle name="20% - Accent6 23 3 2 2 2 2" xfId="16343"/>
    <cellStyle name="20% - Accent6 23 3 2 3" xfId="16344"/>
    <cellStyle name="20% - Accent6 23 3 2 3 2" xfId="16345"/>
    <cellStyle name="20% - Accent6 23 3 3" xfId="16346"/>
    <cellStyle name="20% - Accent6 23 3 3 2" xfId="16347"/>
    <cellStyle name="20% - Accent6 23 3 3 2 2" xfId="16348"/>
    <cellStyle name="20% - Accent6 23 3 4" xfId="16349"/>
    <cellStyle name="20% - Accent6 23 3 4 2" xfId="16350"/>
    <cellStyle name="20% - Accent6 23 4" xfId="16351"/>
    <cellStyle name="20% - Accent6 23 4 2" xfId="16352"/>
    <cellStyle name="20% - Accent6 23 4 2 2" xfId="16353"/>
    <cellStyle name="20% - Accent6 23 4 2 2 2" xfId="16354"/>
    <cellStyle name="20% - Accent6 23 4 3" xfId="16355"/>
    <cellStyle name="20% - Accent6 23 4 3 2" xfId="16356"/>
    <cellStyle name="20% - Accent6 23 5" xfId="16357"/>
    <cellStyle name="20% - Accent6 23 5 2" xfId="16358"/>
    <cellStyle name="20% - Accent6 23 5 2 2" xfId="16359"/>
    <cellStyle name="20% - Accent6 23 6" xfId="16360"/>
    <cellStyle name="20% - Accent6 23 6 2" xfId="16361"/>
    <cellStyle name="20% - Accent6 23 7" xfId="16362"/>
    <cellStyle name="20% - Accent6 24" xfId="16363"/>
    <cellStyle name="20% - Accent6 24 2" xfId="16364"/>
    <cellStyle name="20% - Accent6 24 2 2" xfId="16365"/>
    <cellStyle name="20% - Accent6 24 2 2 2" xfId="16366"/>
    <cellStyle name="20% - Accent6 24 2 2 2 2" xfId="16367"/>
    <cellStyle name="20% - Accent6 24 2 2 2 2 2" xfId="16368"/>
    <cellStyle name="20% - Accent6 24 2 2 3" xfId="16369"/>
    <cellStyle name="20% - Accent6 24 2 2 3 2" xfId="16370"/>
    <cellStyle name="20% - Accent6 24 2 3" xfId="16371"/>
    <cellStyle name="20% - Accent6 24 2 3 2" xfId="16372"/>
    <cellStyle name="20% - Accent6 24 2 3 2 2" xfId="16373"/>
    <cellStyle name="20% - Accent6 24 2 4" xfId="16374"/>
    <cellStyle name="20% - Accent6 24 2 4 2" xfId="16375"/>
    <cellStyle name="20% - Accent6 24 3" xfId="16376"/>
    <cellStyle name="20% - Accent6 24 3 2" xfId="16377"/>
    <cellStyle name="20% - Accent6 24 3 2 2" xfId="16378"/>
    <cellStyle name="20% - Accent6 24 3 2 2 2" xfId="16379"/>
    <cellStyle name="20% - Accent6 24 3 3" xfId="16380"/>
    <cellStyle name="20% - Accent6 24 3 3 2" xfId="16381"/>
    <cellStyle name="20% - Accent6 24 4" xfId="16382"/>
    <cellStyle name="20% - Accent6 24 4 2" xfId="16383"/>
    <cellStyle name="20% - Accent6 24 4 2 2" xfId="16384"/>
    <cellStyle name="20% - Accent6 24 5" xfId="16385"/>
    <cellStyle name="20% - Accent6 24 5 2" xfId="16386"/>
    <cellStyle name="20% - Accent6 24 6" xfId="16387"/>
    <cellStyle name="20% - Accent6 25" xfId="16388"/>
    <cellStyle name="20% - Accent6 25 2" xfId="16389"/>
    <cellStyle name="20% - Accent6 25 2 2" xfId="16390"/>
    <cellStyle name="20% - Accent6 25 2 2 2" xfId="16391"/>
    <cellStyle name="20% - Accent6 25 2 2 2 2" xfId="16392"/>
    <cellStyle name="20% - Accent6 25 2 2 2 2 2" xfId="16393"/>
    <cellStyle name="20% - Accent6 25 2 2 3" xfId="16394"/>
    <cellStyle name="20% - Accent6 25 2 2 3 2" xfId="16395"/>
    <cellStyle name="20% - Accent6 25 2 3" xfId="16396"/>
    <cellStyle name="20% - Accent6 25 2 3 2" xfId="16397"/>
    <cellStyle name="20% - Accent6 25 2 3 2 2" xfId="16398"/>
    <cellStyle name="20% - Accent6 25 2 4" xfId="16399"/>
    <cellStyle name="20% - Accent6 25 2 4 2" xfId="16400"/>
    <cellStyle name="20% - Accent6 25 3" xfId="16401"/>
    <cellStyle name="20% - Accent6 25 3 2" xfId="16402"/>
    <cellStyle name="20% - Accent6 25 3 2 2" xfId="16403"/>
    <cellStyle name="20% - Accent6 25 3 2 2 2" xfId="16404"/>
    <cellStyle name="20% - Accent6 25 3 3" xfId="16405"/>
    <cellStyle name="20% - Accent6 25 3 3 2" xfId="16406"/>
    <cellStyle name="20% - Accent6 25 4" xfId="16407"/>
    <cellStyle name="20% - Accent6 25 4 2" xfId="16408"/>
    <cellStyle name="20% - Accent6 25 4 2 2" xfId="16409"/>
    <cellStyle name="20% - Accent6 25 5" xfId="16410"/>
    <cellStyle name="20% - Accent6 25 5 2" xfId="16411"/>
    <cellStyle name="20% - Accent6 25 6" xfId="16412"/>
    <cellStyle name="20% - Accent6 26" xfId="16413"/>
    <cellStyle name="20% - Accent6 26 2" xfId="16414"/>
    <cellStyle name="20% - Accent6 26 2 2" xfId="16415"/>
    <cellStyle name="20% - Accent6 26 2 2 2" xfId="16416"/>
    <cellStyle name="20% - Accent6 26 2 2 2 2" xfId="16417"/>
    <cellStyle name="20% - Accent6 26 2 2 2 2 2" xfId="16418"/>
    <cellStyle name="20% - Accent6 26 2 2 3" xfId="16419"/>
    <cellStyle name="20% - Accent6 26 2 2 3 2" xfId="16420"/>
    <cellStyle name="20% - Accent6 26 2 3" xfId="16421"/>
    <cellStyle name="20% - Accent6 26 2 3 2" xfId="16422"/>
    <cellStyle name="20% - Accent6 26 2 3 2 2" xfId="16423"/>
    <cellStyle name="20% - Accent6 26 2 4" xfId="16424"/>
    <cellStyle name="20% - Accent6 26 2 4 2" xfId="16425"/>
    <cellStyle name="20% - Accent6 26 3" xfId="16426"/>
    <cellStyle name="20% - Accent6 26 3 2" xfId="16427"/>
    <cellStyle name="20% - Accent6 26 3 2 2" xfId="16428"/>
    <cellStyle name="20% - Accent6 26 3 2 2 2" xfId="16429"/>
    <cellStyle name="20% - Accent6 26 3 3" xfId="16430"/>
    <cellStyle name="20% - Accent6 26 3 3 2" xfId="16431"/>
    <cellStyle name="20% - Accent6 26 4" xfId="16432"/>
    <cellStyle name="20% - Accent6 26 4 2" xfId="16433"/>
    <cellStyle name="20% - Accent6 26 4 2 2" xfId="16434"/>
    <cellStyle name="20% - Accent6 26 5" xfId="16435"/>
    <cellStyle name="20% - Accent6 26 5 2" xfId="16436"/>
    <cellStyle name="20% - Accent6 26 6" xfId="16437"/>
    <cellStyle name="20% - Accent6 27" xfId="16438"/>
    <cellStyle name="20% - Accent6 27 2" xfId="16439"/>
    <cellStyle name="20% - Accent6 27 2 2" xfId="16440"/>
    <cellStyle name="20% - Accent6 27 2 2 2" xfId="16441"/>
    <cellStyle name="20% - Accent6 27 2 2 2 2" xfId="16442"/>
    <cellStyle name="20% - Accent6 27 2 2 2 2 2" xfId="16443"/>
    <cellStyle name="20% - Accent6 27 2 2 3" xfId="16444"/>
    <cellStyle name="20% - Accent6 27 2 2 3 2" xfId="16445"/>
    <cellStyle name="20% - Accent6 27 2 3" xfId="16446"/>
    <cellStyle name="20% - Accent6 27 2 3 2" xfId="16447"/>
    <cellStyle name="20% - Accent6 27 2 3 2 2" xfId="16448"/>
    <cellStyle name="20% - Accent6 27 2 4" xfId="16449"/>
    <cellStyle name="20% - Accent6 27 2 4 2" xfId="16450"/>
    <cellStyle name="20% - Accent6 27 3" xfId="16451"/>
    <cellStyle name="20% - Accent6 27 3 2" xfId="16452"/>
    <cellStyle name="20% - Accent6 27 3 2 2" xfId="16453"/>
    <cellStyle name="20% - Accent6 27 3 2 2 2" xfId="16454"/>
    <cellStyle name="20% - Accent6 27 3 3" xfId="16455"/>
    <cellStyle name="20% - Accent6 27 3 3 2" xfId="16456"/>
    <cellStyle name="20% - Accent6 27 4" xfId="16457"/>
    <cellStyle name="20% - Accent6 27 4 2" xfId="16458"/>
    <cellStyle name="20% - Accent6 27 4 2 2" xfId="16459"/>
    <cellStyle name="20% - Accent6 27 5" xfId="16460"/>
    <cellStyle name="20% - Accent6 27 5 2" xfId="16461"/>
    <cellStyle name="20% - Accent6 27 6" xfId="16462"/>
    <cellStyle name="20% - Accent6 28" xfId="16463"/>
    <cellStyle name="20% - Accent6 28 2" xfId="16464"/>
    <cellStyle name="20% - Accent6 28 2 2" xfId="16465"/>
    <cellStyle name="20% - Accent6 28 2 2 2" xfId="16466"/>
    <cellStyle name="20% - Accent6 28 2 2 2 2" xfId="16467"/>
    <cellStyle name="20% - Accent6 28 2 3" xfId="16468"/>
    <cellStyle name="20% - Accent6 28 2 3 2" xfId="16469"/>
    <cellStyle name="20% - Accent6 28 3" xfId="16470"/>
    <cellStyle name="20% - Accent6 28 3 2" xfId="16471"/>
    <cellStyle name="20% - Accent6 28 3 2 2" xfId="16472"/>
    <cellStyle name="20% - Accent6 28 4" xfId="16473"/>
    <cellStyle name="20% - Accent6 28 4 2" xfId="16474"/>
    <cellStyle name="20% - Accent6 28 5" xfId="16475"/>
    <cellStyle name="20% - Accent6 29" xfId="16476"/>
    <cellStyle name="20% - Accent6 29 2" xfId="16477"/>
    <cellStyle name="20% - Accent6 29 2 2" xfId="16478"/>
    <cellStyle name="20% - Accent6 29 2 2 2" xfId="16479"/>
    <cellStyle name="20% - Accent6 29 3" xfId="16480"/>
    <cellStyle name="20% - Accent6 29 3 2" xfId="16481"/>
    <cellStyle name="20% - Accent6 29 4" xfId="16482"/>
    <cellStyle name="20% - Accent6 3" xfId="16483"/>
    <cellStyle name="20% - Accent6 3 10" xfId="16484"/>
    <cellStyle name="20% - Accent6 3 10 2" xfId="16485"/>
    <cellStyle name="20% - Accent6 3 10 2 2" xfId="16486"/>
    <cellStyle name="20% - Accent6 3 10 2 2 2" xfId="16487"/>
    <cellStyle name="20% - Accent6 3 10 2 2 2 2" xfId="16488"/>
    <cellStyle name="20% - Accent6 3 10 2 2 2 2 2" xfId="16489"/>
    <cellStyle name="20% - Accent6 3 10 2 2 2 2 2 2" xfId="16490"/>
    <cellStyle name="20% - Accent6 3 10 2 2 2 3" xfId="16491"/>
    <cellStyle name="20% - Accent6 3 10 2 2 2 3 2" xfId="16492"/>
    <cellStyle name="20% - Accent6 3 10 2 2 3" xfId="16493"/>
    <cellStyle name="20% - Accent6 3 10 2 2 3 2" xfId="16494"/>
    <cellStyle name="20% - Accent6 3 10 2 2 3 2 2" xfId="16495"/>
    <cellStyle name="20% - Accent6 3 10 2 2 4" xfId="16496"/>
    <cellStyle name="20% - Accent6 3 10 2 2 4 2" xfId="16497"/>
    <cellStyle name="20% - Accent6 3 10 2 3" xfId="16498"/>
    <cellStyle name="20% - Accent6 3 10 2 3 2" xfId="16499"/>
    <cellStyle name="20% - Accent6 3 10 2 3 2 2" xfId="16500"/>
    <cellStyle name="20% - Accent6 3 10 2 3 2 2 2" xfId="16501"/>
    <cellStyle name="20% - Accent6 3 10 2 3 3" xfId="16502"/>
    <cellStyle name="20% - Accent6 3 10 2 3 3 2" xfId="16503"/>
    <cellStyle name="20% - Accent6 3 10 2 4" xfId="16504"/>
    <cellStyle name="20% - Accent6 3 10 2 4 2" xfId="16505"/>
    <cellStyle name="20% - Accent6 3 10 2 4 2 2" xfId="16506"/>
    <cellStyle name="20% - Accent6 3 10 2 5" xfId="16507"/>
    <cellStyle name="20% - Accent6 3 10 2 5 2" xfId="16508"/>
    <cellStyle name="20% - Accent6 3 10 3" xfId="16509"/>
    <cellStyle name="20% - Accent6 3 10 3 2" xfId="16510"/>
    <cellStyle name="20% - Accent6 3 10 3 2 2" xfId="16511"/>
    <cellStyle name="20% - Accent6 3 10 3 2 2 2" xfId="16512"/>
    <cellStyle name="20% - Accent6 3 10 3 2 2 2 2" xfId="16513"/>
    <cellStyle name="20% - Accent6 3 10 3 2 3" xfId="16514"/>
    <cellStyle name="20% - Accent6 3 10 3 2 3 2" xfId="16515"/>
    <cellStyle name="20% - Accent6 3 10 3 3" xfId="16516"/>
    <cellStyle name="20% - Accent6 3 10 3 3 2" xfId="16517"/>
    <cellStyle name="20% - Accent6 3 10 3 3 2 2" xfId="16518"/>
    <cellStyle name="20% - Accent6 3 10 3 4" xfId="16519"/>
    <cellStyle name="20% - Accent6 3 10 3 4 2" xfId="16520"/>
    <cellStyle name="20% - Accent6 3 10 4" xfId="16521"/>
    <cellStyle name="20% - Accent6 3 10 4 2" xfId="16522"/>
    <cellStyle name="20% - Accent6 3 10 4 2 2" xfId="16523"/>
    <cellStyle name="20% - Accent6 3 10 4 2 2 2" xfId="16524"/>
    <cellStyle name="20% - Accent6 3 10 4 3" xfId="16525"/>
    <cellStyle name="20% - Accent6 3 10 4 3 2" xfId="16526"/>
    <cellStyle name="20% - Accent6 3 10 5" xfId="16527"/>
    <cellStyle name="20% - Accent6 3 10 5 2" xfId="16528"/>
    <cellStyle name="20% - Accent6 3 10 5 2 2" xfId="16529"/>
    <cellStyle name="20% - Accent6 3 10 6" xfId="16530"/>
    <cellStyle name="20% - Accent6 3 10 6 2" xfId="16531"/>
    <cellStyle name="20% - Accent6 3 10 7" xfId="16532"/>
    <cellStyle name="20% - Accent6 3 10 8" xfId="16533"/>
    <cellStyle name="20% - Accent6 3 10 9" xfId="16534"/>
    <cellStyle name="20% - Accent6 3 11" xfId="16535"/>
    <cellStyle name="20% - Accent6 3 11 2" xfId="16536"/>
    <cellStyle name="20% - Accent6 3 11 2 2" xfId="16537"/>
    <cellStyle name="20% - Accent6 3 11 2 2 2" xfId="16538"/>
    <cellStyle name="20% - Accent6 3 11 2 2 2 2" xfId="16539"/>
    <cellStyle name="20% - Accent6 3 11 2 2 2 2 2" xfId="16540"/>
    <cellStyle name="20% - Accent6 3 11 2 2 2 2 2 2" xfId="16541"/>
    <cellStyle name="20% - Accent6 3 11 2 2 2 3" xfId="16542"/>
    <cellStyle name="20% - Accent6 3 11 2 2 2 3 2" xfId="16543"/>
    <cellStyle name="20% - Accent6 3 11 2 2 3" xfId="16544"/>
    <cellStyle name="20% - Accent6 3 11 2 2 3 2" xfId="16545"/>
    <cellStyle name="20% - Accent6 3 11 2 2 3 2 2" xfId="16546"/>
    <cellStyle name="20% - Accent6 3 11 2 2 4" xfId="16547"/>
    <cellStyle name="20% - Accent6 3 11 2 2 4 2" xfId="16548"/>
    <cellStyle name="20% - Accent6 3 11 2 3" xfId="16549"/>
    <cellStyle name="20% - Accent6 3 11 2 3 2" xfId="16550"/>
    <cellStyle name="20% - Accent6 3 11 2 3 2 2" xfId="16551"/>
    <cellStyle name="20% - Accent6 3 11 2 3 2 2 2" xfId="16552"/>
    <cellStyle name="20% - Accent6 3 11 2 3 3" xfId="16553"/>
    <cellStyle name="20% - Accent6 3 11 2 3 3 2" xfId="16554"/>
    <cellStyle name="20% - Accent6 3 11 2 4" xfId="16555"/>
    <cellStyle name="20% - Accent6 3 11 2 4 2" xfId="16556"/>
    <cellStyle name="20% - Accent6 3 11 2 4 2 2" xfId="16557"/>
    <cellStyle name="20% - Accent6 3 11 2 5" xfId="16558"/>
    <cellStyle name="20% - Accent6 3 11 2 5 2" xfId="16559"/>
    <cellStyle name="20% - Accent6 3 11 3" xfId="16560"/>
    <cellStyle name="20% - Accent6 3 11 3 2" xfId="16561"/>
    <cellStyle name="20% - Accent6 3 11 3 2 2" xfId="16562"/>
    <cellStyle name="20% - Accent6 3 11 3 2 2 2" xfId="16563"/>
    <cellStyle name="20% - Accent6 3 11 3 2 2 2 2" xfId="16564"/>
    <cellStyle name="20% - Accent6 3 11 3 2 3" xfId="16565"/>
    <cellStyle name="20% - Accent6 3 11 3 2 3 2" xfId="16566"/>
    <cellStyle name="20% - Accent6 3 11 3 3" xfId="16567"/>
    <cellStyle name="20% - Accent6 3 11 3 3 2" xfId="16568"/>
    <cellStyle name="20% - Accent6 3 11 3 3 2 2" xfId="16569"/>
    <cellStyle name="20% - Accent6 3 11 3 4" xfId="16570"/>
    <cellStyle name="20% - Accent6 3 11 3 4 2" xfId="16571"/>
    <cellStyle name="20% - Accent6 3 11 4" xfId="16572"/>
    <cellStyle name="20% - Accent6 3 11 4 2" xfId="16573"/>
    <cellStyle name="20% - Accent6 3 11 4 2 2" xfId="16574"/>
    <cellStyle name="20% - Accent6 3 11 4 2 2 2" xfId="16575"/>
    <cellStyle name="20% - Accent6 3 11 4 3" xfId="16576"/>
    <cellStyle name="20% - Accent6 3 11 4 3 2" xfId="16577"/>
    <cellStyle name="20% - Accent6 3 11 5" xfId="16578"/>
    <cellStyle name="20% - Accent6 3 11 5 2" xfId="16579"/>
    <cellStyle name="20% - Accent6 3 11 5 2 2" xfId="16580"/>
    <cellStyle name="20% - Accent6 3 11 6" xfId="16581"/>
    <cellStyle name="20% - Accent6 3 11 6 2" xfId="16582"/>
    <cellStyle name="20% - Accent6 3 11 7" xfId="16583"/>
    <cellStyle name="20% - Accent6 3 12" xfId="16584"/>
    <cellStyle name="20% - Accent6 3 12 2" xfId="16585"/>
    <cellStyle name="20% - Accent6 3 12 2 2" xfId="16586"/>
    <cellStyle name="20% - Accent6 3 12 2 2 2" xfId="16587"/>
    <cellStyle name="20% - Accent6 3 12 2 2 2 2" xfId="16588"/>
    <cellStyle name="20% - Accent6 3 12 2 2 2 2 2" xfId="16589"/>
    <cellStyle name="20% - Accent6 3 12 2 2 2 2 2 2" xfId="16590"/>
    <cellStyle name="20% - Accent6 3 12 2 2 2 3" xfId="16591"/>
    <cellStyle name="20% - Accent6 3 12 2 2 2 3 2" xfId="16592"/>
    <cellStyle name="20% - Accent6 3 12 2 2 3" xfId="16593"/>
    <cellStyle name="20% - Accent6 3 12 2 2 3 2" xfId="16594"/>
    <cellStyle name="20% - Accent6 3 12 2 2 3 2 2" xfId="16595"/>
    <cellStyle name="20% - Accent6 3 12 2 2 4" xfId="16596"/>
    <cellStyle name="20% - Accent6 3 12 2 2 4 2" xfId="16597"/>
    <cellStyle name="20% - Accent6 3 12 2 3" xfId="16598"/>
    <cellStyle name="20% - Accent6 3 12 2 3 2" xfId="16599"/>
    <cellStyle name="20% - Accent6 3 12 2 3 2 2" xfId="16600"/>
    <cellStyle name="20% - Accent6 3 12 2 3 2 2 2" xfId="16601"/>
    <cellStyle name="20% - Accent6 3 12 2 3 3" xfId="16602"/>
    <cellStyle name="20% - Accent6 3 12 2 3 3 2" xfId="16603"/>
    <cellStyle name="20% - Accent6 3 12 2 4" xfId="16604"/>
    <cellStyle name="20% - Accent6 3 12 2 4 2" xfId="16605"/>
    <cellStyle name="20% - Accent6 3 12 2 4 2 2" xfId="16606"/>
    <cellStyle name="20% - Accent6 3 12 2 5" xfId="16607"/>
    <cellStyle name="20% - Accent6 3 12 2 5 2" xfId="16608"/>
    <cellStyle name="20% - Accent6 3 12 3" xfId="16609"/>
    <cellStyle name="20% - Accent6 3 12 3 2" xfId="16610"/>
    <cellStyle name="20% - Accent6 3 12 3 2 2" xfId="16611"/>
    <cellStyle name="20% - Accent6 3 12 3 2 2 2" xfId="16612"/>
    <cellStyle name="20% - Accent6 3 12 3 2 2 2 2" xfId="16613"/>
    <cellStyle name="20% - Accent6 3 12 3 2 3" xfId="16614"/>
    <cellStyle name="20% - Accent6 3 12 3 2 3 2" xfId="16615"/>
    <cellStyle name="20% - Accent6 3 12 3 3" xfId="16616"/>
    <cellStyle name="20% - Accent6 3 12 3 3 2" xfId="16617"/>
    <cellStyle name="20% - Accent6 3 12 3 3 2 2" xfId="16618"/>
    <cellStyle name="20% - Accent6 3 12 3 4" xfId="16619"/>
    <cellStyle name="20% - Accent6 3 12 3 4 2" xfId="16620"/>
    <cellStyle name="20% - Accent6 3 12 4" xfId="16621"/>
    <cellStyle name="20% - Accent6 3 12 4 2" xfId="16622"/>
    <cellStyle name="20% - Accent6 3 12 4 2 2" xfId="16623"/>
    <cellStyle name="20% - Accent6 3 12 4 2 2 2" xfId="16624"/>
    <cellStyle name="20% - Accent6 3 12 4 3" xfId="16625"/>
    <cellStyle name="20% - Accent6 3 12 4 3 2" xfId="16626"/>
    <cellStyle name="20% - Accent6 3 12 5" xfId="16627"/>
    <cellStyle name="20% - Accent6 3 12 5 2" xfId="16628"/>
    <cellStyle name="20% - Accent6 3 12 5 2 2" xfId="16629"/>
    <cellStyle name="20% - Accent6 3 12 6" xfId="16630"/>
    <cellStyle name="20% - Accent6 3 12 6 2" xfId="16631"/>
    <cellStyle name="20% - Accent6 3 13" xfId="16632"/>
    <cellStyle name="20% - Accent6 3 13 2" xfId="16633"/>
    <cellStyle name="20% - Accent6 3 13 2 2" xfId="16634"/>
    <cellStyle name="20% - Accent6 3 13 2 2 2" xfId="16635"/>
    <cellStyle name="20% - Accent6 3 13 2 2 2 2" xfId="16636"/>
    <cellStyle name="20% - Accent6 3 13 2 2 2 2 2" xfId="16637"/>
    <cellStyle name="20% - Accent6 3 13 2 2 2 2 2 2" xfId="16638"/>
    <cellStyle name="20% - Accent6 3 13 2 2 2 3" xfId="16639"/>
    <cellStyle name="20% - Accent6 3 13 2 2 2 3 2" xfId="16640"/>
    <cellStyle name="20% - Accent6 3 13 2 2 3" xfId="16641"/>
    <cellStyle name="20% - Accent6 3 13 2 2 3 2" xfId="16642"/>
    <cellStyle name="20% - Accent6 3 13 2 2 3 2 2" xfId="16643"/>
    <cellStyle name="20% - Accent6 3 13 2 2 4" xfId="16644"/>
    <cellStyle name="20% - Accent6 3 13 2 2 4 2" xfId="16645"/>
    <cellStyle name="20% - Accent6 3 13 2 3" xfId="16646"/>
    <cellStyle name="20% - Accent6 3 13 2 3 2" xfId="16647"/>
    <cellStyle name="20% - Accent6 3 13 2 3 2 2" xfId="16648"/>
    <cellStyle name="20% - Accent6 3 13 2 3 2 2 2" xfId="16649"/>
    <cellStyle name="20% - Accent6 3 13 2 3 3" xfId="16650"/>
    <cellStyle name="20% - Accent6 3 13 2 3 3 2" xfId="16651"/>
    <cellStyle name="20% - Accent6 3 13 2 4" xfId="16652"/>
    <cellStyle name="20% - Accent6 3 13 2 4 2" xfId="16653"/>
    <cellStyle name="20% - Accent6 3 13 2 4 2 2" xfId="16654"/>
    <cellStyle name="20% - Accent6 3 13 2 5" xfId="16655"/>
    <cellStyle name="20% - Accent6 3 13 2 5 2" xfId="16656"/>
    <cellStyle name="20% - Accent6 3 13 3" xfId="16657"/>
    <cellStyle name="20% - Accent6 3 13 3 2" xfId="16658"/>
    <cellStyle name="20% - Accent6 3 13 3 2 2" xfId="16659"/>
    <cellStyle name="20% - Accent6 3 13 3 2 2 2" xfId="16660"/>
    <cellStyle name="20% - Accent6 3 13 3 2 2 2 2" xfId="16661"/>
    <cellStyle name="20% - Accent6 3 13 3 2 3" xfId="16662"/>
    <cellStyle name="20% - Accent6 3 13 3 2 3 2" xfId="16663"/>
    <cellStyle name="20% - Accent6 3 13 3 3" xfId="16664"/>
    <cellStyle name="20% - Accent6 3 13 3 3 2" xfId="16665"/>
    <cellStyle name="20% - Accent6 3 13 3 3 2 2" xfId="16666"/>
    <cellStyle name="20% - Accent6 3 13 3 4" xfId="16667"/>
    <cellStyle name="20% - Accent6 3 13 3 4 2" xfId="16668"/>
    <cellStyle name="20% - Accent6 3 13 4" xfId="16669"/>
    <cellStyle name="20% - Accent6 3 13 4 2" xfId="16670"/>
    <cellStyle name="20% - Accent6 3 13 4 2 2" xfId="16671"/>
    <cellStyle name="20% - Accent6 3 13 4 2 2 2" xfId="16672"/>
    <cellStyle name="20% - Accent6 3 13 4 3" xfId="16673"/>
    <cellStyle name="20% - Accent6 3 13 4 3 2" xfId="16674"/>
    <cellStyle name="20% - Accent6 3 13 5" xfId="16675"/>
    <cellStyle name="20% - Accent6 3 13 5 2" xfId="16676"/>
    <cellStyle name="20% - Accent6 3 13 5 2 2" xfId="16677"/>
    <cellStyle name="20% - Accent6 3 13 6" xfId="16678"/>
    <cellStyle name="20% - Accent6 3 13 6 2" xfId="16679"/>
    <cellStyle name="20% - Accent6 3 14" xfId="16680"/>
    <cellStyle name="20% - Accent6 3 14 2" xfId="16681"/>
    <cellStyle name="20% - Accent6 3 14 2 2" xfId="16682"/>
    <cellStyle name="20% - Accent6 3 14 2 2 2" xfId="16683"/>
    <cellStyle name="20% - Accent6 3 14 2 2 2 2" xfId="16684"/>
    <cellStyle name="20% - Accent6 3 14 2 2 2 2 2" xfId="16685"/>
    <cellStyle name="20% - Accent6 3 14 2 2 3" xfId="16686"/>
    <cellStyle name="20% - Accent6 3 14 2 2 3 2" xfId="16687"/>
    <cellStyle name="20% - Accent6 3 14 2 3" xfId="16688"/>
    <cellStyle name="20% - Accent6 3 14 2 3 2" xfId="16689"/>
    <cellStyle name="20% - Accent6 3 14 2 3 2 2" xfId="16690"/>
    <cellStyle name="20% - Accent6 3 14 2 4" xfId="16691"/>
    <cellStyle name="20% - Accent6 3 14 2 4 2" xfId="16692"/>
    <cellStyle name="20% - Accent6 3 14 3" xfId="16693"/>
    <cellStyle name="20% - Accent6 3 14 3 2" xfId="16694"/>
    <cellStyle name="20% - Accent6 3 14 3 2 2" xfId="16695"/>
    <cellStyle name="20% - Accent6 3 14 3 2 2 2" xfId="16696"/>
    <cellStyle name="20% - Accent6 3 14 3 3" xfId="16697"/>
    <cellStyle name="20% - Accent6 3 14 3 3 2" xfId="16698"/>
    <cellStyle name="20% - Accent6 3 14 4" xfId="16699"/>
    <cellStyle name="20% - Accent6 3 14 4 2" xfId="16700"/>
    <cellStyle name="20% - Accent6 3 14 4 2 2" xfId="16701"/>
    <cellStyle name="20% - Accent6 3 14 5" xfId="16702"/>
    <cellStyle name="20% - Accent6 3 14 5 2" xfId="16703"/>
    <cellStyle name="20% - Accent6 3 15" xfId="16704"/>
    <cellStyle name="20% - Accent6 3 15 2" xfId="16705"/>
    <cellStyle name="20% - Accent6 3 15 2 2" xfId="16706"/>
    <cellStyle name="20% - Accent6 3 15 2 2 2" xfId="16707"/>
    <cellStyle name="20% - Accent6 3 15 2 2 2 2" xfId="16708"/>
    <cellStyle name="20% - Accent6 3 15 2 3" xfId="16709"/>
    <cellStyle name="20% - Accent6 3 15 2 3 2" xfId="16710"/>
    <cellStyle name="20% - Accent6 3 15 3" xfId="16711"/>
    <cellStyle name="20% - Accent6 3 15 3 2" xfId="16712"/>
    <cellStyle name="20% - Accent6 3 15 3 2 2" xfId="16713"/>
    <cellStyle name="20% - Accent6 3 15 4" xfId="16714"/>
    <cellStyle name="20% - Accent6 3 15 4 2" xfId="16715"/>
    <cellStyle name="20% - Accent6 3 16" xfId="16716"/>
    <cellStyle name="20% - Accent6 3 16 2" xfId="16717"/>
    <cellStyle name="20% - Accent6 3 16 2 2" xfId="16718"/>
    <cellStyle name="20% - Accent6 3 16 2 2 2" xfId="16719"/>
    <cellStyle name="20% - Accent6 3 16 3" xfId="16720"/>
    <cellStyle name="20% - Accent6 3 16 3 2" xfId="16721"/>
    <cellStyle name="20% - Accent6 3 17" xfId="16722"/>
    <cellStyle name="20% - Accent6 3 17 2" xfId="16723"/>
    <cellStyle name="20% - Accent6 3 17 2 2" xfId="16724"/>
    <cellStyle name="20% - Accent6 3 18" xfId="16725"/>
    <cellStyle name="20% - Accent6 3 18 2" xfId="16726"/>
    <cellStyle name="20% - Accent6 3 19" xfId="16727"/>
    <cellStyle name="20% - Accent6 3 2" xfId="16728"/>
    <cellStyle name="20% - Accent6 3 2 10" xfId="16729"/>
    <cellStyle name="20% - Accent6 3 2 11" xfId="16730"/>
    <cellStyle name="20% - Accent6 3 2 2" xfId="16731"/>
    <cellStyle name="20% - Accent6 3 2 2 2" xfId="16732"/>
    <cellStyle name="20% - Accent6 3 2 2 2 2" xfId="16733"/>
    <cellStyle name="20% - Accent6 3 2 2 2 2 2" xfId="16734"/>
    <cellStyle name="20% - Accent6 3 2 2 2 2 2 2" xfId="16735"/>
    <cellStyle name="20% - Accent6 3 2 2 2 2 2 2 2" xfId="16736"/>
    <cellStyle name="20% - Accent6 3 2 2 2 2 3" xfId="16737"/>
    <cellStyle name="20% - Accent6 3 2 2 2 2 3 2" xfId="16738"/>
    <cellStyle name="20% - Accent6 3 2 2 2 3" xfId="16739"/>
    <cellStyle name="20% - Accent6 3 2 2 2 3 2" xfId="16740"/>
    <cellStyle name="20% - Accent6 3 2 2 2 3 2 2" xfId="16741"/>
    <cellStyle name="20% - Accent6 3 2 2 2 4" xfId="16742"/>
    <cellStyle name="20% - Accent6 3 2 2 2 4 2" xfId="16743"/>
    <cellStyle name="20% - Accent6 3 2 2 3" xfId="16744"/>
    <cellStyle name="20% - Accent6 3 2 2 3 2" xfId="16745"/>
    <cellStyle name="20% - Accent6 3 2 2 3 2 2" xfId="16746"/>
    <cellStyle name="20% - Accent6 3 2 2 3 2 2 2" xfId="16747"/>
    <cellStyle name="20% - Accent6 3 2 2 3 3" xfId="16748"/>
    <cellStyle name="20% - Accent6 3 2 2 3 3 2" xfId="16749"/>
    <cellStyle name="20% - Accent6 3 2 2 4" xfId="16750"/>
    <cellStyle name="20% - Accent6 3 2 2 4 2" xfId="16751"/>
    <cellStyle name="20% - Accent6 3 2 2 4 2 2" xfId="16752"/>
    <cellStyle name="20% - Accent6 3 2 2 5" xfId="16753"/>
    <cellStyle name="20% - Accent6 3 2 2 5 2" xfId="16754"/>
    <cellStyle name="20% - Accent6 3 2 2 6" xfId="16755"/>
    <cellStyle name="20% - Accent6 3 2 2 7" xfId="16756"/>
    <cellStyle name="20% - Accent6 3 2 2 8" xfId="16757"/>
    <cellStyle name="20% - Accent6 3 2 3" xfId="16758"/>
    <cellStyle name="20% - Accent6 3 2 3 2" xfId="16759"/>
    <cellStyle name="20% - Accent6 3 2 3 2 2" xfId="16760"/>
    <cellStyle name="20% - Accent6 3 2 3 2 2 2" xfId="16761"/>
    <cellStyle name="20% - Accent6 3 2 3 2 2 2 2" xfId="16762"/>
    <cellStyle name="20% - Accent6 3 2 3 2 3" xfId="16763"/>
    <cellStyle name="20% - Accent6 3 2 3 2 3 2" xfId="16764"/>
    <cellStyle name="20% - Accent6 3 2 3 3" xfId="16765"/>
    <cellStyle name="20% - Accent6 3 2 3 3 2" xfId="16766"/>
    <cellStyle name="20% - Accent6 3 2 3 3 2 2" xfId="16767"/>
    <cellStyle name="20% - Accent6 3 2 3 4" xfId="16768"/>
    <cellStyle name="20% - Accent6 3 2 3 4 2" xfId="16769"/>
    <cellStyle name="20% - Accent6 3 2 3 5" xfId="16770"/>
    <cellStyle name="20% - Accent6 3 2 3 6" xfId="16771"/>
    <cellStyle name="20% - Accent6 3 2 3 7" xfId="16772"/>
    <cellStyle name="20% - Accent6 3 2 4" xfId="16773"/>
    <cellStyle name="20% - Accent6 3 2 4 2" xfId="16774"/>
    <cellStyle name="20% - Accent6 3 2 4 2 2" xfId="16775"/>
    <cellStyle name="20% - Accent6 3 2 4 2 2 2" xfId="16776"/>
    <cellStyle name="20% - Accent6 3 2 4 3" xfId="16777"/>
    <cellStyle name="20% - Accent6 3 2 4 3 2" xfId="16778"/>
    <cellStyle name="20% - Accent6 3 2 4 4" xfId="16779"/>
    <cellStyle name="20% - Accent6 3 2 5" xfId="16780"/>
    <cellStyle name="20% - Accent6 3 2 5 2" xfId="16781"/>
    <cellStyle name="20% - Accent6 3 2 5 2 2" xfId="16782"/>
    <cellStyle name="20% - Accent6 3 2 6" xfId="16783"/>
    <cellStyle name="20% - Accent6 3 2 6 2" xfId="16784"/>
    <cellStyle name="20% - Accent6 3 2 7" xfId="16785"/>
    <cellStyle name="20% - Accent6 3 2 8" xfId="16786"/>
    <cellStyle name="20% - Accent6 3 2 9" xfId="16787"/>
    <cellStyle name="20% - Accent6 3 20" xfId="16788"/>
    <cellStyle name="20% - Accent6 3 21" xfId="16789"/>
    <cellStyle name="20% - Accent6 3 22" xfId="16790"/>
    <cellStyle name="20% - Accent6 3 3" xfId="16791"/>
    <cellStyle name="20% - Accent6 3 3 10" xfId="16792"/>
    <cellStyle name="20% - Accent6 3 3 11" xfId="16793"/>
    <cellStyle name="20% - Accent6 3 3 2" xfId="16794"/>
    <cellStyle name="20% - Accent6 3 3 2 2" xfId="16795"/>
    <cellStyle name="20% - Accent6 3 3 2 2 2" xfId="16796"/>
    <cellStyle name="20% - Accent6 3 3 2 2 2 2" xfId="16797"/>
    <cellStyle name="20% - Accent6 3 3 2 2 2 2 2" xfId="16798"/>
    <cellStyle name="20% - Accent6 3 3 2 2 2 2 2 2" xfId="16799"/>
    <cellStyle name="20% - Accent6 3 3 2 2 2 3" xfId="16800"/>
    <cellStyle name="20% - Accent6 3 3 2 2 2 3 2" xfId="16801"/>
    <cellStyle name="20% - Accent6 3 3 2 2 3" xfId="16802"/>
    <cellStyle name="20% - Accent6 3 3 2 2 3 2" xfId="16803"/>
    <cellStyle name="20% - Accent6 3 3 2 2 3 2 2" xfId="16804"/>
    <cellStyle name="20% - Accent6 3 3 2 2 4" xfId="16805"/>
    <cellStyle name="20% - Accent6 3 3 2 2 4 2" xfId="16806"/>
    <cellStyle name="20% - Accent6 3 3 2 3" xfId="16807"/>
    <cellStyle name="20% - Accent6 3 3 2 3 2" xfId="16808"/>
    <cellStyle name="20% - Accent6 3 3 2 3 2 2" xfId="16809"/>
    <cellStyle name="20% - Accent6 3 3 2 3 2 2 2" xfId="16810"/>
    <cellStyle name="20% - Accent6 3 3 2 3 3" xfId="16811"/>
    <cellStyle name="20% - Accent6 3 3 2 3 3 2" xfId="16812"/>
    <cellStyle name="20% - Accent6 3 3 2 4" xfId="16813"/>
    <cellStyle name="20% - Accent6 3 3 2 4 2" xfId="16814"/>
    <cellStyle name="20% - Accent6 3 3 2 4 2 2" xfId="16815"/>
    <cellStyle name="20% - Accent6 3 3 2 5" xfId="16816"/>
    <cellStyle name="20% - Accent6 3 3 2 5 2" xfId="16817"/>
    <cellStyle name="20% - Accent6 3 3 2 6" xfId="16818"/>
    <cellStyle name="20% - Accent6 3 3 2 7" xfId="16819"/>
    <cellStyle name="20% - Accent6 3 3 2 8" xfId="16820"/>
    <cellStyle name="20% - Accent6 3 3 3" xfId="16821"/>
    <cellStyle name="20% - Accent6 3 3 3 2" xfId="16822"/>
    <cellStyle name="20% - Accent6 3 3 3 2 2" xfId="16823"/>
    <cellStyle name="20% - Accent6 3 3 3 2 2 2" xfId="16824"/>
    <cellStyle name="20% - Accent6 3 3 3 2 2 2 2" xfId="16825"/>
    <cellStyle name="20% - Accent6 3 3 3 2 3" xfId="16826"/>
    <cellStyle name="20% - Accent6 3 3 3 2 3 2" xfId="16827"/>
    <cellStyle name="20% - Accent6 3 3 3 3" xfId="16828"/>
    <cellStyle name="20% - Accent6 3 3 3 3 2" xfId="16829"/>
    <cellStyle name="20% - Accent6 3 3 3 3 2 2" xfId="16830"/>
    <cellStyle name="20% - Accent6 3 3 3 4" xfId="16831"/>
    <cellStyle name="20% - Accent6 3 3 3 4 2" xfId="16832"/>
    <cellStyle name="20% - Accent6 3 3 3 5" xfId="16833"/>
    <cellStyle name="20% - Accent6 3 3 3 6" xfId="16834"/>
    <cellStyle name="20% - Accent6 3 3 3 7" xfId="16835"/>
    <cellStyle name="20% - Accent6 3 3 4" xfId="16836"/>
    <cellStyle name="20% - Accent6 3 3 4 2" xfId="16837"/>
    <cellStyle name="20% - Accent6 3 3 4 2 2" xfId="16838"/>
    <cellStyle name="20% - Accent6 3 3 4 2 2 2" xfId="16839"/>
    <cellStyle name="20% - Accent6 3 3 4 3" xfId="16840"/>
    <cellStyle name="20% - Accent6 3 3 4 3 2" xfId="16841"/>
    <cellStyle name="20% - Accent6 3 3 4 4" xfId="16842"/>
    <cellStyle name="20% - Accent6 3 3 5" xfId="16843"/>
    <cellStyle name="20% - Accent6 3 3 5 2" xfId="16844"/>
    <cellStyle name="20% - Accent6 3 3 5 2 2" xfId="16845"/>
    <cellStyle name="20% - Accent6 3 3 6" xfId="16846"/>
    <cellStyle name="20% - Accent6 3 3 6 2" xfId="16847"/>
    <cellStyle name="20% - Accent6 3 3 7" xfId="16848"/>
    <cellStyle name="20% - Accent6 3 3 8" xfId="16849"/>
    <cellStyle name="20% - Accent6 3 3 9" xfId="16850"/>
    <cellStyle name="20% - Accent6 3 4" xfId="16851"/>
    <cellStyle name="20% - Accent6 3 4 2" xfId="16852"/>
    <cellStyle name="20% - Accent6 3 4 2 2" xfId="16853"/>
    <cellStyle name="20% - Accent6 3 4 2 2 2" xfId="16854"/>
    <cellStyle name="20% - Accent6 3 4 2 2 2 2" xfId="16855"/>
    <cellStyle name="20% - Accent6 3 4 2 2 2 2 2" xfId="16856"/>
    <cellStyle name="20% - Accent6 3 4 2 2 2 2 2 2" xfId="16857"/>
    <cellStyle name="20% - Accent6 3 4 2 2 2 3" xfId="16858"/>
    <cellStyle name="20% - Accent6 3 4 2 2 2 3 2" xfId="16859"/>
    <cellStyle name="20% - Accent6 3 4 2 2 3" xfId="16860"/>
    <cellStyle name="20% - Accent6 3 4 2 2 3 2" xfId="16861"/>
    <cellStyle name="20% - Accent6 3 4 2 2 3 2 2" xfId="16862"/>
    <cellStyle name="20% - Accent6 3 4 2 2 4" xfId="16863"/>
    <cellStyle name="20% - Accent6 3 4 2 2 4 2" xfId="16864"/>
    <cellStyle name="20% - Accent6 3 4 2 3" xfId="16865"/>
    <cellStyle name="20% - Accent6 3 4 2 3 2" xfId="16866"/>
    <cellStyle name="20% - Accent6 3 4 2 3 2 2" xfId="16867"/>
    <cellStyle name="20% - Accent6 3 4 2 3 2 2 2" xfId="16868"/>
    <cellStyle name="20% - Accent6 3 4 2 3 3" xfId="16869"/>
    <cellStyle name="20% - Accent6 3 4 2 3 3 2" xfId="16870"/>
    <cellStyle name="20% - Accent6 3 4 2 4" xfId="16871"/>
    <cellStyle name="20% - Accent6 3 4 2 4 2" xfId="16872"/>
    <cellStyle name="20% - Accent6 3 4 2 4 2 2" xfId="16873"/>
    <cellStyle name="20% - Accent6 3 4 2 5" xfId="16874"/>
    <cellStyle name="20% - Accent6 3 4 2 5 2" xfId="16875"/>
    <cellStyle name="20% - Accent6 3 4 3" xfId="16876"/>
    <cellStyle name="20% - Accent6 3 4 3 2" xfId="16877"/>
    <cellStyle name="20% - Accent6 3 4 3 2 2" xfId="16878"/>
    <cellStyle name="20% - Accent6 3 4 3 2 2 2" xfId="16879"/>
    <cellStyle name="20% - Accent6 3 4 3 2 2 2 2" xfId="16880"/>
    <cellStyle name="20% - Accent6 3 4 3 2 3" xfId="16881"/>
    <cellStyle name="20% - Accent6 3 4 3 2 3 2" xfId="16882"/>
    <cellStyle name="20% - Accent6 3 4 3 3" xfId="16883"/>
    <cellStyle name="20% - Accent6 3 4 3 3 2" xfId="16884"/>
    <cellStyle name="20% - Accent6 3 4 3 3 2 2" xfId="16885"/>
    <cellStyle name="20% - Accent6 3 4 3 4" xfId="16886"/>
    <cellStyle name="20% - Accent6 3 4 3 4 2" xfId="16887"/>
    <cellStyle name="20% - Accent6 3 4 4" xfId="16888"/>
    <cellStyle name="20% - Accent6 3 4 4 2" xfId="16889"/>
    <cellStyle name="20% - Accent6 3 4 4 2 2" xfId="16890"/>
    <cellStyle name="20% - Accent6 3 4 4 2 2 2" xfId="16891"/>
    <cellStyle name="20% - Accent6 3 4 4 3" xfId="16892"/>
    <cellStyle name="20% - Accent6 3 4 4 3 2" xfId="16893"/>
    <cellStyle name="20% - Accent6 3 4 5" xfId="16894"/>
    <cellStyle name="20% - Accent6 3 4 5 2" xfId="16895"/>
    <cellStyle name="20% - Accent6 3 4 5 2 2" xfId="16896"/>
    <cellStyle name="20% - Accent6 3 4 6" xfId="16897"/>
    <cellStyle name="20% - Accent6 3 4 6 2" xfId="16898"/>
    <cellStyle name="20% - Accent6 3 4 7" xfId="16899"/>
    <cellStyle name="20% - Accent6 3 5" xfId="16900"/>
    <cellStyle name="20% - Accent6 3 5 2" xfId="16901"/>
    <cellStyle name="20% - Accent6 3 5 2 2" xfId="16902"/>
    <cellStyle name="20% - Accent6 3 5 2 2 2" xfId="16903"/>
    <cellStyle name="20% - Accent6 3 5 2 2 2 2" xfId="16904"/>
    <cellStyle name="20% - Accent6 3 5 2 2 2 2 2" xfId="16905"/>
    <cellStyle name="20% - Accent6 3 5 2 2 2 2 2 2" xfId="16906"/>
    <cellStyle name="20% - Accent6 3 5 2 2 2 3" xfId="16907"/>
    <cellStyle name="20% - Accent6 3 5 2 2 2 3 2" xfId="16908"/>
    <cellStyle name="20% - Accent6 3 5 2 2 3" xfId="16909"/>
    <cellStyle name="20% - Accent6 3 5 2 2 3 2" xfId="16910"/>
    <cellStyle name="20% - Accent6 3 5 2 2 3 2 2" xfId="16911"/>
    <cellStyle name="20% - Accent6 3 5 2 2 4" xfId="16912"/>
    <cellStyle name="20% - Accent6 3 5 2 2 4 2" xfId="16913"/>
    <cellStyle name="20% - Accent6 3 5 2 3" xfId="16914"/>
    <cellStyle name="20% - Accent6 3 5 2 3 2" xfId="16915"/>
    <cellStyle name="20% - Accent6 3 5 2 3 2 2" xfId="16916"/>
    <cellStyle name="20% - Accent6 3 5 2 3 2 2 2" xfId="16917"/>
    <cellStyle name="20% - Accent6 3 5 2 3 3" xfId="16918"/>
    <cellStyle name="20% - Accent6 3 5 2 3 3 2" xfId="16919"/>
    <cellStyle name="20% - Accent6 3 5 2 4" xfId="16920"/>
    <cellStyle name="20% - Accent6 3 5 2 4 2" xfId="16921"/>
    <cellStyle name="20% - Accent6 3 5 2 4 2 2" xfId="16922"/>
    <cellStyle name="20% - Accent6 3 5 2 5" xfId="16923"/>
    <cellStyle name="20% - Accent6 3 5 2 5 2" xfId="16924"/>
    <cellStyle name="20% - Accent6 3 5 3" xfId="16925"/>
    <cellStyle name="20% - Accent6 3 5 3 2" xfId="16926"/>
    <cellStyle name="20% - Accent6 3 5 3 2 2" xfId="16927"/>
    <cellStyle name="20% - Accent6 3 5 3 2 2 2" xfId="16928"/>
    <cellStyle name="20% - Accent6 3 5 3 2 2 2 2" xfId="16929"/>
    <cellStyle name="20% - Accent6 3 5 3 2 3" xfId="16930"/>
    <cellStyle name="20% - Accent6 3 5 3 2 3 2" xfId="16931"/>
    <cellStyle name="20% - Accent6 3 5 3 3" xfId="16932"/>
    <cellStyle name="20% - Accent6 3 5 3 3 2" xfId="16933"/>
    <cellStyle name="20% - Accent6 3 5 3 3 2 2" xfId="16934"/>
    <cellStyle name="20% - Accent6 3 5 3 4" xfId="16935"/>
    <cellStyle name="20% - Accent6 3 5 3 4 2" xfId="16936"/>
    <cellStyle name="20% - Accent6 3 5 4" xfId="16937"/>
    <cellStyle name="20% - Accent6 3 5 4 2" xfId="16938"/>
    <cellStyle name="20% - Accent6 3 5 4 2 2" xfId="16939"/>
    <cellStyle name="20% - Accent6 3 5 4 2 2 2" xfId="16940"/>
    <cellStyle name="20% - Accent6 3 5 4 3" xfId="16941"/>
    <cellStyle name="20% - Accent6 3 5 4 3 2" xfId="16942"/>
    <cellStyle name="20% - Accent6 3 5 5" xfId="16943"/>
    <cellStyle name="20% - Accent6 3 5 5 2" xfId="16944"/>
    <cellStyle name="20% - Accent6 3 5 5 2 2" xfId="16945"/>
    <cellStyle name="20% - Accent6 3 5 6" xfId="16946"/>
    <cellStyle name="20% - Accent6 3 5 6 2" xfId="16947"/>
    <cellStyle name="20% - Accent6 3 5 7" xfId="16948"/>
    <cellStyle name="20% - Accent6 3 6" xfId="16949"/>
    <cellStyle name="20% - Accent6 3 6 2" xfId="16950"/>
    <cellStyle name="20% - Accent6 3 6 2 2" xfId="16951"/>
    <cellStyle name="20% - Accent6 3 6 2 2 2" xfId="16952"/>
    <cellStyle name="20% - Accent6 3 6 2 2 2 2" xfId="16953"/>
    <cellStyle name="20% - Accent6 3 6 2 2 2 2 2" xfId="16954"/>
    <cellStyle name="20% - Accent6 3 6 2 2 2 2 2 2" xfId="16955"/>
    <cellStyle name="20% - Accent6 3 6 2 2 2 3" xfId="16956"/>
    <cellStyle name="20% - Accent6 3 6 2 2 2 3 2" xfId="16957"/>
    <cellStyle name="20% - Accent6 3 6 2 2 3" xfId="16958"/>
    <cellStyle name="20% - Accent6 3 6 2 2 3 2" xfId="16959"/>
    <cellStyle name="20% - Accent6 3 6 2 2 3 2 2" xfId="16960"/>
    <cellStyle name="20% - Accent6 3 6 2 2 4" xfId="16961"/>
    <cellStyle name="20% - Accent6 3 6 2 2 4 2" xfId="16962"/>
    <cellStyle name="20% - Accent6 3 6 2 3" xfId="16963"/>
    <cellStyle name="20% - Accent6 3 6 2 3 2" xfId="16964"/>
    <cellStyle name="20% - Accent6 3 6 2 3 2 2" xfId="16965"/>
    <cellStyle name="20% - Accent6 3 6 2 3 2 2 2" xfId="16966"/>
    <cellStyle name="20% - Accent6 3 6 2 3 3" xfId="16967"/>
    <cellStyle name="20% - Accent6 3 6 2 3 3 2" xfId="16968"/>
    <cellStyle name="20% - Accent6 3 6 2 4" xfId="16969"/>
    <cellStyle name="20% - Accent6 3 6 2 4 2" xfId="16970"/>
    <cellStyle name="20% - Accent6 3 6 2 4 2 2" xfId="16971"/>
    <cellStyle name="20% - Accent6 3 6 2 5" xfId="16972"/>
    <cellStyle name="20% - Accent6 3 6 2 5 2" xfId="16973"/>
    <cellStyle name="20% - Accent6 3 6 3" xfId="16974"/>
    <cellStyle name="20% - Accent6 3 6 3 2" xfId="16975"/>
    <cellStyle name="20% - Accent6 3 6 3 2 2" xfId="16976"/>
    <cellStyle name="20% - Accent6 3 6 3 2 2 2" xfId="16977"/>
    <cellStyle name="20% - Accent6 3 6 3 2 2 2 2" xfId="16978"/>
    <cellStyle name="20% - Accent6 3 6 3 2 3" xfId="16979"/>
    <cellStyle name="20% - Accent6 3 6 3 2 3 2" xfId="16980"/>
    <cellStyle name="20% - Accent6 3 6 3 3" xfId="16981"/>
    <cellStyle name="20% - Accent6 3 6 3 3 2" xfId="16982"/>
    <cellStyle name="20% - Accent6 3 6 3 3 2 2" xfId="16983"/>
    <cellStyle name="20% - Accent6 3 6 3 4" xfId="16984"/>
    <cellStyle name="20% - Accent6 3 6 3 4 2" xfId="16985"/>
    <cellStyle name="20% - Accent6 3 6 4" xfId="16986"/>
    <cellStyle name="20% - Accent6 3 6 4 2" xfId="16987"/>
    <cellStyle name="20% - Accent6 3 6 4 2 2" xfId="16988"/>
    <cellStyle name="20% - Accent6 3 6 4 2 2 2" xfId="16989"/>
    <cellStyle name="20% - Accent6 3 6 4 3" xfId="16990"/>
    <cellStyle name="20% - Accent6 3 6 4 3 2" xfId="16991"/>
    <cellStyle name="20% - Accent6 3 6 5" xfId="16992"/>
    <cellStyle name="20% - Accent6 3 6 5 2" xfId="16993"/>
    <cellStyle name="20% - Accent6 3 6 5 2 2" xfId="16994"/>
    <cellStyle name="20% - Accent6 3 6 6" xfId="16995"/>
    <cellStyle name="20% - Accent6 3 6 6 2" xfId="16996"/>
    <cellStyle name="20% - Accent6 3 6 7" xfId="16997"/>
    <cellStyle name="20% - Accent6 3 7" xfId="16998"/>
    <cellStyle name="20% - Accent6 3 7 2" xfId="16999"/>
    <cellStyle name="20% - Accent6 3 7 2 2" xfId="17000"/>
    <cellStyle name="20% - Accent6 3 7 2 2 2" xfId="17001"/>
    <cellStyle name="20% - Accent6 3 7 2 2 2 2" xfId="17002"/>
    <cellStyle name="20% - Accent6 3 7 2 2 2 2 2" xfId="17003"/>
    <cellStyle name="20% - Accent6 3 7 2 2 2 2 2 2" xfId="17004"/>
    <cellStyle name="20% - Accent6 3 7 2 2 2 3" xfId="17005"/>
    <cellStyle name="20% - Accent6 3 7 2 2 2 3 2" xfId="17006"/>
    <cellStyle name="20% - Accent6 3 7 2 2 3" xfId="17007"/>
    <cellStyle name="20% - Accent6 3 7 2 2 3 2" xfId="17008"/>
    <cellStyle name="20% - Accent6 3 7 2 2 3 2 2" xfId="17009"/>
    <cellStyle name="20% - Accent6 3 7 2 2 4" xfId="17010"/>
    <cellStyle name="20% - Accent6 3 7 2 2 4 2" xfId="17011"/>
    <cellStyle name="20% - Accent6 3 7 2 3" xfId="17012"/>
    <cellStyle name="20% - Accent6 3 7 2 3 2" xfId="17013"/>
    <cellStyle name="20% - Accent6 3 7 2 3 2 2" xfId="17014"/>
    <cellStyle name="20% - Accent6 3 7 2 3 2 2 2" xfId="17015"/>
    <cellStyle name="20% - Accent6 3 7 2 3 3" xfId="17016"/>
    <cellStyle name="20% - Accent6 3 7 2 3 3 2" xfId="17017"/>
    <cellStyle name="20% - Accent6 3 7 2 4" xfId="17018"/>
    <cellStyle name="20% - Accent6 3 7 2 4 2" xfId="17019"/>
    <cellStyle name="20% - Accent6 3 7 2 4 2 2" xfId="17020"/>
    <cellStyle name="20% - Accent6 3 7 2 5" xfId="17021"/>
    <cellStyle name="20% - Accent6 3 7 2 5 2" xfId="17022"/>
    <cellStyle name="20% - Accent6 3 7 3" xfId="17023"/>
    <cellStyle name="20% - Accent6 3 7 3 2" xfId="17024"/>
    <cellStyle name="20% - Accent6 3 7 3 2 2" xfId="17025"/>
    <cellStyle name="20% - Accent6 3 7 3 2 2 2" xfId="17026"/>
    <cellStyle name="20% - Accent6 3 7 3 2 2 2 2" xfId="17027"/>
    <cellStyle name="20% - Accent6 3 7 3 2 3" xfId="17028"/>
    <cellStyle name="20% - Accent6 3 7 3 2 3 2" xfId="17029"/>
    <cellStyle name="20% - Accent6 3 7 3 3" xfId="17030"/>
    <cellStyle name="20% - Accent6 3 7 3 3 2" xfId="17031"/>
    <cellStyle name="20% - Accent6 3 7 3 3 2 2" xfId="17032"/>
    <cellStyle name="20% - Accent6 3 7 3 4" xfId="17033"/>
    <cellStyle name="20% - Accent6 3 7 3 4 2" xfId="17034"/>
    <cellStyle name="20% - Accent6 3 7 4" xfId="17035"/>
    <cellStyle name="20% - Accent6 3 7 4 2" xfId="17036"/>
    <cellStyle name="20% - Accent6 3 7 4 2 2" xfId="17037"/>
    <cellStyle name="20% - Accent6 3 7 4 2 2 2" xfId="17038"/>
    <cellStyle name="20% - Accent6 3 7 4 3" xfId="17039"/>
    <cellStyle name="20% - Accent6 3 7 4 3 2" xfId="17040"/>
    <cellStyle name="20% - Accent6 3 7 5" xfId="17041"/>
    <cellStyle name="20% - Accent6 3 7 5 2" xfId="17042"/>
    <cellStyle name="20% - Accent6 3 7 5 2 2" xfId="17043"/>
    <cellStyle name="20% - Accent6 3 7 6" xfId="17044"/>
    <cellStyle name="20% - Accent6 3 7 6 2" xfId="17045"/>
    <cellStyle name="20% - Accent6 3 7 7" xfId="17046"/>
    <cellStyle name="20% - Accent6 3 8" xfId="17047"/>
    <cellStyle name="20% - Accent6 3 8 2" xfId="17048"/>
    <cellStyle name="20% - Accent6 3 8 2 2" xfId="17049"/>
    <cellStyle name="20% - Accent6 3 8 2 2 2" xfId="17050"/>
    <cellStyle name="20% - Accent6 3 8 2 2 2 2" xfId="17051"/>
    <cellStyle name="20% - Accent6 3 8 2 2 2 2 2" xfId="17052"/>
    <cellStyle name="20% - Accent6 3 8 2 2 2 2 2 2" xfId="17053"/>
    <cellStyle name="20% - Accent6 3 8 2 2 2 3" xfId="17054"/>
    <cellStyle name="20% - Accent6 3 8 2 2 2 3 2" xfId="17055"/>
    <cellStyle name="20% - Accent6 3 8 2 2 3" xfId="17056"/>
    <cellStyle name="20% - Accent6 3 8 2 2 3 2" xfId="17057"/>
    <cellStyle name="20% - Accent6 3 8 2 2 3 2 2" xfId="17058"/>
    <cellStyle name="20% - Accent6 3 8 2 2 4" xfId="17059"/>
    <cellStyle name="20% - Accent6 3 8 2 2 4 2" xfId="17060"/>
    <cellStyle name="20% - Accent6 3 8 2 3" xfId="17061"/>
    <cellStyle name="20% - Accent6 3 8 2 3 2" xfId="17062"/>
    <cellStyle name="20% - Accent6 3 8 2 3 2 2" xfId="17063"/>
    <cellStyle name="20% - Accent6 3 8 2 3 2 2 2" xfId="17064"/>
    <cellStyle name="20% - Accent6 3 8 2 3 3" xfId="17065"/>
    <cellStyle name="20% - Accent6 3 8 2 3 3 2" xfId="17066"/>
    <cellStyle name="20% - Accent6 3 8 2 4" xfId="17067"/>
    <cellStyle name="20% - Accent6 3 8 2 4 2" xfId="17068"/>
    <cellStyle name="20% - Accent6 3 8 2 4 2 2" xfId="17069"/>
    <cellStyle name="20% - Accent6 3 8 2 5" xfId="17070"/>
    <cellStyle name="20% - Accent6 3 8 2 5 2" xfId="17071"/>
    <cellStyle name="20% - Accent6 3 8 3" xfId="17072"/>
    <cellStyle name="20% - Accent6 3 8 3 2" xfId="17073"/>
    <cellStyle name="20% - Accent6 3 8 3 2 2" xfId="17074"/>
    <cellStyle name="20% - Accent6 3 8 3 2 2 2" xfId="17075"/>
    <cellStyle name="20% - Accent6 3 8 3 2 2 2 2" xfId="17076"/>
    <cellStyle name="20% - Accent6 3 8 3 2 3" xfId="17077"/>
    <cellStyle name="20% - Accent6 3 8 3 2 3 2" xfId="17078"/>
    <cellStyle name="20% - Accent6 3 8 3 3" xfId="17079"/>
    <cellStyle name="20% - Accent6 3 8 3 3 2" xfId="17080"/>
    <cellStyle name="20% - Accent6 3 8 3 3 2 2" xfId="17081"/>
    <cellStyle name="20% - Accent6 3 8 3 4" xfId="17082"/>
    <cellStyle name="20% - Accent6 3 8 3 4 2" xfId="17083"/>
    <cellStyle name="20% - Accent6 3 8 4" xfId="17084"/>
    <cellStyle name="20% - Accent6 3 8 4 2" xfId="17085"/>
    <cellStyle name="20% - Accent6 3 8 4 2 2" xfId="17086"/>
    <cellStyle name="20% - Accent6 3 8 4 2 2 2" xfId="17087"/>
    <cellStyle name="20% - Accent6 3 8 4 3" xfId="17088"/>
    <cellStyle name="20% - Accent6 3 8 4 3 2" xfId="17089"/>
    <cellStyle name="20% - Accent6 3 8 5" xfId="17090"/>
    <cellStyle name="20% - Accent6 3 8 5 2" xfId="17091"/>
    <cellStyle name="20% - Accent6 3 8 5 2 2" xfId="17092"/>
    <cellStyle name="20% - Accent6 3 8 6" xfId="17093"/>
    <cellStyle name="20% - Accent6 3 8 6 2" xfId="17094"/>
    <cellStyle name="20% - Accent6 3 8 7" xfId="17095"/>
    <cellStyle name="20% - Accent6 3 9" xfId="17096"/>
    <cellStyle name="20% - Accent6 3 9 2" xfId="17097"/>
    <cellStyle name="20% - Accent6 3 9 2 2" xfId="17098"/>
    <cellStyle name="20% - Accent6 3 9 2 2 2" xfId="17099"/>
    <cellStyle name="20% - Accent6 3 9 2 2 2 2" xfId="17100"/>
    <cellStyle name="20% - Accent6 3 9 2 2 2 2 2" xfId="17101"/>
    <cellStyle name="20% - Accent6 3 9 2 2 2 2 2 2" xfId="17102"/>
    <cellStyle name="20% - Accent6 3 9 2 2 2 3" xfId="17103"/>
    <cellStyle name="20% - Accent6 3 9 2 2 2 3 2" xfId="17104"/>
    <cellStyle name="20% - Accent6 3 9 2 2 3" xfId="17105"/>
    <cellStyle name="20% - Accent6 3 9 2 2 3 2" xfId="17106"/>
    <cellStyle name="20% - Accent6 3 9 2 2 3 2 2" xfId="17107"/>
    <cellStyle name="20% - Accent6 3 9 2 2 4" xfId="17108"/>
    <cellStyle name="20% - Accent6 3 9 2 2 4 2" xfId="17109"/>
    <cellStyle name="20% - Accent6 3 9 2 3" xfId="17110"/>
    <cellStyle name="20% - Accent6 3 9 2 3 2" xfId="17111"/>
    <cellStyle name="20% - Accent6 3 9 2 3 2 2" xfId="17112"/>
    <cellStyle name="20% - Accent6 3 9 2 3 2 2 2" xfId="17113"/>
    <cellStyle name="20% - Accent6 3 9 2 3 3" xfId="17114"/>
    <cellStyle name="20% - Accent6 3 9 2 3 3 2" xfId="17115"/>
    <cellStyle name="20% - Accent6 3 9 2 4" xfId="17116"/>
    <cellStyle name="20% - Accent6 3 9 2 4 2" xfId="17117"/>
    <cellStyle name="20% - Accent6 3 9 2 4 2 2" xfId="17118"/>
    <cellStyle name="20% - Accent6 3 9 2 5" xfId="17119"/>
    <cellStyle name="20% - Accent6 3 9 2 5 2" xfId="17120"/>
    <cellStyle name="20% - Accent6 3 9 3" xfId="17121"/>
    <cellStyle name="20% - Accent6 3 9 3 2" xfId="17122"/>
    <cellStyle name="20% - Accent6 3 9 3 2 2" xfId="17123"/>
    <cellStyle name="20% - Accent6 3 9 3 2 2 2" xfId="17124"/>
    <cellStyle name="20% - Accent6 3 9 3 2 2 2 2" xfId="17125"/>
    <cellStyle name="20% - Accent6 3 9 3 2 3" xfId="17126"/>
    <cellStyle name="20% - Accent6 3 9 3 2 3 2" xfId="17127"/>
    <cellStyle name="20% - Accent6 3 9 3 3" xfId="17128"/>
    <cellStyle name="20% - Accent6 3 9 3 3 2" xfId="17129"/>
    <cellStyle name="20% - Accent6 3 9 3 3 2 2" xfId="17130"/>
    <cellStyle name="20% - Accent6 3 9 3 4" xfId="17131"/>
    <cellStyle name="20% - Accent6 3 9 3 4 2" xfId="17132"/>
    <cellStyle name="20% - Accent6 3 9 4" xfId="17133"/>
    <cellStyle name="20% - Accent6 3 9 4 2" xfId="17134"/>
    <cellStyle name="20% - Accent6 3 9 4 2 2" xfId="17135"/>
    <cellStyle name="20% - Accent6 3 9 4 2 2 2" xfId="17136"/>
    <cellStyle name="20% - Accent6 3 9 4 3" xfId="17137"/>
    <cellStyle name="20% - Accent6 3 9 4 3 2" xfId="17138"/>
    <cellStyle name="20% - Accent6 3 9 5" xfId="17139"/>
    <cellStyle name="20% - Accent6 3 9 5 2" xfId="17140"/>
    <cellStyle name="20% - Accent6 3 9 5 2 2" xfId="17141"/>
    <cellStyle name="20% - Accent6 3 9 6" xfId="17142"/>
    <cellStyle name="20% - Accent6 3 9 6 2" xfId="17143"/>
    <cellStyle name="20% - Accent6 3 9 7" xfId="17144"/>
    <cellStyle name="20% - Accent6 3 9 8" xfId="17145"/>
    <cellStyle name="20% - Accent6 3 9 9" xfId="17146"/>
    <cellStyle name="20% - Accent6 30" xfId="17147"/>
    <cellStyle name="20% - Accent6 30 2" xfId="17148"/>
    <cellStyle name="20% - Accent6 30 2 2" xfId="17149"/>
    <cellStyle name="20% - Accent6 30 2 2 2" xfId="17150"/>
    <cellStyle name="20% - Accent6 30 3" xfId="17151"/>
    <cellStyle name="20% - Accent6 30 3 2" xfId="17152"/>
    <cellStyle name="20% - Accent6 30 4" xfId="17153"/>
    <cellStyle name="20% - Accent6 31" xfId="17154"/>
    <cellStyle name="20% - Accent6 31 2" xfId="17155"/>
    <cellStyle name="20% - Accent6 31 2 2" xfId="17156"/>
    <cellStyle name="20% - Accent6 31 2 2 2" xfId="17157"/>
    <cellStyle name="20% - Accent6 31 3" xfId="17158"/>
    <cellStyle name="20% - Accent6 31 3 2" xfId="17159"/>
    <cellStyle name="20% - Accent6 31 4" xfId="17160"/>
    <cellStyle name="20% - Accent6 32" xfId="17161"/>
    <cellStyle name="20% - Accent6 32 2" xfId="17162"/>
    <cellStyle name="20% - Accent6 32 2 2" xfId="17163"/>
    <cellStyle name="20% - Accent6 32 3" xfId="17164"/>
    <cellStyle name="20% - Accent6 33" xfId="17165"/>
    <cellStyle name="20% - Accent6 33 2" xfId="17166"/>
    <cellStyle name="20% - Accent6 33 2 2" xfId="17167"/>
    <cellStyle name="20% - Accent6 33 3" xfId="17168"/>
    <cellStyle name="20% - Accent6 34" xfId="17169"/>
    <cellStyle name="20% - Accent6 34 2" xfId="17170"/>
    <cellStyle name="20% - Accent6 34 2 2" xfId="17171"/>
    <cellStyle name="20% - Accent6 34 3" xfId="17172"/>
    <cellStyle name="20% - Accent6 35" xfId="17173"/>
    <cellStyle name="20% - Accent6 35 2" xfId="17174"/>
    <cellStyle name="20% - Accent6 35 3" xfId="17175"/>
    <cellStyle name="20% - Accent6 36" xfId="17176"/>
    <cellStyle name="20% - Accent6 36 2" xfId="17177"/>
    <cellStyle name="20% - Accent6 36 2 2" xfId="17178"/>
    <cellStyle name="20% - Accent6 36 2 3" xfId="17179"/>
    <cellStyle name="20% - Accent6 36 2 4" xfId="17180"/>
    <cellStyle name="20% - Accent6 36 3" xfId="17181"/>
    <cellStyle name="20% - Accent6 36 3 2" xfId="17182"/>
    <cellStyle name="20% - Accent6 36 3 3" xfId="17183"/>
    <cellStyle name="20% - Accent6 36 4" xfId="17184"/>
    <cellStyle name="20% - Accent6 36 4 2" xfId="17185"/>
    <cellStyle name="20% - Accent6 36 5" xfId="17186"/>
    <cellStyle name="20% - Accent6 36 6" xfId="17187"/>
    <cellStyle name="20% - Accent6 36 7" xfId="17188"/>
    <cellStyle name="20% - Accent6 37" xfId="17189"/>
    <cellStyle name="20% - Accent6 38" xfId="17190"/>
    <cellStyle name="20% - Accent6 39" xfId="17191"/>
    <cellStyle name="20% - Accent6 4" xfId="17192"/>
    <cellStyle name="20% - Accent6 4 10" xfId="17193"/>
    <cellStyle name="20% - Accent6 4 10 2" xfId="17194"/>
    <cellStyle name="20% - Accent6 4 10 2 2" xfId="17195"/>
    <cellStyle name="20% - Accent6 4 10 2 2 2" xfId="17196"/>
    <cellStyle name="20% - Accent6 4 10 2 2 2 2" xfId="17197"/>
    <cellStyle name="20% - Accent6 4 10 2 2 2 2 2" xfId="17198"/>
    <cellStyle name="20% - Accent6 4 10 2 2 2 2 2 2" xfId="17199"/>
    <cellStyle name="20% - Accent6 4 10 2 2 2 3" xfId="17200"/>
    <cellStyle name="20% - Accent6 4 10 2 2 2 3 2" xfId="17201"/>
    <cellStyle name="20% - Accent6 4 10 2 2 3" xfId="17202"/>
    <cellStyle name="20% - Accent6 4 10 2 2 3 2" xfId="17203"/>
    <cellStyle name="20% - Accent6 4 10 2 2 3 2 2" xfId="17204"/>
    <cellStyle name="20% - Accent6 4 10 2 2 4" xfId="17205"/>
    <cellStyle name="20% - Accent6 4 10 2 2 4 2" xfId="17206"/>
    <cellStyle name="20% - Accent6 4 10 2 3" xfId="17207"/>
    <cellStyle name="20% - Accent6 4 10 2 3 2" xfId="17208"/>
    <cellStyle name="20% - Accent6 4 10 2 3 2 2" xfId="17209"/>
    <cellStyle name="20% - Accent6 4 10 2 3 2 2 2" xfId="17210"/>
    <cellStyle name="20% - Accent6 4 10 2 3 3" xfId="17211"/>
    <cellStyle name="20% - Accent6 4 10 2 3 3 2" xfId="17212"/>
    <cellStyle name="20% - Accent6 4 10 2 4" xfId="17213"/>
    <cellStyle name="20% - Accent6 4 10 2 4 2" xfId="17214"/>
    <cellStyle name="20% - Accent6 4 10 2 4 2 2" xfId="17215"/>
    <cellStyle name="20% - Accent6 4 10 2 5" xfId="17216"/>
    <cellStyle name="20% - Accent6 4 10 2 5 2" xfId="17217"/>
    <cellStyle name="20% - Accent6 4 10 3" xfId="17218"/>
    <cellStyle name="20% - Accent6 4 10 3 2" xfId="17219"/>
    <cellStyle name="20% - Accent6 4 10 3 2 2" xfId="17220"/>
    <cellStyle name="20% - Accent6 4 10 3 2 2 2" xfId="17221"/>
    <cellStyle name="20% - Accent6 4 10 3 2 2 2 2" xfId="17222"/>
    <cellStyle name="20% - Accent6 4 10 3 2 3" xfId="17223"/>
    <cellStyle name="20% - Accent6 4 10 3 2 3 2" xfId="17224"/>
    <cellStyle name="20% - Accent6 4 10 3 3" xfId="17225"/>
    <cellStyle name="20% - Accent6 4 10 3 3 2" xfId="17226"/>
    <cellStyle name="20% - Accent6 4 10 3 3 2 2" xfId="17227"/>
    <cellStyle name="20% - Accent6 4 10 3 4" xfId="17228"/>
    <cellStyle name="20% - Accent6 4 10 3 4 2" xfId="17229"/>
    <cellStyle name="20% - Accent6 4 10 4" xfId="17230"/>
    <cellStyle name="20% - Accent6 4 10 4 2" xfId="17231"/>
    <cellStyle name="20% - Accent6 4 10 4 2 2" xfId="17232"/>
    <cellStyle name="20% - Accent6 4 10 4 2 2 2" xfId="17233"/>
    <cellStyle name="20% - Accent6 4 10 4 3" xfId="17234"/>
    <cellStyle name="20% - Accent6 4 10 4 3 2" xfId="17235"/>
    <cellStyle name="20% - Accent6 4 10 5" xfId="17236"/>
    <cellStyle name="20% - Accent6 4 10 5 2" xfId="17237"/>
    <cellStyle name="20% - Accent6 4 10 5 2 2" xfId="17238"/>
    <cellStyle name="20% - Accent6 4 10 6" xfId="17239"/>
    <cellStyle name="20% - Accent6 4 10 6 2" xfId="17240"/>
    <cellStyle name="20% - Accent6 4 10 7" xfId="17241"/>
    <cellStyle name="20% - Accent6 4 10 8" xfId="17242"/>
    <cellStyle name="20% - Accent6 4 10 9" xfId="17243"/>
    <cellStyle name="20% - Accent6 4 11" xfId="17244"/>
    <cellStyle name="20% - Accent6 4 11 2" xfId="17245"/>
    <cellStyle name="20% - Accent6 4 11 2 2" xfId="17246"/>
    <cellStyle name="20% - Accent6 4 11 2 2 2" xfId="17247"/>
    <cellStyle name="20% - Accent6 4 11 2 2 2 2" xfId="17248"/>
    <cellStyle name="20% - Accent6 4 11 2 2 2 2 2" xfId="17249"/>
    <cellStyle name="20% - Accent6 4 11 2 2 2 2 2 2" xfId="17250"/>
    <cellStyle name="20% - Accent6 4 11 2 2 2 3" xfId="17251"/>
    <cellStyle name="20% - Accent6 4 11 2 2 2 3 2" xfId="17252"/>
    <cellStyle name="20% - Accent6 4 11 2 2 3" xfId="17253"/>
    <cellStyle name="20% - Accent6 4 11 2 2 3 2" xfId="17254"/>
    <cellStyle name="20% - Accent6 4 11 2 2 3 2 2" xfId="17255"/>
    <cellStyle name="20% - Accent6 4 11 2 2 4" xfId="17256"/>
    <cellStyle name="20% - Accent6 4 11 2 2 4 2" xfId="17257"/>
    <cellStyle name="20% - Accent6 4 11 2 3" xfId="17258"/>
    <cellStyle name="20% - Accent6 4 11 2 3 2" xfId="17259"/>
    <cellStyle name="20% - Accent6 4 11 2 3 2 2" xfId="17260"/>
    <cellStyle name="20% - Accent6 4 11 2 3 2 2 2" xfId="17261"/>
    <cellStyle name="20% - Accent6 4 11 2 3 3" xfId="17262"/>
    <cellStyle name="20% - Accent6 4 11 2 3 3 2" xfId="17263"/>
    <cellStyle name="20% - Accent6 4 11 2 4" xfId="17264"/>
    <cellStyle name="20% - Accent6 4 11 2 4 2" xfId="17265"/>
    <cellStyle name="20% - Accent6 4 11 2 4 2 2" xfId="17266"/>
    <cellStyle name="20% - Accent6 4 11 2 5" xfId="17267"/>
    <cellStyle name="20% - Accent6 4 11 2 5 2" xfId="17268"/>
    <cellStyle name="20% - Accent6 4 11 3" xfId="17269"/>
    <cellStyle name="20% - Accent6 4 11 3 2" xfId="17270"/>
    <cellStyle name="20% - Accent6 4 11 3 2 2" xfId="17271"/>
    <cellStyle name="20% - Accent6 4 11 3 2 2 2" xfId="17272"/>
    <cellStyle name="20% - Accent6 4 11 3 2 2 2 2" xfId="17273"/>
    <cellStyle name="20% - Accent6 4 11 3 2 3" xfId="17274"/>
    <cellStyle name="20% - Accent6 4 11 3 2 3 2" xfId="17275"/>
    <cellStyle name="20% - Accent6 4 11 3 3" xfId="17276"/>
    <cellStyle name="20% - Accent6 4 11 3 3 2" xfId="17277"/>
    <cellStyle name="20% - Accent6 4 11 3 3 2 2" xfId="17278"/>
    <cellStyle name="20% - Accent6 4 11 3 4" xfId="17279"/>
    <cellStyle name="20% - Accent6 4 11 3 4 2" xfId="17280"/>
    <cellStyle name="20% - Accent6 4 11 4" xfId="17281"/>
    <cellStyle name="20% - Accent6 4 11 4 2" xfId="17282"/>
    <cellStyle name="20% - Accent6 4 11 4 2 2" xfId="17283"/>
    <cellStyle name="20% - Accent6 4 11 4 2 2 2" xfId="17284"/>
    <cellStyle name="20% - Accent6 4 11 4 3" xfId="17285"/>
    <cellStyle name="20% - Accent6 4 11 4 3 2" xfId="17286"/>
    <cellStyle name="20% - Accent6 4 11 5" xfId="17287"/>
    <cellStyle name="20% - Accent6 4 11 5 2" xfId="17288"/>
    <cellStyle name="20% - Accent6 4 11 5 2 2" xfId="17289"/>
    <cellStyle name="20% - Accent6 4 11 6" xfId="17290"/>
    <cellStyle name="20% - Accent6 4 11 6 2" xfId="17291"/>
    <cellStyle name="20% - Accent6 4 11 7" xfId="17292"/>
    <cellStyle name="20% - Accent6 4 12" xfId="17293"/>
    <cellStyle name="20% - Accent6 4 12 2" xfId="17294"/>
    <cellStyle name="20% - Accent6 4 12 2 2" xfId="17295"/>
    <cellStyle name="20% - Accent6 4 12 2 2 2" xfId="17296"/>
    <cellStyle name="20% - Accent6 4 12 2 2 2 2" xfId="17297"/>
    <cellStyle name="20% - Accent6 4 12 2 2 2 2 2" xfId="17298"/>
    <cellStyle name="20% - Accent6 4 12 2 2 2 2 2 2" xfId="17299"/>
    <cellStyle name="20% - Accent6 4 12 2 2 2 3" xfId="17300"/>
    <cellStyle name="20% - Accent6 4 12 2 2 2 3 2" xfId="17301"/>
    <cellStyle name="20% - Accent6 4 12 2 2 3" xfId="17302"/>
    <cellStyle name="20% - Accent6 4 12 2 2 3 2" xfId="17303"/>
    <cellStyle name="20% - Accent6 4 12 2 2 3 2 2" xfId="17304"/>
    <cellStyle name="20% - Accent6 4 12 2 2 4" xfId="17305"/>
    <cellStyle name="20% - Accent6 4 12 2 2 4 2" xfId="17306"/>
    <cellStyle name="20% - Accent6 4 12 2 3" xfId="17307"/>
    <cellStyle name="20% - Accent6 4 12 2 3 2" xfId="17308"/>
    <cellStyle name="20% - Accent6 4 12 2 3 2 2" xfId="17309"/>
    <cellStyle name="20% - Accent6 4 12 2 3 2 2 2" xfId="17310"/>
    <cellStyle name="20% - Accent6 4 12 2 3 3" xfId="17311"/>
    <cellStyle name="20% - Accent6 4 12 2 3 3 2" xfId="17312"/>
    <cellStyle name="20% - Accent6 4 12 2 4" xfId="17313"/>
    <cellStyle name="20% - Accent6 4 12 2 4 2" xfId="17314"/>
    <cellStyle name="20% - Accent6 4 12 2 4 2 2" xfId="17315"/>
    <cellStyle name="20% - Accent6 4 12 2 5" xfId="17316"/>
    <cellStyle name="20% - Accent6 4 12 2 5 2" xfId="17317"/>
    <cellStyle name="20% - Accent6 4 12 3" xfId="17318"/>
    <cellStyle name="20% - Accent6 4 12 3 2" xfId="17319"/>
    <cellStyle name="20% - Accent6 4 12 3 2 2" xfId="17320"/>
    <cellStyle name="20% - Accent6 4 12 3 2 2 2" xfId="17321"/>
    <cellStyle name="20% - Accent6 4 12 3 2 2 2 2" xfId="17322"/>
    <cellStyle name="20% - Accent6 4 12 3 2 3" xfId="17323"/>
    <cellStyle name="20% - Accent6 4 12 3 2 3 2" xfId="17324"/>
    <cellStyle name="20% - Accent6 4 12 3 3" xfId="17325"/>
    <cellStyle name="20% - Accent6 4 12 3 3 2" xfId="17326"/>
    <cellStyle name="20% - Accent6 4 12 3 3 2 2" xfId="17327"/>
    <cellStyle name="20% - Accent6 4 12 3 4" xfId="17328"/>
    <cellStyle name="20% - Accent6 4 12 3 4 2" xfId="17329"/>
    <cellStyle name="20% - Accent6 4 12 4" xfId="17330"/>
    <cellStyle name="20% - Accent6 4 12 4 2" xfId="17331"/>
    <cellStyle name="20% - Accent6 4 12 4 2 2" xfId="17332"/>
    <cellStyle name="20% - Accent6 4 12 4 2 2 2" xfId="17333"/>
    <cellStyle name="20% - Accent6 4 12 4 3" xfId="17334"/>
    <cellStyle name="20% - Accent6 4 12 4 3 2" xfId="17335"/>
    <cellStyle name="20% - Accent6 4 12 5" xfId="17336"/>
    <cellStyle name="20% - Accent6 4 12 5 2" xfId="17337"/>
    <cellStyle name="20% - Accent6 4 12 5 2 2" xfId="17338"/>
    <cellStyle name="20% - Accent6 4 12 6" xfId="17339"/>
    <cellStyle name="20% - Accent6 4 12 6 2" xfId="17340"/>
    <cellStyle name="20% - Accent6 4 13" xfId="17341"/>
    <cellStyle name="20% - Accent6 4 13 2" xfId="17342"/>
    <cellStyle name="20% - Accent6 4 13 2 2" xfId="17343"/>
    <cellStyle name="20% - Accent6 4 13 2 2 2" xfId="17344"/>
    <cellStyle name="20% - Accent6 4 13 2 2 2 2" xfId="17345"/>
    <cellStyle name="20% - Accent6 4 13 2 2 2 2 2" xfId="17346"/>
    <cellStyle name="20% - Accent6 4 13 2 2 2 2 2 2" xfId="17347"/>
    <cellStyle name="20% - Accent6 4 13 2 2 2 3" xfId="17348"/>
    <cellStyle name="20% - Accent6 4 13 2 2 2 3 2" xfId="17349"/>
    <cellStyle name="20% - Accent6 4 13 2 2 3" xfId="17350"/>
    <cellStyle name="20% - Accent6 4 13 2 2 3 2" xfId="17351"/>
    <cellStyle name="20% - Accent6 4 13 2 2 3 2 2" xfId="17352"/>
    <cellStyle name="20% - Accent6 4 13 2 2 4" xfId="17353"/>
    <cellStyle name="20% - Accent6 4 13 2 2 4 2" xfId="17354"/>
    <cellStyle name="20% - Accent6 4 13 2 3" xfId="17355"/>
    <cellStyle name="20% - Accent6 4 13 2 3 2" xfId="17356"/>
    <cellStyle name="20% - Accent6 4 13 2 3 2 2" xfId="17357"/>
    <cellStyle name="20% - Accent6 4 13 2 3 2 2 2" xfId="17358"/>
    <cellStyle name="20% - Accent6 4 13 2 3 3" xfId="17359"/>
    <cellStyle name="20% - Accent6 4 13 2 3 3 2" xfId="17360"/>
    <cellStyle name="20% - Accent6 4 13 2 4" xfId="17361"/>
    <cellStyle name="20% - Accent6 4 13 2 4 2" xfId="17362"/>
    <cellStyle name="20% - Accent6 4 13 2 4 2 2" xfId="17363"/>
    <cellStyle name="20% - Accent6 4 13 2 5" xfId="17364"/>
    <cellStyle name="20% - Accent6 4 13 2 5 2" xfId="17365"/>
    <cellStyle name="20% - Accent6 4 13 3" xfId="17366"/>
    <cellStyle name="20% - Accent6 4 13 3 2" xfId="17367"/>
    <cellStyle name="20% - Accent6 4 13 3 2 2" xfId="17368"/>
    <cellStyle name="20% - Accent6 4 13 3 2 2 2" xfId="17369"/>
    <cellStyle name="20% - Accent6 4 13 3 2 2 2 2" xfId="17370"/>
    <cellStyle name="20% - Accent6 4 13 3 2 3" xfId="17371"/>
    <cellStyle name="20% - Accent6 4 13 3 2 3 2" xfId="17372"/>
    <cellStyle name="20% - Accent6 4 13 3 3" xfId="17373"/>
    <cellStyle name="20% - Accent6 4 13 3 3 2" xfId="17374"/>
    <cellStyle name="20% - Accent6 4 13 3 3 2 2" xfId="17375"/>
    <cellStyle name="20% - Accent6 4 13 3 4" xfId="17376"/>
    <cellStyle name="20% - Accent6 4 13 3 4 2" xfId="17377"/>
    <cellStyle name="20% - Accent6 4 13 4" xfId="17378"/>
    <cellStyle name="20% - Accent6 4 13 4 2" xfId="17379"/>
    <cellStyle name="20% - Accent6 4 13 4 2 2" xfId="17380"/>
    <cellStyle name="20% - Accent6 4 13 4 2 2 2" xfId="17381"/>
    <cellStyle name="20% - Accent6 4 13 4 3" xfId="17382"/>
    <cellStyle name="20% - Accent6 4 13 4 3 2" xfId="17383"/>
    <cellStyle name="20% - Accent6 4 13 5" xfId="17384"/>
    <cellStyle name="20% - Accent6 4 13 5 2" xfId="17385"/>
    <cellStyle name="20% - Accent6 4 13 5 2 2" xfId="17386"/>
    <cellStyle name="20% - Accent6 4 13 6" xfId="17387"/>
    <cellStyle name="20% - Accent6 4 13 6 2" xfId="17388"/>
    <cellStyle name="20% - Accent6 4 14" xfId="17389"/>
    <cellStyle name="20% - Accent6 4 15" xfId="17390"/>
    <cellStyle name="20% - Accent6 4 16" xfId="17391"/>
    <cellStyle name="20% - Accent6 4 17" xfId="17392"/>
    <cellStyle name="20% - Accent6 4 18" xfId="17393"/>
    <cellStyle name="20% - Accent6 4 2" xfId="17394"/>
    <cellStyle name="20% - Accent6 4 2 10" xfId="17395"/>
    <cellStyle name="20% - Accent6 4 2 11" xfId="17396"/>
    <cellStyle name="20% - Accent6 4 2 2" xfId="17397"/>
    <cellStyle name="20% - Accent6 4 2 2 2" xfId="17398"/>
    <cellStyle name="20% - Accent6 4 2 2 2 2" xfId="17399"/>
    <cellStyle name="20% - Accent6 4 2 2 2 2 2" xfId="17400"/>
    <cellStyle name="20% - Accent6 4 2 2 2 2 2 2" xfId="17401"/>
    <cellStyle name="20% - Accent6 4 2 2 2 2 2 2 2" xfId="17402"/>
    <cellStyle name="20% - Accent6 4 2 2 2 2 3" xfId="17403"/>
    <cellStyle name="20% - Accent6 4 2 2 2 2 3 2" xfId="17404"/>
    <cellStyle name="20% - Accent6 4 2 2 2 3" xfId="17405"/>
    <cellStyle name="20% - Accent6 4 2 2 2 3 2" xfId="17406"/>
    <cellStyle name="20% - Accent6 4 2 2 2 3 2 2" xfId="17407"/>
    <cellStyle name="20% - Accent6 4 2 2 2 4" xfId="17408"/>
    <cellStyle name="20% - Accent6 4 2 2 2 4 2" xfId="17409"/>
    <cellStyle name="20% - Accent6 4 2 2 3" xfId="17410"/>
    <cellStyle name="20% - Accent6 4 2 2 3 2" xfId="17411"/>
    <cellStyle name="20% - Accent6 4 2 2 3 2 2" xfId="17412"/>
    <cellStyle name="20% - Accent6 4 2 2 3 2 2 2" xfId="17413"/>
    <cellStyle name="20% - Accent6 4 2 2 3 3" xfId="17414"/>
    <cellStyle name="20% - Accent6 4 2 2 3 3 2" xfId="17415"/>
    <cellStyle name="20% - Accent6 4 2 2 4" xfId="17416"/>
    <cellStyle name="20% - Accent6 4 2 2 4 2" xfId="17417"/>
    <cellStyle name="20% - Accent6 4 2 2 4 2 2" xfId="17418"/>
    <cellStyle name="20% - Accent6 4 2 2 5" xfId="17419"/>
    <cellStyle name="20% - Accent6 4 2 2 5 2" xfId="17420"/>
    <cellStyle name="20% - Accent6 4 2 2 6" xfId="17421"/>
    <cellStyle name="20% - Accent6 4 2 2 7" xfId="17422"/>
    <cellStyle name="20% - Accent6 4 2 2 8" xfId="17423"/>
    <cellStyle name="20% - Accent6 4 2 3" xfId="17424"/>
    <cellStyle name="20% - Accent6 4 2 3 2" xfId="17425"/>
    <cellStyle name="20% - Accent6 4 2 3 2 2" xfId="17426"/>
    <cellStyle name="20% - Accent6 4 2 3 2 2 2" xfId="17427"/>
    <cellStyle name="20% - Accent6 4 2 3 2 2 2 2" xfId="17428"/>
    <cellStyle name="20% - Accent6 4 2 3 2 3" xfId="17429"/>
    <cellStyle name="20% - Accent6 4 2 3 2 3 2" xfId="17430"/>
    <cellStyle name="20% - Accent6 4 2 3 3" xfId="17431"/>
    <cellStyle name="20% - Accent6 4 2 3 3 2" xfId="17432"/>
    <cellStyle name="20% - Accent6 4 2 3 3 2 2" xfId="17433"/>
    <cellStyle name="20% - Accent6 4 2 3 4" xfId="17434"/>
    <cellStyle name="20% - Accent6 4 2 3 4 2" xfId="17435"/>
    <cellStyle name="20% - Accent6 4 2 3 5" xfId="17436"/>
    <cellStyle name="20% - Accent6 4 2 3 6" xfId="17437"/>
    <cellStyle name="20% - Accent6 4 2 3 7" xfId="17438"/>
    <cellStyle name="20% - Accent6 4 2 4" xfId="17439"/>
    <cellStyle name="20% - Accent6 4 2 4 2" xfId="17440"/>
    <cellStyle name="20% - Accent6 4 2 4 2 2" xfId="17441"/>
    <cellStyle name="20% - Accent6 4 2 4 2 2 2" xfId="17442"/>
    <cellStyle name="20% - Accent6 4 2 4 3" xfId="17443"/>
    <cellStyle name="20% - Accent6 4 2 4 3 2" xfId="17444"/>
    <cellStyle name="20% - Accent6 4 2 4 4" xfId="17445"/>
    <cellStyle name="20% - Accent6 4 2 5" xfId="17446"/>
    <cellStyle name="20% - Accent6 4 2 5 2" xfId="17447"/>
    <cellStyle name="20% - Accent6 4 2 5 2 2" xfId="17448"/>
    <cellStyle name="20% - Accent6 4 2 6" xfId="17449"/>
    <cellStyle name="20% - Accent6 4 2 6 2" xfId="17450"/>
    <cellStyle name="20% - Accent6 4 2 7" xfId="17451"/>
    <cellStyle name="20% - Accent6 4 2 8" xfId="17452"/>
    <cellStyle name="20% - Accent6 4 2 9" xfId="17453"/>
    <cellStyle name="20% - Accent6 4 3" xfId="17454"/>
    <cellStyle name="20% - Accent6 4 3 10" xfId="17455"/>
    <cellStyle name="20% - Accent6 4 3 11" xfId="17456"/>
    <cellStyle name="20% - Accent6 4 3 2" xfId="17457"/>
    <cellStyle name="20% - Accent6 4 3 2 2" xfId="17458"/>
    <cellStyle name="20% - Accent6 4 3 2 2 2" xfId="17459"/>
    <cellStyle name="20% - Accent6 4 3 2 2 2 2" xfId="17460"/>
    <cellStyle name="20% - Accent6 4 3 2 2 2 2 2" xfId="17461"/>
    <cellStyle name="20% - Accent6 4 3 2 2 2 2 2 2" xfId="17462"/>
    <cellStyle name="20% - Accent6 4 3 2 2 2 3" xfId="17463"/>
    <cellStyle name="20% - Accent6 4 3 2 2 2 3 2" xfId="17464"/>
    <cellStyle name="20% - Accent6 4 3 2 2 3" xfId="17465"/>
    <cellStyle name="20% - Accent6 4 3 2 2 3 2" xfId="17466"/>
    <cellStyle name="20% - Accent6 4 3 2 2 3 2 2" xfId="17467"/>
    <cellStyle name="20% - Accent6 4 3 2 2 4" xfId="17468"/>
    <cellStyle name="20% - Accent6 4 3 2 2 4 2" xfId="17469"/>
    <cellStyle name="20% - Accent6 4 3 2 3" xfId="17470"/>
    <cellStyle name="20% - Accent6 4 3 2 3 2" xfId="17471"/>
    <cellStyle name="20% - Accent6 4 3 2 3 2 2" xfId="17472"/>
    <cellStyle name="20% - Accent6 4 3 2 3 2 2 2" xfId="17473"/>
    <cellStyle name="20% - Accent6 4 3 2 3 3" xfId="17474"/>
    <cellStyle name="20% - Accent6 4 3 2 3 3 2" xfId="17475"/>
    <cellStyle name="20% - Accent6 4 3 2 4" xfId="17476"/>
    <cellStyle name="20% - Accent6 4 3 2 4 2" xfId="17477"/>
    <cellStyle name="20% - Accent6 4 3 2 4 2 2" xfId="17478"/>
    <cellStyle name="20% - Accent6 4 3 2 5" xfId="17479"/>
    <cellStyle name="20% - Accent6 4 3 2 5 2" xfId="17480"/>
    <cellStyle name="20% - Accent6 4 3 2 6" xfId="17481"/>
    <cellStyle name="20% - Accent6 4 3 2 7" xfId="17482"/>
    <cellStyle name="20% - Accent6 4 3 2 8" xfId="17483"/>
    <cellStyle name="20% - Accent6 4 3 3" xfId="17484"/>
    <cellStyle name="20% - Accent6 4 3 3 2" xfId="17485"/>
    <cellStyle name="20% - Accent6 4 3 3 2 2" xfId="17486"/>
    <cellStyle name="20% - Accent6 4 3 3 2 2 2" xfId="17487"/>
    <cellStyle name="20% - Accent6 4 3 3 2 2 2 2" xfId="17488"/>
    <cellStyle name="20% - Accent6 4 3 3 2 3" xfId="17489"/>
    <cellStyle name="20% - Accent6 4 3 3 2 3 2" xfId="17490"/>
    <cellStyle name="20% - Accent6 4 3 3 3" xfId="17491"/>
    <cellStyle name="20% - Accent6 4 3 3 3 2" xfId="17492"/>
    <cellStyle name="20% - Accent6 4 3 3 3 2 2" xfId="17493"/>
    <cellStyle name="20% - Accent6 4 3 3 4" xfId="17494"/>
    <cellStyle name="20% - Accent6 4 3 3 4 2" xfId="17495"/>
    <cellStyle name="20% - Accent6 4 3 3 5" xfId="17496"/>
    <cellStyle name="20% - Accent6 4 3 3 6" xfId="17497"/>
    <cellStyle name="20% - Accent6 4 3 3 7" xfId="17498"/>
    <cellStyle name="20% - Accent6 4 3 4" xfId="17499"/>
    <cellStyle name="20% - Accent6 4 3 4 2" xfId="17500"/>
    <cellStyle name="20% - Accent6 4 3 4 2 2" xfId="17501"/>
    <cellStyle name="20% - Accent6 4 3 4 2 2 2" xfId="17502"/>
    <cellStyle name="20% - Accent6 4 3 4 3" xfId="17503"/>
    <cellStyle name="20% - Accent6 4 3 4 3 2" xfId="17504"/>
    <cellStyle name="20% - Accent6 4 3 4 4" xfId="17505"/>
    <cellStyle name="20% - Accent6 4 3 5" xfId="17506"/>
    <cellStyle name="20% - Accent6 4 3 5 2" xfId="17507"/>
    <cellStyle name="20% - Accent6 4 3 5 2 2" xfId="17508"/>
    <cellStyle name="20% - Accent6 4 3 6" xfId="17509"/>
    <cellStyle name="20% - Accent6 4 3 6 2" xfId="17510"/>
    <cellStyle name="20% - Accent6 4 3 7" xfId="17511"/>
    <cellStyle name="20% - Accent6 4 3 8" xfId="17512"/>
    <cellStyle name="20% - Accent6 4 3 9" xfId="17513"/>
    <cellStyle name="20% - Accent6 4 4" xfId="17514"/>
    <cellStyle name="20% - Accent6 4 4 2" xfId="17515"/>
    <cellStyle name="20% - Accent6 4 4 2 2" xfId="17516"/>
    <cellStyle name="20% - Accent6 4 4 2 2 2" xfId="17517"/>
    <cellStyle name="20% - Accent6 4 4 2 2 2 2" xfId="17518"/>
    <cellStyle name="20% - Accent6 4 4 2 2 2 2 2" xfId="17519"/>
    <cellStyle name="20% - Accent6 4 4 2 2 2 2 2 2" xfId="17520"/>
    <cellStyle name="20% - Accent6 4 4 2 2 2 3" xfId="17521"/>
    <cellStyle name="20% - Accent6 4 4 2 2 2 3 2" xfId="17522"/>
    <cellStyle name="20% - Accent6 4 4 2 2 3" xfId="17523"/>
    <cellStyle name="20% - Accent6 4 4 2 2 3 2" xfId="17524"/>
    <cellStyle name="20% - Accent6 4 4 2 2 3 2 2" xfId="17525"/>
    <cellStyle name="20% - Accent6 4 4 2 2 4" xfId="17526"/>
    <cellStyle name="20% - Accent6 4 4 2 2 4 2" xfId="17527"/>
    <cellStyle name="20% - Accent6 4 4 2 3" xfId="17528"/>
    <cellStyle name="20% - Accent6 4 4 2 3 2" xfId="17529"/>
    <cellStyle name="20% - Accent6 4 4 2 3 2 2" xfId="17530"/>
    <cellStyle name="20% - Accent6 4 4 2 3 2 2 2" xfId="17531"/>
    <cellStyle name="20% - Accent6 4 4 2 3 3" xfId="17532"/>
    <cellStyle name="20% - Accent6 4 4 2 3 3 2" xfId="17533"/>
    <cellStyle name="20% - Accent6 4 4 2 4" xfId="17534"/>
    <cellStyle name="20% - Accent6 4 4 2 4 2" xfId="17535"/>
    <cellStyle name="20% - Accent6 4 4 2 4 2 2" xfId="17536"/>
    <cellStyle name="20% - Accent6 4 4 2 5" xfId="17537"/>
    <cellStyle name="20% - Accent6 4 4 2 5 2" xfId="17538"/>
    <cellStyle name="20% - Accent6 4 4 3" xfId="17539"/>
    <cellStyle name="20% - Accent6 4 4 3 2" xfId="17540"/>
    <cellStyle name="20% - Accent6 4 4 3 2 2" xfId="17541"/>
    <cellStyle name="20% - Accent6 4 4 3 2 2 2" xfId="17542"/>
    <cellStyle name="20% - Accent6 4 4 3 2 2 2 2" xfId="17543"/>
    <cellStyle name="20% - Accent6 4 4 3 2 3" xfId="17544"/>
    <cellStyle name="20% - Accent6 4 4 3 2 3 2" xfId="17545"/>
    <cellStyle name="20% - Accent6 4 4 3 3" xfId="17546"/>
    <cellStyle name="20% - Accent6 4 4 3 3 2" xfId="17547"/>
    <cellStyle name="20% - Accent6 4 4 3 3 2 2" xfId="17548"/>
    <cellStyle name="20% - Accent6 4 4 3 4" xfId="17549"/>
    <cellStyle name="20% - Accent6 4 4 3 4 2" xfId="17550"/>
    <cellStyle name="20% - Accent6 4 4 4" xfId="17551"/>
    <cellStyle name="20% - Accent6 4 4 4 2" xfId="17552"/>
    <cellStyle name="20% - Accent6 4 4 4 2 2" xfId="17553"/>
    <cellStyle name="20% - Accent6 4 4 4 2 2 2" xfId="17554"/>
    <cellStyle name="20% - Accent6 4 4 4 3" xfId="17555"/>
    <cellStyle name="20% - Accent6 4 4 4 3 2" xfId="17556"/>
    <cellStyle name="20% - Accent6 4 4 5" xfId="17557"/>
    <cellStyle name="20% - Accent6 4 4 5 2" xfId="17558"/>
    <cellStyle name="20% - Accent6 4 4 5 2 2" xfId="17559"/>
    <cellStyle name="20% - Accent6 4 4 6" xfId="17560"/>
    <cellStyle name="20% - Accent6 4 4 6 2" xfId="17561"/>
    <cellStyle name="20% - Accent6 4 4 7" xfId="17562"/>
    <cellStyle name="20% - Accent6 4 5" xfId="17563"/>
    <cellStyle name="20% - Accent6 4 5 2" xfId="17564"/>
    <cellStyle name="20% - Accent6 4 5 2 2" xfId="17565"/>
    <cellStyle name="20% - Accent6 4 5 2 2 2" xfId="17566"/>
    <cellStyle name="20% - Accent6 4 5 2 2 2 2" xfId="17567"/>
    <cellStyle name="20% - Accent6 4 5 2 2 2 2 2" xfId="17568"/>
    <cellStyle name="20% - Accent6 4 5 2 2 2 2 2 2" xfId="17569"/>
    <cellStyle name="20% - Accent6 4 5 2 2 2 3" xfId="17570"/>
    <cellStyle name="20% - Accent6 4 5 2 2 2 3 2" xfId="17571"/>
    <cellStyle name="20% - Accent6 4 5 2 2 3" xfId="17572"/>
    <cellStyle name="20% - Accent6 4 5 2 2 3 2" xfId="17573"/>
    <cellStyle name="20% - Accent6 4 5 2 2 3 2 2" xfId="17574"/>
    <cellStyle name="20% - Accent6 4 5 2 2 4" xfId="17575"/>
    <cellStyle name="20% - Accent6 4 5 2 2 4 2" xfId="17576"/>
    <cellStyle name="20% - Accent6 4 5 2 3" xfId="17577"/>
    <cellStyle name="20% - Accent6 4 5 2 3 2" xfId="17578"/>
    <cellStyle name="20% - Accent6 4 5 2 3 2 2" xfId="17579"/>
    <cellStyle name="20% - Accent6 4 5 2 3 2 2 2" xfId="17580"/>
    <cellStyle name="20% - Accent6 4 5 2 3 3" xfId="17581"/>
    <cellStyle name="20% - Accent6 4 5 2 3 3 2" xfId="17582"/>
    <cellStyle name="20% - Accent6 4 5 2 4" xfId="17583"/>
    <cellStyle name="20% - Accent6 4 5 2 4 2" xfId="17584"/>
    <cellStyle name="20% - Accent6 4 5 2 4 2 2" xfId="17585"/>
    <cellStyle name="20% - Accent6 4 5 2 5" xfId="17586"/>
    <cellStyle name="20% - Accent6 4 5 2 5 2" xfId="17587"/>
    <cellStyle name="20% - Accent6 4 5 3" xfId="17588"/>
    <cellStyle name="20% - Accent6 4 5 3 2" xfId="17589"/>
    <cellStyle name="20% - Accent6 4 5 3 2 2" xfId="17590"/>
    <cellStyle name="20% - Accent6 4 5 3 2 2 2" xfId="17591"/>
    <cellStyle name="20% - Accent6 4 5 3 2 2 2 2" xfId="17592"/>
    <cellStyle name="20% - Accent6 4 5 3 2 3" xfId="17593"/>
    <cellStyle name="20% - Accent6 4 5 3 2 3 2" xfId="17594"/>
    <cellStyle name="20% - Accent6 4 5 3 3" xfId="17595"/>
    <cellStyle name="20% - Accent6 4 5 3 3 2" xfId="17596"/>
    <cellStyle name="20% - Accent6 4 5 3 3 2 2" xfId="17597"/>
    <cellStyle name="20% - Accent6 4 5 3 4" xfId="17598"/>
    <cellStyle name="20% - Accent6 4 5 3 4 2" xfId="17599"/>
    <cellStyle name="20% - Accent6 4 5 4" xfId="17600"/>
    <cellStyle name="20% - Accent6 4 5 4 2" xfId="17601"/>
    <cellStyle name="20% - Accent6 4 5 4 2 2" xfId="17602"/>
    <cellStyle name="20% - Accent6 4 5 4 2 2 2" xfId="17603"/>
    <cellStyle name="20% - Accent6 4 5 4 3" xfId="17604"/>
    <cellStyle name="20% - Accent6 4 5 4 3 2" xfId="17605"/>
    <cellStyle name="20% - Accent6 4 5 5" xfId="17606"/>
    <cellStyle name="20% - Accent6 4 5 5 2" xfId="17607"/>
    <cellStyle name="20% - Accent6 4 5 5 2 2" xfId="17608"/>
    <cellStyle name="20% - Accent6 4 5 6" xfId="17609"/>
    <cellStyle name="20% - Accent6 4 5 6 2" xfId="17610"/>
    <cellStyle name="20% - Accent6 4 5 7" xfId="17611"/>
    <cellStyle name="20% - Accent6 4 6" xfId="17612"/>
    <cellStyle name="20% - Accent6 4 6 2" xfId="17613"/>
    <cellStyle name="20% - Accent6 4 6 2 2" xfId="17614"/>
    <cellStyle name="20% - Accent6 4 6 2 2 2" xfId="17615"/>
    <cellStyle name="20% - Accent6 4 6 2 2 2 2" xfId="17616"/>
    <cellStyle name="20% - Accent6 4 6 2 2 2 2 2" xfId="17617"/>
    <cellStyle name="20% - Accent6 4 6 2 2 2 2 2 2" xfId="17618"/>
    <cellStyle name="20% - Accent6 4 6 2 2 2 3" xfId="17619"/>
    <cellStyle name="20% - Accent6 4 6 2 2 2 3 2" xfId="17620"/>
    <cellStyle name="20% - Accent6 4 6 2 2 3" xfId="17621"/>
    <cellStyle name="20% - Accent6 4 6 2 2 3 2" xfId="17622"/>
    <cellStyle name="20% - Accent6 4 6 2 2 3 2 2" xfId="17623"/>
    <cellStyle name="20% - Accent6 4 6 2 2 4" xfId="17624"/>
    <cellStyle name="20% - Accent6 4 6 2 2 4 2" xfId="17625"/>
    <cellStyle name="20% - Accent6 4 6 2 3" xfId="17626"/>
    <cellStyle name="20% - Accent6 4 6 2 3 2" xfId="17627"/>
    <cellStyle name="20% - Accent6 4 6 2 3 2 2" xfId="17628"/>
    <cellStyle name="20% - Accent6 4 6 2 3 2 2 2" xfId="17629"/>
    <cellStyle name="20% - Accent6 4 6 2 3 3" xfId="17630"/>
    <cellStyle name="20% - Accent6 4 6 2 3 3 2" xfId="17631"/>
    <cellStyle name="20% - Accent6 4 6 2 4" xfId="17632"/>
    <cellStyle name="20% - Accent6 4 6 2 4 2" xfId="17633"/>
    <cellStyle name="20% - Accent6 4 6 2 4 2 2" xfId="17634"/>
    <cellStyle name="20% - Accent6 4 6 2 5" xfId="17635"/>
    <cellStyle name="20% - Accent6 4 6 2 5 2" xfId="17636"/>
    <cellStyle name="20% - Accent6 4 6 3" xfId="17637"/>
    <cellStyle name="20% - Accent6 4 6 3 2" xfId="17638"/>
    <cellStyle name="20% - Accent6 4 6 3 2 2" xfId="17639"/>
    <cellStyle name="20% - Accent6 4 6 3 2 2 2" xfId="17640"/>
    <cellStyle name="20% - Accent6 4 6 3 2 2 2 2" xfId="17641"/>
    <cellStyle name="20% - Accent6 4 6 3 2 3" xfId="17642"/>
    <cellStyle name="20% - Accent6 4 6 3 2 3 2" xfId="17643"/>
    <cellStyle name="20% - Accent6 4 6 3 3" xfId="17644"/>
    <cellStyle name="20% - Accent6 4 6 3 3 2" xfId="17645"/>
    <cellStyle name="20% - Accent6 4 6 3 3 2 2" xfId="17646"/>
    <cellStyle name="20% - Accent6 4 6 3 4" xfId="17647"/>
    <cellStyle name="20% - Accent6 4 6 3 4 2" xfId="17648"/>
    <cellStyle name="20% - Accent6 4 6 4" xfId="17649"/>
    <cellStyle name="20% - Accent6 4 6 4 2" xfId="17650"/>
    <cellStyle name="20% - Accent6 4 6 4 2 2" xfId="17651"/>
    <cellStyle name="20% - Accent6 4 6 4 2 2 2" xfId="17652"/>
    <cellStyle name="20% - Accent6 4 6 4 3" xfId="17653"/>
    <cellStyle name="20% - Accent6 4 6 4 3 2" xfId="17654"/>
    <cellStyle name="20% - Accent6 4 6 5" xfId="17655"/>
    <cellStyle name="20% - Accent6 4 6 5 2" xfId="17656"/>
    <cellStyle name="20% - Accent6 4 6 5 2 2" xfId="17657"/>
    <cellStyle name="20% - Accent6 4 6 6" xfId="17658"/>
    <cellStyle name="20% - Accent6 4 6 6 2" xfId="17659"/>
    <cellStyle name="20% - Accent6 4 6 7" xfId="17660"/>
    <cellStyle name="20% - Accent6 4 7" xfId="17661"/>
    <cellStyle name="20% - Accent6 4 7 2" xfId="17662"/>
    <cellStyle name="20% - Accent6 4 7 2 2" xfId="17663"/>
    <cellStyle name="20% - Accent6 4 7 2 2 2" xfId="17664"/>
    <cellStyle name="20% - Accent6 4 7 2 2 2 2" xfId="17665"/>
    <cellStyle name="20% - Accent6 4 7 2 2 2 2 2" xfId="17666"/>
    <cellStyle name="20% - Accent6 4 7 2 2 2 2 2 2" xfId="17667"/>
    <cellStyle name="20% - Accent6 4 7 2 2 2 3" xfId="17668"/>
    <cellStyle name="20% - Accent6 4 7 2 2 2 3 2" xfId="17669"/>
    <cellStyle name="20% - Accent6 4 7 2 2 3" xfId="17670"/>
    <cellStyle name="20% - Accent6 4 7 2 2 3 2" xfId="17671"/>
    <cellStyle name="20% - Accent6 4 7 2 2 3 2 2" xfId="17672"/>
    <cellStyle name="20% - Accent6 4 7 2 2 4" xfId="17673"/>
    <cellStyle name="20% - Accent6 4 7 2 2 4 2" xfId="17674"/>
    <cellStyle name="20% - Accent6 4 7 2 3" xfId="17675"/>
    <cellStyle name="20% - Accent6 4 7 2 3 2" xfId="17676"/>
    <cellStyle name="20% - Accent6 4 7 2 3 2 2" xfId="17677"/>
    <cellStyle name="20% - Accent6 4 7 2 3 2 2 2" xfId="17678"/>
    <cellStyle name="20% - Accent6 4 7 2 3 3" xfId="17679"/>
    <cellStyle name="20% - Accent6 4 7 2 3 3 2" xfId="17680"/>
    <cellStyle name="20% - Accent6 4 7 2 4" xfId="17681"/>
    <cellStyle name="20% - Accent6 4 7 2 4 2" xfId="17682"/>
    <cellStyle name="20% - Accent6 4 7 2 4 2 2" xfId="17683"/>
    <cellStyle name="20% - Accent6 4 7 2 5" xfId="17684"/>
    <cellStyle name="20% - Accent6 4 7 2 5 2" xfId="17685"/>
    <cellStyle name="20% - Accent6 4 7 3" xfId="17686"/>
    <cellStyle name="20% - Accent6 4 7 3 2" xfId="17687"/>
    <cellStyle name="20% - Accent6 4 7 3 2 2" xfId="17688"/>
    <cellStyle name="20% - Accent6 4 7 3 2 2 2" xfId="17689"/>
    <cellStyle name="20% - Accent6 4 7 3 2 2 2 2" xfId="17690"/>
    <cellStyle name="20% - Accent6 4 7 3 2 3" xfId="17691"/>
    <cellStyle name="20% - Accent6 4 7 3 2 3 2" xfId="17692"/>
    <cellStyle name="20% - Accent6 4 7 3 3" xfId="17693"/>
    <cellStyle name="20% - Accent6 4 7 3 3 2" xfId="17694"/>
    <cellStyle name="20% - Accent6 4 7 3 3 2 2" xfId="17695"/>
    <cellStyle name="20% - Accent6 4 7 3 4" xfId="17696"/>
    <cellStyle name="20% - Accent6 4 7 3 4 2" xfId="17697"/>
    <cellStyle name="20% - Accent6 4 7 4" xfId="17698"/>
    <cellStyle name="20% - Accent6 4 7 4 2" xfId="17699"/>
    <cellStyle name="20% - Accent6 4 7 4 2 2" xfId="17700"/>
    <cellStyle name="20% - Accent6 4 7 4 2 2 2" xfId="17701"/>
    <cellStyle name="20% - Accent6 4 7 4 3" xfId="17702"/>
    <cellStyle name="20% - Accent6 4 7 4 3 2" xfId="17703"/>
    <cellStyle name="20% - Accent6 4 7 5" xfId="17704"/>
    <cellStyle name="20% - Accent6 4 7 5 2" xfId="17705"/>
    <cellStyle name="20% - Accent6 4 7 5 2 2" xfId="17706"/>
    <cellStyle name="20% - Accent6 4 7 6" xfId="17707"/>
    <cellStyle name="20% - Accent6 4 7 6 2" xfId="17708"/>
    <cellStyle name="20% - Accent6 4 7 7" xfId="17709"/>
    <cellStyle name="20% - Accent6 4 8" xfId="17710"/>
    <cellStyle name="20% - Accent6 4 8 2" xfId="17711"/>
    <cellStyle name="20% - Accent6 4 8 2 2" xfId="17712"/>
    <cellStyle name="20% - Accent6 4 8 2 2 2" xfId="17713"/>
    <cellStyle name="20% - Accent6 4 8 2 2 2 2" xfId="17714"/>
    <cellStyle name="20% - Accent6 4 8 2 2 2 2 2" xfId="17715"/>
    <cellStyle name="20% - Accent6 4 8 2 2 2 2 2 2" xfId="17716"/>
    <cellStyle name="20% - Accent6 4 8 2 2 2 3" xfId="17717"/>
    <cellStyle name="20% - Accent6 4 8 2 2 2 3 2" xfId="17718"/>
    <cellStyle name="20% - Accent6 4 8 2 2 3" xfId="17719"/>
    <cellStyle name="20% - Accent6 4 8 2 2 3 2" xfId="17720"/>
    <cellStyle name="20% - Accent6 4 8 2 2 3 2 2" xfId="17721"/>
    <cellStyle name="20% - Accent6 4 8 2 2 4" xfId="17722"/>
    <cellStyle name="20% - Accent6 4 8 2 2 4 2" xfId="17723"/>
    <cellStyle name="20% - Accent6 4 8 2 3" xfId="17724"/>
    <cellStyle name="20% - Accent6 4 8 2 3 2" xfId="17725"/>
    <cellStyle name="20% - Accent6 4 8 2 3 2 2" xfId="17726"/>
    <cellStyle name="20% - Accent6 4 8 2 3 2 2 2" xfId="17727"/>
    <cellStyle name="20% - Accent6 4 8 2 3 3" xfId="17728"/>
    <cellStyle name="20% - Accent6 4 8 2 3 3 2" xfId="17729"/>
    <cellStyle name="20% - Accent6 4 8 2 4" xfId="17730"/>
    <cellStyle name="20% - Accent6 4 8 2 4 2" xfId="17731"/>
    <cellStyle name="20% - Accent6 4 8 2 4 2 2" xfId="17732"/>
    <cellStyle name="20% - Accent6 4 8 2 5" xfId="17733"/>
    <cellStyle name="20% - Accent6 4 8 2 5 2" xfId="17734"/>
    <cellStyle name="20% - Accent6 4 8 3" xfId="17735"/>
    <cellStyle name="20% - Accent6 4 8 3 2" xfId="17736"/>
    <cellStyle name="20% - Accent6 4 8 3 2 2" xfId="17737"/>
    <cellStyle name="20% - Accent6 4 8 3 2 2 2" xfId="17738"/>
    <cellStyle name="20% - Accent6 4 8 3 2 2 2 2" xfId="17739"/>
    <cellStyle name="20% - Accent6 4 8 3 2 3" xfId="17740"/>
    <cellStyle name="20% - Accent6 4 8 3 2 3 2" xfId="17741"/>
    <cellStyle name="20% - Accent6 4 8 3 3" xfId="17742"/>
    <cellStyle name="20% - Accent6 4 8 3 3 2" xfId="17743"/>
    <cellStyle name="20% - Accent6 4 8 3 3 2 2" xfId="17744"/>
    <cellStyle name="20% - Accent6 4 8 3 4" xfId="17745"/>
    <cellStyle name="20% - Accent6 4 8 3 4 2" xfId="17746"/>
    <cellStyle name="20% - Accent6 4 8 4" xfId="17747"/>
    <cellStyle name="20% - Accent6 4 8 4 2" xfId="17748"/>
    <cellStyle name="20% - Accent6 4 8 4 2 2" xfId="17749"/>
    <cellStyle name="20% - Accent6 4 8 4 2 2 2" xfId="17750"/>
    <cellStyle name="20% - Accent6 4 8 4 3" xfId="17751"/>
    <cellStyle name="20% - Accent6 4 8 4 3 2" xfId="17752"/>
    <cellStyle name="20% - Accent6 4 8 5" xfId="17753"/>
    <cellStyle name="20% - Accent6 4 8 5 2" xfId="17754"/>
    <cellStyle name="20% - Accent6 4 8 5 2 2" xfId="17755"/>
    <cellStyle name="20% - Accent6 4 8 6" xfId="17756"/>
    <cellStyle name="20% - Accent6 4 8 6 2" xfId="17757"/>
    <cellStyle name="20% - Accent6 4 8 7" xfId="17758"/>
    <cellStyle name="20% - Accent6 4 9" xfId="17759"/>
    <cellStyle name="20% - Accent6 4 9 2" xfId="17760"/>
    <cellStyle name="20% - Accent6 4 9 2 2" xfId="17761"/>
    <cellStyle name="20% - Accent6 4 9 2 2 2" xfId="17762"/>
    <cellStyle name="20% - Accent6 4 9 2 2 2 2" xfId="17763"/>
    <cellStyle name="20% - Accent6 4 9 2 2 2 2 2" xfId="17764"/>
    <cellStyle name="20% - Accent6 4 9 2 2 2 2 2 2" xfId="17765"/>
    <cellStyle name="20% - Accent6 4 9 2 2 2 3" xfId="17766"/>
    <cellStyle name="20% - Accent6 4 9 2 2 2 3 2" xfId="17767"/>
    <cellStyle name="20% - Accent6 4 9 2 2 3" xfId="17768"/>
    <cellStyle name="20% - Accent6 4 9 2 2 3 2" xfId="17769"/>
    <cellStyle name="20% - Accent6 4 9 2 2 3 2 2" xfId="17770"/>
    <cellStyle name="20% - Accent6 4 9 2 2 4" xfId="17771"/>
    <cellStyle name="20% - Accent6 4 9 2 2 4 2" xfId="17772"/>
    <cellStyle name="20% - Accent6 4 9 2 3" xfId="17773"/>
    <cellStyle name="20% - Accent6 4 9 2 3 2" xfId="17774"/>
    <cellStyle name="20% - Accent6 4 9 2 3 2 2" xfId="17775"/>
    <cellStyle name="20% - Accent6 4 9 2 3 2 2 2" xfId="17776"/>
    <cellStyle name="20% - Accent6 4 9 2 3 3" xfId="17777"/>
    <cellStyle name="20% - Accent6 4 9 2 3 3 2" xfId="17778"/>
    <cellStyle name="20% - Accent6 4 9 2 4" xfId="17779"/>
    <cellStyle name="20% - Accent6 4 9 2 4 2" xfId="17780"/>
    <cellStyle name="20% - Accent6 4 9 2 4 2 2" xfId="17781"/>
    <cellStyle name="20% - Accent6 4 9 2 5" xfId="17782"/>
    <cellStyle name="20% - Accent6 4 9 2 5 2" xfId="17783"/>
    <cellStyle name="20% - Accent6 4 9 3" xfId="17784"/>
    <cellStyle name="20% - Accent6 4 9 3 2" xfId="17785"/>
    <cellStyle name="20% - Accent6 4 9 3 2 2" xfId="17786"/>
    <cellStyle name="20% - Accent6 4 9 3 2 2 2" xfId="17787"/>
    <cellStyle name="20% - Accent6 4 9 3 2 2 2 2" xfId="17788"/>
    <cellStyle name="20% - Accent6 4 9 3 2 3" xfId="17789"/>
    <cellStyle name="20% - Accent6 4 9 3 2 3 2" xfId="17790"/>
    <cellStyle name="20% - Accent6 4 9 3 3" xfId="17791"/>
    <cellStyle name="20% - Accent6 4 9 3 3 2" xfId="17792"/>
    <cellStyle name="20% - Accent6 4 9 3 3 2 2" xfId="17793"/>
    <cellStyle name="20% - Accent6 4 9 3 4" xfId="17794"/>
    <cellStyle name="20% - Accent6 4 9 3 4 2" xfId="17795"/>
    <cellStyle name="20% - Accent6 4 9 4" xfId="17796"/>
    <cellStyle name="20% - Accent6 4 9 4 2" xfId="17797"/>
    <cellStyle name="20% - Accent6 4 9 4 2 2" xfId="17798"/>
    <cellStyle name="20% - Accent6 4 9 4 2 2 2" xfId="17799"/>
    <cellStyle name="20% - Accent6 4 9 4 3" xfId="17800"/>
    <cellStyle name="20% - Accent6 4 9 4 3 2" xfId="17801"/>
    <cellStyle name="20% - Accent6 4 9 5" xfId="17802"/>
    <cellStyle name="20% - Accent6 4 9 5 2" xfId="17803"/>
    <cellStyle name="20% - Accent6 4 9 5 2 2" xfId="17804"/>
    <cellStyle name="20% - Accent6 4 9 6" xfId="17805"/>
    <cellStyle name="20% - Accent6 4 9 6 2" xfId="17806"/>
    <cellStyle name="20% - Accent6 4 9 7" xfId="17807"/>
    <cellStyle name="20% - Accent6 4 9 8" xfId="17808"/>
    <cellStyle name="20% - Accent6 4 9 9" xfId="17809"/>
    <cellStyle name="20% - Accent6 40" xfId="17810"/>
    <cellStyle name="20% - Accent6 40 2" xfId="17811"/>
    <cellStyle name="20% - Accent6 40 2 2" xfId="17812"/>
    <cellStyle name="20% - Accent6 40 2 3" xfId="17813"/>
    <cellStyle name="20% - Accent6 40 2 4" xfId="17814"/>
    <cellStyle name="20% - Accent6 40 3" xfId="17815"/>
    <cellStyle name="20% - Accent6 40 3 2" xfId="17816"/>
    <cellStyle name="20% - Accent6 40 3 3" xfId="17817"/>
    <cellStyle name="20% - Accent6 40 4" xfId="17818"/>
    <cellStyle name="20% - Accent6 40 4 2" xfId="17819"/>
    <cellStyle name="20% - Accent6 40 5" xfId="17820"/>
    <cellStyle name="20% - Accent6 40 6" xfId="17821"/>
    <cellStyle name="20% - Accent6 40 7" xfId="17822"/>
    <cellStyle name="20% - Accent6 41" xfId="17823"/>
    <cellStyle name="20% - Accent6 41 2" xfId="17824"/>
    <cellStyle name="20% - Accent6 41 2 2" xfId="17825"/>
    <cellStyle name="20% - Accent6 41 2 3" xfId="17826"/>
    <cellStyle name="20% - Accent6 41 2 4" xfId="17827"/>
    <cellStyle name="20% - Accent6 41 3" xfId="17828"/>
    <cellStyle name="20% - Accent6 41 3 2" xfId="17829"/>
    <cellStyle name="20% - Accent6 41 3 3" xfId="17830"/>
    <cellStyle name="20% - Accent6 41 4" xfId="17831"/>
    <cellStyle name="20% - Accent6 41 4 2" xfId="17832"/>
    <cellStyle name="20% - Accent6 41 5" xfId="17833"/>
    <cellStyle name="20% - Accent6 41 6" xfId="17834"/>
    <cellStyle name="20% - Accent6 41 7" xfId="17835"/>
    <cellStyle name="20% - Accent6 42" xfId="17836"/>
    <cellStyle name="20% - Accent6 42 2" xfId="17837"/>
    <cellStyle name="20% - Accent6 42 2 2" xfId="17838"/>
    <cellStyle name="20% - Accent6 42 2 3" xfId="17839"/>
    <cellStyle name="20% - Accent6 42 2 4" xfId="17840"/>
    <cellStyle name="20% - Accent6 42 3" xfId="17841"/>
    <cellStyle name="20% - Accent6 42 3 2" xfId="17842"/>
    <cellStyle name="20% - Accent6 42 3 3" xfId="17843"/>
    <cellStyle name="20% - Accent6 42 4" xfId="17844"/>
    <cellStyle name="20% - Accent6 42 4 2" xfId="17845"/>
    <cellStyle name="20% - Accent6 42 5" xfId="17846"/>
    <cellStyle name="20% - Accent6 42 6" xfId="17847"/>
    <cellStyle name="20% - Accent6 42 7" xfId="17848"/>
    <cellStyle name="20% - Accent6 43" xfId="17849"/>
    <cellStyle name="20% - Accent6 43 2" xfId="17850"/>
    <cellStyle name="20% - Accent6 43 2 2" xfId="17851"/>
    <cellStyle name="20% - Accent6 43 2 3" xfId="17852"/>
    <cellStyle name="20% - Accent6 43 2 4" xfId="17853"/>
    <cellStyle name="20% - Accent6 43 3" xfId="17854"/>
    <cellStyle name="20% - Accent6 43 3 2" xfId="17855"/>
    <cellStyle name="20% - Accent6 43 3 3" xfId="17856"/>
    <cellStyle name="20% - Accent6 43 4" xfId="17857"/>
    <cellStyle name="20% - Accent6 43 4 2" xfId="17858"/>
    <cellStyle name="20% - Accent6 43 5" xfId="17859"/>
    <cellStyle name="20% - Accent6 43 6" xfId="17860"/>
    <cellStyle name="20% - Accent6 43 7" xfId="17861"/>
    <cellStyle name="20% - Accent6 44" xfId="17862"/>
    <cellStyle name="20% - Accent6 44 2" xfId="17863"/>
    <cellStyle name="20% - Accent6 44 2 2" xfId="17864"/>
    <cellStyle name="20% - Accent6 44 2 3" xfId="17865"/>
    <cellStyle name="20% - Accent6 44 2 4" xfId="17866"/>
    <cellStyle name="20% - Accent6 44 3" xfId="17867"/>
    <cellStyle name="20% - Accent6 44 3 2" xfId="17868"/>
    <cellStyle name="20% - Accent6 44 3 3" xfId="17869"/>
    <cellStyle name="20% - Accent6 44 4" xfId="17870"/>
    <cellStyle name="20% - Accent6 44 4 2" xfId="17871"/>
    <cellStyle name="20% - Accent6 44 5" xfId="17872"/>
    <cellStyle name="20% - Accent6 44 6" xfId="17873"/>
    <cellStyle name="20% - Accent6 44 7" xfId="17874"/>
    <cellStyle name="20% - Accent6 45" xfId="17875"/>
    <cellStyle name="20% - Accent6 45 2" xfId="17876"/>
    <cellStyle name="20% - Accent6 45 2 2" xfId="17877"/>
    <cellStyle name="20% - Accent6 45 2 3" xfId="17878"/>
    <cellStyle name="20% - Accent6 45 2 4" xfId="17879"/>
    <cellStyle name="20% - Accent6 45 3" xfId="17880"/>
    <cellStyle name="20% - Accent6 45 3 2" xfId="17881"/>
    <cellStyle name="20% - Accent6 45 3 3" xfId="17882"/>
    <cellStyle name="20% - Accent6 45 4" xfId="17883"/>
    <cellStyle name="20% - Accent6 45 4 2" xfId="17884"/>
    <cellStyle name="20% - Accent6 45 5" xfId="17885"/>
    <cellStyle name="20% - Accent6 45 6" xfId="17886"/>
    <cellStyle name="20% - Accent6 45 7" xfId="17887"/>
    <cellStyle name="20% - Accent6 46" xfId="17888"/>
    <cellStyle name="20% - Accent6 46 2" xfId="17889"/>
    <cellStyle name="20% - Accent6 46 2 2" xfId="17890"/>
    <cellStyle name="20% - Accent6 46 2 3" xfId="17891"/>
    <cellStyle name="20% - Accent6 46 2 4" xfId="17892"/>
    <cellStyle name="20% - Accent6 46 3" xfId="17893"/>
    <cellStyle name="20% - Accent6 46 3 2" xfId="17894"/>
    <cellStyle name="20% - Accent6 46 3 3" xfId="17895"/>
    <cellStyle name="20% - Accent6 46 4" xfId="17896"/>
    <cellStyle name="20% - Accent6 46 4 2" xfId="17897"/>
    <cellStyle name="20% - Accent6 46 5" xfId="17898"/>
    <cellStyle name="20% - Accent6 46 6" xfId="17899"/>
    <cellStyle name="20% - Accent6 46 7" xfId="17900"/>
    <cellStyle name="20% - Accent6 47" xfId="17901"/>
    <cellStyle name="20% - Accent6 47 2" xfId="17902"/>
    <cellStyle name="20% - Accent6 47 2 2" xfId="17903"/>
    <cellStyle name="20% - Accent6 47 2 3" xfId="17904"/>
    <cellStyle name="20% - Accent6 47 2 4" xfId="17905"/>
    <cellStyle name="20% - Accent6 47 3" xfId="17906"/>
    <cellStyle name="20% - Accent6 47 3 2" xfId="17907"/>
    <cellStyle name="20% - Accent6 47 3 3" xfId="17908"/>
    <cellStyle name="20% - Accent6 47 4" xfId="17909"/>
    <cellStyle name="20% - Accent6 47 4 2" xfId="17910"/>
    <cellStyle name="20% - Accent6 47 5" xfId="17911"/>
    <cellStyle name="20% - Accent6 47 6" xfId="17912"/>
    <cellStyle name="20% - Accent6 47 7" xfId="17913"/>
    <cellStyle name="20% - Accent6 48" xfId="17914"/>
    <cellStyle name="20% - Accent6 48 2" xfId="17915"/>
    <cellStyle name="20% - Accent6 48 2 2" xfId="17916"/>
    <cellStyle name="20% - Accent6 48 2 3" xfId="17917"/>
    <cellStyle name="20% - Accent6 48 2 4" xfId="17918"/>
    <cellStyle name="20% - Accent6 48 3" xfId="17919"/>
    <cellStyle name="20% - Accent6 48 3 2" xfId="17920"/>
    <cellStyle name="20% - Accent6 48 3 3" xfId="17921"/>
    <cellStyle name="20% - Accent6 48 4" xfId="17922"/>
    <cellStyle name="20% - Accent6 48 4 2" xfId="17923"/>
    <cellStyle name="20% - Accent6 48 5" xfId="17924"/>
    <cellStyle name="20% - Accent6 48 6" xfId="17925"/>
    <cellStyle name="20% - Accent6 48 7" xfId="17926"/>
    <cellStyle name="20% - Accent6 49" xfId="17927"/>
    <cellStyle name="20% - Accent6 49 2" xfId="17928"/>
    <cellStyle name="20% - Accent6 49 2 2" xfId="17929"/>
    <cellStyle name="20% - Accent6 49 2 3" xfId="17930"/>
    <cellStyle name="20% - Accent6 49 2 4" xfId="17931"/>
    <cellStyle name="20% - Accent6 49 3" xfId="17932"/>
    <cellStyle name="20% - Accent6 49 3 2" xfId="17933"/>
    <cellStyle name="20% - Accent6 49 3 3" xfId="17934"/>
    <cellStyle name="20% - Accent6 49 4" xfId="17935"/>
    <cellStyle name="20% - Accent6 49 4 2" xfId="17936"/>
    <cellStyle name="20% - Accent6 49 5" xfId="17937"/>
    <cellStyle name="20% - Accent6 49 6" xfId="17938"/>
    <cellStyle name="20% - Accent6 49 7" xfId="17939"/>
    <cellStyle name="20% - Accent6 5" xfId="17940"/>
    <cellStyle name="20% - Accent6 5 2" xfId="17941"/>
    <cellStyle name="20% - Accent6 5 3" xfId="17942"/>
    <cellStyle name="20% - Accent6 5 4" xfId="17943"/>
    <cellStyle name="20% - Accent6 5 5" xfId="17944"/>
    <cellStyle name="20% - Accent6 5 6" xfId="17945"/>
    <cellStyle name="20% - Accent6 5 7" xfId="17946"/>
    <cellStyle name="20% - Accent6 5 8" xfId="17947"/>
    <cellStyle name="20% - Accent6 50" xfId="17948"/>
    <cellStyle name="20% - Accent6 50 2" xfId="17949"/>
    <cellStyle name="20% - Accent6 50 2 2" xfId="17950"/>
    <cellStyle name="20% - Accent6 50 2 3" xfId="17951"/>
    <cellStyle name="20% - Accent6 50 2 4" xfId="17952"/>
    <cellStyle name="20% - Accent6 50 3" xfId="17953"/>
    <cellStyle name="20% - Accent6 50 3 2" xfId="17954"/>
    <cellStyle name="20% - Accent6 50 3 3" xfId="17955"/>
    <cellStyle name="20% - Accent6 50 4" xfId="17956"/>
    <cellStyle name="20% - Accent6 50 4 2" xfId="17957"/>
    <cellStyle name="20% - Accent6 50 5" xfId="17958"/>
    <cellStyle name="20% - Accent6 50 6" xfId="17959"/>
    <cellStyle name="20% - Accent6 50 7" xfId="17960"/>
    <cellStyle name="20% - Accent6 51" xfId="17961"/>
    <cellStyle name="20% - Accent6 51 2" xfId="17962"/>
    <cellStyle name="20% - Accent6 51 2 2" xfId="17963"/>
    <cellStyle name="20% - Accent6 51 2 3" xfId="17964"/>
    <cellStyle name="20% - Accent6 51 2 4" xfId="17965"/>
    <cellStyle name="20% - Accent6 51 3" xfId="17966"/>
    <cellStyle name="20% - Accent6 51 3 2" xfId="17967"/>
    <cellStyle name="20% - Accent6 51 3 3" xfId="17968"/>
    <cellStyle name="20% - Accent6 51 4" xfId="17969"/>
    <cellStyle name="20% - Accent6 51 4 2" xfId="17970"/>
    <cellStyle name="20% - Accent6 51 5" xfId="17971"/>
    <cellStyle name="20% - Accent6 51 6" xfId="17972"/>
    <cellStyle name="20% - Accent6 51 7" xfId="17973"/>
    <cellStyle name="20% - Accent6 52" xfId="17974"/>
    <cellStyle name="20% - Accent6 52 2" xfId="17975"/>
    <cellStyle name="20% - Accent6 52 2 2" xfId="17976"/>
    <cellStyle name="20% - Accent6 52 2 3" xfId="17977"/>
    <cellStyle name="20% - Accent6 52 2 4" xfId="17978"/>
    <cellStyle name="20% - Accent6 52 3" xfId="17979"/>
    <cellStyle name="20% - Accent6 52 3 2" xfId="17980"/>
    <cellStyle name="20% - Accent6 52 3 3" xfId="17981"/>
    <cellStyle name="20% - Accent6 52 4" xfId="17982"/>
    <cellStyle name="20% - Accent6 52 4 2" xfId="17983"/>
    <cellStyle name="20% - Accent6 52 5" xfId="17984"/>
    <cellStyle name="20% - Accent6 52 6" xfId="17985"/>
    <cellStyle name="20% - Accent6 52 7" xfId="17986"/>
    <cellStyle name="20% - Accent6 53" xfId="17987"/>
    <cellStyle name="20% - Accent6 53 2" xfId="17988"/>
    <cellStyle name="20% - Accent6 53 2 2" xfId="17989"/>
    <cellStyle name="20% - Accent6 53 2 3" xfId="17990"/>
    <cellStyle name="20% - Accent6 53 2 4" xfId="17991"/>
    <cellStyle name="20% - Accent6 53 3" xfId="17992"/>
    <cellStyle name="20% - Accent6 53 3 2" xfId="17993"/>
    <cellStyle name="20% - Accent6 53 3 3" xfId="17994"/>
    <cellStyle name="20% - Accent6 53 4" xfId="17995"/>
    <cellStyle name="20% - Accent6 53 4 2" xfId="17996"/>
    <cellStyle name="20% - Accent6 53 5" xfId="17997"/>
    <cellStyle name="20% - Accent6 53 6" xfId="17998"/>
    <cellStyle name="20% - Accent6 53 7" xfId="17999"/>
    <cellStyle name="20% - Accent6 54" xfId="18000"/>
    <cellStyle name="20% - Accent6 54 2" xfId="18001"/>
    <cellStyle name="20% - Accent6 54 2 2" xfId="18002"/>
    <cellStyle name="20% - Accent6 54 2 3" xfId="18003"/>
    <cellStyle name="20% - Accent6 54 2 4" xfId="18004"/>
    <cellStyle name="20% - Accent6 54 3" xfId="18005"/>
    <cellStyle name="20% - Accent6 54 3 2" xfId="18006"/>
    <cellStyle name="20% - Accent6 54 3 3" xfId="18007"/>
    <cellStyle name="20% - Accent6 54 4" xfId="18008"/>
    <cellStyle name="20% - Accent6 54 4 2" xfId="18009"/>
    <cellStyle name="20% - Accent6 54 5" xfId="18010"/>
    <cellStyle name="20% - Accent6 54 6" xfId="18011"/>
    <cellStyle name="20% - Accent6 54 7" xfId="18012"/>
    <cellStyle name="20% - Accent6 55" xfId="18013"/>
    <cellStyle name="20% - Accent6 55 2" xfId="18014"/>
    <cellStyle name="20% - Accent6 55 2 2" xfId="18015"/>
    <cellStyle name="20% - Accent6 55 2 3" xfId="18016"/>
    <cellStyle name="20% - Accent6 55 2 4" xfId="18017"/>
    <cellStyle name="20% - Accent6 55 3" xfId="18018"/>
    <cellStyle name="20% - Accent6 55 3 2" xfId="18019"/>
    <cellStyle name="20% - Accent6 55 3 3" xfId="18020"/>
    <cellStyle name="20% - Accent6 55 4" xfId="18021"/>
    <cellStyle name="20% - Accent6 55 4 2" xfId="18022"/>
    <cellStyle name="20% - Accent6 55 5" xfId="18023"/>
    <cellStyle name="20% - Accent6 55 6" xfId="18024"/>
    <cellStyle name="20% - Accent6 55 7" xfId="18025"/>
    <cellStyle name="20% - Accent6 56" xfId="18026"/>
    <cellStyle name="20% - Accent6 56 2" xfId="18027"/>
    <cellStyle name="20% - Accent6 56 2 2" xfId="18028"/>
    <cellStyle name="20% - Accent6 56 2 3" xfId="18029"/>
    <cellStyle name="20% - Accent6 56 2 4" xfId="18030"/>
    <cellStyle name="20% - Accent6 56 3" xfId="18031"/>
    <cellStyle name="20% - Accent6 56 3 2" xfId="18032"/>
    <cellStyle name="20% - Accent6 56 3 3" xfId="18033"/>
    <cellStyle name="20% - Accent6 56 4" xfId="18034"/>
    <cellStyle name="20% - Accent6 56 4 2" xfId="18035"/>
    <cellStyle name="20% - Accent6 56 5" xfId="18036"/>
    <cellStyle name="20% - Accent6 56 6" xfId="18037"/>
    <cellStyle name="20% - Accent6 56 7" xfId="18038"/>
    <cellStyle name="20% - Accent6 57" xfId="18039"/>
    <cellStyle name="20% - Accent6 57 2" xfId="18040"/>
    <cellStyle name="20% - Accent6 57 2 2" xfId="18041"/>
    <cellStyle name="20% - Accent6 57 2 3" xfId="18042"/>
    <cellStyle name="20% - Accent6 57 2 4" xfId="18043"/>
    <cellStyle name="20% - Accent6 57 3" xfId="18044"/>
    <cellStyle name="20% - Accent6 57 3 2" xfId="18045"/>
    <cellStyle name="20% - Accent6 57 3 3" xfId="18046"/>
    <cellStyle name="20% - Accent6 57 4" xfId="18047"/>
    <cellStyle name="20% - Accent6 57 4 2" xfId="18048"/>
    <cellStyle name="20% - Accent6 57 5" xfId="18049"/>
    <cellStyle name="20% - Accent6 57 6" xfId="18050"/>
    <cellStyle name="20% - Accent6 57 7" xfId="18051"/>
    <cellStyle name="20% - Accent6 58" xfId="18052"/>
    <cellStyle name="20% - Accent6 59" xfId="18053"/>
    <cellStyle name="20% - Accent6 6" xfId="18054"/>
    <cellStyle name="20% - Accent6 6 10" xfId="18055"/>
    <cellStyle name="20% - Accent6 6 10 2" xfId="18056"/>
    <cellStyle name="20% - Accent6 6 10 3" xfId="18057"/>
    <cellStyle name="20% - Accent6 6 11" xfId="18058"/>
    <cellStyle name="20% - Accent6 6 11 2" xfId="18059"/>
    <cellStyle name="20% - Accent6 6 12" xfId="18060"/>
    <cellStyle name="20% - Accent6 6 13" xfId="18061"/>
    <cellStyle name="20% - Accent6 6 14" xfId="18062"/>
    <cellStyle name="20% - Accent6 6 2" xfId="18063"/>
    <cellStyle name="20% - Accent6 6 3" xfId="18064"/>
    <cellStyle name="20% - Accent6 6 4" xfId="18065"/>
    <cellStyle name="20% - Accent6 6 5" xfId="18066"/>
    <cellStyle name="20% - Accent6 6 6" xfId="18067"/>
    <cellStyle name="20% - Accent6 6 7" xfId="18068"/>
    <cellStyle name="20% - Accent6 6 8" xfId="18069"/>
    <cellStyle name="20% - Accent6 6 9" xfId="18070"/>
    <cellStyle name="20% - Accent6 6 9 2" xfId="18071"/>
    <cellStyle name="20% - Accent6 6 9 3" xfId="18072"/>
    <cellStyle name="20% - Accent6 6 9 4" xfId="18073"/>
    <cellStyle name="20% - Accent6 60" xfId="18074"/>
    <cellStyle name="20% - Accent6 61" xfId="18075"/>
    <cellStyle name="20% - Accent6 62" xfId="18076"/>
    <cellStyle name="20% - Accent6 63" xfId="18077"/>
    <cellStyle name="20% - Accent6 64" xfId="18078"/>
    <cellStyle name="20% - Accent6 65" xfId="18079"/>
    <cellStyle name="20% - Accent6 65 2" xfId="18080"/>
    <cellStyle name="20% - Accent6 65 2 2" xfId="18081"/>
    <cellStyle name="20% - Accent6 65 2 3" xfId="18082"/>
    <cellStyle name="20% - Accent6 65 2 4" xfId="18083"/>
    <cellStyle name="20% - Accent6 65 3" xfId="18084"/>
    <cellStyle name="20% - Accent6 65 3 2" xfId="18085"/>
    <cellStyle name="20% - Accent6 65 3 3" xfId="18086"/>
    <cellStyle name="20% - Accent6 65 4" xfId="18087"/>
    <cellStyle name="20% - Accent6 65 4 2" xfId="18088"/>
    <cellStyle name="20% - Accent6 65 5" xfId="18089"/>
    <cellStyle name="20% - Accent6 65 6" xfId="18090"/>
    <cellStyle name="20% - Accent6 65 7" xfId="18091"/>
    <cellStyle name="20% - Accent6 66" xfId="18092"/>
    <cellStyle name="20% - Accent6 66 2" xfId="18093"/>
    <cellStyle name="20% - Accent6 66 2 2" xfId="18094"/>
    <cellStyle name="20% - Accent6 66 2 3" xfId="18095"/>
    <cellStyle name="20% - Accent6 66 2 4" xfId="18096"/>
    <cellStyle name="20% - Accent6 66 3" xfId="18097"/>
    <cellStyle name="20% - Accent6 66 3 2" xfId="18098"/>
    <cellStyle name="20% - Accent6 66 3 3" xfId="18099"/>
    <cellStyle name="20% - Accent6 66 4" xfId="18100"/>
    <cellStyle name="20% - Accent6 66 4 2" xfId="18101"/>
    <cellStyle name="20% - Accent6 66 5" xfId="18102"/>
    <cellStyle name="20% - Accent6 66 6" xfId="18103"/>
    <cellStyle name="20% - Accent6 66 7" xfId="18104"/>
    <cellStyle name="20% - Accent6 67" xfId="18105"/>
    <cellStyle name="20% - Accent6 67 2" xfId="18106"/>
    <cellStyle name="20% - Accent6 67 2 2" xfId="18107"/>
    <cellStyle name="20% - Accent6 67 2 3" xfId="18108"/>
    <cellStyle name="20% - Accent6 67 2 4" xfId="18109"/>
    <cellStyle name="20% - Accent6 67 3" xfId="18110"/>
    <cellStyle name="20% - Accent6 67 3 2" xfId="18111"/>
    <cellStyle name="20% - Accent6 67 3 3" xfId="18112"/>
    <cellStyle name="20% - Accent6 67 4" xfId="18113"/>
    <cellStyle name="20% - Accent6 67 4 2" xfId="18114"/>
    <cellStyle name="20% - Accent6 67 5" xfId="18115"/>
    <cellStyle name="20% - Accent6 67 6" xfId="18116"/>
    <cellStyle name="20% - Accent6 67 7" xfId="18117"/>
    <cellStyle name="20% - Accent6 68" xfId="18118"/>
    <cellStyle name="20% - Accent6 68 2" xfId="18119"/>
    <cellStyle name="20% - Accent6 68 2 2" xfId="18120"/>
    <cellStyle name="20% - Accent6 68 2 3" xfId="18121"/>
    <cellStyle name="20% - Accent6 68 2 4" xfId="18122"/>
    <cellStyle name="20% - Accent6 68 3" xfId="18123"/>
    <cellStyle name="20% - Accent6 68 3 2" xfId="18124"/>
    <cellStyle name="20% - Accent6 68 3 3" xfId="18125"/>
    <cellStyle name="20% - Accent6 68 4" xfId="18126"/>
    <cellStyle name="20% - Accent6 68 4 2" xfId="18127"/>
    <cellStyle name="20% - Accent6 68 5" xfId="18128"/>
    <cellStyle name="20% - Accent6 68 6" xfId="18129"/>
    <cellStyle name="20% - Accent6 68 7" xfId="18130"/>
    <cellStyle name="20% - Accent6 69" xfId="18131"/>
    <cellStyle name="20% - Accent6 69 2" xfId="18132"/>
    <cellStyle name="20% - Accent6 69 2 2" xfId="18133"/>
    <cellStyle name="20% - Accent6 69 2 3" xfId="18134"/>
    <cellStyle name="20% - Accent6 69 2 4" xfId="18135"/>
    <cellStyle name="20% - Accent6 69 3" xfId="18136"/>
    <cellStyle name="20% - Accent6 69 3 2" xfId="18137"/>
    <cellStyle name="20% - Accent6 69 3 3" xfId="18138"/>
    <cellStyle name="20% - Accent6 69 4" xfId="18139"/>
    <cellStyle name="20% - Accent6 69 4 2" xfId="18140"/>
    <cellStyle name="20% - Accent6 69 5" xfId="18141"/>
    <cellStyle name="20% - Accent6 69 6" xfId="18142"/>
    <cellStyle name="20% - Accent6 69 7" xfId="18143"/>
    <cellStyle name="20% - Accent6 7" xfId="18144"/>
    <cellStyle name="20% - Accent6 7 2" xfId="18145"/>
    <cellStyle name="20% - Accent6 7 3" xfId="18146"/>
    <cellStyle name="20% - Accent6 7 3 2" xfId="18147"/>
    <cellStyle name="20% - Accent6 7 3 3" xfId="18148"/>
    <cellStyle name="20% - Accent6 7 3 4" xfId="18149"/>
    <cellStyle name="20% - Accent6 7 4" xfId="18150"/>
    <cellStyle name="20% - Accent6 7 4 2" xfId="18151"/>
    <cellStyle name="20% - Accent6 7 4 3" xfId="18152"/>
    <cellStyle name="20% - Accent6 7 5" xfId="18153"/>
    <cellStyle name="20% - Accent6 7 5 2" xfId="18154"/>
    <cellStyle name="20% - Accent6 7 6" xfId="18155"/>
    <cellStyle name="20% - Accent6 7 7" xfId="18156"/>
    <cellStyle name="20% - Accent6 7 8" xfId="18157"/>
    <cellStyle name="20% - Accent6 70" xfId="18158"/>
    <cellStyle name="20% - Accent6 70 2" xfId="18159"/>
    <cellStyle name="20% - Accent6 70 2 2" xfId="18160"/>
    <cellStyle name="20% - Accent6 70 2 3" xfId="18161"/>
    <cellStyle name="20% - Accent6 70 2 4" xfId="18162"/>
    <cellStyle name="20% - Accent6 70 3" xfId="18163"/>
    <cellStyle name="20% - Accent6 70 3 2" xfId="18164"/>
    <cellStyle name="20% - Accent6 70 3 3" xfId="18165"/>
    <cellStyle name="20% - Accent6 70 4" xfId="18166"/>
    <cellStyle name="20% - Accent6 70 4 2" xfId="18167"/>
    <cellStyle name="20% - Accent6 70 5" xfId="18168"/>
    <cellStyle name="20% - Accent6 70 6" xfId="18169"/>
    <cellStyle name="20% - Accent6 70 7" xfId="18170"/>
    <cellStyle name="20% - Accent6 71" xfId="18171"/>
    <cellStyle name="20% - Accent6 71 2" xfId="18172"/>
    <cellStyle name="20% - Accent6 71 2 2" xfId="18173"/>
    <cellStyle name="20% - Accent6 71 2 3" xfId="18174"/>
    <cellStyle name="20% - Accent6 71 2 4" xfId="18175"/>
    <cellStyle name="20% - Accent6 71 3" xfId="18176"/>
    <cellStyle name="20% - Accent6 71 3 2" xfId="18177"/>
    <cellStyle name="20% - Accent6 71 3 3" xfId="18178"/>
    <cellStyle name="20% - Accent6 71 4" xfId="18179"/>
    <cellStyle name="20% - Accent6 71 4 2" xfId="18180"/>
    <cellStyle name="20% - Accent6 71 5" xfId="18181"/>
    <cellStyle name="20% - Accent6 71 6" xfId="18182"/>
    <cellStyle name="20% - Accent6 71 7" xfId="18183"/>
    <cellStyle name="20% - Accent6 72" xfId="18184"/>
    <cellStyle name="20% - Accent6 72 2" xfId="18185"/>
    <cellStyle name="20% - Accent6 72 2 2" xfId="18186"/>
    <cellStyle name="20% - Accent6 72 2 3" xfId="18187"/>
    <cellStyle name="20% - Accent6 72 2 4" xfId="18188"/>
    <cellStyle name="20% - Accent6 72 3" xfId="18189"/>
    <cellStyle name="20% - Accent6 72 3 2" xfId="18190"/>
    <cellStyle name="20% - Accent6 72 3 3" xfId="18191"/>
    <cellStyle name="20% - Accent6 72 4" xfId="18192"/>
    <cellStyle name="20% - Accent6 72 4 2" xfId="18193"/>
    <cellStyle name="20% - Accent6 72 5" xfId="18194"/>
    <cellStyle name="20% - Accent6 72 6" xfId="18195"/>
    <cellStyle name="20% - Accent6 72 7" xfId="18196"/>
    <cellStyle name="20% - Accent6 73" xfId="18197"/>
    <cellStyle name="20% - Accent6 73 2" xfId="18198"/>
    <cellStyle name="20% - Accent6 73 2 2" xfId="18199"/>
    <cellStyle name="20% - Accent6 73 2 3" xfId="18200"/>
    <cellStyle name="20% - Accent6 73 2 4" xfId="18201"/>
    <cellStyle name="20% - Accent6 73 3" xfId="18202"/>
    <cellStyle name="20% - Accent6 73 3 2" xfId="18203"/>
    <cellStyle name="20% - Accent6 73 3 3" xfId="18204"/>
    <cellStyle name="20% - Accent6 73 4" xfId="18205"/>
    <cellStyle name="20% - Accent6 73 4 2" xfId="18206"/>
    <cellStyle name="20% - Accent6 73 5" xfId="18207"/>
    <cellStyle name="20% - Accent6 73 6" xfId="18208"/>
    <cellStyle name="20% - Accent6 73 7" xfId="18209"/>
    <cellStyle name="20% - Accent6 74" xfId="18210"/>
    <cellStyle name="20% - Accent6 74 2" xfId="18211"/>
    <cellStyle name="20% - Accent6 74 2 2" xfId="18212"/>
    <cellStyle name="20% - Accent6 74 2 3" xfId="18213"/>
    <cellStyle name="20% - Accent6 74 2 4" xfId="18214"/>
    <cellStyle name="20% - Accent6 74 3" xfId="18215"/>
    <cellStyle name="20% - Accent6 74 3 2" xfId="18216"/>
    <cellStyle name="20% - Accent6 74 3 3" xfId="18217"/>
    <cellStyle name="20% - Accent6 74 4" xfId="18218"/>
    <cellStyle name="20% - Accent6 74 4 2" xfId="18219"/>
    <cellStyle name="20% - Accent6 74 5" xfId="18220"/>
    <cellStyle name="20% - Accent6 74 6" xfId="18221"/>
    <cellStyle name="20% - Accent6 74 7" xfId="18222"/>
    <cellStyle name="20% - Accent6 75" xfId="18223"/>
    <cellStyle name="20% - Accent6 75 2" xfId="18224"/>
    <cellStyle name="20% - Accent6 75 2 2" xfId="18225"/>
    <cellStyle name="20% - Accent6 75 2 3" xfId="18226"/>
    <cellStyle name="20% - Accent6 75 2 4" xfId="18227"/>
    <cellStyle name="20% - Accent6 75 3" xfId="18228"/>
    <cellStyle name="20% - Accent6 75 3 2" xfId="18229"/>
    <cellStyle name="20% - Accent6 75 3 3" xfId="18230"/>
    <cellStyle name="20% - Accent6 75 4" xfId="18231"/>
    <cellStyle name="20% - Accent6 75 4 2" xfId="18232"/>
    <cellStyle name="20% - Accent6 75 5" xfId="18233"/>
    <cellStyle name="20% - Accent6 75 6" xfId="18234"/>
    <cellStyle name="20% - Accent6 75 7" xfId="18235"/>
    <cellStyle name="20% - Accent6 76" xfId="18236"/>
    <cellStyle name="20% - Accent6 76 2" xfId="18237"/>
    <cellStyle name="20% - Accent6 76 2 2" xfId="18238"/>
    <cellStyle name="20% - Accent6 76 2 3" xfId="18239"/>
    <cellStyle name="20% - Accent6 76 2 4" xfId="18240"/>
    <cellStyle name="20% - Accent6 76 3" xfId="18241"/>
    <cellStyle name="20% - Accent6 76 3 2" xfId="18242"/>
    <cellStyle name="20% - Accent6 76 3 3" xfId="18243"/>
    <cellStyle name="20% - Accent6 76 4" xfId="18244"/>
    <cellStyle name="20% - Accent6 76 4 2" xfId="18245"/>
    <cellStyle name="20% - Accent6 76 5" xfId="18246"/>
    <cellStyle name="20% - Accent6 76 6" xfId="18247"/>
    <cellStyle name="20% - Accent6 76 7" xfId="18248"/>
    <cellStyle name="20% - Accent6 77" xfId="18249"/>
    <cellStyle name="20% - Accent6 77 2" xfId="18250"/>
    <cellStyle name="20% - Accent6 77 2 2" xfId="18251"/>
    <cellStyle name="20% - Accent6 77 2 3" xfId="18252"/>
    <cellStyle name="20% - Accent6 77 2 4" xfId="18253"/>
    <cellStyle name="20% - Accent6 77 3" xfId="18254"/>
    <cellStyle name="20% - Accent6 77 3 2" xfId="18255"/>
    <cellStyle name="20% - Accent6 77 3 3" xfId="18256"/>
    <cellStyle name="20% - Accent6 77 4" xfId="18257"/>
    <cellStyle name="20% - Accent6 77 4 2" xfId="18258"/>
    <cellStyle name="20% - Accent6 77 5" xfId="18259"/>
    <cellStyle name="20% - Accent6 77 6" xfId="18260"/>
    <cellStyle name="20% - Accent6 77 7" xfId="18261"/>
    <cellStyle name="20% - Accent6 78" xfId="18262"/>
    <cellStyle name="20% - Accent6 79" xfId="18263"/>
    <cellStyle name="20% - Accent6 79 2" xfId="18264"/>
    <cellStyle name="20% - Accent6 79 3" xfId="18265"/>
    <cellStyle name="20% - Accent6 8" xfId="18266"/>
    <cellStyle name="20% - Accent6 8 10" xfId="18267"/>
    <cellStyle name="20% - Accent6 8 11" xfId="18268"/>
    <cellStyle name="20% - Accent6 8 2" xfId="18269"/>
    <cellStyle name="20% - Accent6 8 2 10" xfId="18270"/>
    <cellStyle name="20% - Accent6 8 2 2" xfId="18271"/>
    <cellStyle name="20% - Accent6 8 2 2 2" xfId="18272"/>
    <cellStyle name="20% - Accent6 8 2 2 2 2" xfId="18273"/>
    <cellStyle name="20% - Accent6 8 2 2 2 3" xfId="18274"/>
    <cellStyle name="20% - Accent6 8 2 2 2 4" xfId="18275"/>
    <cellStyle name="20% - Accent6 8 2 2 3" xfId="18276"/>
    <cellStyle name="20% - Accent6 8 2 2 3 2" xfId="18277"/>
    <cellStyle name="20% - Accent6 8 2 2 3 3" xfId="18278"/>
    <cellStyle name="20% - Accent6 8 2 2 4" xfId="18279"/>
    <cellStyle name="20% - Accent6 8 2 2 4 2" xfId="18280"/>
    <cellStyle name="20% - Accent6 8 2 2 5" xfId="18281"/>
    <cellStyle name="20% - Accent6 8 2 2 6" xfId="18282"/>
    <cellStyle name="20% - Accent6 8 2 2 7" xfId="18283"/>
    <cellStyle name="20% - Accent6 8 2 3" xfId="18284"/>
    <cellStyle name="20% - Accent6 8 2 3 2" xfId="18285"/>
    <cellStyle name="20% - Accent6 8 2 3 2 2" xfId="18286"/>
    <cellStyle name="20% - Accent6 8 2 3 2 3" xfId="18287"/>
    <cellStyle name="20% - Accent6 8 2 3 2 4" xfId="18288"/>
    <cellStyle name="20% - Accent6 8 2 3 3" xfId="18289"/>
    <cellStyle name="20% - Accent6 8 2 3 3 2" xfId="18290"/>
    <cellStyle name="20% - Accent6 8 2 3 3 3" xfId="18291"/>
    <cellStyle name="20% - Accent6 8 2 3 4" xfId="18292"/>
    <cellStyle name="20% - Accent6 8 2 3 4 2" xfId="18293"/>
    <cellStyle name="20% - Accent6 8 2 3 5" xfId="18294"/>
    <cellStyle name="20% - Accent6 8 2 3 6" xfId="18295"/>
    <cellStyle name="20% - Accent6 8 2 3 7" xfId="18296"/>
    <cellStyle name="20% - Accent6 8 2 4" xfId="18297"/>
    <cellStyle name="20% - Accent6 8 2 4 2" xfId="18298"/>
    <cellStyle name="20% - Accent6 8 2 4 2 2" xfId="18299"/>
    <cellStyle name="20% - Accent6 8 2 4 2 3" xfId="18300"/>
    <cellStyle name="20% - Accent6 8 2 4 2 4" xfId="18301"/>
    <cellStyle name="20% - Accent6 8 2 4 3" xfId="18302"/>
    <cellStyle name="20% - Accent6 8 2 4 3 2" xfId="18303"/>
    <cellStyle name="20% - Accent6 8 2 4 3 3" xfId="18304"/>
    <cellStyle name="20% - Accent6 8 2 4 4" xfId="18305"/>
    <cellStyle name="20% - Accent6 8 2 4 4 2" xfId="18306"/>
    <cellStyle name="20% - Accent6 8 2 4 5" xfId="18307"/>
    <cellStyle name="20% - Accent6 8 2 4 6" xfId="18308"/>
    <cellStyle name="20% - Accent6 8 2 4 7" xfId="18309"/>
    <cellStyle name="20% - Accent6 8 2 5" xfId="18310"/>
    <cellStyle name="20% - Accent6 8 2 5 2" xfId="18311"/>
    <cellStyle name="20% - Accent6 8 2 5 3" xfId="18312"/>
    <cellStyle name="20% - Accent6 8 2 5 4" xfId="18313"/>
    <cellStyle name="20% - Accent6 8 2 6" xfId="18314"/>
    <cellStyle name="20% - Accent6 8 2 6 2" xfId="18315"/>
    <cellStyle name="20% - Accent6 8 2 6 3" xfId="18316"/>
    <cellStyle name="20% - Accent6 8 2 7" xfId="18317"/>
    <cellStyle name="20% - Accent6 8 2 7 2" xfId="18318"/>
    <cellStyle name="20% - Accent6 8 2 8" xfId="18319"/>
    <cellStyle name="20% - Accent6 8 2 9" xfId="18320"/>
    <cellStyle name="20% - Accent6 8 3" xfId="18321"/>
    <cellStyle name="20% - Accent6 8 3 2" xfId="18322"/>
    <cellStyle name="20% - Accent6 8 3 2 2" xfId="18323"/>
    <cellStyle name="20% - Accent6 8 3 2 3" xfId="18324"/>
    <cellStyle name="20% - Accent6 8 3 2 4" xfId="18325"/>
    <cellStyle name="20% - Accent6 8 3 3" xfId="18326"/>
    <cellStyle name="20% - Accent6 8 3 3 2" xfId="18327"/>
    <cellStyle name="20% - Accent6 8 3 3 3" xfId="18328"/>
    <cellStyle name="20% - Accent6 8 3 4" xfId="18329"/>
    <cellStyle name="20% - Accent6 8 3 4 2" xfId="18330"/>
    <cellStyle name="20% - Accent6 8 3 5" xfId="18331"/>
    <cellStyle name="20% - Accent6 8 3 6" xfId="18332"/>
    <cellStyle name="20% - Accent6 8 3 7" xfId="18333"/>
    <cellStyle name="20% - Accent6 8 4" xfId="18334"/>
    <cellStyle name="20% - Accent6 8 4 2" xfId="18335"/>
    <cellStyle name="20% - Accent6 8 4 2 2" xfId="18336"/>
    <cellStyle name="20% - Accent6 8 4 2 3" xfId="18337"/>
    <cellStyle name="20% - Accent6 8 4 2 4" xfId="18338"/>
    <cellStyle name="20% - Accent6 8 4 3" xfId="18339"/>
    <cellStyle name="20% - Accent6 8 4 3 2" xfId="18340"/>
    <cellStyle name="20% - Accent6 8 4 3 3" xfId="18341"/>
    <cellStyle name="20% - Accent6 8 4 4" xfId="18342"/>
    <cellStyle name="20% - Accent6 8 4 4 2" xfId="18343"/>
    <cellStyle name="20% - Accent6 8 4 5" xfId="18344"/>
    <cellStyle name="20% - Accent6 8 4 6" xfId="18345"/>
    <cellStyle name="20% - Accent6 8 4 7" xfId="18346"/>
    <cellStyle name="20% - Accent6 8 5" xfId="18347"/>
    <cellStyle name="20% - Accent6 8 5 2" xfId="18348"/>
    <cellStyle name="20% - Accent6 8 5 2 2" xfId="18349"/>
    <cellStyle name="20% - Accent6 8 5 2 3" xfId="18350"/>
    <cellStyle name="20% - Accent6 8 5 2 4" xfId="18351"/>
    <cellStyle name="20% - Accent6 8 5 3" xfId="18352"/>
    <cellStyle name="20% - Accent6 8 5 3 2" xfId="18353"/>
    <cellStyle name="20% - Accent6 8 5 3 3" xfId="18354"/>
    <cellStyle name="20% - Accent6 8 5 4" xfId="18355"/>
    <cellStyle name="20% - Accent6 8 5 4 2" xfId="18356"/>
    <cellStyle name="20% - Accent6 8 5 5" xfId="18357"/>
    <cellStyle name="20% - Accent6 8 5 6" xfId="18358"/>
    <cellStyle name="20% - Accent6 8 5 7" xfId="18359"/>
    <cellStyle name="20% - Accent6 8 6" xfId="18360"/>
    <cellStyle name="20% - Accent6 8 6 2" xfId="18361"/>
    <cellStyle name="20% - Accent6 8 6 3" xfId="18362"/>
    <cellStyle name="20% - Accent6 8 6 4" xfId="18363"/>
    <cellStyle name="20% - Accent6 8 7" xfId="18364"/>
    <cellStyle name="20% - Accent6 8 7 2" xfId="18365"/>
    <cellStyle name="20% - Accent6 8 7 3" xfId="18366"/>
    <cellStyle name="20% - Accent6 8 8" xfId="18367"/>
    <cellStyle name="20% - Accent6 8 8 2" xfId="18368"/>
    <cellStyle name="20% - Accent6 8 9" xfId="18369"/>
    <cellStyle name="20% - Accent6 80" xfId="18370"/>
    <cellStyle name="20% - Accent6 80 2" xfId="18371"/>
    <cellStyle name="20% - Accent6 80 3" xfId="18372"/>
    <cellStyle name="20% - Accent6 81" xfId="18373"/>
    <cellStyle name="20% - Accent6 81 2" xfId="18374"/>
    <cellStyle name="20% - Accent6 82" xfId="18375"/>
    <cellStyle name="20% - Accent6 83" xfId="18376"/>
    <cellStyle name="20% - Accent6 9" xfId="18377"/>
    <cellStyle name="20% - Accent6 9 10" xfId="18378"/>
    <cellStyle name="20% - Accent6 9 2" xfId="18379"/>
    <cellStyle name="20% - Accent6 9 2 2" xfId="18380"/>
    <cellStyle name="20% - Accent6 9 2 2 2" xfId="18381"/>
    <cellStyle name="20% - Accent6 9 2 2 3" xfId="18382"/>
    <cellStyle name="20% - Accent6 9 2 2 4" xfId="18383"/>
    <cellStyle name="20% - Accent6 9 2 3" xfId="18384"/>
    <cellStyle name="20% - Accent6 9 2 3 2" xfId="18385"/>
    <cellStyle name="20% - Accent6 9 2 3 3" xfId="18386"/>
    <cellStyle name="20% - Accent6 9 2 4" xfId="18387"/>
    <cellStyle name="20% - Accent6 9 2 4 2" xfId="18388"/>
    <cellStyle name="20% - Accent6 9 2 5" xfId="18389"/>
    <cellStyle name="20% - Accent6 9 2 6" xfId="18390"/>
    <cellStyle name="20% - Accent6 9 2 7" xfId="18391"/>
    <cellStyle name="20% - Accent6 9 3" xfId="18392"/>
    <cellStyle name="20% - Accent6 9 3 2" xfId="18393"/>
    <cellStyle name="20% - Accent6 9 3 2 2" xfId="18394"/>
    <cellStyle name="20% - Accent6 9 3 2 3" xfId="18395"/>
    <cellStyle name="20% - Accent6 9 3 2 4" xfId="18396"/>
    <cellStyle name="20% - Accent6 9 3 3" xfId="18397"/>
    <cellStyle name="20% - Accent6 9 3 3 2" xfId="18398"/>
    <cellStyle name="20% - Accent6 9 3 3 3" xfId="18399"/>
    <cellStyle name="20% - Accent6 9 3 4" xfId="18400"/>
    <cellStyle name="20% - Accent6 9 3 4 2" xfId="18401"/>
    <cellStyle name="20% - Accent6 9 3 5" xfId="18402"/>
    <cellStyle name="20% - Accent6 9 3 6" xfId="18403"/>
    <cellStyle name="20% - Accent6 9 3 7" xfId="18404"/>
    <cellStyle name="20% - Accent6 9 4" xfId="18405"/>
    <cellStyle name="20% - Accent6 9 4 2" xfId="18406"/>
    <cellStyle name="20% - Accent6 9 4 2 2" xfId="18407"/>
    <cellStyle name="20% - Accent6 9 4 2 3" xfId="18408"/>
    <cellStyle name="20% - Accent6 9 4 2 4" xfId="18409"/>
    <cellStyle name="20% - Accent6 9 4 3" xfId="18410"/>
    <cellStyle name="20% - Accent6 9 4 3 2" xfId="18411"/>
    <cellStyle name="20% - Accent6 9 4 3 3" xfId="18412"/>
    <cellStyle name="20% - Accent6 9 4 4" xfId="18413"/>
    <cellStyle name="20% - Accent6 9 4 4 2" xfId="18414"/>
    <cellStyle name="20% - Accent6 9 4 5" xfId="18415"/>
    <cellStyle name="20% - Accent6 9 4 6" xfId="18416"/>
    <cellStyle name="20% - Accent6 9 4 7" xfId="18417"/>
    <cellStyle name="20% - Accent6 9 5" xfId="18418"/>
    <cellStyle name="20% - Accent6 9 5 2" xfId="18419"/>
    <cellStyle name="20% - Accent6 9 5 3" xfId="18420"/>
    <cellStyle name="20% - Accent6 9 6" xfId="18421"/>
    <cellStyle name="20% - Accent6 9 6 2" xfId="18422"/>
    <cellStyle name="20% - Accent6 9 6 3" xfId="18423"/>
    <cellStyle name="20% - Accent6 9 7" xfId="18424"/>
    <cellStyle name="20% - Accent6 9 7 2" xfId="18425"/>
    <cellStyle name="20% - Accent6 9 8" xfId="18426"/>
    <cellStyle name="20% - Accent6 9 9" xfId="18427"/>
    <cellStyle name="204,876,000" xfId="18428"/>
    <cellStyle name="40% - Accent1 10" xfId="18429"/>
    <cellStyle name="40% - Accent1 10 2" xfId="18430"/>
    <cellStyle name="40% - Accent1 10 2 2" xfId="18431"/>
    <cellStyle name="40% - Accent1 10 2 3" xfId="18432"/>
    <cellStyle name="40% - Accent1 10 2 4" xfId="18433"/>
    <cellStyle name="40% - Accent1 10 3" xfId="18434"/>
    <cellStyle name="40% - Accent1 10 3 2" xfId="18435"/>
    <cellStyle name="40% - Accent1 10 3 3" xfId="18436"/>
    <cellStyle name="40% - Accent1 10 4" xfId="18437"/>
    <cellStyle name="40% - Accent1 10 4 2" xfId="18438"/>
    <cellStyle name="40% - Accent1 10 5" xfId="18439"/>
    <cellStyle name="40% - Accent1 10 6" xfId="18440"/>
    <cellStyle name="40% - Accent1 10 7" xfId="18441"/>
    <cellStyle name="40% - Accent1 11" xfId="18442"/>
    <cellStyle name="40% - Accent1 11 2" xfId="18443"/>
    <cellStyle name="40% - Accent1 11 2 2" xfId="18444"/>
    <cellStyle name="40% - Accent1 11 2 3" xfId="18445"/>
    <cellStyle name="40% - Accent1 11 2 4" xfId="18446"/>
    <cellStyle name="40% - Accent1 11 3" xfId="18447"/>
    <cellStyle name="40% - Accent1 11 3 2" xfId="18448"/>
    <cellStyle name="40% - Accent1 11 3 3" xfId="18449"/>
    <cellStyle name="40% - Accent1 11 4" xfId="18450"/>
    <cellStyle name="40% - Accent1 11 4 2" xfId="18451"/>
    <cellStyle name="40% - Accent1 11 5" xfId="18452"/>
    <cellStyle name="40% - Accent1 11 6" xfId="18453"/>
    <cellStyle name="40% - Accent1 11 7" xfId="18454"/>
    <cellStyle name="40% - Accent1 12" xfId="18455"/>
    <cellStyle name="40% - Accent1 12 2" xfId="18456"/>
    <cellStyle name="40% - Accent1 12 2 2" xfId="18457"/>
    <cellStyle name="40% - Accent1 12 2 3" xfId="18458"/>
    <cellStyle name="40% - Accent1 12 2 4" xfId="18459"/>
    <cellStyle name="40% - Accent1 12 3" xfId="18460"/>
    <cellStyle name="40% - Accent1 12 3 2" xfId="18461"/>
    <cellStyle name="40% - Accent1 12 3 3" xfId="18462"/>
    <cellStyle name="40% - Accent1 12 4" xfId="18463"/>
    <cellStyle name="40% - Accent1 12 4 2" xfId="18464"/>
    <cellStyle name="40% - Accent1 12 5" xfId="18465"/>
    <cellStyle name="40% - Accent1 12 6" xfId="18466"/>
    <cellStyle name="40% - Accent1 12 7" xfId="18467"/>
    <cellStyle name="40% - Accent1 13" xfId="18468"/>
    <cellStyle name="40% - Accent1 13 2" xfId="18469"/>
    <cellStyle name="40% - Accent1 13 3" xfId="18470"/>
    <cellStyle name="40% - Accent1 13 4" xfId="18471"/>
    <cellStyle name="40% - Accent1 14" xfId="18472"/>
    <cellStyle name="40% - Accent1 14 10" xfId="18473"/>
    <cellStyle name="40% - Accent1 14 2" xfId="18474"/>
    <cellStyle name="40% - Accent1 14 2 2" xfId="18475"/>
    <cellStyle name="40% - Accent1 14 2 2 2" xfId="18476"/>
    <cellStyle name="40% - Accent1 14 2 2 2 2" xfId="18477"/>
    <cellStyle name="40% - Accent1 14 2 2 2 2 2" xfId="18478"/>
    <cellStyle name="40% - Accent1 14 2 2 2 2 2 2" xfId="18479"/>
    <cellStyle name="40% - Accent1 14 2 2 2 3" xfId="18480"/>
    <cellStyle name="40% - Accent1 14 2 2 2 3 2" xfId="18481"/>
    <cellStyle name="40% - Accent1 14 2 2 3" xfId="18482"/>
    <cellStyle name="40% - Accent1 14 2 2 3 2" xfId="18483"/>
    <cellStyle name="40% - Accent1 14 2 2 3 2 2" xfId="18484"/>
    <cellStyle name="40% - Accent1 14 2 2 4" xfId="18485"/>
    <cellStyle name="40% - Accent1 14 2 2 4 2" xfId="18486"/>
    <cellStyle name="40% - Accent1 14 2 2 5" xfId="18487"/>
    <cellStyle name="40% - Accent1 14 2 2 6" xfId="18488"/>
    <cellStyle name="40% - Accent1 14 2 2 7" xfId="18489"/>
    <cellStyle name="40% - Accent1 14 2 3" xfId="18490"/>
    <cellStyle name="40% - Accent1 14 2 3 2" xfId="18491"/>
    <cellStyle name="40% - Accent1 14 2 3 2 2" xfId="18492"/>
    <cellStyle name="40% - Accent1 14 2 3 2 2 2" xfId="18493"/>
    <cellStyle name="40% - Accent1 14 2 3 3" xfId="18494"/>
    <cellStyle name="40% - Accent1 14 2 3 3 2" xfId="18495"/>
    <cellStyle name="40% - Accent1 14 2 3 4" xfId="18496"/>
    <cellStyle name="40% - Accent1 14 2 3 5" xfId="18497"/>
    <cellStyle name="40% - Accent1 14 2 3 6" xfId="18498"/>
    <cellStyle name="40% - Accent1 14 2 4" xfId="18499"/>
    <cellStyle name="40% - Accent1 14 2 4 2" xfId="18500"/>
    <cellStyle name="40% - Accent1 14 2 4 2 2" xfId="18501"/>
    <cellStyle name="40% - Accent1 14 2 4 3" xfId="18502"/>
    <cellStyle name="40% - Accent1 14 2 5" xfId="18503"/>
    <cellStyle name="40% - Accent1 14 2 5 2" xfId="18504"/>
    <cellStyle name="40% - Accent1 14 2 6" xfId="18505"/>
    <cellStyle name="40% - Accent1 14 2 7" xfId="18506"/>
    <cellStyle name="40% - Accent1 14 2 8" xfId="18507"/>
    <cellStyle name="40% - Accent1 14 2 9" xfId="18508"/>
    <cellStyle name="40% - Accent1 14 3" xfId="18509"/>
    <cellStyle name="40% - Accent1 14 3 2" xfId="18510"/>
    <cellStyle name="40% - Accent1 14 3 2 2" xfId="18511"/>
    <cellStyle name="40% - Accent1 14 3 2 2 2" xfId="18512"/>
    <cellStyle name="40% - Accent1 14 3 2 2 2 2" xfId="18513"/>
    <cellStyle name="40% - Accent1 14 3 2 3" xfId="18514"/>
    <cellStyle name="40% - Accent1 14 3 2 3 2" xfId="18515"/>
    <cellStyle name="40% - Accent1 14 3 2 4" xfId="18516"/>
    <cellStyle name="40% - Accent1 14 3 2 5" xfId="18517"/>
    <cellStyle name="40% - Accent1 14 3 2 6" xfId="18518"/>
    <cellStyle name="40% - Accent1 14 3 3" xfId="18519"/>
    <cellStyle name="40% - Accent1 14 3 3 2" xfId="18520"/>
    <cellStyle name="40% - Accent1 14 3 3 2 2" xfId="18521"/>
    <cellStyle name="40% - Accent1 14 3 3 3" xfId="18522"/>
    <cellStyle name="40% - Accent1 14 3 3 4" xfId="18523"/>
    <cellStyle name="40% - Accent1 14 3 3 5" xfId="18524"/>
    <cellStyle name="40% - Accent1 14 3 4" xfId="18525"/>
    <cellStyle name="40% - Accent1 14 3 4 2" xfId="18526"/>
    <cellStyle name="40% - Accent1 14 3 4 3" xfId="18527"/>
    <cellStyle name="40% - Accent1 14 3 5" xfId="18528"/>
    <cellStyle name="40% - Accent1 14 3 6" xfId="18529"/>
    <cellStyle name="40% - Accent1 14 3 7" xfId="18530"/>
    <cellStyle name="40% - Accent1 14 3 8" xfId="18531"/>
    <cellStyle name="40% - Accent1 14 4" xfId="18532"/>
    <cellStyle name="40% - Accent1 14 4 2" xfId="18533"/>
    <cellStyle name="40% - Accent1 14 4 2 2" xfId="18534"/>
    <cellStyle name="40% - Accent1 14 4 2 2 2" xfId="18535"/>
    <cellStyle name="40% - Accent1 14 4 3" xfId="18536"/>
    <cellStyle name="40% - Accent1 14 4 3 2" xfId="18537"/>
    <cellStyle name="40% - Accent1 14 4 4" xfId="18538"/>
    <cellStyle name="40% - Accent1 14 4 5" xfId="18539"/>
    <cellStyle name="40% - Accent1 14 4 6" xfId="18540"/>
    <cellStyle name="40% - Accent1 14 5" xfId="18541"/>
    <cellStyle name="40% - Accent1 14 5 2" xfId="18542"/>
    <cellStyle name="40% - Accent1 14 5 2 2" xfId="18543"/>
    <cellStyle name="40% - Accent1 14 5 3" xfId="18544"/>
    <cellStyle name="40% - Accent1 14 5 4" xfId="18545"/>
    <cellStyle name="40% - Accent1 14 5 5" xfId="18546"/>
    <cellStyle name="40% - Accent1 14 6" xfId="18547"/>
    <cellStyle name="40% - Accent1 14 6 2" xfId="18548"/>
    <cellStyle name="40% - Accent1 14 6 3" xfId="18549"/>
    <cellStyle name="40% - Accent1 14 7" xfId="18550"/>
    <cellStyle name="40% - Accent1 14 8" xfId="18551"/>
    <cellStyle name="40% - Accent1 14 9" xfId="18552"/>
    <cellStyle name="40% - Accent1 15" xfId="18553"/>
    <cellStyle name="40% - Accent1 15 2" xfId="18554"/>
    <cellStyle name="40% - Accent1 15 2 2" xfId="18555"/>
    <cellStyle name="40% - Accent1 15 2 3" xfId="18556"/>
    <cellStyle name="40% - Accent1 15 2 4" xfId="18557"/>
    <cellStyle name="40% - Accent1 15 3" xfId="18558"/>
    <cellStyle name="40% - Accent1 15 3 2" xfId="18559"/>
    <cellStyle name="40% - Accent1 15 3 3" xfId="18560"/>
    <cellStyle name="40% - Accent1 15 4" xfId="18561"/>
    <cellStyle name="40% - Accent1 15 4 2" xfId="18562"/>
    <cellStyle name="40% - Accent1 15 5" xfId="18563"/>
    <cellStyle name="40% - Accent1 15 6" xfId="18564"/>
    <cellStyle name="40% - Accent1 15 7" xfId="18565"/>
    <cellStyle name="40% - Accent1 16" xfId="18566"/>
    <cellStyle name="40% - Accent1 16 2" xfId="18567"/>
    <cellStyle name="40% - Accent1 16 2 2" xfId="18568"/>
    <cellStyle name="40% - Accent1 16 2 3" xfId="18569"/>
    <cellStyle name="40% - Accent1 16 2 4" xfId="18570"/>
    <cellStyle name="40% - Accent1 16 3" xfId="18571"/>
    <cellStyle name="40% - Accent1 16 3 2" xfId="18572"/>
    <cellStyle name="40% - Accent1 16 3 3" xfId="18573"/>
    <cellStyle name="40% - Accent1 16 4" xfId="18574"/>
    <cellStyle name="40% - Accent1 16 4 2" xfId="18575"/>
    <cellStyle name="40% - Accent1 16 5" xfId="18576"/>
    <cellStyle name="40% - Accent1 16 6" xfId="18577"/>
    <cellStyle name="40% - Accent1 16 7" xfId="18578"/>
    <cellStyle name="40% - Accent1 17" xfId="18579"/>
    <cellStyle name="40% - Accent1 17 2" xfId="18580"/>
    <cellStyle name="40% - Accent1 17 2 2" xfId="18581"/>
    <cellStyle name="40% - Accent1 17 2 3" xfId="18582"/>
    <cellStyle name="40% - Accent1 17 2 4" xfId="18583"/>
    <cellStyle name="40% - Accent1 17 3" xfId="18584"/>
    <cellStyle name="40% - Accent1 17 3 2" xfId="18585"/>
    <cellStyle name="40% - Accent1 17 3 3" xfId="18586"/>
    <cellStyle name="40% - Accent1 17 4" xfId="18587"/>
    <cellStyle name="40% - Accent1 17 4 2" xfId="18588"/>
    <cellStyle name="40% - Accent1 17 5" xfId="18589"/>
    <cellStyle name="40% - Accent1 17 6" xfId="18590"/>
    <cellStyle name="40% - Accent1 17 7" xfId="18591"/>
    <cellStyle name="40% - Accent1 18" xfId="18592"/>
    <cellStyle name="40% - Accent1 18 2" xfId="18593"/>
    <cellStyle name="40% - Accent1 18 2 2" xfId="18594"/>
    <cellStyle name="40% - Accent1 18 2 3" xfId="18595"/>
    <cellStyle name="40% - Accent1 18 2 4" xfId="18596"/>
    <cellStyle name="40% - Accent1 18 3" xfId="18597"/>
    <cellStyle name="40% - Accent1 18 3 2" xfId="18598"/>
    <cellStyle name="40% - Accent1 18 3 3" xfId="18599"/>
    <cellStyle name="40% - Accent1 18 4" xfId="18600"/>
    <cellStyle name="40% - Accent1 18 4 2" xfId="18601"/>
    <cellStyle name="40% - Accent1 18 5" xfId="18602"/>
    <cellStyle name="40% - Accent1 18 6" xfId="18603"/>
    <cellStyle name="40% - Accent1 18 7" xfId="18604"/>
    <cellStyle name="40% - Accent1 19" xfId="18605"/>
    <cellStyle name="40% - Accent1 19 2" xfId="18606"/>
    <cellStyle name="40% - Accent1 19 2 2" xfId="18607"/>
    <cellStyle name="40% - Accent1 19 2 3" xfId="18608"/>
    <cellStyle name="40% - Accent1 19 2 4" xfId="18609"/>
    <cellStyle name="40% - Accent1 19 3" xfId="18610"/>
    <cellStyle name="40% - Accent1 19 3 2" xfId="18611"/>
    <cellStyle name="40% - Accent1 19 3 3" xfId="18612"/>
    <cellStyle name="40% - Accent1 19 4" xfId="18613"/>
    <cellStyle name="40% - Accent1 19 4 2" xfId="18614"/>
    <cellStyle name="40% - Accent1 19 5" xfId="18615"/>
    <cellStyle name="40% - Accent1 19 6" xfId="18616"/>
    <cellStyle name="40% - Accent1 19 7" xfId="18617"/>
    <cellStyle name="40% - Accent1 2" xfId="18618"/>
    <cellStyle name="40% - Accent1 2 10" xfId="18619"/>
    <cellStyle name="40% - Accent1 2 10 2" xfId="18620"/>
    <cellStyle name="40% - Accent1 2 10 2 2" xfId="18621"/>
    <cellStyle name="40% - Accent1 2 10 2 2 2" xfId="18622"/>
    <cellStyle name="40% - Accent1 2 10 2 2 2 2" xfId="18623"/>
    <cellStyle name="40% - Accent1 2 10 2 2 2 2 2" xfId="18624"/>
    <cellStyle name="40% - Accent1 2 10 2 2 2 2 2 2" xfId="18625"/>
    <cellStyle name="40% - Accent1 2 10 2 2 2 3" xfId="18626"/>
    <cellStyle name="40% - Accent1 2 10 2 2 2 3 2" xfId="18627"/>
    <cellStyle name="40% - Accent1 2 10 2 2 3" xfId="18628"/>
    <cellStyle name="40% - Accent1 2 10 2 2 3 2" xfId="18629"/>
    <cellStyle name="40% - Accent1 2 10 2 2 3 2 2" xfId="18630"/>
    <cellStyle name="40% - Accent1 2 10 2 2 4" xfId="18631"/>
    <cellStyle name="40% - Accent1 2 10 2 2 4 2" xfId="18632"/>
    <cellStyle name="40% - Accent1 2 10 2 3" xfId="18633"/>
    <cellStyle name="40% - Accent1 2 10 2 3 2" xfId="18634"/>
    <cellStyle name="40% - Accent1 2 10 2 3 2 2" xfId="18635"/>
    <cellStyle name="40% - Accent1 2 10 2 3 2 2 2" xfId="18636"/>
    <cellStyle name="40% - Accent1 2 10 2 3 3" xfId="18637"/>
    <cellStyle name="40% - Accent1 2 10 2 3 3 2" xfId="18638"/>
    <cellStyle name="40% - Accent1 2 10 2 4" xfId="18639"/>
    <cellStyle name="40% - Accent1 2 10 2 4 2" xfId="18640"/>
    <cellStyle name="40% - Accent1 2 10 2 4 2 2" xfId="18641"/>
    <cellStyle name="40% - Accent1 2 10 2 5" xfId="18642"/>
    <cellStyle name="40% - Accent1 2 10 2 5 2" xfId="18643"/>
    <cellStyle name="40% - Accent1 2 10 3" xfId="18644"/>
    <cellStyle name="40% - Accent1 2 10 3 2" xfId="18645"/>
    <cellStyle name="40% - Accent1 2 10 3 2 2" xfId="18646"/>
    <cellStyle name="40% - Accent1 2 10 3 2 2 2" xfId="18647"/>
    <cellStyle name="40% - Accent1 2 10 3 2 2 2 2" xfId="18648"/>
    <cellStyle name="40% - Accent1 2 10 3 2 3" xfId="18649"/>
    <cellStyle name="40% - Accent1 2 10 3 2 3 2" xfId="18650"/>
    <cellStyle name="40% - Accent1 2 10 3 3" xfId="18651"/>
    <cellStyle name="40% - Accent1 2 10 3 3 2" xfId="18652"/>
    <cellStyle name="40% - Accent1 2 10 3 3 2 2" xfId="18653"/>
    <cellStyle name="40% - Accent1 2 10 3 4" xfId="18654"/>
    <cellStyle name="40% - Accent1 2 10 3 4 2" xfId="18655"/>
    <cellStyle name="40% - Accent1 2 10 4" xfId="18656"/>
    <cellStyle name="40% - Accent1 2 10 4 2" xfId="18657"/>
    <cellStyle name="40% - Accent1 2 10 4 2 2" xfId="18658"/>
    <cellStyle name="40% - Accent1 2 10 4 2 2 2" xfId="18659"/>
    <cellStyle name="40% - Accent1 2 10 4 3" xfId="18660"/>
    <cellStyle name="40% - Accent1 2 10 4 3 2" xfId="18661"/>
    <cellStyle name="40% - Accent1 2 10 5" xfId="18662"/>
    <cellStyle name="40% - Accent1 2 10 5 2" xfId="18663"/>
    <cellStyle name="40% - Accent1 2 10 5 2 2" xfId="18664"/>
    <cellStyle name="40% - Accent1 2 10 6" xfId="18665"/>
    <cellStyle name="40% - Accent1 2 10 6 2" xfId="18666"/>
    <cellStyle name="40% - Accent1 2 11" xfId="18667"/>
    <cellStyle name="40% - Accent1 2 11 2" xfId="18668"/>
    <cellStyle name="40% - Accent1 2 11 2 2" xfId="18669"/>
    <cellStyle name="40% - Accent1 2 11 2 2 2" xfId="18670"/>
    <cellStyle name="40% - Accent1 2 11 2 2 2 2" xfId="18671"/>
    <cellStyle name="40% - Accent1 2 11 2 2 2 2 2" xfId="18672"/>
    <cellStyle name="40% - Accent1 2 11 2 2 2 2 2 2" xfId="18673"/>
    <cellStyle name="40% - Accent1 2 11 2 2 2 3" xfId="18674"/>
    <cellStyle name="40% - Accent1 2 11 2 2 2 3 2" xfId="18675"/>
    <cellStyle name="40% - Accent1 2 11 2 2 3" xfId="18676"/>
    <cellStyle name="40% - Accent1 2 11 2 2 3 2" xfId="18677"/>
    <cellStyle name="40% - Accent1 2 11 2 2 3 2 2" xfId="18678"/>
    <cellStyle name="40% - Accent1 2 11 2 2 4" xfId="18679"/>
    <cellStyle name="40% - Accent1 2 11 2 2 4 2" xfId="18680"/>
    <cellStyle name="40% - Accent1 2 11 2 3" xfId="18681"/>
    <cellStyle name="40% - Accent1 2 11 2 3 2" xfId="18682"/>
    <cellStyle name="40% - Accent1 2 11 2 3 2 2" xfId="18683"/>
    <cellStyle name="40% - Accent1 2 11 2 3 2 2 2" xfId="18684"/>
    <cellStyle name="40% - Accent1 2 11 2 3 3" xfId="18685"/>
    <cellStyle name="40% - Accent1 2 11 2 3 3 2" xfId="18686"/>
    <cellStyle name="40% - Accent1 2 11 2 4" xfId="18687"/>
    <cellStyle name="40% - Accent1 2 11 2 4 2" xfId="18688"/>
    <cellStyle name="40% - Accent1 2 11 2 4 2 2" xfId="18689"/>
    <cellStyle name="40% - Accent1 2 11 2 5" xfId="18690"/>
    <cellStyle name="40% - Accent1 2 11 2 5 2" xfId="18691"/>
    <cellStyle name="40% - Accent1 2 11 3" xfId="18692"/>
    <cellStyle name="40% - Accent1 2 11 3 2" xfId="18693"/>
    <cellStyle name="40% - Accent1 2 11 3 2 2" xfId="18694"/>
    <cellStyle name="40% - Accent1 2 11 3 2 2 2" xfId="18695"/>
    <cellStyle name="40% - Accent1 2 11 3 2 2 2 2" xfId="18696"/>
    <cellStyle name="40% - Accent1 2 11 3 2 3" xfId="18697"/>
    <cellStyle name="40% - Accent1 2 11 3 2 3 2" xfId="18698"/>
    <cellStyle name="40% - Accent1 2 11 3 3" xfId="18699"/>
    <cellStyle name="40% - Accent1 2 11 3 3 2" xfId="18700"/>
    <cellStyle name="40% - Accent1 2 11 3 3 2 2" xfId="18701"/>
    <cellStyle name="40% - Accent1 2 11 3 4" xfId="18702"/>
    <cellStyle name="40% - Accent1 2 11 3 4 2" xfId="18703"/>
    <cellStyle name="40% - Accent1 2 11 4" xfId="18704"/>
    <cellStyle name="40% - Accent1 2 11 4 2" xfId="18705"/>
    <cellStyle name="40% - Accent1 2 11 4 2 2" xfId="18706"/>
    <cellStyle name="40% - Accent1 2 11 4 2 2 2" xfId="18707"/>
    <cellStyle name="40% - Accent1 2 11 4 3" xfId="18708"/>
    <cellStyle name="40% - Accent1 2 11 4 3 2" xfId="18709"/>
    <cellStyle name="40% - Accent1 2 11 5" xfId="18710"/>
    <cellStyle name="40% - Accent1 2 11 5 2" xfId="18711"/>
    <cellStyle name="40% - Accent1 2 11 5 2 2" xfId="18712"/>
    <cellStyle name="40% - Accent1 2 11 6" xfId="18713"/>
    <cellStyle name="40% - Accent1 2 11 6 2" xfId="18714"/>
    <cellStyle name="40% - Accent1 2 12" xfId="18715"/>
    <cellStyle name="40% - Accent1 2 12 2" xfId="18716"/>
    <cellStyle name="40% - Accent1 2 12 2 2" xfId="18717"/>
    <cellStyle name="40% - Accent1 2 12 2 2 2" xfId="18718"/>
    <cellStyle name="40% - Accent1 2 12 2 2 2 2" xfId="18719"/>
    <cellStyle name="40% - Accent1 2 12 2 2 2 2 2" xfId="18720"/>
    <cellStyle name="40% - Accent1 2 12 2 2 2 2 2 2" xfId="18721"/>
    <cellStyle name="40% - Accent1 2 12 2 2 2 3" xfId="18722"/>
    <cellStyle name="40% - Accent1 2 12 2 2 2 3 2" xfId="18723"/>
    <cellStyle name="40% - Accent1 2 12 2 2 3" xfId="18724"/>
    <cellStyle name="40% - Accent1 2 12 2 2 3 2" xfId="18725"/>
    <cellStyle name="40% - Accent1 2 12 2 2 3 2 2" xfId="18726"/>
    <cellStyle name="40% - Accent1 2 12 2 2 4" xfId="18727"/>
    <cellStyle name="40% - Accent1 2 12 2 2 4 2" xfId="18728"/>
    <cellStyle name="40% - Accent1 2 12 2 3" xfId="18729"/>
    <cellStyle name="40% - Accent1 2 12 2 3 2" xfId="18730"/>
    <cellStyle name="40% - Accent1 2 12 2 3 2 2" xfId="18731"/>
    <cellStyle name="40% - Accent1 2 12 2 3 2 2 2" xfId="18732"/>
    <cellStyle name="40% - Accent1 2 12 2 3 3" xfId="18733"/>
    <cellStyle name="40% - Accent1 2 12 2 3 3 2" xfId="18734"/>
    <cellStyle name="40% - Accent1 2 12 2 4" xfId="18735"/>
    <cellStyle name="40% - Accent1 2 12 2 4 2" xfId="18736"/>
    <cellStyle name="40% - Accent1 2 12 2 4 2 2" xfId="18737"/>
    <cellStyle name="40% - Accent1 2 12 2 5" xfId="18738"/>
    <cellStyle name="40% - Accent1 2 12 2 5 2" xfId="18739"/>
    <cellStyle name="40% - Accent1 2 12 3" xfId="18740"/>
    <cellStyle name="40% - Accent1 2 12 3 2" xfId="18741"/>
    <cellStyle name="40% - Accent1 2 12 3 2 2" xfId="18742"/>
    <cellStyle name="40% - Accent1 2 12 3 2 2 2" xfId="18743"/>
    <cellStyle name="40% - Accent1 2 12 3 2 2 2 2" xfId="18744"/>
    <cellStyle name="40% - Accent1 2 12 3 2 3" xfId="18745"/>
    <cellStyle name="40% - Accent1 2 12 3 2 3 2" xfId="18746"/>
    <cellStyle name="40% - Accent1 2 12 3 3" xfId="18747"/>
    <cellStyle name="40% - Accent1 2 12 3 3 2" xfId="18748"/>
    <cellStyle name="40% - Accent1 2 12 3 3 2 2" xfId="18749"/>
    <cellStyle name="40% - Accent1 2 12 3 4" xfId="18750"/>
    <cellStyle name="40% - Accent1 2 12 3 4 2" xfId="18751"/>
    <cellStyle name="40% - Accent1 2 12 4" xfId="18752"/>
    <cellStyle name="40% - Accent1 2 12 4 2" xfId="18753"/>
    <cellStyle name="40% - Accent1 2 12 4 2 2" xfId="18754"/>
    <cellStyle name="40% - Accent1 2 12 4 2 2 2" xfId="18755"/>
    <cellStyle name="40% - Accent1 2 12 4 3" xfId="18756"/>
    <cellStyle name="40% - Accent1 2 12 4 3 2" xfId="18757"/>
    <cellStyle name="40% - Accent1 2 12 5" xfId="18758"/>
    <cellStyle name="40% - Accent1 2 12 5 2" xfId="18759"/>
    <cellStyle name="40% - Accent1 2 12 5 2 2" xfId="18760"/>
    <cellStyle name="40% - Accent1 2 12 6" xfId="18761"/>
    <cellStyle name="40% - Accent1 2 12 6 2" xfId="18762"/>
    <cellStyle name="40% - Accent1 2 13" xfId="18763"/>
    <cellStyle name="40% - Accent1 2 13 2" xfId="18764"/>
    <cellStyle name="40% - Accent1 2 13 2 2" xfId="18765"/>
    <cellStyle name="40% - Accent1 2 13 2 2 2" xfId="18766"/>
    <cellStyle name="40% - Accent1 2 13 2 2 2 2" xfId="18767"/>
    <cellStyle name="40% - Accent1 2 13 2 2 2 2 2" xfId="18768"/>
    <cellStyle name="40% - Accent1 2 13 2 2 2 2 2 2" xfId="18769"/>
    <cellStyle name="40% - Accent1 2 13 2 2 2 3" xfId="18770"/>
    <cellStyle name="40% - Accent1 2 13 2 2 2 3 2" xfId="18771"/>
    <cellStyle name="40% - Accent1 2 13 2 2 3" xfId="18772"/>
    <cellStyle name="40% - Accent1 2 13 2 2 3 2" xfId="18773"/>
    <cellStyle name="40% - Accent1 2 13 2 2 3 2 2" xfId="18774"/>
    <cellStyle name="40% - Accent1 2 13 2 2 4" xfId="18775"/>
    <cellStyle name="40% - Accent1 2 13 2 2 4 2" xfId="18776"/>
    <cellStyle name="40% - Accent1 2 13 2 3" xfId="18777"/>
    <cellStyle name="40% - Accent1 2 13 2 3 2" xfId="18778"/>
    <cellStyle name="40% - Accent1 2 13 2 3 2 2" xfId="18779"/>
    <cellStyle name="40% - Accent1 2 13 2 3 2 2 2" xfId="18780"/>
    <cellStyle name="40% - Accent1 2 13 2 3 3" xfId="18781"/>
    <cellStyle name="40% - Accent1 2 13 2 3 3 2" xfId="18782"/>
    <cellStyle name="40% - Accent1 2 13 2 4" xfId="18783"/>
    <cellStyle name="40% - Accent1 2 13 2 4 2" xfId="18784"/>
    <cellStyle name="40% - Accent1 2 13 2 4 2 2" xfId="18785"/>
    <cellStyle name="40% - Accent1 2 13 2 5" xfId="18786"/>
    <cellStyle name="40% - Accent1 2 13 2 5 2" xfId="18787"/>
    <cellStyle name="40% - Accent1 2 13 3" xfId="18788"/>
    <cellStyle name="40% - Accent1 2 13 3 2" xfId="18789"/>
    <cellStyle name="40% - Accent1 2 13 3 2 2" xfId="18790"/>
    <cellStyle name="40% - Accent1 2 13 3 2 2 2" xfId="18791"/>
    <cellStyle name="40% - Accent1 2 13 3 2 2 2 2" xfId="18792"/>
    <cellStyle name="40% - Accent1 2 13 3 2 3" xfId="18793"/>
    <cellStyle name="40% - Accent1 2 13 3 2 3 2" xfId="18794"/>
    <cellStyle name="40% - Accent1 2 13 3 3" xfId="18795"/>
    <cellStyle name="40% - Accent1 2 13 3 3 2" xfId="18796"/>
    <cellStyle name="40% - Accent1 2 13 3 3 2 2" xfId="18797"/>
    <cellStyle name="40% - Accent1 2 13 3 4" xfId="18798"/>
    <cellStyle name="40% - Accent1 2 13 3 4 2" xfId="18799"/>
    <cellStyle name="40% - Accent1 2 13 4" xfId="18800"/>
    <cellStyle name="40% - Accent1 2 13 4 2" xfId="18801"/>
    <cellStyle name="40% - Accent1 2 13 4 2 2" xfId="18802"/>
    <cellStyle name="40% - Accent1 2 13 4 2 2 2" xfId="18803"/>
    <cellStyle name="40% - Accent1 2 13 4 3" xfId="18804"/>
    <cellStyle name="40% - Accent1 2 13 4 3 2" xfId="18805"/>
    <cellStyle name="40% - Accent1 2 13 5" xfId="18806"/>
    <cellStyle name="40% - Accent1 2 13 5 2" xfId="18807"/>
    <cellStyle name="40% - Accent1 2 13 5 2 2" xfId="18808"/>
    <cellStyle name="40% - Accent1 2 13 6" xfId="18809"/>
    <cellStyle name="40% - Accent1 2 13 6 2" xfId="18810"/>
    <cellStyle name="40% - Accent1 2 14" xfId="18811"/>
    <cellStyle name="40% - Accent1 2 14 2" xfId="18812"/>
    <cellStyle name="40% - Accent1 2 14 2 2" xfId="18813"/>
    <cellStyle name="40% - Accent1 2 14 2 2 2" xfId="18814"/>
    <cellStyle name="40% - Accent1 2 14 2 2 2 2" xfId="18815"/>
    <cellStyle name="40% - Accent1 2 14 2 2 2 2 2" xfId="18816"/>
    <cellStyle name="40% - Accent1 2 14 2 2 3" xfId="18817"/>
    <cellStyle name="40% - Accent1 2 14 2 2 3 2" xfId="18818"/>
    <cellStyle name="40% - Accent1 2 14 2 3" xfId="18819"/>
    <cellStyle name="40% - Accent1 2 14 2 3 2" xfId="18820"/>
    <cellStyle name="40% - Accent1 2 14 2 3 2 2" xfId="18821"/>
    <cellStyle name="40% - Accent1 2 14 2 4" xfId="18822"/>
    <cellStyle name="40% - Accent1 2 14 2 4 2" xfId="18823"/>
    <cellStyle name="40% - Accent1 2 14 3" xfId="18824"/>
    <cellStyle name="40% - Accent1 2 14 3 2" xfId="18825"/>
    <cellStyle name="40% - Accent1 2 14 3 2 2" xfId="18826"/>
    <cellStyle name="40% - Accent1 2 14 3 2 2 2" xfId="18827"/>
    <cellStyle name="40% - Accent1 2 14 3 3" xfId="18828"/>
    <cellStyle name="40% - Accent1 2 14 3 3 2" xfId="18829"/>
    <cellStyle name="40% - Accent1 2 14 4" xfId="18830"/>
    <cellStyle name="40% - Accent1 2 14 4 2" xfId="18831"/>
    <cellStyle name="40% - Accent1 2 14 4 2 2" xfId="18832"/>
    <cellStyle name="40% - Accent1 2 14 5" xfId="18833"/>
    <cellStyle name="40% - Accent1 2 14 5 2" xfId="18834"/>
    <cellStyle name="40% - Accent1 2 15" xfId="18835"/>
    <cellStyle name="40% - Accent1 2 15 2" xfId="18836"/>
    <cellStyle name="40% - Accent1 2 15 2 2" xfId="18837"/>
    <cellStyle name="40% - Accent1 2 15 2 2 2" xfId="18838"/>
    <cellStyle name="40% - Accent1 2 15 2 2 2 2" xfId="18839"/>
    <cellStyle name="40% - Accent1 2 15 2 3" xfId="18840"/>
    <cellStyle name="40% - Accent1 2 15 2 3 2" xfId="18841"/>
    <cellStyle name="40% - Accent1 2 15 3" xfId="18842"/>
    <cellStyle name="40% - Accent1 2 15 3 2" xfId="18843"/>
    <cellStyle name="40% - Accent1 2 15 3 2 2" xfId="18844"/>
    <cellStyle name="40% - Accent1 2 15 4" xfId="18845"/>
    <cellStyle name="40% - Accent1 2 15 4 2" xfId="18846"/>
    <cellStyle name="40% - Accent1 2 16" xfId="18847"/>
    <cellStyle name="40% - Accent1 2 16 2" xfId="18848"/>
    <cellStyle name="40% - Accent1 2 16 2 2" xfId="18849"/>
    <cellStyle name="40% - Accent1 2 16 2 2 2" xfId="18850"/>
    <cellStyle name="40% - Accent1 2 16 3" xfId="18851"/>
    <cellStyle name="40% - Accent1 2 16 3 2" xfId="18852"/>
    <cellStyle name="40% - Accent1 2 17" xfId="18853"/>
    <cellStyle name="40% - Accent1 2 17 2" xfId="18854"/>
    <cellStyle name="40% - Accent1 2 17 2 2" xfId="18855"/>
    <cellStyle name="40% - Accent1 2 18" xfId="18856"/>
    <cellStyle name="40% - Accent1 2 19" xfId="18857"/>
    <cellStyle name="40% - Accent1 2 19 2" xfId="18858"/>
    <cellStyle name="40% - Accent1 2 2" xfId="18859"/>
    <cellStyle name="40% - Accent1 2 2 2" xfId="18860"/>
    <cellStyle name="40% - Accent1 2 2 2 2" xfId="18861"/>
    <cellStyle name="40% - Accent1 2 2 2 2 2" xfId="18862"/>
    <cellStyle name="40% - Accent1 2 2 2 2 2 2" xfId="18863"/>
    <cellStyle name="40% - Accent1 2 2 2 2 2 2 2" xfId="18864"/>
    <cellStyle name="40% - Accent1 2 2 2 2 2 2 2 2" xfId="18865"/>
    <cellStyle name="40% - Accent1 2 2 2 2 2 3" xfId="18866"/>
    <cellStyle name="40% - Accent1 2 2 2 2 2 3 2" xfId="18867"/>
    <cellStyle name="40% - Accent1 2 2 2 2 3" xfId="18868"/>
    <cellStyle name="40% - Accent1 2 2 2 2 3 2" xfId="18869"/>
    <cellStyle name="40% - Accent1 2 2 2 2 3 2 2" xfId="18870"/>
    <cellStyle name="40% - Accent1 2 2 2 2 4" xfId="18871"/>
    <cellStyle name="40% - Accent1 2 2 2 2 4 2" xfId="18872"/>
    <cellStyle name="40% - Accent1 2 2 2 3" xfId="18873"/>
    <cellStyle name="40% - Accent1 2 2 2 3 2" xfId="18874"/>
    <cellStyle name="40% - Accent1 2 2 2 3 2 2" xfId="18875"/>
    <cellStyle name="40% - Accent1 2 2 2 3 2 2 2" xfId="18876"/>
    <cellStyle name="40% - Accent1 2 2 2 3 3" xfId="18877"/>
    <cellStyle name="40% - Accent1 2 2 2 3 3 2" xfId="18878"/>
    <cellStyle name="40% - Accent1 2 2 2 4" xfId="18879"/>
    <cellStyle name="40% - Accent1 2 2 2 4 2" xfId="18880"/>
    <cellStyle name="40% - Accent1 2 2 2 4 2 2" xfId="18881"/>
    <cellStyle name="40% - Accent1 2 2 2 5" xfId="18882"/>
    <cellStyle name="40% - Accent1 2 2 2 5 2" xfId="18883"/>
    <cellStyle name="40% - Accent1 2 2 3" xfId="18884"/>
    <cellStyle name="40% - Accent1 2 2 3 2" xfId="18885"/>
    <cellStyle name="40% - Accent1 2 2 3 2 2" xfId="18886"/>
    <cellStyle name="40% - Accent1 2 2 3 2 2 2" xfId="18887"/>
    <cellStyle name="40% - Accent1 2 2 3 2 2 2 2" xfId="18888"/>
    <cellStyle name="40% - Accent1 2 2 3 2 3" xfId="18889"/>
    <cellStyle name="40% - Accent1 2 2 3 2 3 2" xfId="18890"/>
    <cellStyle name="40% - Accent1 2 2 3 3" xfId="18891"/>
    <cellStyle name="40% - Accent1 2 2 3 3 2" xfId="18892"/>
    <cellStyle name="40% - Accent1 2 2 3 3 2 2" xfId="18893"/>
    <cellStyle name="40% - Accent1 2 2 3 4" xfId="18894"/>
    <cellStyle name="40% - Accent1 2 2 3 4 2" xfId="18895"/>
    <cellStyle name="40% - Accent1 2 2 4" xfId="18896"/>
    <cellStyle name="40% - Accent1 2 2 4 2" xfId="18897"/>
    <cellStyle name="40% - Accent1 2 2 4 2 2" xfId="18898"/>
    <cellStyle name="40% - Accent1 2 2 4 2 2 2" xfId="18899"/>
    <cellStyle name="40% - Accent1 2 2 4 3" xfId="18900"/>
    <cellStyle name="40% - Accent1 2 2 4 3 2" xfId="18901"/>
    <cellStyle name="40% - Accent1 2 2 5" xfId="18902"/>
    <cellStyle name="40% - Accent1 2 2 5 2" xfId="18903"/>
    <cellStyle name="40% - Accent1 2 2 5 2 2" xfId="18904"/>
    <cellStyle name="40% - Accent1 2 2 6" xfId="18905"/>
    <cellStyle name="40% - Accent1 2 2 6 2" xfId="18906"/>
    <cellStyle name="40% - Accent1 2 2 7" xfId="18907"/>
    <cellStyle name="40% - Accent1 2 20" xfId="18908"/>
    <cellStyle name="40% - Accent1 2 3" xfId="18909"/>
    <cellStyle name="40% - Accent1 2 3 2" xfId="18910"/>
    <cellStyle name="40% - Accent1 2 3 2 2" xfId="18911"/>
    <cellStyle name="40% - Accent1 2 3 2 2 2" xfId="18912"/>
    <cellStyle name="40% - Accent1 2 3 2 2 2 2" xfId="18913"/>
    <cellStyle name="40% - Accent1 2 3 2 2 2 2 2" xfId="18914"/>
    <cellStyle name="40% - Accent1 2 3 2 2 2 2 2 2" xfId="18915"/>
    <cellStyle name="40% - Accent1 2 3 2 2 2 3" xfId="18916"/>
    <cellStyle name="40% - Accent1 2 3 2 2 2 3 2" xfId="18917"/>
    <cellStyle name="40% - Accent1 2 3 2 2 3" xfId="18918"/>
    <cellStyle name="40% - Accent1 2 3 2 2 3 2" xfId="18919"/>
    <cellStyle name="40% - Accent1 2 3 2 2 3 2 2" xfId="18920"/>
    <cellStyle name="40% - Accent1 2 3 2 2 4" xfId="18921"/>
    <cellStyle name="40% - Accent1 2 3 2 2 4 2" xfId="18922"/>
    <cellStyle name="40% - Accent1 2 3 2 3" xfId="18923"/>
    <cellStyle name="40% - Accent1 2 3 2 3 2" xfId="18924"/>
    <cellStyle name="40% - Accent1 2 3 2 3 2 2" xfId="18925"/>
    <cellStyle name="40% - Accent1 2 3 2 3 2 2 2" xfId="18926"/>
    <cellStyle name="40% - Accent1 2 3 2 3 3" xfId="18927"/>
    <cellStyle name="40% - Accent1 2 3 2 3 3 2" xfId="18928"/>
    <cellStyle name="40% - Accent1 2 3 2 4" xfId="18929"/>
    <cellStyle name="40% - Accent1 2 3 2 4 2" xfId="18930"/>
    <cellStyle name="40% - Accent1 2 3 2 4 2 2" xfId="18931"/>
    <cellStyle name="40% - Accent1 2 3 2 5" xfId="18932"/>
    <cellStyle name="40% - Accent1 2 3 2 5 2" xfId="18933"/>
    <cellStyle name="40% - Accent1 2 3 3" xfId="18934"/>
    <cellStyle name="40% - Accent1 2 3 3 2" xfId="18935"/>
    <cellStyle name="40% - Accent1 2 3 3 2 2" xfId="18936"/>
    <cellStyle name="40% - Accent1 2 3 3 2 2 2" xfId="18937"/>
    <cellStyle name="40% - Accent1 2 3 3 2 2 2 2" xfId="18938"/>
    <cellStyle name="40% - Accent1 2 3 3 2 3" xfId="18939"/>
    <cellStyle name="40% - Accent1 2 3 3 2 3 2" xfId="18940"/>
    <cellStyle name="40% - Accent1 2 3 3 3" xfId="18941"/>
    <cellStyle name="40% - Accent1 2 3 3 3 2" xfId="18942"/>
    <cellStyle name="40% - Accent1 2 3 3 3 2 2" xfId="18943"/>
    <cellStyle name="40% - Accent1 2 3 3 4" xfId="18944"/>
    <cellStyle name="40% - Accent1 2 3 3 4 2" xfId="18945"/>
    <cellStyle name="40% - Accent1 2 3 4" xfId="18946"/>
    <cellStyle name="40% - Accent1 2 3 4 2" xfId="18947"/>
    <cellStyle name="40% - Accent1 2 3 4 2 2" xfId="18948"/>
    <cellStyle name="40% - Accent1 2 3 4 2 2 2" xfId="18949"/>
    <cellStyle name="40% - Accent1 2 3 4 3" xfId="18950"/>
    <cellStyle name="40% - Accent1 2 3 4 3 2" xfId="18951"/>
    <cellStyle name="40% - Accent1 2 3 5" xfId="18952"/>
    <cellStyle name="40% - Accent1 2 3 5 2" xfId="18953"/>
    <cellStyle name="40% - Accent1 2 3 5 2 2" xfId="18954"/>
    <cellStyle name="40% - Accent1 2 3 6" xfId="18955"/>
    <cellStyle name="40% - Accent1 2 3 6 2" xfId="18956"/>
    <cellStyle name="40% - Accent1 2 3 7" xfId="18957"/>
    <cellStyle name="40% - Accent1 2 4" xfId="18958"/>
    <cellStyle name="40% - Accent1 2 4 2" xfId="18959"/>
    <cellStyle name="40% - Accent1 2 4 2 2" xfId="18960"/>
    <cellStyle name="40% - Accent1 2 4 2 2 2" xfId="18961"/>
    <cellStyle name="40% - Accent1 2 4 2 2 2 2" xfId="18962"/>
    <cellStyle name="40% - Accent1 2 4 2 2 2 2 2" xfId="18963"/>
    <cellStyle name="40% - Accent1 2 4 2 2 2 2 2 2" xfId="18964"/>
    <cellStyle name="40% - Accent1 2 4 2 2 2 3" xfId="18965"/>
    <cellStyle name="40% - Accent1 2 4 2 2 2 3 2" xfId="18966"/>
    <cellStyle name="40% - Accent1 2 4 2 2 3" xfId="18967"/>
    <cellStyle name="40% - Accent1 2 4 2 2 3 2" xfId="18968"/>
    <cellStyle name="40% - Accent1 2 4 2 2 3 2 2" xfId="18969"/>
    <cellStyle name="40% - Accent1 2 4 2 2 4" xfId="18970"/>
    <cellStyle name="40% - Accent1 2 4 2 2 4 2" xfId="18971"/>
    <cellStyle name="40% - Accent1 2 4 2 3" xfId="18972"/>
    <cellStyle name="40% - Accent1 2 4 2 3 2" xfId="18973"/>
    <cellStyle name="40% - Accent1 2 4 2 3 2 2" xfId="18974"/>
    <cellStyle name="40% - Accent1 2 4 2 3 2 2 2" xfId="18975"/>
    <cellStyle name="40% - Accent1 2 4 2 3 3" xfId="18976"/>
    <cellStyle name="40% - Accent1 2 4 2 3 3 2" xfId="18977"/>
    <cellStyle name="40% - Accent1 2 4 2 4" xfId="18978"/>
    <cellStyle name="40% - Accent1 2 4 2 4 2" xfId="18979"/>
    <cellStyle name="40% - Accent1 2 4 2 4 2 2" xfId="18980"/>
    <cellStyle name="40% - Accent1 2 4 2 5" xfId="18981"/>
    <cellStyle name="40% - Accent1 2 4 2 5 2" xfId="18982"/>
    <cellStyle name="40% - Accent1 2 4 3" xfId="18983"/>
    <cellStyle name="40% - Accent1 2 4 3 2" xfId="18984"/>
    <cellStyle name="40% - Accent1 2 4 3 2 2" xfId="18985"/>
    <cellStyle name="40% - Accent1 2 4 3 2 2 2" xfId="18986"/>
    <cellStyle name="40% - Accent1 2 4 3 2 2 2 2" xfId="18987"/>
    <cellStyle name="40% - Accent1 2 4 3 2 3" xfId="18988"/>
    <cellStyle name="40% - Accent1 2 4 3 2 3 2" xfId="18989"/>
    <cellStyle name="40% - Accent1 2 4 3 3" xfId="18990"/>
    <cellStyle name="40% - Accent1 2 4 3 3 2" xfId="18991"/>
    <cellStyle name="40% - Accent1 2 4 3 3 2 2" xfId="18992"/>
    <cellStyle name="40% - Accent1 2 4 3 4" xfId="18993"/>
    <cellStyle name="40% - Accent1 2 4 3 4 2" xfId="18994"/>
    <cellStyle name="40% - Accent1 2 4 4" xfId="18995"/>
    <cellStyle name="40% - Accent1 2 4 4 2" xfId="18996"/>
    <cellStyle name="40% - Accent1 2 4 4 2 2" xfId="18997"/>
    <cellStyle name="40% - Accent1 2 4 4 2 2 2" xfId="18998"/>
    <cellStyle name="40% - Accent1 2 4 4 3" xfId="18999"/>
    <cellStyle name="40% - Accent1 2 4 4 3 2" xfId="19000"/>
    <cellStyle name="40% - Accent1 2 4 5" xfId="19001"/>
    <cellStyle name="40% - Accent1 2 4 5 2" xfId="19002"/>
    <cellStyle name="40% - Accent1 2 4 5 2 2" xfId="19003"/>
    <cellStyle name="40% - Accent1 2 4 6" xfId="19004"/>
    <cellStyle name="40% - Accent1 2 4 6 2" xfId="19005"/>
    <cellStyle name="40% - Accent1 2 4 7" xfId="19006"/>
    <cellStyle name="40% - Accent1 2 5" xfId="19007"/>
    <cellStyle name="40% - Accent1 2 5 2" xfId="19008"/>
    <cellStyle name="40% - Accent1 2 5 2 2" xfId="19009"/>
    <cellStyle name="40% - Accent1 2 5 2 2 2" xfId="19010"/>
    <cellStyle name="40% - Accent1 2 5 2 2 2 2" xfId="19011"/>
    <cellStyle name="40% - Accent1 2 5 2 2 2 2 2" xfId="19012"/>
    <cellStyle name="40% - Accent1 2 5 2 2 2 2 2 2" xfId="19013"/>
    <cellStyle name="40% - Accent1 2 5 2 2 2 3" xfId="19014"/>
    <cellStyle name="40% - Accent1 2 5 2 2 2 3 2" xfId="19015"/>
    <cellStyle name="40% - Accent1 2 5 2 2 3" xfId="19016"/>
    <cellStyle name="40% - Accent1 2 5 2 2 3 2" xfId="19017"/>
    <cellStyle name="40% - Accent1 2 5 2 2 3 2 2" xfId="19018"/>
    <cellStyle name="40% - Accent1 2 5 2 2 4" xfId="19019"/>
    <cellStyle name="40% - Accent1 2 5 2 2 4 2" xfId="19020"/>
    <cellStyle name="40% - Accent1 2 5 2 3" xfId="19021"/>
    <cellStyle name="40% - Accent1 2 5 2 3 2" xfId="19022"/>
    <cellStyle name="40% - Accent1 2 5 2 3 2 2" xfId="19023"/>
    <cellStyle name="40% - Accent1 2 5 2 3 2 2 2" xfId="19024"/>
    <cellStyle name="40% - Accent1 2 5 2 3 3" xfId="19025"/>
    <cellStyle name="40% - Accent1 2 5 2 3 3 2" xfId="19026"/>
    <cellStyle name="40% - Accent1 2 5 2 4" xfId="19027"/>
    <cellStyle name="40% - Accent1 2 5 2 4 2" xfId="19028"/>
    <cellStyle name="40% - Accent1 2 5 2 4 2 2" xfId="19029"/>
    <cellStyle name="40% - Accent1 2 5 2 5" xfId="19030"/>
    <cellStyle name="40% - Accent1 2 5 2 5 2" xfId="19031"/>
    <cellStyle name="40% - Accent1 2 5 3" xfId="19032"/>
    <cellStyle name="40% - Accent1 2 5 3 2" xfId="19033"/>
    <cellStyle name="40% - Accent1 2 5 3 2 2" xfId="19034"/>
    <cellStyle name="40% - Accent1 2 5 3 2 2 2" xfId="19035"/>
    <cellStyle name="40% - Accent1 2 5 3 2 2 2 2" xfId="19036"/>
    <cellStyle name="40% - Accent1 2 5 3 2 3" xfId="19037"/>
    <cellStyle name="40% - Accent1 2 5 3 2 3 2" xfId="19038"/>
    <cellStyle name="40% - Accent1 2 5 3 3" xfId="19039"/>
    <cellStyle name="40% - Accent1 2 5 3 3 2" xfId="19040"/>
    <cellStyle name="40% - Accent1 2 5 3 3 2 2" xfId="19041"/>
    <cellStyle name="40% - Accent1 2 5 3 4" xfId="19042"/>
    <cellStyle name="40% - Accent1 2 5 3 4 2" xfId="19043"/>
    <cellStyle name="40% - Accent1 2 5 4" xfId="19044"/>
    <cellStyle name="40% - Accent1 2 5 4 2" xfId="19045"/>
    <cellStyle name="40% - Accent1 2 5 4 2 2" xfId="19046"/>
    <cellStyle name="40% - Accent1 2 5 4 2 2 2" xfId="19047"/>
    <cellStyle name="40% - Accent1 2 5 4 3" xfId="19048"/>
    <cellStyle name="40% - Accent1 2 5 4 3 2" xfId="19049"/>
    <cellStyle name="40% - Accent1 2 5 5" xfId="19050"/>
    <cellStyle name="40% - Accent1 2 5 5 2" xfId="19051"/>
    <cellStyle name="40% - Accent1 2 5 5 2 2" xfId="19052"/>
    <cellStyle name="40% - Accent1 2 5 6" xfId="19053"/>
    <cellStyle name="40% - Accent1 2 5 6 2" xfId="19054"/>
    <cellStyle name="40% - Accent1 2 5 7" xfId="19055"/>
    <cellStyle name="40% - Accent1 2 6" xfId="19056"/>
    <cellStyle name="40% - Accent1 2 6 2" xfId="19057"/>
    <cellStyle name="40% - Accent1 2 6 2 2" xfId="19058"/>
    <cellStyle name="40% - Accent1 2 6 2 2 2" xfId="19059"/>
    <cellStyle name="40% - Accent1 2 6 2 2 2 2" xfId="19060"/>
    <cellStyle name="40% - Accent1 2 6 2 2 2 2 2" xfId="19061"/>
    <cellStyle name="40% - Accent1 2 6 2 2 2 2 2 2" xfId="19062"/>
    <cellStyle name="40% - Accent1 2 6 2 2 2 3" xfId="19063"/>
    <cellStyle name="40% - Accent1 2 6 2 2 2 3 2" xfId="19064"/>
    <cellStyle name="40% - Accent1 2 6 2 2 3" xfId="19065"/>
    <cellStyle name="40% - Accent1 2 6 2 2 3 2" xfId="19066"/>
    <cellStyle name="40% - Accent1 2 6 2 2 3 2 2" xfId="19067"/>
    <cellStyle name="40% - Accent1 2 6 2 2 4" xfId="19068"/>
    <cellStyle name="40% - Accent1 2 6 2 2 4 2" xfId="19069"/>
    <cellStyle name="40% - Accent1 2 6 2 3" xfId="19070"/>
    <cellStyle name="40% - Accent1 2 6 2 3 2" xfId="19071"/>
    <cellStyle name="40% - Accent1 2 6 2 3 2 2" xfId="19072"/>
    <cellStyle name="40% - Accent1 2 6 2 3 2 2 2" xfId="19073"/>
    <cellStyle name="40% - Accent1 2 6 2 3 3" xfId="19074"/>
    <cellStyle name="40% - Accent1 2 6 2 3 3 2" xfId="19075"/>
    <cellStyle name="40% - Accent1 2 6 2 4" xfId="19076"/>
    <cellStyle name="40% - Accent1 2 6 2 4 2" xfId="19077"/>
    <cellStyle name="40% - Accent1 2 6 2 4 2 2" xfId="19078"/>
    <cellStyle name="40% - Accent1 2 6 2 5" xfId="19079"/>
    <cellStyle name="40% - Accent1 2 6 2 5 2" xfId="19080"/>
    <cellStyle name="40% - Accent1 2 6 3" xfId="19081"/>
    <cellStyle name="40% - Accent1 2 6 3 2" xfId="19082"/>
    <cellStyle name="40% - Accent1 2 6 3 2 2" xfId="19083"/>
    <cellStyle name="40% - Accent1 2 6 3 2 2 2" xfId="19084"/>
    <cellStyle name="40% - Accent1 2 6 3 2 2 2 2" xfId="19085"/>
    <cellStyle name="40% - Accent1 2 6 3 2 3" xfId="19086"/>
    <cellStyle name="40% - Accent1 2 6 3 2 3 2" xfId="19087"/>
    <cellStyle name="40% - Accent1 2 6 3 3" xfId="19088"/>
    <cellStyle name="40% - Accent1 2 6 3 3 2" xfId="19089"/>
    <cellStyle name="40% - Accent1 2 6 3 3 2 2" xfId="19090"/>
    <cellStyle name="40% - Accent1 2 6 3 4" xfId="19091"/>
    <cellStyle name="40% - Accent1 2 6 3 4 2" xfId="19092"/>
    <cellStyle name="40% - Accent1 2 6 4" xfId="19093"/>
    <cellStyle name="40% - Accent1 2 6 4 2" xfId="19094"/>
    <cellStyle name="40% - Accent1 2 6 4 2 2" xfId="19095"/>
    <cellStyle name="40% - Accent1 2 6 4 2 2 2" xfId="19096"/>
    <cellStyle name="40% - Accent1 2 6 4 3" xfId="19097"/>
    <cellStyle name="40% - Accent1 2 6 4 3 2" xfId="19098"/>
    <cellStyle name="40% - Accent1 2 6 5" xfId="19099"/>
    <cellStyle name="40% - Accent1 2 6 5 2" xfId="19100"/>
    <cellStyle name="40% - Accent1 2 6 5 2 2" xfId="19101"/>
    <cellStyle name="40% - Accent1 2 6 6" xfId="19102"/>
    <cellStyle name="40% - Accent1 2 6 6 2" xfId="19103"/>
    <cellStyle name="40% - Accent1 2 6 7" xfId="19104"/>
    <cellStyle name="40% - Accent1 2 7" xfId="19105"/>
    <cellStyle name="40% - Accent1 2 7 2" xfId="19106"/>
    <cellStyle name="40% - Accent1 2 7 2 2" xfId="19107"/>
    <cellStyle name="40% - Accent1 2 7 2 2 2" xfId="19108"/>
    <cellStyle name="40% - Accent1 2 7 2 2 2 2" xfId="19109"/>
    <cellStyle name="40% - Accent1 2 7 2 2 2 2 2" xfId="19110"/>
    <cellStyle name="40% - Accent1 2 7 2 2 2 2 2 2" xfId="19111"/>
    <cellStyle name="40% - Accent1 2 7 2 2 2 3" xfId="19112"/>
    <cellStyle name="40% - Accent1 2 7 2 2 2 3 2" xfId="19113"/>
    <cellStyle name="40% - Accent1 2 7 2 2 3" xfId="19114"/>
    <cellStyle name="40% - Accent1 2 7 2 2 3 2" xfId="19115"/>
    <cellStyle name="40% - Accent1 2 7 2 2 3 2 2" xfId="19116"/>
    <cellStyle name="40% - Accent1 2 7 2 2 4" xfId="19117"/>
    <cellStyle name="40% - Accent1 2 7 2 2 4 2" xfId="19118"/>
    <cellStyle name="40% - Accent1 2 7 2 3" xfId="19119"/>
    <cellStyle name="40% - Accent1 2 7 2 3 2" xfId="19120"/>
    <cellStyle name="40% - Accent1 2 7 2 3 2 2" xfId="19121"/>
    <cellStyle name="40% - Accent1 2 7 2 3 2 2 2" xfId="19122"/>
    <cellStyle name="40% - Accent1 2 7 2 3 3" xfId="19123"/>
    <cellStyle name="40% - Accent1 2 7 2 3 3 2" xfId="19124"/>
    <cellStyle name="40% - Accent1 2 7 2 4" xfId="19125"/>
    <cellStyle name="40% - Accent1 2 7 2 4 2" xfId="19126"/>
    <cellStyle name="40% - Accent1 2 7 2 4 2 2" xfId="19127"/>
    <cellStyle name="40% - Accent1 2 7 2 5" xfId="19128"/>
    <cellStyle name="40% - Accent1 2 7 2 5 2" xfId="19129"/>
    <cellStyle name="40% - Accent1 2 7 3" xfId="19130"/>
    <cellStyle name="40% - Accent1 2 7 3 2" xfId="19131"/>
    <cellStyle name="40% - Accent1 2 7 3 2 2" xfId="19132"/>
    <cellStyle name="40% - Accent1 2 7 3 2 2 2" xfId="19133"/>
    <cellStyle name="40% - Accent1 2 7 3 2 2 2 2" xfId="19134"/>
    <cellStyle name="40% - Accent1 2 7 3 2 3" xfId="19135"/>
    <cellStyle name="40% - Accent1 2 7 3 2 3 2" xfId="19136"/>
    <cellStyle name="40% - Accent1 2 7 3 3" xfId="19137"/>
    <cellStyle name="40% - Accent1 2 7 3 3 2" xfId="19138"/>
    <cellStyle name="40% - Accent1 2 7 3 3 2 2" xfId="19139"/>
    <cellStyle name="40% - Accent1 2 7 3 4" xfId="19140"/>
    <cellStyle name="40% - Accent1 2 7 3 4 2" xfId="19141"/>
    <cellStyle name="40% - Accent1 2 7 4" xfId="19142"/>
    <cellStyle name="40% - Accent1 2 7 4 2" xfId="19143"/>
    <cellStyle name="40% - Accent1 2 7 4 2 2" xfId="19144"/>
    <cellStyle name="40% - Accent1 2 7 4 2 2 2" xfId="19145"/>
    <cellStyle name="40% - Accent1 2 7 4 3" xfId="19146"/>
    <cellStyle name="40% - Accent1 2 7 4 3 2" xfId="19147"/>
    <cellStyle name="40% - Accent1 2 7 5" xfId="19148"/>
    <cellStyle name="40% - Accent1 2 7 5 2" xfId="19149"/>
    <cellStyle name="40% - Accent1 2 7 5 2 2" xfId="19150"/>
    <cellStyle name="40% - Accent1 2 7 6" xfId="19151"/>
    <cellStyle name="40% - Accent1 2 7 6 2" xfId="19152"/>
    <cellStyle name="40% - Accent1 2 7 7" xfId="19153"/>
    <cellStyle name="40% - Accent1 2 8" xfId="19154"/>
    <cellStyle name="40% - Accent1 2 8 2" xfId="19155"/>
    <cellStyle name="40% - Accent1 2 8 2 2" xfId="19156"/>
    <cellStyle name="40% - Accent1 2 8 2 2 2" xfId="19157"/>
    <cellStyle name="40% - Accent1 2 8 2 2 2 2" xfId="19158"/>
    <cellStyle name="40% - Accent1 2 8 2 2 2 2 2" xfId="19159"/>
    <cellStyle name="40% - Accent1 2 8 2 2 2 2 2 2" xfId="19160"/>
    <cellStyle name="40% - Accent1 2 8 2 2 2 3" xfId="19161"/>
    <cellStyle name="40% - Accent1 2 8 2 2 2 3 2" xfId="19162"/>
    <cellStyle name="40% - Accent1 2 8 2 2 3" xfId="19163"/>
    <cellStyle name="40% - Accent1 2 8 2 2 3 2" xfId="19164"/>
    <cellStyle name="40% - Accent1 2 8 2 2 3 2 2" xfId="19165"/>
    <cellStyle name="40% - Accent1 2 8 2 2 4" xfId="19166"/>
    <cellStyle name="40% - Accent1 2 8 2 2 4 2" xfId="19167"/>
    <cellStyle name="40% - Accent1 2 8 2 3" xfId="19168"/>
    <cellStyle name="40% - Accent1 2 8 2 3 2" xfId="19169"/>
    <cellStyle name="40% - Accent1 2 8 2 3 2 2" xfId="19170"/>
    <cellStyle name="40% - Accent1 2 8 2 3 2 2 2" xfId="19171"/>
    <cellStyle name="40% - Accent1 2 8 2 3 3" xfId="19172"/>
    <cellStyle name="40% - Accent1 2 8 2 3 3 2" xfId="19173"/>
    <cellStyle name="40% - Accent1 2 8 2 4" xfId="19174"/>
    <cellStyle name="40% - Accent1 2 8 2 4 2" xfId="19175"/>
    <cellStyle name="40% - Accent1 2 8 2 4 2 2" xfId="19176"/>
    <cellStyle name="40% - Accent1 2 8 2 5" xfId="19177"/>
    <cellStyle name="40% - Accent1 2 8 2 5 2" xfId="19178"/>
    <cellStyle name="40% - Accent1 2 8 3" xfId="19179"/>
    <cellStyle name="40% - Accent1 2 8 3 2" xfId="19180"/>
    <cellStyle name="40% - Accent1 2 8 3 2 2" xfId="19181"/>
    <cellStyle name="40% - Accent1 2 8 3 2 2 2" xfId="19182"/>
    <cellStyle name="40% - Accent1 2 8 3 2 2 2 2" xfId="19183"/>
    <cellStyle name="40% - Accent1 2 8 3 2 3" xfId="19184"/>
    <cellStyle name="40% - Accent1 2 8 3 2 3 2" xfId="19185"/>
    <cellStyle name="40% - Accent1 2 8 3 3" xfId="19186"/>
    <cellStyle name="40% - Accent1 2 8 3 3 2" xfId="19187"/>
    <cellStyle name="40% - Accent1 2 8 3 3 2 2" xfId="19188"/>
    <cellStyle name="40% - Accent1 2 8 3 4" xfId="19189"/>
    <cellStyle name="40% - Accent1 2 8 3 4 2" xfId="19190"/>
    <cellStyle name="40% - Accent1 2 8 4" xfId="19191"/>
    <cellStyle name="40% - Accent1 2 8 4 2" xfId="19192"/>
    <cellStyle name="40% - Accent1 2 8 4 2 2" xfId="19193"/>
    <cellStyle name="40% - Accent1 2 8 4 2 2 2" xfId="19194"/>
    <cellStyle name="40% - Accent1 2 8 4 3" xfId="19195"/>
    <cellStyle name="40% - Accent1 2 8 4 3 2" xfId="19196"/>
    <cellStyle name="40% - Accent1 2 8 5" xfId="19197"/>
    <cellStyle name="40% - Accent1 2 8 5 2" xfId="19198"/>
    <cellStyle name="40% - Accent1 2 8 5 2 2" xfId="19199"/>
    <cellStyle name="40% - Accent1 2 8 6" xfId="19200"/>
    <cellStyle name="40% - Accent1 2 8 6 2" xfId="19201"/>
    <cellStyle name="40% - Accent1 2 8 7" xfId="19202"/>
    <cellStyle name="40% - Accent1 2 9" xfId="19203"/>
    <cellStyle name="40% - Accent1 2 9 2" xfId="19204"/>
    <cellStyle name="40% - Accent1 2 9 2 2" xfId="19205"/>
    <cellStyle name="40% - Accent1 2 9 2 2 2" xfId="19206"/>
    <cellStyle name="40% - Accent1 2 9 2 2 2 2" xfId="19207"/>
    <cellStyle name="40% - Accent1 2 9 2 2 2 2 2" xfId="19208"/>
    <cellStyle name="40% - Accent1 2 9 2 2 2 2 2 2" xfId="19209"/>
    <cellStyle name="40% - Accent1 2 9 2 2 2 3" xfId="19210"/>
    <cellStyle name="40% - Accent1 2 9 2 2 2 3 2" xfId="19211"/>
    <cellStyle name="40% - Accent1 2 9 2 2 3" xfId="19212"/>
    <cellStyle name="40% - Accent1 2 9 2 2 3 2" xfId="19213"/>
    <cellStyle name="40% - Accent1 2 9 2 2 3 2 2" xfId="19214"/>
    <cellStyle name="40% - Accent1 2 9 2 2 4" xfId="19215"/>
    <cellStyle name="40% - Accent1 2 9 2 2 4 2" xfId="19216"/>
    <cellStyle name="40% - Accent1 2 9 2 3" xfId="19217"/>
    <cellStyle name="40% - Accent1 2 9 2 3 2" xfId="19218"/>
    <cellStyle name="40% - Accent1 2 9 2 3 2 2" xfId="19219"/>
    <cellStyle name="40% - Accent1 2 9 2 3 2 2 2" xfId="19220"/>
    <cellStyle name="40% - Accent1 2 9 2 3 3" xfId="19221"/>
    <cellStyle name="40% - Accent1 2 9 2 3 3 2" xfId="19222"/>
    <cellStyle name="40% - Accent1 2 9 2 4" xfId="19223"/>
    <cellStyle name="40% - Accent1 2 9 2 4 2" xfId="19224"/>
    <cellStyle name="40% - Accent1 2 9 2 4 2 2" xfId="19225"/>
    <cellStyle name="40% - Accent1 2 9 2 5" xfId="19226"/>
    <cellStyle name="40% - Accent1 2 9 2 5 2" xfId="19227"/>
    <cellStyle name="40% - Accent1 2 9 3" xfId="19228"/>
    <cellStyle name="40% - Accent1 2 9 3 2" xfId="19229"/>
    <cellStyle name="40% - Accent1 2 9 3 2 2" xfId="19230"/>
    <cellStyle name="40% - Accent1 2 9 3 2 2 2" xfId="19231"/>
    <cellStyle name="40% - Accent1 2 9 3 2 2 2 2" xfId="19232"/>
    <cellStyle name="40% - Accent1 2 9 3 2 3" xfId="19233"/>
    <cellStyle name="40% - Accent1 2 9 3 2 3 2" xfId="19234"/>
    <cellStyle name="40% - Accent1 2 9 3 3" xfId="19235"/>
    <cellStyle name="40% - Accent1 2 9 3 3 2" xfId="19236"/>
    <cellStyle name="40% - Accent1 2 9 3 3 2 2" xfId="19237"/>
    <cellStyle name="40% - Accent1 2 9 3 4" xfId="19238"/>
    <cellStyle name="40% - Accent1 2 9 3 4 2" xfId="19239"/>
    <cellStyle name="40% - Accent1 2 9 4" xfId="19240"/>
    <cellStyle name="40% - Accent1 2 9 4 2" xfId="19241"/>
    <cellStyle name="40% - Accent1 2 9 4 2 2" xfId="19242"/>
    <cellStyle name="40% - Accent1 2 9 4 2 2 2" xfId="19243"/>
    <cellStyle name="40% - Accent1 2 9 4 3" xfId="19244"/>
    <cellStyle name="40% - Accent1 2 9 4 3 2" xfId="19245"/>
    <cellStyle name="40% - Accent1 2 9 5" xfId="19246"/>
    <cellStyle name="40% - Accent1 2 9 5 2" xfId="19247"/>
    <cellStyle name="40% - Accent1 2 9 5 2 2" xfId="19248"/>
    <cellStyle name="40% - Accent1 2 9 6" xfId="19249"/>
    <cellStyle name="40% - Accent1 2 9 6 2" xfId="19250"/>
    <cellStyle name="40% - Accent1 20" xfId="19251"/>
    <cellStyle name="40% - Accent1 20 2" xfId="19252"/>
    <cellStyle name="40% - Accent1 21" xfId="19253"/>
    <cellStyle name="40% - Accent1 21 2" xfId="19254"/>
    <cellStyle name="40% - Accent1 21 2 2" xfId="19255"/>
    <cellStyle name="40% - Accent1 21 2 2 2" xfId="19256"/>
    <cellStyle name="40% - Accent1 21 2 2 2 2" xfId="19257"/>
    <cellStyle name="40% - Accent1 21 2 2 2 2 2" xfId="19258"/>
    <cellStyle name="40% - Accent1 21 2 2 2 2 2 2" xfId="19259"/>
    <cellStyle name="40% - Accent1 21 2 2 2 3" xfId="19260"/>
    <cellStyle name="40% - Accent1 21 2 2 2 3 2" xfId="19261"/>
    <cellStyle name="40% - Accent1 21 2 2 3" xfId="19262"/>
    <cellStyle name="40% - Accent1 21 2 2 3 2" xfId="19263"/>
    <cellStyle name="40% - Accent1 21 2 2 3 2 2" xfId="19264"/>
    <cellStyle name="40% - Accent1 21 2 2 4" xfId="19265"/>
    <cellStyle name="40% - Accent1 21 2 2 4 2" xfId="19266"/>
    <cellStyle name="40% - Accent1 21 2 3" xfId="19267"/>
    <cellStyle name="40% - Accent1 21 2 3 2" xfId="19268"/>
    <cellStyle name="40% - Accent1 21 2 3 2 2" xfId="19269"/>
    <cellStyle name="40% - Accent1 21 2 3 2 2 2" xfId="19270"/>
    <cellStyle name="40% - Accent1 21 2 3 3" xfId="19271"/>
    <cellStyle name="40% - Accent1 21 2 3 3 2" xfId="19272"/>
    <cellStyle name="40% - Accent1 21 2 4" xfId="19273"/>
    <cellStyle name="40% - Accent1 21 2 4 2" xfId="19274"/>
    <cellStyle name="40% - Accent1 21 2 4 2 2" xfId="19275"/>
    <cellStyle name="40% - Accent1 21 2 5" xfId="19276"/>
    <cellStyle name="40% - Accent1 21 2 5 2" xfId="19277"/>
    <cellStyle name="40% - Accent1 21 3" xfId="19278"/>
    <cellStyle name="40% - Accent1 21 3 2" xfId="19279"/>
    <cellStyle name="40% - Accent1 21 3 2 2" xfId="19280"/>
    <cellStyle name="40% - Accent1 21 3 2 2 2" xfId="19281"/>
    <cellStyle name="40% - Accent1 21 3 2 2 2 2" xfId="19282"/>
    <cellStyle name="40% - Accent1 21 3 2 3" xfId="19283"/>
    <cellStyle name="40% - Accent1 21 3 2 3 2" xfId="19284"/>
    <cellStyle name="40% - Accent1 21 3 3" xfId="19285"/>
    <cellStyle name="40% - Accent1 21 3 3 2" xfId="19286"/>
    <cellStyle name="40% - Accent1 21 3 3 2 2" xfId="19287"/>
    <cellStyle name="40% - Accent1 21 3 4" xfId="19288"/>
    <cellStyle name="40% - Accent1 21 3 4 2" xfId="19289"/>
    <cellStyle name="40% - Accent1 21 4" xfId="19290"/>
    <cellStyle name="40% - Accent1 21 4 2" xfId="19291"/>
    <cellStyle name="40% - Accent1 21 4 2 2" xfId="19292"/>
    <cellStyle name="40% - Accent1 21 4 2 2 2" xfId="19293"/>
    <cellStyle name="40% - Accent1 21 4 3" xfId="19294"/>
    <cellStyle name="40% - Accent1 21 4 3 2" xfId="19295"/>
    <cellStyle name="40% - Accent1 21 5" xfId="19296"/>
    <cellStyle name="40% - Accent1 21 5 2" xfId="19297"/>
    <cellStyle name="40% - Accent1 21 5 2 2" xfId="19298"/>
    <cellStyle name="40% - Accent1 21 6" xfId="19299"/>
    <cellStyle name="40% - Accent1 21 6 2" xfId="19300"/>
    <cellStyle name="40% - Accent1 21 7" xfId="19301"/>
    <cellStyle name="40% - Accent1 22" xfId="19302"/>
    <cellStyle name="40% - Accent1 22 10" xfId="19303"/>
    <cellStyle name="40% - Accent1 22 2" xfId="19304"/>
    <cellStyle name="40% - Accent1 22 2 2" xfId="19305"/>
    <cellStyle name="40% - Accent1 22 2 2 2" xfId="19306"/>
    <cellStyle name="40% - Accent1 22 2 2 2 2" xfId="19307"/>
    <cellStyle name="40% - Accent1 22 2 2 2 2 2" xfId="19308"/>
    <cellStyle name="40% - Accent1 22 2 2 2 2 2 2" xfId="19309"/>
    <cellStyle name="40% - Accent1 22 2 2 2 3" xfId="19310"/>
    <cellStyle name="40% - Accent1 22 2 2 2 3 2" xfId="19311"/>
    <cellStyle name="40% - Accent1 22 2 2 3" xfId="19312"/>
    <cellStyle name="40% - Accent1 22 2 2 3 2" xfId="19313"/>
    <cellStyle name="40% - Accent1 22 2 2 3 2 2" xfId="19314"/>
    <cellStyle name="40% - Accent1 22 2 2 4" xfId="19315"/>
    <cellStyle name="40% - Accent1 22 2 2 4 2" xfId="19316"/>
    <cellStyle name="40% - Accent1 22 2 3" xfId="19317"/>
    <cellStyle name="40% - Accent1 22 2 3 2" xfId="19318"/>
    <cellStyle name="40% - Accent1 22 2 3 2 2" xfId="19319"/>
    <cellStyle name="40% - Accent1 22 2 3 2 2 2" xfId="19320"/>
    <cellStyle name="40% - Accent1 22 2 3 3" xfId="19321"/>
    <cellStyle name="40% - Accent1 22 2 3 3 2" xfId="19322"/>
    <cellStyle name="40% - Accent1 22 2 4" xfId="19323"/>
    <cellStyle name="40% - Accent1 22 2 4 2" xfId="19324"/>
    <cellStyle name="40% - Accent1 22 2 4 2 2" xfId="19325"/>
    <cellStyle name="40% - Accent1 22 2 5" xfId="19326"/>
    <cellStyle name="40% - Accent1 22 2 5 2" xfId="19327"/>
    <cellStyle name="40% - Accent1 22 2 6" xfId="19328"/>
    <cellStyle name="40% - Accent1 22 2 7" xfId="19329"/>
    <cellStyle name="40% - Accent1 22 2 8" xfId="19330"/>
    <cellStyle name="40% - Accent1 22 3" xfId="19331"/>
    <cellStyle name="40% - Accent1 22 3 2" xfId="19332"/>
    <cellStyle name="40% - Accent1 22 3 2 2" xfId="19333"/>
    <cellStyle name="40% - Accent1 22 3 2 2 2" xfId="19334"/>
    <cellStyle name="40% - Accent1 22 3 2 2 2 2" xfId="19335"/>
    <cellStyle name="40% - Accent1 22 3 2 3" xfId="19336"/>
    <cellStyle name="40% - Accent1 22 3 2 3 2" xfId="19337"/>
    <cellStyle name="40% - Accent1 22 3 3" xfId="19338"/>
    <cellStyle name="40% - Accent1 22 3 3 2" xfId="19339"/>
    <cellStyle name="40% - Accent1 22 3 3 2 2" xfId="19340"/>
    <cellStyle name="40% - Accent1 22 3 4" xfId="19341"/>
    <cellStyle name="40% - Accent1 22 3 4 2" xfId="19342"/>
    <cellStyle name="40% - Accent1 22 3 5" xfId="19343"/>
    <cellStyle name="40% - Accent1 22 3 6" xfId="19344"/>
    <cellStyle name="40% - Accent1 22 3 7" xfId="19345"/>
    <cellStyle name="40% - Accent1 22 4" xfId="19346"/>
    <cellStyle name="40% - Accent1 22 4 2" xfId="19347"/>
    <cellStyle name="40% - Accent1 22 4 2 2" xfId="19348"/>
    <cellStyle name="40% - Accent1 22 4 2 2 2" xfId="19349"/>
    <cellStyle name="40% - Accent1 22 4 3" xfId="19350"/>
    <cellStyle name="40% - Accent1 22 4 3 2" xfId="19351"/>
    <cellStyle name="40% - Accent1 22 4 4" xfId="19352"/>
    <cellStyle name="40% - Accent1 22 5" xfId="19353"/>
    <cellStyle name="40% - Accent1 22 5 2" xfId="19354"/>
    <cellStyle name="40% - Accent1 22 5 2 2" xfId="19355"/>
    <cellStyle name="40% - Accent1 22 6" xfId="19356"/>
    <cellStyle name="40% - Accent1 22 6 2" xfId="19357"/>
    <cellStyle name="40% - Accent1 22 7" xfId="19358"/>
    <cellStyle name="40% - Accent1 22 8" xfId="19359"/>
    <cellStyle name="40% - Accent1 22 9" xfId="19360"/>
    <cellStyle name="40% - Accent1 23" xfId="19361"/>
    <cellStyle name="40% - Accent1 23 2" xfId="19362"/>
    <cellStyle name="40% - Accent1 23 2 2" xfId="19363"/>
    <cellStyle name="40% - Accent1 23 2 2 2" xfId="19364"/>
    <cellStyle name="40% - Accent1 23 2 2 2 2" xfId="19365"/>
    <cellStyle name="40% - Accent1 23 2 2 2 2 2" xfId="19366"/>
    <cellStyle name="40% - Accent1 23 2 2 2 2 2 2" xfId="19367"/>
    <cellStyle name="40% - Accent1 23 2 2 2 3" xfId="19368"/>
    <cellStyle name="40% - Accent1 23 2 2 2 3 2" xfId="19369"/>
    <cellStyle name="40% - Accent1 23 2 2 3" xfId="19370"/>
    <cellStyle name="40% - Accent1 23 2 2 3 2" xfId="19371"/>
    <cellStyle name="40% - Accent1 23 2 2 3 2 2" xfId="19372"/>
    <cellStyle name="40% - Accent1 23 2 2 4" xfId="19373"/>
    <cellStyle name="40% - Accent1 23 2 2 4 2" xfId="19374"/>
    <cellStyle name="40% - Accent1 23 2 3" xfId="19375"/>
    <cellStyle name="40% - Accent1 23 2 3 2" xfId="19376"/>
    <cellStyle name="40% - Accent1 23 2 3 2 2" xfId="19377"/>
    <cellStyle name="40% - Accent1 23 2 3 2 2 2" xfId="19378"/>
    <cellStyle name="40% - Accent1 23 2 3 3" xfId="19379"/>
    <cellStyle name="40% - Accent1 23 2 3 3 2" xfId="19380"/>
    <cellStyle name="40% - Accent1 23 2 4" xfId="19381"/>
    <cellStyle name="40% - Accent1 23 2 4 2" xfId="19382"/>
    <cellStyle name="40% - Accent1 23 2 4 2 2" xfId="19383"/>
    <cellStyle name="40% - Accent1 23 2 5" xfId="19384"/>
    <cellStyle name="40% - Accent1 23 2 5 2" xfId="19385"/>
    <cellStyle name="40% - Accent1 23 3" xfId="19386"/>
    <cellStyle name="40% - Accent1 23 3 2" xfId="19387"/>
    <cellStyle name="40% - Accent1 23 3 2 2" xfId="19388"/>
    <cellStyle name="40% - Accent1 23 3 2 2 2" xfId="19389"/>
    <cellStyle name="40% - Accent1 23 3 2 2 2 2" xfId="19390"/>
    <cellStyle name="40% - Accent1 23 3 2 3" xfId="19391"/>
    <cellStyle name="40% - Accent1 23 3 2 3 2" xfId="19392"/>
    <cellStyle name="40% - Accent1 23 3 3" xfId="19393"/>
    <cellStyle name="40% - Accent1 23 3 3 2" xfId="19394"/>
    <cellStyle name="40% - Accent1 23 3 3 2 2" xfId="19395"/>
    <cellStyle name="40% - Accent1 23 3 4" xfId="19396"/>
    <cellStyle name="40% - Accent1 23 3 4 2" xfId="19397"/>
    <cellStyle name="40% - Accent1 23 4" xfId="19398"/>
    <cellStyle name="40% - Accent1 23 4 2" xfId="19399"/>
    <cellStyle name="40% - Accent1 23 4 2 2" xfId="19400"/>
    <cellStyle name="40% - Accent1 23 4 2 2 2" xfId="19401"/>
    <cellStyle name="40% - Accent1 23 4 3" xfId="19402"/>
    <cellStyle name="40% - Accent1 23 4 3 2" xfId="19403"/>
    <cellStyle name="40% - Accent1 23 5" xfId="19404"/>
    <cellStyle name="40% - Accent1 23 5 2" xfId="19405"/>
    <cellStyle name="40% - Accent1 23 5 2 2" xfId="19406"/>
    <cellStyle name="40% - Accent1 23 6" xfId="19407"/>
    <cellStyle name="40% - Accent1 23 6 2" xfId="19408"/>
    <cellStyle name="40% - Accent1 23 7" xfId="19409"/>
    <cellStyle name="40% - Accent1 24" xfId="19410"/>
    <cellStyle name="40% - Accent1 24 2" xfId="19411"/>
    <cellStyle name="40% - Accent1 24 2 2" xfId="19412"/>
    <cellStyle name="40% - Accent1 24 2 2 2" xfId="19413"/>
    <cellStyle name="40% - Accent1 24 2 2 2 2" xfId="19414"/>
    <cellStyle name="40% - Accent1 24 2 2 2 2 2" xfId="19415"/>
    <cellStyle name="40% - Accent1 24 2 2 3" xfId="19416"/>
    <cellStyle name="40% - Accent1 24 2 2 3 2" xfId="19417"/>
    <cellStyle name="40% - Accent1 24 2 3" xfId="19418"/>
    <cellStyle name="40% - Accent1 24 2 3 2" xfId="19419"/>
    <cellStyle name="40% - Accent1 24 2 3 2 2" xfId="19420"/>
    <cellStyle name="40% - Accent1 24 2 4" xfId="19421"/>
    <cellStyle name="40% - Accent1 24 2 4 2" xfId="19422"/>
    <cellStyle name="40% - Accent1 24 3" xfId="19423"/>
    <cellStyle name="40% - Accent1 24 3 2" xfId="19424"/>
    <cellStyle name="40% - Accent1 24 3 2 2" xfId="19425"/>
    <cellStyle name="40% - Accent1 24 3 2 2 2" xfId="19426"/>
    <cellStyle name="40% - Accent1 24 3 3" xfId="19427"/>
    <cellStyle name="40% - Accent1 24 3 3 2" xfId="19428"/>
    <cellStyle name="40% - Accent1 24 4" xfId="19429"/>
    <cellStyle name="40% - Accent1 24 4 2" xfId="19430"/>
    <cellStyle name="40% - Accent1 24 4 2 2" xfId="19431"/>
    <cellStyle name="40% - Accent1 24 5" xfId="19432"/>
    <cellStyle name="40% - Accent1 24 5 2" xfId="19433"/>
    <cellStyle name="40% - Accent1 24 6" xfId="19434"/>
    <cellStyle name="40% - Accent1 25" xfId="19435"/>
    <cellStyle name="40% - Accent1 25 2" xfId="19436"/>
    <cellStyle name="40% - Accent1 25 2 2" xfId="19437"/>
    <cellStyle name="40% - Accent1 25 2 2 2" xfId="19438"/>
    <cellStyle name="40% - Accent1 25 2 2 2 2" xfId="19439"/>
    <cellStyle name="40% - Accent1 25 2 2 2 2 2" xfId="19440"/>
    <cellStyle name="40% - Accent1 25 2 2 3" xfId="19441"/>
    <cellStyle name="40% - Accent1 25 2 2 3 2" xfId="19442"/>
    <cellStyle name="40% - Accent1 25 2 3" xfId="19443"/>
    <cellStyle name="40% - Accent1 25 2 3 2" xfId="19444"/>
    <cellStyle name="40% - Accent1 25 2 3 2 2" xfId="19445"/>
    <cellStyle name="40% - Accent1 25 2 4" xfId="19446"/>
    <cellStyle name="40% - Accent1 25 2 4 2" xfId="19447"/>
    <cellStyle name="40% - Accent1 25 3" xfId="19448"/>
    <cellStyle name="40% - Accent1 25 3 2" xfId="19449"/>
    <cellStyle name="40% - Accent1 25 3 2 2" xfId="19450"/>
    <cellStyle name="40% - Accent1 25 3 2 2 2" xfId="19451"/>
    <cellStyle name="40% - Accent1 25 3 3" xfId="19452"/>
    <cellStyle name="40% - Accent1 25 3 3 2" xfId="19453"/>
    <cellStyle name="40% - Accent1 25 4" xfId="19454"/>
    <cellStyle name="40% - Accent1 25 4 2" xfId="19455"/>
    <cellStyle name="40% - Accent1 25 4 2 2" xfId="19456"/>
    <cellStyle name="40% - Accent1 25 5" xfId="19457"/>
    <cellStyle name="40% - Accent1 25 5 2" xfId="19458"/>
    <cellStyle name="40% - Accent1 25 6" xfId="19459"/>
    <cellStyle name="40% - Accent1 26" xfId="19460"/>
    <cellStyle name="40% - Accent1 26 2" xfId="19461"/>
    <cellStyle name="40% - Accent1 26 2 2" xfId="19462"/>
    <cellStyle name="40% - Accent1 26 2 2 2" xfId="19463"/>
    <cellStyle name="40% - Accent1 26 2 2 2 2" xfId="19464"/>
    <cellStyle name="40% - Accent1 26 2 2 2 2 2" xfId="19465"/>
    <cellStyle name="40% - Accent1 26 2 2 3" xfId="19466"/>
    <cellStyle name="40% - Accent1 26 2 2 3 2" xfId="19467"/>
    <cellStyle name="40% - Accent1 26 2 3" xfId="19468"/>
    <cellStyle name="40% - Accent1 26 2 3 2" xfId="19469"/>
    <cellStyle name="40% - Accent1 26 2 3 2 2" xfId="19470"/>
    <cellStyle name="40% - Accent1 26 2 4" xfId="19471"/>
    <cellStyle name="40% - Accent1 26 2 4 2" xfId="19472"/>
    <cellStyle name="40% - Accent1 26 3" xfId="19473"/>
    <cellStyle name="40% - Accent1 26 3 2" xfId="19474"/>
    <cellStyle name="40% - Accent1 26 3 2 2" xfId="19475"/>
    <cellStyle name="40% - Accent1 26 3 2 2 2" xfId="19476"/>
    <cellStyle name="40% - Accent1 26 3 3" xfId="19477"/>
    <cellStyle name="40% - Accent1 26 3 3 2" xfId="19478"/>
    <cellStyle name="40% - Accent1 26 4" xfId="19479"/>
    <cellStyle name="40% - Accent1 26 4 2" xfId="19480"/>
    <cellStyle name="40% - Accent1 26 4 2 2" xfId="19481"/>
    <cellStyle name="40% - Accent1 26 5" xfId="19482"/>
    <cellStyle name="40% - Accent1 26 5 2" xfId="19483"/>
    <cellStyle name="40% - Accent1 26 6" xfId="19484"/>
    <cellStyle name="40% - Accent1 27" xfId="19485"/>
    <cellStyle name="40% - Accent1 27 2" xfId="19486"/>
    <cellStyle name="40% - Accent1 27 2 2" xfId="19487"/>
    <cellStyle name="40% - Accent1 27 2 2 2" xfId="19488"/>
    <cellStyle name="40% - Accent1 27 2 2 2 2" xfId="19489"/>
    <cellStyle name="40% - Accent1 27 2 2 2 2 2" xfId="19490"/>
    <cellStyle name="40% - Accent1 27 2 2 3" xfId="19491"/>
    <cellStyle name="40% - Accent1 27 2 2 3 2" xfId="19492"/>
    <cellStyle name="40% - Accent1 27 2 3" xfId="19493"/>
    <cellStyle name="40% - Accent1 27 2 3 2" xfId="19494"/>
    <cellStyle name="40% - Accent1 27 2 3 2 2" xfId="19495"/>
    <cellStyle name="40% - Accent1 27 2 4" xfId="19496"/>
    <cellStyle name="40% - Accent1 27 2 4 2" xfId="19497"/>
    <cellStyle name="40% - Accent1 27 3" xfId="19498"/>
    <cellStyle name="40% - Accent1 27 3 2" xfId="19499"/>
    <cellStyle name="40% - Accent1 27 3 2 2" xfId="19500"/>
    <cellStyle name="40% - Accent1 27 3 2 2 2" xfId="19501"/>
    <cellStyle name="40% - Accent1 27 3 3" xfId="19502"/>
    <cellStyle name="40% - Accent1 27 3 3 2" xfId="19503"/>
    <cellStyle name="40% - Accent1 27 4" xfId="19504"/>
    <cellStyle name="40% - Accent1 27 4 2" xfId="19505"/>
    <cellStyle name="40% - Accent1 27 4 2 2" xfId="19506"/>
    <cellStyle name="40% - Accent1 27 5" xfId="19507"/>
    <cellStyle name="40% - Accent1 27 5 2" xfId="19508"/>
    <cellStyle name="40% - Accent1 27 6" xfId="19509"/>
    <cellStyle name="40% - Accent1 28" xfId="19510"/>
    <cellStyle name="40% - Accent1 28 2" xfId="19511"/>
    <cellStyle name="40% - Accent1 28 2 2" xfId="19512"/>
    <cellStyle name="40% - Accent1 28 2 2 2" xfId="19513"/>
    <cellStyle name="40% - Accent1 28 2 2 2 2" xfId="19514"/>
    <cellStyle name="40% - Accent1 28 2 3" xfId="19515"/>
    <cellStyle name="40% - Accent1 28 2 3 2" xfId="19516"/>
    <cellStyle name="40% - Accent1 28 3" xfId="19517"/>
    <cellStyle name="40% - Accent1 28 3 2" xfId="19518"/>
    <cellStyle name="40% - Accent1 28 3 2 2" xfId="19519"/>
    <cellStyle name="40% - Accent1 28 4" xfId="19520"/>
    <cellStyle name="40% - Accent1 28 4 2" xfId="19521"/>
    <cellStyle name="40% - Accent1 28 5" xfId="19522"/>
    <cellStyle name="40% - Accent1 29" xfId="19523"/>
    <cellStyle name="40% - Accent1 29 2" xfId="19524"/>
    <cellStyle name="40% - Accent1 29 2 2" xfId="19525"/>
    <cellStyle name="40% - Accent1 29 2 2 2" xfId="19526"/>
    <cellStyle name="40% - Accent1 29 3" xfId="19527"/>
    <cellStyle name="40% - Accent1 29 3 2" xfId="19528"/>
    <cellStyle name="40% - Accent1 29 4" xfId="19529"/>
    <cellStyle name="40% - Accent1 3" xfId="19530"/>
    <cellStyle name="40% - Accent1 3 10" xfId="19531"/>
    <cellStyle name="40% - Accent1 3 10 2" xfId="19532"/>
    <cellStyle name="40% - Accent1 3 10 2 2" xfId="19533"/>
    <cellStyle name="40% - Accent1 3 10 2 2 2" xfId="19534"/>
    <cellStyle name="40% - Accent1 3 10 2 2 2 2" xfId="19535"/>
    <cellStyle name="40% - Accent1 3 10 2 2 2 2 2" xfId="19536"/>
    <cellStyle name="40% - Accent1 3 10 2 2 2 2 2 2" xfId="19537"/>
    <cellStyle name="40% - Accent1 3 10 2 2 2 3" xfId="19538"/>
    <cellStyle name="40% - Accent1 3 10 2 2 2 3 2" xfId="19539"/>
    <cellStyle name="40% - Accent1 3 10 2 2 3" xfId="19540"/>
    <cellStyle name="40% - Accent1 3 10 2 2 3 2" xfId="19541"/>
    <cellStyle name="40% - Accent1 3 10 2 2 3 2 2" xfId="19542"/>
    <cellStyle name="40% - Accent1 3 10 2 2 4" xfId="19543"/>
    <cellStyle name="40% - Accent1 3 10 2 2 4 2" xfId="19544"/>
    <cellStyle name="40% - Accent1 3 10 2 3" xfId="19545"/>
    <cellStyle name="40% - Accent1 3 10 2 3 2" xfId="19546"/>
    <cellStyle name="40% - Accent1 3 10 2 3 2 2" xfId="19547"/>
    <cellStyle name="40% - Accent1 3 10 2 3 2 2 2" xfId="19548"/>
    <cellStyle name="40% - Accent1 3 10 2 3 3" xfId="19549"/>
    <cellStyle name="40% - Accent1 3 10 2 3 3 2" xfId="19550"/>
    <cellStyle name="40% - Accent1 3 10 2 4" xfId="19551"/>
    <cellStyle name="40% - Accent1 3 10 2 4 2" xfId="19552"/>
    <cellStyle name="40% - Accent1 3 10 2 4 2 2" xfId="19553"/>
    <cellStyle name="40% - Accent1 3 10 2 5" xfId="19554"/>
    <cellStyle name="40% - Accent1 3 10 2 5 2" xfId="19555"/>
    <cellStyle name="40% - Accent1 3 10 3" xfId="19556"/>
    <cellStyle name="40% - Accent1 3 10 3 2" xfId="19557"/>
    <cellStyle name="40% - Accent1 3 10 3 2 2" xfId="19558"/>
    <cellStyle name="40% - Accent1 3 10 3 2 2 2" xfId="19559"/>
    <cellStyle name="40% - Accent1 3 10 3 2 2 2 2" xfId="19560"/>
    <cellStyle name="40% - Accent1 3 10 3 2 3" xfId="19561"/>
    <cellStyle name="40% - Accent1 3 10 3 2 3 2" xfId="19562"/>
    <cellStyle name="40% - Accent1 3 10 3 3" xfId="19563"/>
    <cellStyle name="40% - Accent1 3 10 3 3 2" xfId="19564"/>
    <cellStyle name="40% - Accent1 3 10 3 3 2 2" xfId="19565"/>
    <cellStyle name="40% - Accent1 3 10 3 4" xfId="19566"/>
    <cellStyle name="40% - Accent1 3 10 3 4 2" xfId="19567"/>
    <cellStyle name="40% - Accent1 3 10 4" xfId="19568"/>
    <cellStyle name="40% - Accent1 3 10 4 2" xfId="19569"/>
    <cellStyle name="40% - Accent1 3 10 4 2 2" xfId="19570"/>
    <cellStyle name="40% - Accent1 3 10 4 2 2 2" xfId="19571"/>
    <cellStyle name="40% - Accent1 3 10 4 3" xfId="19572"/>
    <cellStyle name="40% - Accent1 3 10 4 3 2" xfId="19573"/>
    <cellStyle name="40% - Accent1 3 10 5" xfId="19574"/>
    <cellStyle name="40% - Accent1 3 10 5 2" xfId="19575"/>
    <cellStyle name="40% - Accent1 3 10 5 2 2" xfId="19576"/>
    <cellStyle name="40% - Accent1 3 10 6" xfId="19577"/>
    <cellStyle name="40% - Accent1 3 10 6 2" xfId="19578"/>
    <cellStyle name="40% - Accent1 3 10 7" xfId="19579"/>
    <cellStyle name="40% - Accent1 3 10 8" xfId="19580"/>
    <cellStyle name="40% - Accent1 3 10 9" xfId="19581"/>
    <cellStyle name="40% - Accent1 3 11" xfId="19582"/>
    <cellStyle name="40% - Accent1 3 11 2" xfId="19583"/>
    <cellStyle name="40% - Accent1 3 11 2 2" xfId="19584"/>
    <cellStyle name="40% - Accent1 3 11 2 2 2" xfId="19585"/>
    <cellStyle name="40% - Accent1 3 11 2 2 2 2" xfId="19586"/>
    <cellStyle name="40% - Accent1 3 11 2 2 2 2 2" xfId="19587"/>
    <cellStyle name="40% - Accent1 3 11 2 2 2 2 2 2" xfId="19588"/>
    <cellStyle name="40% - Accent1 3 11 2 2 2 3" xfId="19589"/>
    <cellStyle name="40% - Accent1 3 11 2 2 2 3 2" xfId="19590"/>
    <cellStyle name="40% - Accent1 3 11 2 2 3" xfId="19591"/>
    <cellStyle name="40% - Accent1 3 11 2 2 3 2" xfId="19592"/>
    <cellStyle name="40% - Accent1 3 11 2 2 3 2 2" xfId="19593"/>
    <cellStyle name="40% - Accent1 3 11 2 2 4" xfId="19594"/>
    <cellStyle name="40% - Accent1 3 11 2 2 4 2" xfId="19595"/>
    <cellStyle name="40% - Accent1 3 11 2 3" xfId="19596"/>
    <cellStyle name="40% - Accent1 3 11 2 3 2" xfId="19597"/>
    <cellStyle name="40% - Accent1 3 11 2 3 2 2" xfId="19598"/>
    <cellStyle name="40% - Accent1 3 11 2 3 2 2 2" xfId="19599"/>
    <cellStyle name="40% - Accent1 3 11 2 3 3" xfId="19600"/>
    <cellStyle name="40% - Accent1 3 11 2 3 3 2" xfId="19601"/>
    <cellStyle name="40% - Accent1 3 11 2 4" xfId="19602"/>
    <cellStyle name="40% - Accent1 3 11 2 4 2" xfId="19603"/>
    <cellStyle name="40% - Accent1 3 11 2 4 2 2" xfId="19604"/>
    <cellStyle name="40% - Accent1 3 11 2 5" xfId="19605"/>
    <cellStyle name="40% - Accent1 3 11 2 5 2" xfId="19606"/>
    <cellStyle name="40% - Accent1 3 11 3" xfId="19607"/>
    <cellStyle name="40% - Accent1 3 11 3 2" xfId="19608"/>
    <cellStyle name="40% - Accent1 3 11 3 2 2" xfId="19609"/>
    <cellStyle name="40% - Accent1 3 11 3 2 2 2" xfId="19610"/>
    <cellStyle name="40% - Accent1 3 11 3 2 2 2 2" xfId="19611"/>
    <cellStyle name="40% - Accent1 3 11 3 2 3" xfId="19612"/>
    <cellStyle name="40% - Accent1 3 11 3 2 3 2" xfId="19613"/>
    <cellStyle name="40% - Accent1 3 11 3 3" xfId="19614"/>
    <cellStyle name="40% - Accent1 3 11 3 3 2" xfId="19615"/>
    <cellStyle name="40% - Accent1 3 11 3 3 2 2" xfId="19616"/>
    <cellStyle name="40% - Accent1 3 11 3 4" xfId="19617"/>
    <cellStyle name="40% - Accent1 3 11 3 4 2" xfId="19618"/>
    <cellStyle name="40% - Accent1 3 11 4" xfId="19619"/>
    <cellStyle name="40% - Accent1 3 11 4 2" xfId="19620"/>
    <cellStyle name="40% - Accent1 3 11 4 2 2" xfId="19621"/>
    <cellStyle name="40% - Accent1 3 11 4 2 2 2" xfId="19622"/>
    <cellStyle name="40% - Accent1 3 11 4 3" xfId="19623"/>
    <cellStyle name="40% - Accent1 3 11 4 3 2" xfId="19624"/>
    <cellStyle name="40% - Accent1 3 11 5" xfId="19625"/>
    <cellStyle name="40% - Accent1 3 11 5 2" xfId="19626"/>
    <cellStyle name="40% - Accent1 3 11 5 2 2" xfId="19627"/>
    <cellStyle name="40% - Accent1 3 11 6" xfId="19628"/>
    <cellStyle name="40% - Accent1 3 11 6 2" xfId="19629"/>
    <cellStyle name="40% - Accent1 3 11 7" xfId="19630"/>
    <cellStyle name="40% - Accent1 3 12" xfId="19631"/>
    <cellStyle name="40% - Accent1 3 12 2" xfId="19632"/>
    <cellStyle name="40% - Accent1 3 12 2 2" xfId="19633"/>
    <cellStyle name="40% - Accent1 3 12 2 2 2" xfId="19634"/>
    <cellStyle name="40% - Accent1 3 12 2 2 2 2" xfId="19635"/>
    <cellStyle name="40% - Accent1 3 12 2 2 2 2 2" xfId="19636"/>
    <cellStyle name="40% - Accent1 3 12 2 2 2 2 2 2" xfId="19637"/>
    <cellStyle name="40% - Accent1 3 12 2 2 2 3" xfId="19638"/>
    <cellStyle name="40% - Accent1 3 12 2 2 2 3 2" xfId="19639"/>
    <cellStyle name="40% - Accent1 3 12 2 2 3" xfId="19640"/>
    <cellStyle name="40% - Accent1 3 12 2 2 3 2" xfId="19641"/>
    <cellStyle name="40% - Accent1 3 12 2 2 3 2 2" xfId="19642"/>
    <cellStyle name="40% - Accent1 3 12 2 2 4" xfId="19643"/>
    <cellStyle name="40% - Accent1 3 12 2 2 4 2" xfId="19644"/>
    <cellStyle name="40% - Accent1 3 12 2 3" xfId="19645"/>
    <cellStyle name="40% - Accent1 3 12 2 3 2" xfId="19646"/>
    <cellStyle name="40% - Accent1 3 12 2 3 2 2" xfId="19647"/>
    <cellStyle name="40% - Accent1 3 12 2 3 2 2 2" xfId="19648"/>
    <cellStyle name="40% - Accent1 3 12 2 3 3" xfId="19649"/>
    <cellStyle name="40% - Accent1 3 12 2 3 3 2" xfId="19650"/>
    <cellStyle name="40% - Accent1 3 12 2 4" xfId="19651"/>
    <cellStyle name="40% - Accent1 3 12 2 4 2" xfId="19652"/>
    <cellStyle name="40% - Accent1 3 12 2 4 2 2" xfId="19653"/>
    <cellStyle name="40% - Accent1 3 12 2 5" xfId="19654"/>
    <cellStyle name="40% - Accent1 3 12 2 5 2" xfId="19655"/>
    <cellStyle name="40% - Accent1 3 12 3" xfId="19656"/>
    <cellStyle name="40% - Accent1 3 12 3 2" xfId="19657"/>
    <cellStyle name="40% - Accent1 3 12 3 2 2" xfId="19658"/>
    <cellStyle name="40% - Accent1 3 12 3 2 2 2" xfId="19659"/>
    <cellStyle name="40% - Accent1 3 12 3 2 2 2 2" xfId="19660"/>
    <cellStyle name="40% - Accent1 3 12 3 2 3" xfId="19661"/>
    <cellStyle name="40% - Accent1 3 12 3 2 3 2" xfId="19662"/>
    <cellStyle name="40% - Accent1 3 12 3 3" xfId="19663"/>
    <cellStyle name="40% - Accent1 3 12 3 3 2" xfId="19664"/>
    <cellStyle name="40% - Accent1 3 12 3 3 2 2" xfId="19665"/>
    <cellStyle name="40% - Accent1 3 12 3 4" xfId="19666"/>
    <cellStyle name="40% - Accent1 3 12 3 4 2" xfId="19667"/>
    <cellStyle name="40% - Accent1 3 12 4" xfId="19668"/>
    <cellStyle name="40% - Accent1 3 12 4 2" xfId="19669"/>
    <cellStyle name="40% - Accent1 3 12 4 2 2" xfId="19670"/>
    <cellStyle name="40% - Accent1 3 12 4 2 2 2" xfId="19671"/>
    <cellStyle name="40% - Accent1 3 12 4 3" xfId="19672"/>
    <cellStyle name="40% - Accent1 3 12 4 3 2" xfId="19673"/>
    <cellStyle name="40% - Accent1 3 12 5" xfId="19674"/>
    <cellStyle name="40% - Accent1 3 12 5 2" xfId="19675"/>
    <cellStyle name="40% - Accent1 3 12 5 2 2" xfId="19676"/>
    <cellStyle name="40% - Accent1 3 12 6" xfId="19677"/>
    <cellStyle name="40% - Accent1 3 12 6 2" xfId="19678"/>
    <cellStyle name="40% - Accent1 3 13" xfId="19679"/>
    <cellStyle name="40% - Accent1 3 13 2" xfId="19680"/>
    <cellStyle name="40% - Accent1 3 13 2 2" xfId="19681"/>
    <cellStyle name="40% - Accent1 3 13 2 2 2" xfId="19682"/>
    <cellStyle name="40% - Accent1 3 13 2 2 2 2" xfId="19683"/>
    <cellStyle name="40% - Accent1 3 13 2 2 2 2 2" xfId="19684"/>
    <cellStyle name="40% - Accent1 3 13 2 2 2 2 2 2" xfId="19685"/>
    <cellStyle name="40% - Accent1 3 13 2 2 2 3" xfId="19686"/>
    <cellStyle name="40% - Accent1 3 13 2 2 2 3 2" xfId="19687"/>
    <cellStyle name="40% - Accent1 3 13 2 2 3" xfId="19688"/>
    <cellStyle name="40% - Accent1 3 13 2 2 3 2" xfId="19689"/>
    <cellStyle name="40% - Accent1 3 13 2 2 3 2 2" xfId="19690"/>
    <cellStyle name="40% - Accent1 3 13 2 2 4" xfId="19691"/>
    <cellStyle name="40% - Accent1 3 13 2 2 4 2" xfId="19692"/>
    <cellStyle name="40% - Accent1 3 13 2 3" xfId="19693"/>
    <cellStyle name="40% - Accent1 3 13 2 3 2" xfId="19694"/>
    <cellStyle name="40% - Accent1 3 13 2 3 2 2" xfId="19695"/>
    <cellStyle name="40% - Accent1 3 13 2 3 2 2 2" xfId="19696"/>
    <cellStyle name="40% - Accent1 3 13 2 3 3" xfId="19697"/>
    <cellStyle name="40% - Accent1 3 13 2 3 3 2" xfId="19698"/>
    <cellStyle name="40% - Accent1 3 13 2 4" xfId="19699"/>
    <cellStyle name="40% - Accent1 3 13 2 4 2" xfId="19700"/>
    <cellStyle name="40% - Accent1 3 13 2 4 2 2" xfId="19701"/>
    <cellStyle name="40% - Accent1 3 13 2 5" xfId="19702"/>
    <cellStyle name="40% - Accent1 3 13 2 5 2" xfId="19703"/>
    <cellStyle name="40% - Accent1 3 13 3" xfId="19704"/>
    <cellStyle name="40% - Accent1 3 13 3 2" xfId="19705"/>
    <cellStyle name="40% - Accent1 3 13 3 2 2" xfId="19706"/>
    <cellStyle name="40% - Accent1 3 13 3 2 2 2" xfId="19707"/>
    <cellStyle name="40% - Accent1 3 13 3 2 2 2 2" xfId="19708"/>
    <cellStyle name="40% - Accent1 3 13 3 2 3" xfId="19709"/>
    <cellStyle name="40% - Accent1 3 13 3 2 3 2" xfId="19710"/>
    <cellStyle name="40% - Accent1 3 13 3 3" xfId="19711"/>
    <cellStyle name="40% - Accent1 3 13 3 3 2" xfId="19712"/>
    <cellStyle name="40% - Accent1 3 13 3 3 2 2" xfId="19713"/>
    <cellStyle name="40% - Accent1 3 13 3 4" xfId="19714"/>
    <cellStyle name="40% - Accent1 3 13 3 4 2" xfId="19715"/>
    <cellStyle name="40% - Accent1 3 13 4" xfId="19716"/>
    <cellStyle name="40% - Accent1 3 13 4 2" xfId="19717"/>
    <cellStyle name="40% - Accent1 3 13 4 2 2" xfId="19718"/>
    <cellStyle name="40% - Accent1 3 13 4 2 2 2" xfId="19719"/>
    <cellStyle name="40% - Accent1 3 13 4 3" xfId="19720"/>
    <cellStyle name="40% - Accent1 3 13 4 3 2" xfId="19721"/>
    <cellStyle name="40% - Accent1 3 13 5" xfId="19722"/>
    <cellStyle name="40% - Accent1 3 13 5 2" xfId="19723"/>
    <cellStyle name="40% - Accent1 3 13 5 2 2" xfId="19724"/>
    <cellStyle name="40% - Accent1 3 13 6" xfId="19725"/>
    <cellStyle name="40% - Accent1 3 13 6 2" xfId="19726"/>
    <cellStyle name="40% - Accent1 3 14" xfId="19727"/>
    <cellStyle name="40% - Accent1 3 14 2" xfId="19728"/>
    <cellStyle name="40% - Accent1 3 14 2 2" xfId="19729"/>
    <cellStyle name="40% - Accent1 3 14 2 2 2" xfId="19730"/>
    <cellStyle name="40% - Accent1 3 14 2 2 2 2" xfId="19731"/>
    <cellStyle name="40% - Accent1 3 14 2 2 2 2 2" xfId="19732"/>
    <cellStyle name="40% - Accent1 3 14 2 2 3" xfId="19733"/>
    <cellStyle name="40% - Accent1 3 14 2 2 3 2" xfId="19734"/>
    <cellStyle name="40% - Accent1 3 14 2 3" xfId="19735"/>
    <cellStyle name="40% - Accent1 3 14 2 3 2" xfId="19736"/>
    <cellStyle name="40% - Accent1 3 14 2 3 2 2" xfId="19737"/>
    <cellStyle name="40% - Accent1 3 14 2 4" xfId="19738"/>
    <cellStyle name="40% - Accent1 3 14 2 4 2" xfId="19739"/>
    <cellStyle name="40% - Accent1 3 14 3" xfId="19740"/>
    <cellStyle name="40% - Accent1 3 14 3 2" xfId="19741"/>
    <cellStyle name="40% - Accent1 3 14 3 2 2" xfId="19742"/>
    <cellStyle name="40% - Accent1 3 14 3 2 2 2" xfId="19743"/>
    <cellStyle name="40% - Accent1 3 14 3 3" xfId="19744"/>
    <cellStyle name="40% - Accent1 3 14 3 3 2" xfId="19745"/>
    <cellStyle name="40% - Accent1 3 14 4" xfId="19746"/>
    <cellStyle name="40% - Accent1 3 14 4 2" xfId="19747"/>
    <cellStyle name="40% - Accent1 3 14 4 2 2" xfId="19748"/>
    <cellStyle name="40% - Accent1 3 14 5" xfId="19749"/>
    <cellStyle name="40% - Accent1 3 14 5 2" xfId="19750"/>
    <cellStyle name="40% - Accent1 3 15" xfId="19751"/>
    <cellStyle name="40% - Accent1 3 15 2" xfId="19752"/>
    <cellStyle name="40% - Accent1 3 15 2 2" xfId="19753"/>
    <cellStyle name="40% - Accent1 3 15 2 2 2" xfId="19754"/>
    <cellStyle name="40% - Accent1 3 15 2 2 2 2" xfId="19755"/>
    <cellStyle name="40% - Accent1 3 15 2 3" xfId="19756"/>
    <cellStyle name="40% - Accent1 3 15 2 3 2" xfId="19757"/>
    <cellStyle name="40% - Accent1 3 15 3" xfId="19758"/>
    <cellStyle name="40% - Accent1 3 15 3 2" xfId="19759"/>
    <cellStyle name="40% - Accent1 3 15 3 2 2" xfId="19760"/>
    <cellStyle name="40% - Accent1 3 15 4" xfId="19761"/>
    <cellStyle name="40% - Accent1 3 15 4 2" xfId="19762"/>
    <cellStyle name="40% - Accent1 3 16" xfId="19763"/>
    <cellStyle name="40% - Accent1 3 16 2" xfId="19764"/>
    <cellStyle name="40% - Accent1 3 16 2 2" xfId="19765"/>
    <cellStyle name="40% - Accent1 3 16 2 2 2" xfId="19766"/>
    <cellStyle name="40% - Accent1 3 16 3" xfId="19767"/>
    <cellStyle name="40% - Accent1 3 16 3 2" xfId="19768"/>
    <cellStyle name="40% - Accent1 3 17" xfId="19769"/>
    <cellStyle name="40% - Accent1 3 17 2" xfId="19770"/>
    <cellStyle name="40% - Accent1 3 17 2 2" xfId="19771"/>
    <cellStyle name="40% - Accent1 3 18" xfId="19772"/>
    <cellStyle name="40% - Accent1 3 18 2" xfId="19773"/>
    <cellStyle name="40% - Accent1 3 19" xfId="19774"/>
    <cellStyle name="40% - Accent1 3 2" xfId="19775"/>
    <cellStyle name="40% - Accent1 3 2 10" xfId="19776"/>
    <cellStyle name="40% - Accent1 3 2 11" xfId="19777"/>
    <cellStyle name="40% - Accent1 3 2 2" xfId="19778"/>
    <cellStyle name="40% - Accent1 3 2 2 2" xfId="19779"/>
    <cellStyle name="40% - Accent1 3 2 2 2 2" xfId="19780"/>
    <cellStyle name="40% - Accent1 3 2 2 2 2 2" xfId="19781"/>
    <cellStyle name="40% - Accent1 3 2 2 2 2 2 2" xfId="19782"/>
    <cellStyle name="40% - Accent1 3 2 2 2 2 2 2 2" xfId="19783"/>
    <cellStyle name="40% - Accent1 3 2 2 2 2 3" xfId="19784"/>
    <cellStyle name="40% - Accent1 3 2 2 2 2 3 2" xfId="19785"/>
    <cellStyle name="40% - Accent1 3 2 2 2 3" xfId="19786"/>
    <cellStyle name="40% - Accent1 3 2 2 2 3 2" xfId="19787"/>
    <cellStyle name="40% - Accent1 3 2 2 2 3 2 2" xfId="19788"/>
    <cellStyle name="40% - Accent1 3 2 2 2 4" xfId="19789"/>
    <cellStyle name="40% - Accent1 3 2 2 2 4 2" xfId="19790"/>
    <cellStyle name="40% - Accent1 3 2 2 3" xfId="19791"/>
    <cellStyle name="40% - Accent1 3 2 2 3 2" xfId="19792"/>
    <cellStyle name="40% - Accent1 3 2 2 3 2 2" xfId="19793"/>
    <cellStyle name="40% - Accent1 3 2 2 3 2 2 2" xfId="19794"/>
    <cellStyle name="40% - Accent1 3 2 2 3 3" xfId="19795"/>
    <cellStyle name="40% - Accent1 3 2 2 3 3 2" xfId="19796"/>
    <cellStyle name="40% - Accent1 3 2 2 4" xfId="19797"/>
    <cellStyle name="40% - Accent1 3 2 2 4 2" xfId="19798"/>
    <cellStyle name="40% - Accent1 3 2 2 4 2 2" xfId="19799"/>
    <cellStyle name="40% - Accent1 3 2 2 5" xfId="19800"/>
    <cellStyle name="40% - Accent1 3 2 2 5 2" xfId="19801"/>
    <cellStyle name="40% - Accent1 3 2 2 6" xfId="19802"/>
    <cellStyle name="40% - Accent1 3 2 2 7" xfId="19803"/>
    <cellStyle name="40% - Accent1 3 2 2 8" xfId="19804"/>
    <cellStyle name="40% - Accent1 3 2 3" xfId="19805"/>
    <cellStyle name="40% - Accent1 3 2 3 2" xfId="19806"/>
    <cellStyle name="40% - Accent1 3 2 3 2 2" xfId="19807"/>
    <cellStyle name="40% - Accent1 3 2 3 2 2 2" xfId="19808"/>
    <cellStyle name="40% - Accent1 3 2 3 2 2 2 2" xfId="19809"/>
    <cellStyle name="40% - Accent1 3 2 3 2 3" xfId="19810"/>
    <cellStyle name="40% - Accent1 3 2 3 2 3 2" xfId="19811"/>
    <cellStyle name="40% - Accent1 3 2 3 3" xfId="19812"/>
    <cellStyle name="40% - Accent1 3 2 3 3 2" xfId="19813"/>
    <cellStyle name="40% - Accent1 3 2 3 3 2 2" xfId="19814"/>
    <cellStyle name="40% - Accent1 3 2 3 4" xfId="19815"/>
    <cellStyle name="40% - Accent1 3 2 3 4 2" xfId="19816"/>
    <cellStyle name="40% - Accent1 3 2 3 5" xfId="19817"/>
    <cellStyle name="40% - Accent1 3 2 3 6" xfId="19818"/>
    <cellStyle name="40% - Accent1 3 2 3 7" xfId="19819"/>
    <cellStyle name="40% - Accent1 3 2 4" xfId="19820"/>
    <cellStyle name="40% - Accent1 3 2 4 2" xfId="19821"/>
    <cellStyle name="40% - Accent1 3 2 4 2 2" xfId="19822"/>
    <cellStyle name="40% - Accent1 3 2 4 2 2 2" xfId="19823"/>
    <cellStyle name="40% - Accent1 3 2 4 3" xfId="19824"/>
    <cellStyle name="40% - Accent1 3 2 4 3 2" xfId="19825"/>
    <cellStyle name="40% - Accent1 3 2 4 4" xfId="19826"/>
    <cellStyle name="40% - Accent1 3 2 5" xfId="19827"/>
    <cellStyle name="40% - Accent1 3 2 5 2" xfId="19828"/>
    <cellStyle name="40% - Accent1 3 2 5 2 2" xfId="19829"/>
    <cellStyle name="40% - Accent1 3 2 6" xfId="19830"/>
    <cellStyle name="40% - Accent1 3 2 6 2" xfId="19831"/>
    <cellStyle name="40% - Accent1 3 2 7" xfId="19832"/>
    <cellStyle name="40% - Accent1 3 2 8" xfId="19833"/>
    <cellStyle name="40% - Accent1 3 2 9" xfId="19834"/>
    <cellStyle name="40% - Accent1 3 20" xfId="19835"/>
    <cellStyle name="40% - Accent1 3 21" xfId="19836"/>
    <cellStyle name="40% - Accent1 3 22" xfId="19837"/>
    <cellStyle name="40% - Accent1 3 3" xfId="19838"/>
    <cellStyle name="40% - Accent1 3 3 10" xfId="19839"/>
    <cellStyle name="40% - Accent1 3 3 11" xfId="19840"/>
    <cellStyle name="40% - Accent1 3 3 2" xfId="19841"/>
    <cellStyle name="40% - Accent1 3 3 2 2" xfId="19842"/>
    <cellStyle name="40% - Accent1 3 3 2 2 2" xfId="19843"/>
    <cellStyle name="40% - Accent1 3 3 2 2 2 2" xfId="19844"/>
    <cellStyle name="40% - Accent1 3 3 2 2 2 2 2" xfId="19845"/>
    <cellStyle name="40% - Accent1 3 3 2 2 2 2 2 2" xfId="19846"/>
    <cellStyle name="40% - Accent1 3 3 2 2 2 3" xfId="19847"/>
    <cellStyle name="40% - Accent1 3 3 2 2 2 3 2" xfId="19848"/>
    <cellStyle name="40% - Accent1 3 3 2 2 3" xfId="19849"/>
    <cellStyle name="40% - Accent1 3 3 2 2 3 2" xfId="19850"/>
    <cellStyle name="40% - Accent1 3 3 2 2 3 2 2" xfId="19851"/>
    <cellStyle name="40% - Accent1 3 3 2 2 4" xfId="19852"/>
    <cellStyle name="40% - Accent1 3 3 2 2 4 2" xfId="19853"/>
    <cellStyle name="40% - Accent1 3 3 2 3" xfId="19854"/>
    <cellStyle name="40% - Accent1 3 3 2 3 2" xfId="19855"/>
    <cellStyle name="40% - Accent1 3 3 2 3 2 2" xfId="19856"/>
    <cellStyle name="40% - Accent1 3 3 2 3 2 2 2" xfId="19857"/>
    <cellStyle name="40% - Accent1 3 3 2 3 3" xfId="19858"/>
    <cellStyle name="40% - Accent1 3 3 2 3 3 2" xfId="19859"/>
    <cellStyle name="40% - Accent1 3 3 2 4" xfId="19860"/>
    <cellStyle name="40% - Accent1 3 3 2 4 2" xfId="19861"/>
    <cellStyle name="40% - Accent1 3 3 2 4 2 2" xfId="19862"/>
    <cellStyle name="40% - Accent1 3 3 2 5" xfId="19863"/>
    <cellStyle name="40% - Accent1 3 3 2 5 2" xfId="19864"/>
    <cellStyle name="40% - Accent1 3 3 2 6" xfId="19865"/>
    <cellStyle name="40% - Accent1 3 3 2 7" xfId="19866"/>
    <cellStyle name="40% - Accent1 3 3 2 8" xfId="19867"/>
    <cellStyle name="40% - Accent1 3 3 3" xfId="19868"/>
    <cellStyle name="40% - Accent1 3 3 3 2" xfId="19869"/>
    <cellStyle name="40% - Accent1 3 3 3 2 2" xfId="19870"/>
    <cellStyle name="40% - Accent1 3 3 3 2 2 2" xfId="19871"/>
    <cellStyle name="40% - Accent1 3 3 3 2 2 2 2" xfId="19872"/>
    <cellStyle name="40% - Accent1 3 3 3 2 3" xfId="19873"/>
    <cellStyle name="40% - Accent1 3 3 3 2 3 2" xfId="19874"/>
    <cellStyle name="40% - Accent1 3 3 3 3" xfId="19875"/>
    <cellStyle name="40% - Accent1 3 3 3 3 2" xfId="19876"/>
    <cellStyle name="40% - Accent1 3 3 3 3 2 2" xfId="19877"/>
    <cellStyle name="40% - Accent1 3 3 3 4" xfId="19878"/>
    <cellStyle name="40% - Accent1 3 3 3 4 2" xfId="19879"/>
    <cellStyle name="40% - Accent1 3 3 3 5" xfId="19880"/>
    <cellStyle name="40% - Accent1 3 3 3 6" xfId="19881"/>
    <cellStyle name="40% - Accent1 3 3 3 7" xfId="19882"/>
    <cellStyle name="40% - Accent1 3 3 4" xfId="19883"/>
    <cellStyle name="40% - Accent1 3 3 4 2" xfId="19884"/>
    <cellStyle name="40% - Accent1 3 3 4 2 2" xfId="19885"/>
    <cellStyle name="40% - Accent1 3 3 4 2 2 2" xfId="19886"/>
    <cellStyle name="40% - Accent1 3 3 4 3" xfId="19887"/>
    <cellStyle name="40% - Accent1 3 3 4 3 2" xfId="19888"/>
    <cellStyle name="40% - Accent1 3 3 4 4" xfId="19889"/>
    <cellStyle name="40% - Accent1 3 3 5" xfId="19890"/>
    <cellStyle name="40% - Accent1 3 3 5 2" xfId="19891"/>
    <cellStyle name="40% - Accent1 3 3 5 2 2" xfId="19892"/>
    <cellStyle name="40% - Accent1 3 3 6" xfId="19893"/>
    <cellStyle name="40% - Accent1 3 3 6 2" xfId="19894"/>
    <cellStyle name="40% - Accent1 3 3 7" xfId="19895"/>
    <cellStyle name="40% - Accent1 3 3 8" xfId="19896"/>
    <cellStyle name="40% - Accent1 3 3 9" xfId="19897"/>
    <cellStyle name="40% - Accent1 3 4" xfId="19898"/>
    <cellStyle name="40% - Accent1 3 4 2" xfId="19899"/>
    <cellStyle name="40% - Accent1 3 4 2 2" xfId="19900"/>
    <cellStyle name="40% - Accent1 3 4 2 2 2" xfId="19901"/>
    <cellStyle name="40% - Accent1 3 4 2 2 2 2" xfId="19902"/>
    <cellStyle name="40% - Accent1 3 4 2 2 2 2 2" xfId="19903"/>
    <cellStyle name="40% - Accent1 3 4 2 2 2 2 2 2" xfId="19904"/>
    <cellStyle name="40% - Accent1 3 4 2 2 2 3" xfId="19905"/>
    <cellStyle name="40% - Accent1 3 4 2 2 2 3 2" xfId="19906"/>
    <cellStyle name="40% - Accent1 3 4 2 2 3" xfId="19907"/>
    <cellStyle name="40% - Accent1 3 4 2 2 3 2" xfId="19908"/>
    <cellStyle name="40% - Accent1 3 4 2 2 3 2 2" xfId="19909"/>
    <cellStyle name="40% - Accent1 3 4 2 2 4" xfId="19910"/>
    <cellStyle name="40% - Accent1 3 4 2 2 4 2" xfId="19911"/>
    <cellStyle name="40% - Accent1 3 4 2 3" xfId="19912"/>
    <cellStyle name="40% - Accent1 3 4 2 3 2" xfId="19913"/>
    <cellStyle name="40% - Accent1 3 4 2 3 2 2" xfId="19914"/>
    <cellStyle name="40% - Accent1 3 4 2 3 2 2 2" xfId="19915"/>
    <cellStyle name="40% - Accent1 3 4 2 3 3" xfId="19916"/>
    <cellStyle name="40% - Accent1 3 4 2 3 3 2" xfId="19917"/>
    <cellStyle name="40% - Accent1 3 4 2 4" xfId="19918"/>
    <cellStyle name="40% - Accent1 3 4 2 4 2" xfId="19919"/>
    <cellStyle name="40% - Accent1 3 4 2 4 2 2" xfId="19920"/>
    <cellStyle name="40% - Accent1 3 4 2 5" xfId="19921"/>
    <cellStyle name="40% - Accent1 3 4 2 5 2" xfId="19922"/>
    <cellStyle name="40% - Accent1 3 4 3" xfId="19923"/>
    <cellStyle name="40% - Accent1 3 4 3 2" xfId="19924"/>
    <cellStyle name="40% - Accent1 3 4 3 2 2" xfId="19925"/>
    <cellStyle name="40% - Accent1 3 4 3 2 2 2" xfId="19926"/>
    <cellStyle name="40% - Accent1 3 4 3 2 2 2 2" xfId="19927"/>
    <cellStyle name="40% - Accent1 3 4 3 2 3" xfId="19928"/>
    <cellStyle name="40% - Accent1 3 4 3 2 3 2" xfId="19929"/>
    <cellStyle name="40% - Accent1 3 4 3 3" xfId="19930"/>
    <cellStyle name="40% - Accent1 3 4 3 3 2" xfId="19931"/>
    <cellStyle name="40% - Accent1 3 4 3 3 2 2" xfId="19932"/>
    <cellStyle name="40% - Accent1 3 4 3 4" xfId="19933"/>
    <cellStyle name="40% - Accent1 3 4 3 4 2" xfId="19934"/>
    <cellStyle name="40% - Accent1 3 4 4" xfId="19935"/>
    <cellStyle name="40% - Accent1 3 4 4 2" xfId="19936"/>
    <cellStyle name="40% - Accent1 3 4 4 2 2" xfId="19937"/>
    <cellStyle name="40% - Accent1 3 4 4 2 2 2" xfId="19938"/>
    <cellStyle name="40% - Accent1 3 4 4 3" xfId="19939"/>
    <cellStyle name="40% - Accent1 3 4 4 3 2" xfId="19940"/>
    <cellStyle name="40% - Accent1 3 4 5" xfId="19941"/>
    <cellStyle name="40% - Accent1 3 4 5 2" xfId="19942"/>
    <cellStyle name="40% - Accent1 3 4 5 2 2" xfId="19943"/>
    <cellStyle name="40% - Accent1 3 4 6" xfId="19944"/>
    <cellStyle name="40% - Accent1 3 4 6 2" xfId="19945"/>
    <cellStyle name="40% - Accent1 3 4 7" xfId="19946"/>
    <cellStyle name="40% - Accent1 3 5" xfId="19947"/>
    <cellStyle name="40% - Accent1 3 5 2" xfId="19948"/>
    <cellStyle name="40% - Accent1 3 5 2 2" xfId="19949"/>
    <cellStyle name="40% - Accent1 3 5 2 2 2" xfId="19950"/>
    <cellStyle name="40% - Accent1 3 5 2 2 2 2" xfId="19951"/>
    <cellStyle name="40% - Accent1 3 5 2 2 2 2 2" xfId="19952"/>
    <cellStyle name="40% - Accent1 3 5 2 2 2 2 2 2" xfId="19953"/>
    <cellStyle name="40% - Accent1 3 5 2 2 2 3" xfId="19954"/>
    <cellStyle name="40% - Accent1 3 5 2 2 2 3 2" xfId="19955"/>
    <cellStyle name="40% - Accent1 3 5 2 2 3" xfId="19956"/>
    <cellStyle name="40% - Accent1 3 5 2 2 3 2" xfId="19957"/>
    <cellStyle name="40% - Accent1 3 5 2 2 3 2 2" xfId="19958"/>
    <cellStyle name="40% - Accent1 3 5 2 2 4" xfId="19959"/>
    <cellStyle name="40% - Accent1 3 5 2 2 4 2" xfId="19960"/>
    <cellStyle name="40% - Accent1 3 5 2 3" xfId="19961"/>
    <cellStyle name="40% - Accent1 3 5 2 3 2" xfId="19962"/>
    <cellStyle name="40% - Accent1 3 5 2 3 2 2" xfId="19963"/>
    <cellStyle name="40% - Accent1 3 5 2 3 2 2 2" xfId="19964"/>
    <cellStyle name="40% - Accent1 3 5 2 3 3" xfId="19965"/>
    <cellStyle name="40% - Accent1 3 5 2 3 3 2" xfId="19966"/>
    <cellStyle name="40% - Accent1 3 5 2 4" xfId="19967"/>
    <cellStyle name="40% - Accent1 3 5 2 4 2" xfId="19968"/>
    <cellStyle name="40% - Accent1 3 5 2 4 2 2" xfId="19969"/>
    <cellStyle name="40% - Accent1 3 5 2 5" xfId="19970"/>
    <cellStyle name="40% - Accent1 3 5 2 5 2" xfId="19971"/>
    <cellStyle name="40% - Accent1 3 5 3" xfId="19972"/>
    <cellStyle name="40% - Accent1 3 5 3 2" xfId="19973"/>
    <cellStyle name="40% - Accent1 3 5 3 2 2" xfId="19974"/>
    <cellStyle name="40% - Accent1 3 5 3 2 2 2" xfId="19975"/>
    <cellStyle name="40% - Accent1 3 5 3 2 2 2 2" xfId="19976"/>
    <cellStyle name="40% - Accent1 3 5 3 2 3" xfId="19977"/>
    <cellStyle name="40% - Accent1 3 5 3 2 3 2" xfId="19978"/>
    <cellStyle name="40% - Accent1 3 5 3 3" xfId="19979"/>
    <cellStyle name="40% - Accent1 3 5 3 3 2" xfId="19980"/>
    <cellStyle name="40% - Accent1 3 5 3 3 2 2" xfId="19981"/>
    <cellStyle name="40% - Accent1 3 5 3 4" xfId="19982"/>
    <cellStyle name="40% - Accent1 3 5 3 4 2" xfId="19983"/>
    <cellStyle name="40% - Accent1 3 5 4" xfId="19984"/>
    <cellStyle name="40% - Accent1 3 5 4 2" xfId="19985"/>
    <cellStyle name="40% - Accent1 3 5 4 2 2" xfId="19986"/>
    <cellStyle name="40% - Accent1 3 5 4 2 2 2" xfId="19987"/>
    <cellStyle name="40% - Accent1 3 5 4 3" xfId="19988"/>
    <cellStyle name="40% - Accent1 3 5 4 3 2" xfId="19989"/>
    <cellStyle name="40% - Accent1 3 5 5" xfId="19990"/>
    <cellStyle name="40% - Accent1 3 5 5 2" xfId="19991"/>
    <cellStyle name="40% - Accent1 3 5 5 2 2" xfId="19992"/>
    <cellStyle name="40% - Accent1 3 5 6" xfId="19993"/>
    <cellStyle name="40% - Accent1 3 5 6 2" xfId="19994"/>
    <cellStyle name="40% - Accent1 3 5 7" xfId="19995"/>
    <cellStyle name="40% - Accent1 3 6" xfId="19996"/>
    <cellStyle name="40% - Accent1 3 6 2" xfId="19997"/>
    <cellStyle name="40% - Accent1 3 6 2 2" xfId="19998"/>
    <cellStyle name="40% - Accent1 3 6 2 2 2" xfId="19999"/>
    <cellStyle name="40% - Accent1 3 6 2 2 2 2" xfId="20000"/>
    <cellStyle name="40% - Accent1 3 6 2 2 2 2 2" xfId="20001"/>
    <cellStyle name="40% - Accent1 3 6 2 2 2 2 2 2" xfId="20002"/>
    <cellStyle name="40% - Accent1 3 6 2 2 2 3" xfId="20003"/>
    <cellStyle name="40% - Accent1 3 6 2 2 2 3 2" xfId="20004"/>
    <cellStyle name="40% - Accent1 3 6 2 2 3" xfId="20005"/>
    <cellStyle name="40% - Accent1 3 6 2 2 3 2" xfId="20006"/>
    <cellStyle name="40% - Accent1 3 6 2 2 3 2 2" xfId="20007"/>
    <cellStyle name="40% - Accent1 3 6 2 2 4" xfId="20008"/>
    <cellStyle name="40% - Accent1 3 6 2 2 4 2" xfId="20009"/>
    <cellStyle name="40% - Accent1 3 6 2 3" xfId="20010"/>
    <cellStyle name="40% - Accent1 3 6 2 3 2" xfId="20011"/>
    <cellStyle name="40% - Accent1 3 6 2 3 2 2" xfId="20012"/>
    <cellStyle name="40% - Accent1 3 6 2 3 2 2 2" xfId="20013"/>
    <cellStyle name="40% - Accent1 3 6 2 3 3" xfId="20014"/>
    <cellStyle name="40% - Accent1 3 6 2 3 3 2" xfId="20015"/>
    <cellStyle name="40% - Accent1 3 6 2 4" xfId="20016"/>
    <cellStyle name="40% - Accent1 3 6 2 4 2" xfId="20017"/>
    <cellStyle name="40% - Accent1 3 6 2 4 2 2" xfId="20018"/>
    <cellStyle name="40% - Accent1 3 6 2 5" xfId="20019"/>
    <cellStyle name="40% - Accent1 3 6 2 5 2" xfId="20020"/>
    <cellStyle name="40% - Accent1 3 6 3" xfId="20021"/>
    <cellStyle name="40% - Accent1 3 6 3 2" xfId="20022"/>
    <cellStyle name="40% - Accent1 3 6 3 2 2" xfId="20023"/>
    <cellStyle name="40% - Accent1 3 6 3 2 2 2" xfId="20024"/>
    <cellStyle name="40% - Accent1 3 6 3 2 2 2 2" xfId="20025"/>
    <cellStyle name="40% - Accent1 3 6 3 2 3" xfId="20026"/>
    <cellStyle name="40% - Accent1 3 6 3 2 3 2" xfId="20027"/>
    <cellStyle name="40% - Accent1 3 6 3 3" xfId="20028"/>
    <cellStyle name="40% - Accent1 3 6 3 3 2" xfId="20029"/>
    <cellStyle name="40% - Accent1 3 6 3 3 2 2" xfId="20030"/>
    <cellStyle name="40% - Accent1 3 6 3 4" xfId="20031"/>
    <cellStyle name="40% - Accent1 3 6 3 4 2" xfId="20032"/>
    <cellStyle name="40% - Accent1 3 6 4" xfId="20033"/>
    <cellStyle name="40% - Accent1 3 6 4 2" xfId="20034"/>
    <cellStyle name="40% - Accent1 3 6 4 2 2" xfId="20035"/>
    <cellStyle name="40% - Accent1 3 6 4 2 2 2" xfId="20036"/>
    <cellStyle name="40% - Accent1 3 6 4 3" xfId="20037"/>
    <cellStyle name="40% - Accent1 3 6 4 3 2" xfId="20038"/>
    <cellStyle name="40% - Accent1 3 6 5" xfId="20039"/>
    <cellStyle name="40% - Accent1 3 6 5 2" xfId="20040"/>
    <cellStyle name="40% - Accent1 3 6 5 2 2" xfId="20041"/>
    <cellStyle name="40% - Accent1 3 6 6" xfId="20042"/>
    <cellStyle name="40% - Accent1 3 6 6 2" xfId="20043"/>
    <cellStyle name="40% - Accent1 3 6 7" xfId="20044"/>
    <cellStyle name="40% - Accent1 3 7" xfId="20045"/>
    <cellStyle name="40% - Accent1 3 7 2" xfId="20046"/>
    <cellStyle name="40% - Accent1 3 7 2 2" xfId="20047"/>
    <cellStyle name="40% - Accent1 3 7 2 2 2" xfId="20048"/>
    <cellStyle name="40% - Accent1 3 7 2 2 2 2" xfId="20049"/>
    <cellStyle name="40% - Accent1 3 7 2 2 2 2 2" xfId="20050"/>
    <cellStyle name="40% - Accent1 3 7 2 2 2 2 2 2" xfId="20051"/>
    <cellStyle name="40% - Accent1 3 7 2 2 2 3" xfId="20052"/>
    <cellStyle name="40% - Accent1 3 7 2 2 2 3 2" xfId="20053"/>
    <cellStyle name="40% - Accent1 3 7 2 2 3" xfId="20054"/>
    <cellStyle name="40% - Accent1 3 7 2 2 3 2" xfId="20055"/>
    <cellStyle name="40% - Accent1 3 7 2 2 3 2 2" xfId="20056"/>
    <cellStyle name="40% - Accent1 3 7 2 2 4" xfId="20057"/>
    <cellStyle name="40% - Accent1 3 7 2 2 4 2" xfId="20058"/>
    <cellStyle name="40% - Accent1 3 7 2 3" xfId="20059"/>
    <cellStyle name="40% - Accent1 3 7 2 3 2" xfId="20060"/>
    <cellStyle name="40% - Accent1 3 7 2 3 2 2" xfId="20061"/>
    <cellStyle name="40% - Accent1 3 7 2 3 2 2 2" xfId="20062"/>
    <cellStyle name="40% - Accent1 3 7 2 3 3" xfId="20063"/>
    <cellStyle name="40% - Accent1 3 7 2 3 3 2" xfId="20064"/>
    <cellStyle name="40% - Accent1 3 7 2 4" xfId="20065"/>
    <cellStyle name="40% - Accent1 3 7 2 4 2" xfId="20066"/>
    <cellStyle name="40% - Accent1 3 7 2 4 2 2" xfId="20067"/>
    <cellStyle name="40% - Accent1 3 7 2 5" xfId="20068"/>
    <cellStyle name="40% - Accent1 3 7 2 5 2" xfId="20069"/>
    <cellStyle name="40% - Accent1 3 7 3" xfId="20070"/>
    <cellStyle name="40% - Accent1 3 7 3 2" xfId="20071"/>
    <cellStyle name="40% - Accent1 3 7 3 2 2" xfId="20072"/>
    <cellStyle name="40% - Accent1 3 7 3 2 2 2" xfId="20073"/>
    <cellStyle name="40% - Accent1 3 7 3 2 2 2 2" xfId="20074"/>
    <cellStyle name="40% - Accent1 3 7 3 2 3" xfId="20075"/>
    <cellStyle name="40% - Accent1 3 7 3 2 3 2" xfId="20076"/>
    <cellStyle name="40% - Accent1 3 7 3 3" xfId="20077"/>
    <cellStyle name="40% - Accent1 3 7 3 3 2" xfId="20078"/>
    <cellStyle name="40% - Accent1 3 7 3 3 2 2" xfId="20079"/>
    <cellStyle name="40% - Accent1 3 7 3 4" xfId="20080"/>
    <cellStyle name="40% - Accent1 3 7 3 4 2" xfId="20081"/>
    <cellStyle name="40% - Accent1 3 7 4" xfId="20082"/>
    <cellStyle name="40% - Accent1 3 7 4 2" xfId="20083"/>
    <cellStyle name="40% - Accent1 3 7 4 2 2" xfId="20084"/>
    <cellStyle name="40% - Accent1 3 7 4 2 2 2" xfId="20085"/>
    <cellStyle name="40% - Accent1 3 7 4 3" xfId="20086"/>
    <cellStyle name="40% - Accent1 3 7 4 3 2" xfId="20087"/>
    <cellStyle name="40% - Accent1 3 7 5" xfId="20088"/>
    <cellStyle name="40% - Accent1 3 7 5 2" xfId="20089"/>
    <cellStyle name="40% - Accent1 3 7 5 2 2" xfId="20090"/>
    <cellStyle name="40% - Accent1 3 7 6" xfId="20091"/>
    <cellStyle name="40% - Accent1 3 7 6 2" xfId="20092"/>
    <cellStyle name="40% - Accent1 3 7 7" xfId="20093"/>
    <cellStyle name="40% - Accent1 3 8" xfId="20094"/>
    <cellStyle name="40% - Accent1 3 8 2" xfId="20095"/>
    <cellStyle name="40% - Accent1 3 8 2 2" xfId="20096"/>
    <cellStyle name="40% - Accent1 3 8 2 2 2" xfId="20097"/>
    <cellStyle name="40% - Accent1 3 8 2 2 2 2" xfId="20098"/>
    <cellStyle name="40% - Accent1 3 8 2 2 2 2 2" xfId="20099"/>
    <cellStyle name="40% - Accent1 3 8 2 2 2 2 2 2" xfId="20100"/>
    <cellStyle name="40% - Accent1 3 8 2 2 2 3" xfId="20101"/>
    <cellStyle name="40% - Accent1 3 8 2 2 2 3 2" xfId="20102"/>
    <cellStyle name="40% - Accent1 3 8 2 2 3" xfId="20103"/>
    <cellStyle name="40% - Accent1 3 8 2 2 3 2" xfId="20104"/>
    <cellStyle name="40% - Accent1 3 8 2 2 3 2 2" xfId="20105"/>
    <cellStyle name="40% - Accent1 3 8 2 2 4" xfId="20106"/>
    <cellStyle name="40% - Accent1 3 8 2 2 4 2" xfId="20107"/>
    <cellStyle name="40% - Accent1 3 8 2 3" xfId="20108"/>
    <cellStyle name="40% - Accent1 3 8 2 3 2" xfId="20109"/>
    <cellStyle name="40% - Accent1 3 8 2 3 2 2" xfId="20110"/>
    <cellStyle name="40% - Accent1 3 8 2 3 2 2 2" xfId="20111"/>
    <cellStyle name="40% - Accent1 3 8 2 3 3" xfId="20112"/>
    <cellStyle name="40% - Accent1 3 8 2 3 3 2" xfId="20113"/>
    <cellStyle name="40% - Accent1 3 8 2 4" xfId="20114"/>
    <cellStyle name="40% - Accent1 3 8 2 4 2" xfId="20115"/>
    <cellStyle name="40% - Accent1 3 8 2 4 2 2" xfId="20116"/>
    <cellStyle name="40% - Accent1 3 8 2 5" xfId="20117"/>
    <cellStyle name="40% - Accent1 3 8 2 5 2" xfId="20118"/>
    <cellStyle name="40% - Accent1 3 8 3" xfId="20119"/>
    <cellStyle name="40% - Accent1 3 8 3 2" xfId="20120"/>
    <cellStyle name="40% - Accent1 3 8 3 2 2" xfId="20121"/>
    <cellStyle name="40% - Accent1 3 8 3 2 2 2" xfId="20122"/>
    <cellStyle name="40% - Accent1 3 8 3 2 2 2 2" xfId="20123"/>
    <cellStyle name="40% - Accent1 3 8 3 2 3" xfId="20124"/>
    <cellStyle name="40% - Accent1 3 8 3 2 3 2" xfId="20125"/>
    <cellStyle name="40% - Accent1 3 8 3 3" xfId="20126"/>
    <cellStyle name="40% - Accent1 3 8 3 3 2" xfId="20127"/>
    <cellStyle name="40% - Accent1 3 8 3 3 2 2" xfId="20128"/>
    <cellStyle name="40% - Accent1 3 8 3 4" xfId="20129"/>
    <cellStyle name="40% - Accent1 3 8 3 4 2" xfId="20130"/>
    <cellStyle name="40% - Accent1 3 8 4" xfId="20131"/>
    <cellStyle name="40% - Accent1 3 8 4 2" xfId="20132"/>
    <cellStyle name="40% - Accent1 3 8 4 2 2" xfId="20133"/>
    <cellStyle name="40% - Accent1 3 8 4 2 2 2" xfId="20134"/>
    <cellStyle name="40% - Accent1 3 8 4 3" xfId="20135"/>
    <cellStyle name="40% - Accent1 3 8 4 3 2" xfId="20136"/>
    <cellStyle name="40% - Accent1 3 8 5" xfId="20137"/>
    <cellStyle name="40% - Accent1 3 8 5 2" xfId="20138"/>
    <cellStyle name="40% - Accent1 3 8 5 2 2" xfId="20139"/>
    <cellStyle name="40% - Accent1 3 8 6" xfId="20140"/>
    <cellStyle name="40% - Accent1 3 8 6 2" xfId="20141"/>
    <cellStyle name="40% - Accent1 3 8 7" xfId="20142"/>
    <cellStyle name="40% - Accent1 3 9" xfId="20143"/>
    <cellStyle name="40% - Accent1 3 9 2" xfId="20144"/>
    <cellStyle name="40% - Accent1 3 9 2 2" xfId="20145"/>
    <cellStyle name="40% - Accent1 3 9 2 2 2" xfId="20146"/>
    <cellStyle name="40% - Accent1 3 9 2 2 2 2" xfId="20147"/>
    <cellStyle name="40% - Accent1 3 9 2 2 2 2 2" xfId="20148"/>
    <cellStyle name="40% - Accent1 3 9 2 2 2 2 2 2" xfId="20149"/>
    <cellStyle name="40% - Accent1 3 9 2 2 2 3" xfId="20150"/>
    <cellStyle name="40% - Accent1 3 9 2 2 2 3 2" xfId="20151"/>
    <cellStyle name="40% - Accent1 3 9 2 2 3" xfId="20152"/>
    <cellStyle name="40% - Accent1 3 9 2 2 3 2" xfId="20153"/>
    <cellStyle name="40% - Accent1 3 9 2 2 3 2 2" xfId="20154"/>
    <cellStyle name="40% - Accent1 3 9 2 2 4" xfId="20155"/>
    <cellStyle name="40% - Accent1 3 9 2 2 4 2" xfId="20156"/>
    <cellStyle name="40% - Accent1 3 9 2 3" xfId="20157"/>
    <cellStyle name="40% - Accent1 3 9 2 3 2" xfId="20158"/>
    <cellStyle name="40% - Accent1 3 9 2 3 2 2" xfId="20159"/>
    <cellStyle name="40% - Accent1 3 9 2 3 2 2 2" xfId="20160"/>
    <cellStyle name="40% - Accent1 3 9 2 3 3" xfId="20161"/>
    <cellStyle name="40% - Accent1 3 9 2 3 3 2" xfId="20162"/>
    <cellStyle name="40% - Accent1 3 9 2 4" xfId="20163"/>
    <cellStyle name="40% - Accent1 3 9 2 4 2" xfId="20164"/>
    <cellStyle name="40% - Accent1 3 9 2 4 2 2" xfId="20165"/>
    <cellStyle name="40% - Accent1 3 9 2 5" xfId="20166"/>
    <cellStyle name="40% - Accent1 3 9 2 5 2" xfId="20167"/>
    <cellStyle name="40% - Accent1 3 9 3" xfId="20168"/>
    <cellStyle name="40% - Accent1 3 9 3 2" xfId="20169"/>
    <cellStyle name="40% - Accent1 3 9 3 2 2" xfId="20170"/>
    <cellStyle name="40% - Accent1 3 9 3 2 2 2" xfId="20171"/>
    <cellStyle name="40% - Accent1 3 9 3 2 2 2 2" xfId="20172"/>
    <cellStyle name="40% - Accent1 3 9 3 2 3" xfId="20173"/>
    <cellStyle name="40% - Accent1 3 9 3 2 3 2" xfId="20174"/>
    <cellStyle name="40% - Accent1 3 9 3 3" xfId="20175"/>
    <cellStyle name="40% - Accent1 3 9 3 3 2" xfId="20176"/>
    <cellStyle name="40% - Accent1 3 9 3 3 2 2" xfId="20177"/>
    <cellStyle name="40% - Accent1 3 9 3 4" xfId="20178"/>
    <cellStyle name="40% - Accent1 3 9 3 4 2" xfId="20179"/>
    <cellStyle name="40% - Accent1 3 9 4" xfId="20180"/>
    <cellStyle name="40% - Accent1 3 9 4 2" xfId="20181"/>
    <cellStyle name="40% - Accent1 3 9 4 2 2" xfId="20182"/>
    <cellStyle name="40% - Accent1 3 9 4 2 2 2" xfId="20183"/>
    <cellStyle name="40% - Accent1 3 9 4 3" xfId="20184"/>
    <cellStyle name="40% - Accent1 3 9 4 3 2" xfId="20185"/>
    <cellStyle name="40% - Accent1 3 9 5" xfId="20186"/>
    <cellStyle name="40% - Accent1 3 9 5 2" xfId="20187"/>
    <cellStyle name="40% - Accent1 3 9 5 2 2" xfId="20188"/>
    <cellStyle name="40% - Accent1 3 9 6" xfId="20189"/>
    <cellStyle name="40% - Accent1 3 9 6 2" xfId="20190"/>
    <cellStyle name="40% - Accent1 3 9 7" xfId="20191"/>
    <cellStyle name="40% - Accent1 3 9 8" xfId="20192"/>
    <cellStyle name="40% - Accent1 3 9 9" xfId="20193"/>
    <cellStyle name="40% - Accent1 30" xfId="20194"/>
    <cellStyle name="40% - Accent1 30 2" xfId="20195"/>
    <cellStyle name="40% - Accent1 30 2 2" xfId="20196"/>
    <cellStyle name="40% - Accent1 30 2 2 2" xfId="20197"/>
    <cellStyle name="40% - Accent1 30 3" xfId="20198"/>
    <cellStyle name="40% - Accent1 30 3 2" xfId="20199"/>
    <cellStyle name="40% - Accent1 30 4" xfId="20200"/>
    <cellStyle name="40% - Accent1 31" xfId="20201"/>
    <cellStyle name="40% - Accent1 31 2" xfId="20202"/>
    <cellStyle name="40% - Accent1 31 2 2" xfId="20203"/>
    <cellStyle name="40% - Accent1 31 2 2 2" xfId="20204"/>
    <cellStyle name="40% - Accent1 31 3" xfId="20205"/>
    <cellStyle name="40% - Accent1 31 3 2" xfId="20206"/>
    <cellStyle name="40% - Accent1 31 4" xfId="20207"/>
    <cellStyle name="40% - Accent1 32" xfId="20208"/>
    <cellStyle name="40% - Accent1 32 2" xfId="20209"/>
    <cellStyle name="40% - Accent1 32 2 2" xfId="20210"/>
    <cellStyle name="40% - Accent1 32 3" xfId="20211"/>
    <cellStyle name="40% - Accent1 33" xfId="20212"/>
    <cellStyle name="40% - Accent1 33 2" xfId="20213"/>
    <cellStyle name="40% - Accent1 33 2 2" xfId="20214"/>
    <cellStyle name="40% - Accent1 33 3" xfId="20215"/>
    <cellStyle name="40% - Accent1 34" xfId="20216"/>
    <cellStyle name="40% - Accent1 34 2" xfId="20217"/>
    <cellStyle name="40% - Accent1 34 2 2" xfId="20218"/>
    <cellStyle name="40% - Accent1 34 3" xfId="20219"/>
    <cellStyle name="40% - Accent1 35" xfId="20220"/>
    <cellStyle name="40% - Accent1 35 2" xfId="20221"/>
    <cellStyle name="40% - Accent1 35 3" xfId="20222"/>
    <cellStyle name="40% - Accent1 36" xfId="20223"/>
    <cellStyle name="40% - Accent1 36 2" xfId="20224"/>
    <cellStyle name="40% - Accent1 36 2 2" xfId="20225"/>
    <cellStyle name="40% - Accent1 36 2 3" xfId="20226"/>
    <cellStyle name="40% - Accent1 36 2 4" xfId="20227"/>
    <cellStyle name="40% - Accent1 36 3" xfId="20228"/>
    <cellStyle name="40% - Accent1 36 3 2" xfId="20229"/>
    <cellStyle name="40% - Accent1 36 3 3" xfId="20230"/>
    <cellStyle name="40% - Accent1 36 4" xfId="20231"/>
    <cellStyle name="40% - Accent1 36 4 2" xfId="20232"/>
    <cellStyle name="40% - Accent1 36 5" xfId="20233"/>
    <cellStyle name="40% - Accent1 36 6" xfId="20234"/>
    <cellStyle name="40% - Accent1 36 7" xfId="20235"/>
    <cellStyle name="40% - Accent1 37" xfId="20236"/>
    <cellStyle name="40% - Accent1 38" xfId="20237"/>
    <cellStyle name="40% - Accent1 39" xfId="20238"/>
    <cellStyle name="40% - Accent1 4" xfId="20239"/>
    <cellStyle name="40% - Accent1 4 10" xfId="20240"/>
    <cellStyle name="40% - Accent1 4 10 2" xfId="20241"/>
    <cellStyle name="40% - Accent1 4 10 2 2" xfId="20242"/>
    <cellStyle name="40% - Accent1 4 10 2 2 2" xfId="20243"/>
    <cellStyle name="40% - Accent1 4 10 2 2 2 2" xfId="20244"/>
    <cellStyle name="40% - Accent1 4 10 2 2 2 2 2" xfId="20245"/>
    <cellStyle name="40% - Accent1 4 10 2 2 2 2 2 2" xfId="20246"/>
    <cellStyle name="40% - Accent1 4 10 2 2 2 3" xfId="20247"/>
    <cellStyle name="40% - Accent1 4 10 2 2 2 3 2" xfId="20248"/>
    <cellStyle name="40% - Accent1 4 10 2 2 3" xfId="20249"/>
    <cellStyle name="40% - Accent1 4 10 2 2 3 2" xfId="20250"/>
    <cellStyle name="40% - Accent1 4 10 2 2 3 2 2" xfId="20251"/>
    <cellStyle name="40% - Accent1 4 10 2 2 4" xfId="20252"/>
    <cellStyle name="40% - Accent1 4 10 2 2 4 2" xfId="20253"/>
    <cellStyle name="40% - Accent1 4 10 2 3" xfId="20254"/>
    <cellStyle name="40% - Accent1 4 10 2 3 2" xfId="20255"/>
    <cellStyle name="40% - Accent1 4 10 2 3 2 2" xfId="20256"/>
    <cellStyle name="40% - Accent1 4 10 2 3 2 2 2" xfId="20257"/>
    <cellStyle name="40% - Accent1 4 10 2 3 3" xfId="20258"/>
    <cellStyle name="40% - Accent1 4 10 2 3 3 2" xfId="20259"/>
    <cellStyle name="40% - Accent1 4 10 2 4" xfId="20260"/>
    <cellStyle name="40% - Accent1 4 10 2 4 2" xfId="20261"/>
    <cellStyle name="40% - Accent1 4 10 2 4 2 2" xfId="20262"/>
    <cellStyle name="40% - Accent1 4 10 2 5" xfId="20263"/>
    <cellStyle name="40% - Accent1 4 10 2 5 2" xfId="20264"/>
    <cellStyle name="40% - Accent1 4 10 3" xfId="20265"/>
    <cellStyle name="40% - Accent1 4 10 3 2" xfId="20266"/>
    <cellStyle name="40% - Accent1 4 10 3 2 2" xfId="20267"/>
    <cellStyle name="40% - Accent1 4 10 3 2 2 2" xfId="20268"/>
    <cellStyle name="40% - Accent1 4 10 3 2 2 2 2" xfId="20269"/>
    <cellStyle name="40% - Accent1 4 10 3 2 3" xfId="20270"/>
    <cellStyle name="40% - Accent1 4 10 3 2 3 2" xfId="20271"/>
    <cellStyle name="40% - Accent1 4 10 3 3" xfId="20272"/>
    <cellStyle name="40% - Accent1 4 10 3 3 2" xfId="20273"/>
    <cellStyle name="40% - Accent1 4 10 3 3 2 2" xfId="20274"/>
    <cellStyle name="40% - Accent1 4 10 3 4" xfId="20275"/>
    <cellStyle name="40% - Accent1 4 10 3 4 2" xfId="20276"/>
    <cellStyle name="40% - Accent1 4 10 4" xfId="20277"/>
    <cellStyle name="40% - Accent1 4 10 4 2" xfId="20278"/>
    <cellStyle name="40% - Accent1 4 10 4 2 2" xfId="20279"/>
    <cellStyle name="40% - Accent1 4 10 4 2 2 2" xfId="20280"/>
    <cellStyle name="40% - Accent1 4 10 4 3" xfId="20281"/>
    <cellStyle name="40% - Accent1 4 10 4 3 2" xfId="20282"/>
    <cellStyle name="40% - Accent1 4 10 5" xfId="20283"/>
    <cellStyle name="40% - Accent1 4 10 5 2" xfId="20284"/>
    <cellStyle name="40% - Accent1 4 10 5 2 2" xfId="20285"/>
    <cellStyle name="40% - Accent1 4 10 6" xfId="20286"/>
    <cellStyle name="40% - Accent1 4 10 6 2" xfId="20287"/>
    <cellStyle name="40% - Accent1 4 10 7" xfId="20288"/>
    <cellStyle name="40% - Accent1 4 10 8" xfId="20289"/>
    <cellStyle name="40% - Accent1 4 10 9" xfId="20290"/>
    <cellStyle name="40% - Accent1 4 11" xfId="20291"/>
    <cellStyle name="40% - Accent1 4 11 2" xfId="20292"/>
    <cellStyle name="40% - Accent1 4 11 2 2" xfId="20293"/>
    <cellStyle name="40% - Accent1 4 11 2 2 2" xfId="20294"/>
    <cellStyle name="40% - Accent1 4 11 2 2 2 2" xfId="20295"/>
    <cellStyle name="40% - Accent1 4 11 2 2 2 2 2" xfId="20296"/>
    <cellStyle name="40% - Accent1 4 11 2 2 2 2 2 2" xfId="20297"/>
    <cellStyle name="40% - Accent1 4 11 2 2 2 3" xfId="20298"/>
    <cellStyle name="40% - Accent1 4 11 2 2 2 3 2" xfId="20299"/>
    <cellStyle name="40% - Accent1 4 11 2 2 3" xfId="20300"/>
    <cellStyle name="40% - Accent1 4 11 2 2 3 2" xfId="20301"/>
    <cellStyle name="40% - Accent1 4 11 2 2 3 2 2" xfId="20302"/>
    <cellStyle name="40% - Accent1 4 11 2 2 4" xfId="20303"/>
    <cellStyle name="40% - Accent1 4 11 2 2 4 2" xfId="20304"/>
    <cellStyle name="40% - Accent1 4 11 2 3" xfId="20305"/>
    <cellStyle name="40% - Accent1 4 11 2 3 2" xfId="20306"/>
    <cellStyle name="40% - Accent1 4 11 2 3 2 2" xfId="20307"/>
    <cellStyle name="40% - Accent1 4 11 2 3 2 2 2" xfId="20308"/>
    <cellStyle name="40% - Accent1 4 11 2 3 3" xfId="20309"/>
    <cellStyle name="40% - Accent1 4 11 2 3 3 2" xfId="20310"/>
    <cellStyle name="40% - Accent1 4 11 2 4" xfId="20311"/>
    <cellStyle name="40% - Accent1 4 11 2 4 2" xfId="20312"/>
    <cellStyle name="40% - Accent1 4 11 2 4 2 2" xfId="20313"/>
    <cellStyle name="40% - Accent1 4 11 2 5" xfId="20314"/>
    <cellStyle name="40% - Accent1 4 11 2 5 2" xfId="20315"/>
    <cellStyle name="40% - Accent1 4 11 3" xfId="20316"/>
    <cellStyle name="40% - Accent1 4 11 3 2" xfId="20317"/>
    <cellStyle name="40% - Accent1 4 11 3 2 2" xfId="20318"/>
    <cellStyle name="40% - Accent1 4 11 3 2 2 2" xfId="20319"/>
    <cellStyle name="40% - Accent1 4 11 3 2 2 2 2" xfId="20320"/>
    <cellStyle name="40% - Accent1 4 11 3 2 3" xfId="20321"/>
    <cellStyle name="40% - Accent1 4 11 3 2 3 2" xfId="20322"/>
    <cellStyle name="40% - Accent1 4 11 3 3" xfId="20323"/>
    <cellStyle name="40% - Accent1 4 11 3 3 2" xfId="20324"/>
    <cellStyle name="40% - Accent1 4 11 3 3 2 2" xfId="20325"/>
    <cellStyle name="40% - Accent1 4 11 3 4" xfId="20326"/>
    <cellStyle name="40% - Accent1 4 11 3 4 2" xfId="20327"/>
    <cellStyle name="40% - Accent1 4 11 4" xfId="20328"/>
    <cellStyle name="40% - Accent1 4 11 4 2" xfId="20329"/>
    <cellStyle name="40% - Accent1 4 11 4 2 2" xfId="20330"/>
    <cellStyle name="40% - Accent1 4 11 4 2 2 2" xfId="20331"/>
    <cellStyle name="40% - Accent1 4 11 4 3" xfId="20332"/>
    <cellStyle name="40% - Accent1 4 11 4 3 2" xfId="20333"/>
    <cellStyle name="40% - Accent1 4 11 5" xfId="20334"/>
    <cellStyle name="40% - Accent1 4 11 5 2" xfId="20335"/>
    <cellStyle name="40% - Accent1 4 11 5 2 2" xfId="20336"/>
    <cellStyle name="40% - Accent1 4 11 6" xfId="20337"/>
    <cellStyle name="40% - Accent1 4 11 6 2" xfId="20338"/>
    <cellStyle name="40% - Accent1 4 11 7" xfId="20339"/>
    <cellStyle name="40% - Accent1 4 12" xfId="20340"/>
    <cellStyle name="40% - Accent1 4 12 2" xfId="20341"/>
    <cellStyle name="40% - Accent1 4 12 2 2" xfId="20342"/>
    <cellStyle name="40% - Accent1 4 12 2 2 2" xfId="20343"/>
    <cellStyle name="40% - Accent1 4 12 2 2 2 2" xfId="20344"/>
    <cellStyle name="40% - Accent1 4 12 2 2 2 2 2" xfId="20345"/>
    <cellStyle name="40% - Accent1 4 12 2 2 2 2 2 2" xfId="20346"/>
    <cellStyle name="40% - Accent1 4 12 2 2 2 3" xfId="20347"/>
    <cellStyle name="40% - Accent1 4 12 2 2 2 3 2" xfId="20348"/>
    <cellStyle name="40% - Accent1 4 12 2 2 3" xfId="20349"/>
    <cellStyle name="40% - Accent1 4 12 2 2 3 2" xfId="20350"/>
    <cellStyle name="40% - Accent1 4 12 2 2 3 2 2" xfId="20351"/>
    <cellStyle name="40% - Accent1 4 12 2 2 4" xfId="20352"/>
    <cellStyle name="40% - Accent1 4 12 2 2 4 2" xfId="20353"/>
    <cellStyle name="40% - Accent1 4 12 2 3" xfId="20354"/>
    <cellStyle name="40% - Accent1 4 12 2 3 2" xfId="20355"/>
    <cellStyle name="40% - Accent1 4 12 2 3 2 2" xfId="20356"/>
    <cellStyle name="40% - Accent1 4 12 2 3 2 2 2" xfId="20357"/>
    <cellStyle name="40% - Accent1 4 12 2 3 3" xfId="20358"/>
    <cellStyle name="40% - Accent1 4 12 2 3 3 2" xfId="20359"/>
    <cellStyle name="40% - Accent1 4 12 2 4" xfId="20360"/>
    <cellStyle name="40% - Accent1 4 12 2 4 2" xfId="20361"/>
    <cellStyle name="40% - Accent1 4 12 2 4 2 2" xfId="20362"/>
    <cellStyle name="40% - Accent1 4 12 2 5" xfId="20363"/>
    <cellStyle name="40% - Accent1 4 12 2 5 2" xfId="20364"/>
    <cellStyle name="40% - Accent1 4 12 3" xfId="20365"/>
    <cellStyle name="40% - Accent1 4 12 3 2" xfId="20366"/>
    <cellStyle name="40% - Accent1 4 12 3 2 2" xfId="20367"/>
    <cellStyle name="40% - Accent1 4 12 3 2 2 2" xfId="20368"/>
    <cellStyle name="40% - Accent1 4 12 3 2 2 2 2" xfId="20369"/>
    <cellStyle name="40% - Accent1 4 12 3 2 3" xfId="20370"/>
    <cellStyle name="40% - Accent1 4 12 3 2 3 2" xfId="20371"/>
    <cellStyle name="40% - Accent1 4 12 3 3" xfId="20372"/>
    <cellStyle name="40% - Accent1 4 12 3 3 2" xfId="20373"/>
    <cellStyle name="40% - Accent1 4 12 3 3 2 2" xfId="20374"/>
    <cellStyle name="40% - Accent1 4 12 3 4" xfId="20375"/>
    <cellStyle name="40% - Accent1 4 12 3 4 2" xfId="20376"/>
    <cellStyle name="40% - Accent1 4 12 4" xfId="20377"/>
    <cellStyle name="40% - Accent1 4 12 4 2" xfId="20378"/>
    <cellStyle name="40% - Accent1 4 12 4 2 2" xfId="20379"/>
    <cellStyle name="40% - Accent1 4 12 4 2 2 2" xfId="20380"/>
    <cellStyle name="40% - Accent1 4 12 4 3" xfId="20381"/>
    <cellStyle name="40% - Accent1 4 12 4 3 2" xfId="20382"/>
    <cellStyle name="40% - Accent1 4 12 5" xfId="20383"/>
    <cellStyle name="40% - Accent1 4 12 5 2" xfId="20384"/>
    <cellStyle name="40% - Accent1 4 12 5 2 2" xfId="20385"/>
    <cellStyle name="40% - Accent1 4 12 6" xfId="20386"/>
    <cellStyle name="40% - Accent1 4 12 6 2" xfId="20387"/>
    <cellStyle name="40% - Accent1 4 13" xfId="20388"/>
    <cellStyle name="40% - Accent1 4 13 2" xfId="20389"/>
    <cellStyle name="40% - Accent1 4 13 2 2" xfId="20390"/>
    <cellStyle name="40% - Accent1 4 13 2 2 2" xfId="20391"/>
    <cellStyle name="40% - Accent1 4 13 2 2 2 2" xfId="20392"/>
    <cellStyle name="40% - Accent1 4 13 2 2 2 2 2" xfId="20393"/>
    <cellStyle name="40% - Accent1 4 13 2 2 2 2 2 2" xfId="20394"/>
    <cellStyle name="40% - Accent1 4 13 2 2 2 3" xfId="20395"/>
    <cellStyle name="40% - Accent1 4 13 2 2 2 3 2" xfId="20396"/>
    <cellStyle name="40% - Accent1 4 13 2 2 3" xfId="20397"/>
    <cellStyle name="40% - Accent1 4 13 2 2 3 2" xfId="20398"/>
    <cellStyle name="40% - Accent1 4 13 2 2 3 2 2" xfId="20399"/>
    <cellStyle name="40% - Accent1 4 13 2 2 4" xfId="20400"/>
    <cellStyle name="40% - Accent1 4 13 2 2 4 2" xfId="20401"/>
    <cellStyle name="40% - Accent1 4 13 2 3" xfId="20402"/>
    <cellStyle name="40% - Accent1 4 13 2 3 2" xfId="20403"/>
    <cellStyle name="40% - Accent1 4 13 2 3 2 2" xfId="20404"/>
    <cellStyle name="40% - Accent1 4 13 2 3 2 2 2" xfId="20405"/>
    <cellStyle name="40% - Accent1 4 13 2 3 3" xfId="20406"/>
    <cellStyle name="40% - Accent1 4 13 2 3 3 2" xfId="20407"/>
    <cellStyle name="40% - Accent1 4 13 2 4" xfId="20408"/>
    <cellStyle name="40% - Accent1 4 13 2 4 2" xfId="20409"/>
    <cellStyle name="40% - Accent1 4 13 2 4 2 2" xfId="20410"/>
    <cellStyle name="40% - Accent1 4 13 2 5" xfId="20411"/>
    <cellStyle name="40% - Accent1 4 13 2 5 2" xfId="20412"/>
    <cellStyle name="40% - Accent1 4 13 3" xfId="20413"/>
    <cellStyle name="40% - Accent1 4 13 3 2" xfId="20414"/>
    <cellStyle name="40% - Accent1 4 13 3 2 2" xfId="20415"/>
    <cellStyle name="40% - Accent1 4 13 3 2 2 2" xfId="20416"/>
    <cellStyle name="40% - Accent1 4 13 3 2 2 2 2" xfId="20417"/>
    <cellStyle name="40% - Accent1 4 13 3 2 3" xfId="20418"/>
    <cellStyle name="40% - Accent1 4 13 3 2 3 2" xfId="20419"/>
    <cellStyle name="40% - Accent1 4 13 3 3" xfId="20420"/>
    <cellStyle name="40% - Accent1 4 13 3 3 2" xfId="20421"/>
    <cellStyle name="40% - Accent1 4 13 3 3 2 2" xfId="20422"/>
    <cellStyle name="40% - Accent1 4 13 3 4" xfId="20423"/>
    <cellStyle name="40% - Accent1 4 13 3 4 2" xfId="20424"/>
    <cellStyle name="40% - Accent1 4 13 4" xfId="20425"/>
    <cellStyle name="40% - Accent1 4 13 4 2" xfId="20426"/>
    <cellStyle name="40% - Accent1 4 13 4 2 2" xfId="20427"/>
    <cellStyle name="40% - Accent1 4 13 4 2 2 2" xfId="20428"/>
    <cellStyle name="40% - Accent1 4 13 4 3" xfId="20429"/>
    <cellStyle name="40% - Accent1 4 13 4 3 2" xfId="20430"/>
    <cellStyle name="40% - Accent1 4 13 5" xfId="20431"/>
    <cellStyle name="40% - Accent1 4 13 5 2" xfId="20432"/>
    <cellStyle name="40% - Accent1 4 13 5 2 2" xfId="20433"/>
    <cellStyle name="40% - Accent1 4 13 6" xfId="20434"/>
    <cellStyle name="40% - Accent1 4 13 6 2" xfId="20435"/>
    <cellStyle name="40% - Accent1 4 14" xfId="20436"/>
    <cellStyle name="40% - Accent1 4 15" xfId="20437"/>
    <cellStyle name="40% - Accent1 4 16" xfId="20438"/>
    <cellStyle name="40% - Accent1 4 17" xfId="20439"/>
    <cellStyle name="40% - Accent1 4 18" xfId="20440"/>
    <cellStyle name="40% - Accent1 4 2" xfId="20441"/>
    <cellStyle name="40% - Accent1 4 2 10" xfId="20442"/>
    <cellStyle name="40% - Accent1 4 2 11" xfId="20443"/>
    <cellStyle name="40% - Accent1 4 2 2" xfId="20444"/>
    <cellStyle name="40% - Accent1 4 2 2 2" xfId="20445"/>
    <cellStyle name="40% - Accent1 4 2 2 2 2" xfId="20446"/>
    <cellStyle name="40% - Accent1 4 2 2 2 2 2" xfId="20447"/>
    <cellStyle name="40% - Accent1 4 2 2 2 2 2 2" xfId="20448"/>
    <cellStyle name="40% - Accent1 4 2 2 2 2 2 2 2" xfId="20449"/>
    <cellStyle name="40% - Accent1 4 2 2 2 2 3" xfId="20450"/>
    <cellStyle name="40% - Accent1 4 2 2 2 2 3 2" xfId="20451"/>
    <cellStyle name="40% - Accent1 4 2 2 2 3" xfId="20452"/>
    <cellStyle name="40% - Accent1 4 2 2 2 3 2" xfId="20453"/>
    <cellStyle name="40% - Accent1 4 2 2 2 3 2 2" xfId="20454"/>
    <cellStyle name="40% - Accent1 4 2 2 2 4" xfId="20455"/>
    <cellStyle name="40% - Accent1 4 2 2 2 4 2" xfId="20456"/>
    <cellStyle name="40% - Accent1 4 2 2 3" xfId="20457"/>
    <cellStyle name="40% - Accent1 4 2 2 3 2" xfId="20458"/>
    <cellStyle name="40% - Accent1 4 2 2 3 2 2" xfId="20459"/>
    <cellStyle name="40% - Accent1 4 2 2 3 2 2 2" xfId="20460"/>
    <cellStyle name="40% - Accent1 4 2 2 3 3" xfId="20461"/>
    <cellStyle name="40% - Accent1 4 2 2 3 3 2" xfId="20462"/>
    <cellStyle name="40% - Accent1 4 2 2 4" xfId="20463"/>
    <cellStyle name="40% - Accent1 4 2 2 4 2" xfId="20464"/>
    <cellStyle name="40% - Accent1 4 2 2 4 2 2" xfId="20465"/>
    <cellStyle name="40% - Accent1 4 2 2 5" xfId="20466"/>
    <cellStyle name="40% - Accent1 4 2 2 5 2" xfId="20467"/>
    <cellStyle name="40% - Accent1 4 2 2 6" xfId="20468"/>
    <cellStyle name="40% - Accent1 4 2 2 7" xfId="20469"/>
    <cellStyle name="40% - Accent1 4 2 2 8" xfId="20470"/>
    <cellStyle name="40% - Accent1 4 2 3" xfId="20471"/>
    <cellStyle name="40% - Accent1 4 2 3 2" xfId="20472"/>
    <cellStyle name="40% - Accent1 4 2 3 2 2" xfId="20473"/>
    <cellStyle name="40% - Accent1 4 2 3 2 2 2" xfId="20474"/>
    <cellStyle name="40% - Accent1 4 2 3 2 2 2 2" xfId="20475"/>
    <cellStyle name="40% - Accent1 4 2 3 2 3" xfId="20476"/>
    <cellStyle name="40% - Accent1 4 2 3 2 3 2" xfId="20477"/>
    <cellStyle name="40% - Accent1 4 2 3 3" xfId="20478"/>
    <cellStyle name="40% - Accent1 4 2 3 3 2" xfId="20479"/>
    <cellStyle name="40% - Accent1 4 2 3 3 2 2" xfId="20480"/>
    <cellStyle name="40% - Accent1 4 2 3 4" xfId="20481"/>
    <cellStyle name="40% - Accent1 4 2 3 4 2" xfId="20482"/>
    <cellStyle name="40% - Accent1 4 2 3 5" xfId="20483"/>
    <cellStyle name="40% - Accent1 4 2 3 6" xfId="20484"/>
    <cellStyle name="40% - Accent1 4 2 3 7" xfId="20485"/>
    <cellStyle name="40% - Accent1 4 2 4" xfId="20486"/>
    <cellStyle name="40% - Accent1 4 2 4 2" xfId="20487"/>
    <cellStyle name="40% - Accent1 4 2 4 2 2" xfId="20488"/>
    <cellStyle name="40% - Accent1 4 2 4 2 2 2" xfId="20489"/>
    <cellStyle name="40% - Accent1 4 2 4 3" xfId="20490"/>
    <cellStyle name="40% - Accent1 4 2 4 3 2" xfId="20491"/>
    <cellStyle name="40% - Accent1 4 2 4 4" xfId="20492"/>
    <cellStyle name="40% - Accent1 4 2 5" xfId="20493"/>
    <cellStyle name="40% - Accent1 4 2 5 2" xfId="20494"/>
    <cellStyle name="40% - Accent1 4 2 5 2 2" xfId="20495"/>
    <cellStyle name="40% - Accent1 4 2 6" xfId="20496"/>
    <cellStyle name="40% - Accent1 4 2 6 2" xfId="20497"/>
    <cellStyle name="40% - Accent1 4 2 7" xfId="20498"/>
    <cellStyle name="40% - Accent1 4 2 8" xfId="20499"/>
    <cellStyle name="40% - Accent1 4 2 9" xfId="20500"/>
    <cellStyle name="40% - Accent1 4 3" xfId="20501"/>
    <cellStyle name="40% - Accent1 4 3 10" xfId="20502"/>
    <cellStyle name="40% - Accent1 4 3 11" xfId="20503"/>
    <cellStyle name="40% - Accent1 4 3 2" xfId="20504"/>
    <cellStyle name="40% - Accent1 4 3 2 2" xfId="20505"/>
    <cellStyle name="40% - Accent1 4 3 2 2 2" xfId="20506"/>
    <cellStyle name="40% - Accent1 4 3 2 2 2 2" xfId="20507"/>
    <cellStyle name="40% - Accent1 4 3 2 2 2 2 2" xfId="20508"/>
    <cellStyle name="40% - Accent1 4 3 2 2 2 2 2 2" xfId="20509"/>
    <cellStyle name="40% - Accent1 4 3 2 2 2 3" xfId="20510"/>
    <cellStyle name="40% - Accent1 4 3 2 2 2 3 2" xfId="20511"/>
    <cellStyle name="40% - Accent1 4 3 2 2 3" xfId="20512"/>
    <cellStyle name="40% - Accent1 4 3 2 2 3 2" xfId="20513"/>
    <cellStyle name="40% - Accent1 4 3 2 2 3 2 2" xfId="20514"/>
    <cellStyle name="40% - Accent1 4 3 2 2 4" xfId="20515"/>
    <cellStyle name="40% - Accent1 4 3 2 2 4 2" xfId="20516"/>
    <cellStyle name="40% - Accent1 4 3 2 3" xfId="20517"/>
    <cellStyle name="40% - Accent1 4 3 2 3 2" xfId="20518"/>
    <cellStyle name="40% - Accent1 4 3 2 3 2 2" xfId="20519"/>
    <cellStyle name="40% - Accent1 4 3 2 3 2 2 2" xfId="20520"/>
    <cellStyle name="40% - Accent1 4 3 2 3 3" xfId="20521"/>
    <cellStyle name="40% - Accent1 4 3 2 3 3 2" xfId="20522"/>
    <cellStyle name="40% - Accent1 4 3 2 4" xfId="20523"/>
    <cellStyle name="40% - Accent1 4 3 2 4 2" xfId="20524"/>
    <cellStyle name="40% - Accent1 4 3 2 4 2 2" xfId="20525"/>
    <cellStyle name="40% - Accent1 4 3 2 5" xfId="20526"/>
    <cellStyle name="40% - Accent1 4 3 2 5 2" xfId="20527"/>
    <cellStyle name="40% - Accent1 4 3 2 6" xfId="20528"/>
    <cellStyle name="40% - Accent1 4 3 2 7" xfId="20529"/>
    <cellStyle name="40% - Accent1 4 3 2 8" xfId="20530"/>
    <cellStyle name="40% - Accent1 4 3 3" xfId="20531"/>
    <cellStyle name="40% - Accent1 4 3 3 2" xfId="20532"/>
    <cellStyle name="40% - Accent1 4 3 3 2 2" xfId="20533"/>
    <cellStyle name="40% - Accent1 4 3 3 2 2 2" xfId="20534"/>
    <cellStyle name="40% - Accent1 4 3 3 2 2 2 2" xfId="20535"/>
    <cellStyle name="40% - Accent1 4 3 3 2 3" xfId="20536"/>
    <cellStyle name="40% - Accent1 4 3 3 2 3 2" xfId="20537"/>
    <cellStyle name="40% - Accent1 4 3 3 3" xfId="20538"/>
    <cellStyle name="40% - Accent1 4 3 3 3 2" xfId="20539"/>
    <cellStyle name="40% - Accent1 4 3 3 3 2 2" xfId="20540"/>
    <cellStyle name="40% - Accent1 4 3 3 4" xfId="20541"/>
    <cellStyle name="40% - Accent1 4 3 3 4 2" xfId="20542"/>
    <cellStyle name="40% - Accent1 4 3 3 5" xfId="20543"/>
    <cellStyle name="40% - Accent1 4 3 3 6" xfId="20544"/>
    <cellStyle name="40% - Accent1 4 3 3 7" xfId="20545"/>
    <cellStyle name="40% - Accent1 4 3 4" xfId="20546"/>
    <cellStyle name="40% - Accent1 4 3 4 2" xfId="20547"/>
    <cellStyle name="40% - Accent1 4 3 4 2 2" xfId="20548"/>
    <cellStyle name="40% - Accent1 4 3 4 2 2 2" xfId="20549"/>
    <cellStyle name="40% - Accent1 4 3 4 3" xfId="20550"/>
    <cellStyle name="40% - Accent1 4 3 4 3 2" xfId="20551"/>
    <cellStyle name="40% - Accent1 4 3 4 4" xfId="20552"/>
    <cellStyle name="40% - Accent1 4 3 5" xfId="20553"/>
    <cellStyle name="40% - Accent1 4 3 5 2" xfId="20554"/>
    <cellStyle name="40% - Accent1 4 3 5 2 2" xfId="20555"/>
    <cellStyle name="40% - Accent1 4 3 6" xfId="20556"/>
    <cellStyle name="40% - Accent1 4 3 6 2" xfId="20557"/>
    <cellStyle name="40% - Accent1 4 3 7" xfId="20558"/>
    <cellStyle name="40% - Accent1 4 3 8" xfId="20559"/>
    <cellStyle name="40% - Accent1 4 3 9" xfId="20560"/>
    <cellStyle name="40% - Accent1 4 4" xfId="20561"/>
    <cellStyle name="40% - Accent1 4 4 2" xfId="20562"/>
    <cellStyle name="40% - Accent1 4 4 2 2" xfId="20563"/>
    <cellStyle name="40% - Accent1 4 4 2 2 2" xfId="20564"/>
    <cellStyle name="40% - Accent1 4 4 2 2 2 2" xfId="20565"/>
    <cellStyle name="40% - Accent1 4 4 2 2 2 2 2" xfId="20566"/>
    <cellStyle name="40% - Accent1 4 4 2 2 2 2 2 2" xfId="20567"/>
    <cellStyle name="40% - Accent1 4 4 2 2 2 3" xfId="20568"/>
    <cellStyle name="40% - Accent1 4 4 2 2 2 3 2" xfId="20569"/>
    <cellStyle name="40% - Accent1 4 4 2 2 3" xfId="20570"/>
    <cellStyle name="40% - Accent1 4 4 2 2 3 2" xfId="20571"/>
    <cellStyle name="40% - Accent1 4 4 2 2 3 2 2" xfId="20572"/>
    <cellStyle name="40% - Accent1 4 4 2 2 4" xfId="20573"/>
    <cellStyle name="40% - Accent1 4 4 2 2 4 2" xfId="20574"/>
    <cellStyle name="40% - Accent1 4 4 2 3" xfId="20575"/>
    <cellStyle name="40% - Accent1 4 4 2 3 2" xfId="20576"/>
    <cellStyle name="40% - Accent1 4 4 2 3 2 2" xfId="20577"/>
    <cellStyle name="40% - Accent1 4 4 2 3 2 2 2" xfId="20578"/>
    <cellStyle name="40% - Accent1 4 4 2 3 3" xfId="20579"/>
    <cellStyle name="40% - Accent1 4 4 2 3 3 2" xfId="20580"/>
    <cellStyle name="40% - Accent1 4 4 2 4" xfId="20581"/>
    <cellStyle name="40% - Accent1 4 4 2 4 2" xfId="20582"/>
    <cellStyle name="40% - Accent1 4 4 2 4 2 2" xfId="20583"/>
    <cellStyle name="40% - Accent1 4 4 2 5" xfId="20584"/>
    <cellStyle name="40% - Accent1 4 4 2 5 2" xfId="20585"/>
    <cellStyle name="40% - Accent1 4 4 3" xfId="20586"/>
    <cellStyle name="40% - Accent1 4 4 3 2" xfId="20587"/>
    <cellStyle name="40% - Accent1 4 4 3 2 2" xfId="20588"/>
    <cellStyle name="40% - Accent1 4 4 3 2 2 2" xfId="20589"/>
    <cellStyle name="40% - Accent1 4 4 3 2 2 2 2" xfId="20590"/>
    <cellStyle name="40% - Accent1 4 4 3 2 3" xfId="20591"/>
    <cellStyle name="40% - Accent1 4 4 3 2 3 2" xfId="20592"/>
    <cellStyle name="40% - Accent1 4 4 3 3" xfId="20593"/>
    <cellStyle name="40% - Accent1 4 4 3 3 2" xfId="20594"/>
    <cellStyle name="40% - Accent1 4 4 3 3 2 2" xfId="20595"/>
    <cellStyle name="40% - Accent1 4 4 3 4" xfId="20596"/>
    <cellStyle name="40% - Accent1 4 4 3 4 2" xfId="20597"/>
    <cellStyle name="40% - Accent1 4 4 4" xfId="20598"/>
    <cellStyle name="40% - Accent1 4 4 4 2" xfId="20599"/>
    <cellStyle name="40% - Accent1 4 4 4 2 2" xfId="20600"/>
    <cellStyle name="40% - Accent1 4 4 4 2 2 2" xfId="20601"/>
    <cellStyle name="40% - Accent1 4 4 4 3" xfId="20602"/>
    <cellStyle name="40% - Accent1 4 4 4 3 2" xfId="20603"/>
    <cellStyle name="40% - Accent1 4 4 5" xfId="20604"/>
    <cellStyle name="40% - Accent1 4 4 5 2" xfId="20605"/>
    <cellStyle name="40% - Accent1 4 4 5 2 2" xfId="20606"/>
    <cellStyle name="40% - Accent1 4 4 6" xfId="20607"/>
    <cellStyle name="40% - Accent1 4 4 6 2" xfId="20608"/>
    <cellStyle name="40% - Accent1 4 4 7" xfId="20609"/>
    <cellStyle name="40% - Accent1 4 5" xfId="20610"/>
    <cellStyle name="40% - Accent1 4 5 2" xfId="20611"/>
    <cellStyle name="40% - Accent1 4 5 2 2" xfId="20612"/>
    <cellStyle name="40% - Accent1 4 5 2 2 2" xfId="20613"/>
    <cellStyle name="40% - Accent1 4 5 2 2 2 2" xfId="20614"/>
    <cellStyle name="40% - Accent1 4 5 2 2 2 2 2" xfId="20615"/>
    <cellStyle name="40% - Accent1 4 5 2 2 2 2 2 2" xfId="20616"/>
    <cellStyle name="40% - Accent1 4 5 2 2 2 3" xfId="20617"/>
    <cellStyle name="40% - Accent1 4 5 2 2 2 3 2" xfId="20618"/>
    <cellStyle name="40% - Accent1 4 5 2 2 3" xfId="20619"/>
    <cellStyle name="40% - Accent1 4 5 2 2 3 2" xfId="20620"/>
    <cellStyle name="40% - Accent1 4 5 2 2 3 2 2" xfId="20621"/>
    <cellStyle name="40% - Accent1 4 5 2 2 4" xfId="20622"/>
    <cellStyle name="40% - Accent1 4 5 2 2 4 2" xfId="20623"/>
    <cellStyle name="40% - Accent1 4 5 2 3" xfId="20624"/>
    <cellStyle name="40% - Accent1 4 5 2 3 2" xfId="20625"/>
    <cellStyle name="40% - Accent1 4 5 2 3 2 2" xfId="20626"/>
    <cellStyle name="40% - Accent1 4 5 2 3 2 2 2" xfId="20627"/>
    <cellStyle name="40% - Accent1 4 5 2 3 3" xfId="20628"/>
    <cellStyle name="40% - Accent1 4 5 2 3 3 2" xfId="20629"/>
    <cellStyle name="40% - Accent1 4 5 2 4" xfId="20630"/>
    <cellStyle name="40% - Accent1 4 5 2 4 2" xfId="20631"/>
    <cellStyle name="40% - Accent1 4 5 2 4 2 2" xfId="20632"/>
    <cellStyle name="40% - Accent1 4 5 2 5" xfId="20633"/>
    <cellStyle name="40% - Accent1 4 5 2 5 2" xfId="20634"/>
    <cellStyle name="40% - Accent1 4 5 3" xfId="20635"/>
    <cellStyle name="40% - Accent1 4 5 3 2" xfId="20636"/>
    <cellStyle name="40% - Accent1 4 5 3 2 2" xfId="20637"/>
    <cellStyle name="40% - Accent1 4 5 3 2 2 2" xfId="20638"/>
    <cellStyle name="40% - Accent1 4 5 3 2 2 2 2" xfId="20639"/>
    <cellStyle name="40% - Accent1 4 5 3 2 3" xfId="20640"/>
    <cellStyle name="40% - Accent1 4 5 3 2 3 2" xfId="20641"/>
    <cellStyle name="40% - Accent1 4 5 3 3" xfId="20642"/>
    <cellStyle name="40% - Accent1 4 5 3 3 2" xfId="20643"/>
    <cellStyle name="40% - Accent1 4 5 3 3 2 2" xfId="20644"/>
    <cellStyle name="40% - Accent1 4 5 3 4" xfId="20645"/>
    <cellStyle name="40% - Accent1 4 5 3 4 2" xfId="20646"/>
    <cellStyle name="40% - Accent1 4 5 4" xfId="20647"/>
    <cellStyle name="40% - Accent1 4 5 4 2" xfId="20648"/>
    <cellStyle name="40% - Accent1 4 5 4 2 2" xfId="20649"/>
    <cellStyle name="40% - Accent1 4 5 4 2 2 2" xfId="20650"/>
    <cellStyle name="40% - Accent1 4 5 4 3" xfId="20651"/>
    <cellStyle name="40% - Accent1 4 5 4 3 2" xfId="20652"/>
    <cellStyle name="40% - Accent1 4 5 5" xfId="20653"/>
    <cellStyle name="40% - Accent1 4 5 5 2" xfId="20654"/>
    <cellStyle name="40% - Accent1 4 5 5 2 2" xfId="20655"/>
    <cellStyle name="40% - Accent1 4 5 6" xfId="20656"/>
    <cellStyle name="40% - Accent1 4 5 6 2" xfId="20657"/>
    <cellStyle name="40% - Accent1 4 5 7" xfId="20658"/>
    <cellStyle name="40% - Accent1 4 6" xfId="20659"/>
    <cellStyle name="40% - Accent1 4 6 2" xfId="20660"/>
    <cellStyle name="40% - Accent1 4 6 2 2" xfId="20661"/>
    <cellStyle name="40% - Accent1 4 6 2 2 2" xfId="20662"/>
    <cellStyle name="40% - Accent1 4 6 2 2 2 2" xfId="20663"/>
    <cellStyle name="40% - Accent1 4 6 2 2 2 2 2" xfId="20664"/>
    <cellStyle name="40% - Accent1 4 6 2 2 2 2 2 2" xfId="20665"/>
    <cellStyle name="40% - Accent1 4 6 2 2 2 3" xfId="20666"/>
    <cellStyle name="40% - Accent1 4 6 2 2 2 3 2" xfId="20667"/>
    <cellStyle name="40% - Accent1 4 6 2 2 3" xfId="20668"/>
    <cellStyle name="40% - Accent1 4 6 2 2 3 2" xfId="20669"/>
    <cellStyle name="40% - Accent1 4 6 2 2 3 2 2" xfId="20670"/>
    <cellStyle name="40% - Accent1 4 6 2 2 4" xfId="20671"/>
    <cellStyle name="40% - Accent1 4 6 2 2 4 2" xfId="20672"/>
    <cellStyle name="40% - Accent1 4 6 2 3" xfId="20673"/>
    <cellStyle name="40% - Accent1 4 6 2 3 2" xfId="20674"/>
    <cellStyle name="40% - Accent1 4 6 2 3 2 2" xfId="20675"/>
    <cellStyle name="40% - Accent1 4 6 2 3 2 2 2" xfId="20676"/>
    <cellStyle name="40% - Accent1 4 6 2 3 3" xfId="20677"/>
    <cellStyle name="40% - Accent1 4 6 2 3 3 2" xfId="20678"/>
    <cellStyle name="40% - Accent1 4 6 2 4" xfId="20679"/>
    <cellStyle name="40% - Accent1 4 6 2 4 2" xfId="20680"/>
    <cellStyle name="40% - Accent1 4 6 2 4 2 2" xfId="20681"/>
    <cellStyle name="40% - Accent1 4 6 2 5" xfId="20682"/>
    <cellStyle name="40% - Accent1 4 6 2 5 2" xfId="20683"/>
    <cellStyle name="40% - Accent1 4 6 3" xfId="20684"/>
    <cellStyle name="40% - Accent1 4 6 3 2" xfId="20685"/>
    <cellStyle name="40% - Accent1 4 6 3 2 2" xfId="20686"/>
    <cellStyle name="40% - Accent1 4 6 3 2 2 2" xfId="20687"/>
    <cellStyle name="40% - Accent1 4 6 3 2 2 2 2" xfId="20688"/>
    <cellStyle name="40% - Accent1 4 6 3 2 3" xfId="20689"/>
    <cellStyle name="40% - Accent1 4 6 3 2 3 2" xfId="20690"/>
    <cellStyle name="40% - Accent1 4 6 3 3" xfId="20691"/>
    <cellStyle name="40% - Accent1 4 6 3 3 2" xfId="20692"/>
    <cellStyle name="40% - Accent1 4 6 3 3 2 2" xfId="20693"/>
    <cellStyle name="40% - Accent1 4 6 3 4" xfId="20694"/>
    <cellStyle name="40% - Accent1 4 6 3 4 2" xfId="20695"/>
    <cellStyle name="40% - Accent1 4 6 4" xfId="20696"/>
    <cellStyle name="40% - Accent1 4 6 4 2" xfId="20697"/>
    <cellStyle name="40% - Accent1 4 6 4 2 2" xfId="20698"/>
    <cellStyle name="40% - Accent1 4 6 4 2 2 2" xfId="20699"/>
    <cellStyle name="40% - Accent1 4 6 4 3" xfId="20700"/>
    <cellStyle name="40% - Accent1 4 6 4 3 2" xfId="20701"/>
    <cellStyle name="40% - Accent1 4 6 5" xfId="20702"/>
    <cellStyle name="40% - Accent1 4 6 5 2" xfId="20703"/>
    <cellStyle name="40% - Accent1 4 6 5 2 2" xfId="20704"/>
    <cellStyle name="40% - Accent1 4 6 6" xfId="20705"/>
    <cellStyle name="40% - Accent1 4 6 6 2" xfId="20706"/>
    <cellStyle name="40% - Accent1 4 6 7" xfId="20707"/>
    <cellStyle name="40% - Accent1 4 7" xfId="20708"/>
    <cellStyle name="40% - Accent1 4 7 2" xfId="20709"/>
    <cellStyle name="40% - Accent1 4 7 2 2" xfId="20710"/>
    <cellStyle name="40% - Accent1 4 7 2 2 2" xfId="20711"/>
    <cellStyle name="40% - Accent1 4 7 2 2 2 2" xfId="20712"/>
    <cellStyle name="40% - Accent1 4 7 2 2 2 2 2" xfId="20713"/>
    <cellStyle name="40% - Accent1 4 7 2 2 2 2 2 2" xfId="20714"/>
    <cellStyle name="40% - Accent1 4 7 2 2 2 3" xfId="20715"/>
    <cellStyle name="40% - Accent1 4 7 2 2 2 3 2" xfId="20716"/>
    <cellStyle name="40% - Accent1 4 7 2 2 3" xfId="20717"/>
    <cellStyle name="40% - Accent1 4 7 2 2 3 2" xfId="20718"/>
    <cellStyle name="40% - Accent1 4 7 2 2 3 2 2" xfId="20719"/>
    <cellStyle name="40% - Accent1 4 7 2 2 4" xfId="20720"/>
    <cellStyle name="40% - Accent1 4 7 2 2 4 2" xfId="20721"/>
    <cellStyle name="40% - Accent1 4 7 2 3" xfId="20722"/>
    <cellStyle name="40% - Accent1 4 7 2 3 2" xfId="20723"/>
    <cellStyle name="40% - Accent1 4 7 2 3 2 2" xfId="20724"/>
    <cellStyle name="40% - Accent1 4 7 2 3 2 2 2" xfId="20725"/>
    <cellStyle name="40% - Accent1 4 7 2 3 3" xfId="20726"/>
    <cellStyle name="40% - Accent1 4 7 2 3 3 2" xfId="20727"/>
    <cellStyle name="40% - Accent1 4 7 2 4" xfId="20728"/>
    <cellStyle name="40% - Accent1 4 7 2 4 2" xfId="20729"/>
    <cellStyle name="40% - Accent1 4 7 2 4 2 2" xfId="20730"/>
    <cellStyle name="40% - Accent1 4 7 2 5" xfId="20731"/>
    <cellStyle name="40% - Accent1 4 7 2 5 2" xfId="20732"/>
    <cellStyle name="40% - Accent1 4 7 3" xfId="20733"/>
    <cellStyle name="40% - Accent1 4 7 3 2" xfId="20734"/>
    <cellStyle name="40% - Accent1 4 7 3 2 2" xfId="20735"/>
    <cellStyle name="40% - Accent1 4 7 3 2 2 2" xfId="20736"/>
    <cellStyle name="40% - Accent1 4 7 3 2 2 2 2" xfId="20737"/>
    <cellStyle name="40% - Accent1 4 7 3 2 3" xfId="20738"/>
    <cellStyle name="40% - Accent1 4 7 3 2 3 2" xfId="20739"/>
    <cellStyle name="40% - Accent1 4 7 3 3" xfId="20740"/>
    <cellStyle name="40% - Accent1 4 7 3 3 2" xfId="20741"/>
    <cellStyle name="40% - Accent1 4 7 3 3 2 2" xfId="20742"/>
    <cellStyle name="40% - Accent1 4 7 3 4" xfId="20743"/>
    <cellStyle name="40% - Accent1 4 7 3 4 2" xfId="20744"/>
    <cellStyle name="40% - Accent1 4 7 4" xfId="20745"/>
    <cellStyle name="40% - Accent1 4 7 4 2" xfId="20746"/>
    <cellStyle name="40% - Accent1 4 7 4 2 2" xfId="20747"/>
    <cellStyle name="40% - Accent1 4 7 4 2 2 2" xfId="20748"/>
    <cellStyle name="40% - Accent1 4 7 4 3" xfId="20749"/>
    <cellStyle name="40% - Accent1 4 7 4 3 2" xfId="20750"/>
    <cellStyle name="40% - Accent1 4 7 5" xfId="20751"/>
    <cellStyle name="40% - Accent1 4 7 5 2" xfId="20752"/>
    <cellStyle name="40% - Accent1 4 7 5 2 2" xfId="20753"/>
    <cellStyle name="40% - Accent1 4 7 6" xfId="20754"/>
    <cellStyle name="40% - Accent1 4 7 6 2" xfId="20755"/>
    <cellStyle name="40% - Accent1 4 7 7" xfId="20756"/>
    <cellStyle name="40% - Accent1 4 8" xfId="20757"/>
    <cellStyle name="40% - Accent1 4 8 2" xfId="20758"/>
    <cellStyle name="40% - Accent1 4 8 2 2" xfId="20759"/>
    <cellStyle name="40% - Accent1 4 8 2 2 2" xfId="20760"/>
    <cellStyle name="40% - Accent1 4 8 2 2 2 2" xfId="20761"/>
    <cellStyle name="40% - Accent1 4 8 2 2 2 2 2" xfId="20762"/>
    <cellStyle name="40% - Accent1 4 8 2 2 2 2 2 2" xfId="20763"/>
    <cellStyle name="40% - Accent1 4 8 2 2 2 3" xfId="20764"/>
    <cellStyle name="40% - Accent1 4 8 2 2 2 3 2" xfId="20765"/>
    <cellStyle name="40% - Accent1 4 8 2 2 3" xfId="20766"/>
    <cellStyle name="40% - Accent1 4 8 2 2 3 2" xfId="20767"/>
    <cellStyle name="40% - Accent1 4 8 2 2 3 2 2" xfId="20768"/>
    <cellStyle name="40% - Accent1 4 8 2 2 4" xfId="20769"/>
    <cellStyle name="40% - Accent1 4 8 2 2 4 2" xfId="20770"/>
    <cellStyle name="40% - Accent1 4 8 2 3" xfId="20771"/>
    <cellStyle name="40% - Accent1 4 8 2 3 2" xfId="20772"/>
    <cellStyle name="40% - Accent1 4 8 2 3 2 2" xfId="20773"/>
    <cellStyle name="40% - Accent1 4 8 2 3 2 2 2" xfId="20774"/>
    <cellStyle name="40% - Accent1 4 8 2 3 3" xfId="20775"/>
    <cellStyle name="40% - Accent1 4 8 2 3 3 2" xfId="20776"/>
    <cellStyle name="40% - Accent1 4 8 2 4" xfId="20777"/>
    <cellStyle name="40% - Accent1 4 8 2 4 2" xfId="20778"/>
    <cellStyle name="40% - Accent1 4 8 2 4 2 2" xfId="20779"/>
    <cellStyle name="40% - Accent1 4 8 2 5" xfId="20780"/>
    <cellStyle name="40% - Accent1 4 8 2 5 2" xfId="20781"/>
    <cellStyle name="40% - Accent1 4 8 3" xfId="20782"/>
    <cellStyle name="40% - Accent1 4 8 3 2" xfId="20783"/>
    <cellStyle name="40% - Accent1 4 8 3 2 2" xfId="20784"/>
    <cellStyle name="40% - Accent1 4 8 3 2 2 2" xfId="20785"/>
    <cellStyle name="40% - Accent1 4 8 3 2 2 2 2" xfId="20786"/>
    <cellStyle name="40% - Accent1 4 8 3 2 3" xfId="20787"/>
    <cellStyle name="40% - Accent1 4 8 3 2 3 2" xfId="20788"/>
    <cellStyle name="40% - Accent1 4 8 3 3" xfId="20789"/>
    <cellStyle name="40% - Accent1 4 8 3 3 2" xfId="20790"/>
    <cellStyle name="40% - Accent1 4 8 3 3 2 2" xfId="20791"/>
    <cellStyle name="40% - Accent1 4 8 3 4" xfId="20792"/>
    <cellStyle name="40% - Accent1 4 8 3 4 2" xfId="20793"/>
    <cellStyle name="40% - Accent1 4 8 4" xfId="20794"/>
    <cellStyle name="40% - Accent1 4 8 4 2" xfId="20795"/>
    <cellStyle name="40% - Accent1 4 8 4 2 2" xfId="20796"/>
    <cellStyle name="40% - Accent1 4 8 4 2 2 2" xfId="20797"/>
    <cellStyle name="40% - Accent1 4 8 4 3" xfId="20798"/>
    <cellStyle name="40% - Accent1 4 8 4 3 2" xfId="20799"/>
    <cellStyle name="40% - Accent1 4 8 5" xfId="20800"/>
    <cellStyle name="40% - Accent1 4 8 5 2" xfId="20801"/>
    <cellStyle name="40% - Accent1 4 8 5 2 2" xfId="20802"/>
    <cellStyle name="40% - Accent1 4 8 6" xfId="20803"/>
    <cellStyle name="40% - Accent1 4 8 6 2" xfId="20804"/>
    <cellStyle name="40% - Accent1 4 8 7" xfId="20805"/>
    <cellStyle name="40% - Accent1 4 9" xfId="20806"/>
    <cellStyle name="40% - Accent1 4 9 2" xfId="20807"/>
    <cellStyle name="40% - Accent1 4 9 2 2" xfId="20808"/>
    <cellStyle name="40% - Accent1 4 9 2 2 2" xfId="20809"/>
    <cellStyle name="40% - Accent1 4 9 2 2 2 2" xfId="20810"/>
    <cellStyle name="40% - Accent1 4 9 2 2 2 2 2" xfId="20811"/>
    <cellStyle name="40% - Accent1 4 9 2 2 2 2 2 2" xfId="20812"/>
    <cellStyle name="40% - Accent1 4 9 2 2 2 3" xfId="20813"/>
    <cellStyle name="40% - Accent1 4 9 2 2 2 3 2" xfId="20814"/>
    <cellStyle name="40% - Accent1 4 9 2 2 3" xfId="20815"/>
    <cellStyle name="40% - Accent1 4 9 2 2 3 2" xfId="20816"/>
    <cellStyle name="40% - Accent1 4 9 2 2 3 2 2" xfId="20817"/>
    <cellStyle name="40% - Accent1 4 9 2 2 4" xfId="20818"/>
    <cellStyle name="40% - Accent1 4 9 2 2 4 2" xfId="20819"/>
    <cellStyle name="40% - Accent1 4 9 2 3" xfId="20820"/>
    <cellStyle name="40% - Accent1 4 9 2 3 2" xfId="20821"/>
    <cellStyle name="40% - Accent1 4 9 2 3 2 2" xfId="20822"/>
    <cellStyle name="40% - Accent1 4 9 2 3 2 2 2" xfId="20823"/>
    <cellStyle name="40% - Accent1 4 9 2 3 3" xfId="20824"/>
    <cellStyle name="40% - Accent1 4 9 2 3 3 2" xfId="20825"/>
    <cellStyle name="40% - Accent1 4 9 2 4" xfId="20826"/>
    <cellStyle name="40% - Accent1 4 9 2 4 2" xfId="20827"/>
    <cellStyle name="40% - Accent1 4 9 2 4 2 2" xfId="20828"/>
    <cellStyle name="40% - Accent1 4 9 2 5" xfId="20829"/>
    <cellStyle name="40% - Accent1 4 9 2 5 2" xfId="20830"/>
    <cellStyle name="40% - Accent1 4 9 3" xfId="20831"/>
    <cellStyle name="40% - Accent1 4 9 3 2" xfId="20832"/>
    <cellStyle name="40% - Accent1 4 9 3 2 2" xfId="20833"/>
    <cellStyle name="40% - Accent1 4 9 3 2 2 2" xfId="20834"/>
    <cellStyle name="40% - Accent1 4 9 3 2 2 2 2" xfId="20835"/>
    <cellStyle name="40% - Accent1 4 9 3 2 3" xfId="20836"/>
    <cellStyle name="40% - Accent1 4 9 3 2 3 2" xfId="20837"/>
    <cellStyle name="40% - Accent1 4 9 3 3" xfId="20838"/>
    <cellStyle name="40% - Accent1 4 9 3 3 2" xfId="20839"/>
    <cellStyle name="40% - Accent1 4 9 3 3 2 2" xfId="20840"/>
    <cellStyle name="40% - Accent1 4 9 3 4" xfId="20841"/>
    <cellStyle name="40% - Accent1 4 9 3 4 2" xfId="20842"/>
    <cellStyle name="40% - Accent1 4 9 4" xfId="20843"/>
    <cellStyle name="40% - Accent1 4 9 4 2" xfId="20844"/>
    <cellStyle name="40% - Accent1 4 9 4 2 2" xfId="20845"/>
    <cellStyle name="40% - Accent1 4 9 4 2 2 2" xfId="20846"/>
    <cellStyle name="40% - Accent1 4 9 4 3" xfId="20847"/>
    <cellStyle name="40% - Accent1 4 9 4 3 2" xfId="20848"/>
    <cellStyle name="40% - Accent1 4 9 5" xfId="20849"/>
    <cellStyle name="40% - Accent1 4 9 5 2" xfId="20850"/>
    <cellStyle name="40% - Accent1 4 9 5 2 2" xfId="20851"/>
    <cellStyle name="40% - Accent1 4 9 6" xfId="20852"/>
    <cellStyle name="40% - Accent1 4 9 6 2" xfId="20853"/>
    <cellStyle name="40% - Accent1 4 9 7" xfId="20854"/>
    <cellStyle name="40% - Accent1 4 9 8" xfId="20855"/>
    <cellStyle name="40% - Accent1 4 9 9" xfId="20856"/>
    <cellStyle name="40% - Accent1 40" xfId="20857"/>
    <cellStyle name="40% - Accent1 40 2" xfId="20858"/>
    <cellStyle name="40% - Accent1 40 2 2" xfId="20859"/>
    <cellStyle name="40% - Accent1 40 2 3" xfId="20860"/>
    <cellStyle name="40% - Accent1 40 2 4" xfId="20861"/>
    <cellStyle name="40% - Accent1 40 3" xfId="20862"/>
    <cellStyle name="40% - Accent1 40 3 2" xfId="20863"/>
    <cellStyle name="40% - Accent1 40 3 3" xfId="20864"/>
    <cellStyle name="40% - Accent1 40 4" xfId="20865"/>
    <cellStyle name="40% - Accent1 40 4 2" xfId="20866"/>
    <cellStyle name="40% - Accent1 40 5" xfId="20867"/>
    <cellStyle name="40% - Accent1 40 6" xfId="20868"/>
    <cellStyle name="40% - Accent1 40 7" xfId="20869"/>
    <cellStyle name="40% - Accent1 41" xfId="20870"/>
    <cellStyle name="40% - Accent1 41 2" xfId="20871"/>
    <cellStyle name="40% - Accent1 41 2 2" xfId="20872"/>
    <cellStyle name="40% - Accent1 41 2 3" xfId="20873"/>
    <cellStyle name="40% - Accent1 41 2 4" xfId="20874"/>
    <cellStyle name="40% - Accent1 41 3" xfId="20875"/>
    <cellStyle name="40% - Accent1 41 3 2" xfId="20876"/>
    <cellStyle name="40% - Accent1 41 3 3" xfId="20877"/>
    <cellStyle name="40% - Accent1 41 4" xfId="20878"/>
    <cellStyle name="40% - Accent1 41 4 2" xfId="20879"/>
    <cellStyle name="40% - Accent1 41 5" xfId="20880"/>
    <cellStyle name="40% - Accent1 41 6" xfId="20881"/>
    <cellStyle name="40% - Accent1 41 7" xfId="20882"/>
    <cellStyle name="40% - Accent1 42" xfId="20883"/>
    <cellStyle name="40% - Accent1 42 2" xfId="20884"/>
    <cellStyle name="40% - Accent1 42 2 2" xfId="20885"/>
    <cellStyle name="40% - Accent1 42 2 3" xfId="20886"/>
    <cellStyle name="40% - Accent1 42 2 4" xfId="20887"/>
    <cellStyle name="40% - Accent1 42 3" xfId="20888"/>
    <cellStyle name="40% - Accent1 42 3 2" xfId="20889"/>
    <cellStyle name="40% - Accent1 42 3 3" xfId="20890"/>
    <cellStyle name="40% - Accent1 42 4" xfId="20891"/>
    <cellStyle name="40% - Accent1 42 4 2" xfId="20892"/>
    <cellStyle name="40% - Accent1 42 5" xfId="20893"/>
    <cellStyle name="40% - Accent1 42 6" xfId="20894"/>
    <cellStyle name="40% - Accent1 42 7" xfId="20895"/>
    <cellStyle name="40% - Accent1 43" xfId="20896"/>
    <cellStyle name="40% - Accent1 43 2" xfId="20897"/>
    <cellStyle name="40% - Accent1 43 2 2" xfId="20898"/>
    <cellStyle name="40% - Accent1 43 2 3" xfId="20899"/>
    <cellStyle name="40% - Accent1 43 2 4" xfId="20900"/>
    <cellStyle name="40% - Accent1 43 3" xfId="20901"/>
    <cellStyle name="40% - Accent1 43 3 2" xfId="20902"/>
    <cellStyle name="40% - Accent1 43 3 3" xfId="20903"/>
    <cellStyle name="40% - Accent1 43 4" xfId="20904"/>
    <cellStyle name="40% - Accent1 43 4 2" xfId="20905"/>
    <cellStyle name="40% - Accent1 43 5" xfId="20906"/>
    <cellStyle name="40% - Accent1 43 6" xfId="20907"/>
    <cellStyle name="40% - Accent1 43 7" xfId="20908"/>
    <cellStyle name="40% - Accent1 44" xfId="20909"/>
    <cellStyle name="40% - Accent1 44 2" xfId="20910"/>
    <cellStyle name="40% - Accent1 44 2 2" xfId="20911"/>
    <cellStyle name="40% - Accent1 44 2 3" xfId="20912"/>
    <cellStyle name="40% - Accent1 44 2 4" xfId="20913"/>
    <cellStyle name="40% - Accent1 44 3" xfId="20914"/>
    <cellStyle name="40% - Accent1 44 3 2" xfId="20915"/>
    <cellStyle name="40% - Accent1 44 3 3" xfId="20916"/>
    <cellStyle name="40% - Accent1 44 4" xfId="20917"/>
    <cellStyle name="40% - Accent1 44 4 2" xfId="20918"/>
    <cellStyle name="40% - Accent1 44 5" xfId="20919"/>
    <cellStyle name="40% - Accent1 44 6" xfId="20920"/>
    <cellStyle name="40% - Accent1 44 7" xfId="20921"/>
    <cellStyle name="40% - Accent1 45" xfId="20922"/>
    <cellStyle name="40% - Accent1 45 2" xfId="20923"/>
    <cellStyle name="40% - Accent1 45 2 2" xfId="20924"/>
    <cellStyle name="40% - Accent1 45 2 3" xfId="20925"/>
    <cellStyle name="40% - Accent1 45 2 4" xfId="20926"/>
    <cellStyle name="40% - Accent1 45 3" xfId="20927"/>
    <cellStyle name="40% - Accent1 45 3 2" xfId="20928"/>
    <cellStyle name="40% - Accent1 45 3 3" xfId="20929"/>
    <cellStyle name="40% - Accent1 45 4" xfId="20930"/>
    <cellStyle name="40% - Accent1 45 4 2" xfId="20931"/>
    <cellStyle name="40% - Accent1 45 5" xfId="20932"/>
    <cellStyle name="40% - Accent1 45 6" xfId="20933"/>
    <cellStyle name="40% - Accent1 45 7" xfId="20934"/>
    <cellStyle name="40% - Accent1 46" xfId="20935"/>
    <cellStyle name="40% - Accent1 46 2" xfId="20936"/>
    <cellStyle name="40% - Accent1 46 2 2" xfId="20937"/>
    <cellStyle name="40% - Accent1 46 2 3" xfId="20938"/>
    <cellStyle name="40% - Accent1 46 2 4" xfId="20939"/>
    <cellStyle name="40% - Accent1 46 3" xfId="20940"/>
    <cellStyle name="40% - Accent1 46 3 2" xfId="20941"/>
    <cellStyle name="40% - Accent1 46 3 3" xfId="20942"/>
    <cellStyle name="40% - Accent1 46 4" xfId="20943"/>
    <cellStyle name="40% - Accent1 46 4 2" xfId="20944"/>
    <cellStyle name="40% - Accent1 46 5" xfId="20945"/>
    <cellStyle name="40% - Accent1 46 6" xfId="20946"/>
    <cellStyle name="40% - Accent1 46 7" xfId="20947"/>
    <cellStyle name="40% - Accent1 47" xfId="20948"/>
    <cellStyle name="40% - Accent1 47 2" xfId="20949"/>
    <cellStyle name="40% - Accent1 47 2 2" xfId="20950"/>
    <cellStyle name="40% - Accent1 47 2 3" xfId="20951"/>
    <cellStyle name="40% - Accent1 47 2 4" xfId="20952"/>
    <cellStyle name="40% - Accent1 47 3" xfId="20953"/>
    <cellStyle name="40% - Accent1 47 3 2" xfId="20954"/>
    <cellStyle name="40% - Accent1 47 3 3" xfId="20955"/>
    <cellStyle name="40% - Accent1 47 4" xfId="20956"/>
    <cellStyle name="40% - Accent1 47 4 2" xfId="20957"/>
    <cellStyle name="40% - Accent1 47 5" xfId="20958"/>
    <cellStyle name="40% - Accent1 47 6" xfId="20959"/>
    <cellStyle name="40% - Accent1 47 7" xfId="20960"/>
    <cellStyle name="40% - Accent1 48" xfId="20961"/>
    <cellStyle name="40% - Accent1 48 2" xfId="20962"/>
    <cellStyle name="40% - Accent1 48 2 2" xfId="20963"/>
    <cellStyle name="40% - Accent1 48 2 3" xfId="20964"/>
    <cellStyle name="40% - Accent1 48 2 4" xfId="20965"/>
    <cellStyle name="40% - Accent1 48 3" xfId="20966"/>
    <cellStyle name="40% - Accent1 48 3 2" xfId="20967"/>
    <cellStyle name="40% - Accent1 48 3 3" xfId="20968"/>
    <cellStyle name="40% - Accent1 48 4" xfId="20969"/>
    <cellStyle name="40% - Accent1 48 4 2" xfId="20970"/>
    <cellStyle name="40% - Accent1 48 5" xfId="20971"/>
    <cellStyle name="40% - Accent1 48 6" xfId="20972"/>
    <cellStyle name="40% - Accent1 48 7" xfId="20973"/>
    <cellStyle name="40% - Accent1 49" xfId="20974"/>
    <cellStyle name="40% - Accent1 49 2" xfId="20975"/>
    <cellStyle name="40% - Accent1 49 2 2" xfId="20976"/>
    <cellStyle name="40% - Accent1 49 2 3" xfId="20977"/>
    <cellStyle name="40% - Accent1 49 2 4" xfId="20978"/>
    <cellStyle name="40% - Accent1 49 3" xfId="20979"/>
    <cellStyle name="40% - Accent1 49 3 2" xfId="20980"/>
    <cellStyle name="40% - Accent1 49 3 3" xfId="20981"/>
    <cellStyle name="40% - Accent1 49 4" xfId="20982"/>
    <cellStyle name="40% - Accent1 49 4 2" xfId="20983"/>
    <cellStyle name="40% - Accent1 49 5" xfId="20984"/>
    <cellStyle name="40% - Accent1 49 6" xfId="20985"/>
    <cellStyle name="40% - Accent1 49 7" xfId="20986"/>
    <cellStyle name="40% - Accent1 5" xfId="20987"/>
    <cellStyle name="40% - Accent1 5 2" xfId="20988"/>
    <cellStyle name="40% - Accent1 5 3" xfId="20989"/>
    <cellStyle name="40% - Accent1 5 4" xfId="20990"/>
    <cellStyle name="40% - Accent1 5 5" xfId="20991"/>
    <cellStyle name="40% - Accent1 5 6" xfId="20992"/>
    <cellStyle name="40% - Accent1 5 7" xfId="20993"/>
    <cellStyle name="40% - Accent1 5 8" xfId="20994"/>
    <cellStyle name="40% - Accent1 50" xfId="20995"/>
    <cellStyle name="40% - Accent1 50 2" xfId="20996"/>
    <cellStyle name="40% - Accent1 50 2 2" xfId="20997"/>
    <cellStyle name="40% - Accent1 50 2 3" xfId="20998"/>
    <cellStyle name="40% - Accent1 50 2 4" xfId="20999"/>
    <cellStyle name="40% - Accent1 50 3" xfId="21000"/>
    <cellStyle name="40% - Accent1 50 3 2" xfId="21001"/>
    <cellStyle name="40% - Accent1 50 3 3" xfId="21002"/>
    <cellStyle name="40% - Accent1 50 4" xfId="21003"/>
    <cellStyle name="40% - Accent1 50 4 2" xfId="21004"/>
    <cellStyle name="40% - Accent1 50 5" xfId="21005"/>
    <cellStyle name="40% - Accent1 50 6" xfId="21006"/>
    <cellStyle name="40% - Accent1 50 7" xfId="21007"/>
    <cellStyle name="40% - Accent1 51" xfId="21008"/>
    <cellStyle name="40% - Accent1 51 2" xfId="21009"/>
    <cellStyle name="40% - Accent1 51 2 2" xfId="21010"/>
    <cellStyle name="40% - Accent1 51 2 3" xfId="21011"/>
    <cellStyle name="40% - Accent1 51 2 4" xfId="21012"/>
    <cellStyle name="40% - Accent1 51 3" xfId="21013"/>
    <cellStyle name="40% - Accent1 51 3 2" xfId="21014"/>
    <cellStyle name="40% - Accent1 51 3 3" xfId="21015"/>
    <cellStyle name="40% - Accent1 51 4" xfId="21016"/>
    <cellStyle name="40% - Accent1 51 4 2" xfId="21017"/>
    <cellStyle name="40% - Accent1 51 5" xfId="21018"/>
    <cellStyle name="40% - Accent1 51 6" xfId="21019"/>
    <cellStyle name="40% - Accent1 51 7" xfId="21020"/>
    <cellStyle name="40% - Accent1 52" xfId="21021"/>
    <cellStyle name="40% - Accent1 52 2" xfId="21022"/>
    <cellStyle name="40% - Accent1 52 2 2" xfId="21023"/>
    <cellStyle name="40% - Accent1 52 2 3" xfId="21024"/>
    <cellStyle name="40% - Accent1 52 2 4" xfId="21025"/>
    <cellStyle name="40% - Accent1 52 3" xfId="21026"/>
    <cellStyle name="40% - Accent1 52 3 2" xfId="21027"/>
    <cellStyle name="40% - Accent1 52 3 3" xfId="21028"/>
    <cellStyle name="40% - Accent1 52 4" xfId="21029"/>
    <cellStyle name="40% - Accent1 52 4 2" xfId="21030"/>
    <cellStyle name="40% - Accent1 52 5" xfId="21031"/>
    <cellStyle name="40% - Accent1 52 6" xfId="21032"/>
    <cellStyle name="40% - Accent1 52 7" xfId="21033"/>
    <cellStyle name="40% - Accent1 53" xfId="21034"/>
    <cellStyle name="40% - Accent1 53 2" xfId="21035"/>
    <cellStyle name="40% - Accent1 53 2 2" xfId="21036"/>
    <cellStyle name="40% - Accent1 53 2 3" xfId="21037"/>
    <cellStyle name="40% - Accent1 53 2 4" xfId="21038"/>
    <cellStyle name="40% - Accent1 53 3" xfId="21039"/>
    <cellStyle name="40% - Accent1 53 3 2" xfId="21040"/>
    <cellStyle name="40% - Accent1 53 3 3" xfId="21041"/>
    <cellStyle name="40% - Accent1 53 4" xfId="21042"/>
    <cellStyle name="40% - Accent1 53 4 2" xfId="21043"/>
    <cellStyle name="40% - Accent1 53 5" xfId="21044"/>
    <cellStyle name="40% - Accent1 53 6" xfId="21045"/>
    <cellStyle name="40% - Accent1 53 7" xfId="21046"/>
    <cellStyle name="40% - Accent1 54" xfId="21047"/>
    <cellStyle name="40% - Accent1 54 2" xfId="21048"/>
    <cellStyle name="40% - Accent1 54 2 2" xfId="21049"/>
    <cellStyle name="40% - Accent1 54 2 3" xfId="21050"/>
    <cellStyle name="40% - Accent1 54 2 4" xfId="21051"/>
    <cellStyle name="40% - Accent1 54 3" xfId="21052"/>
    <cellStyle name="40% - Accent1 54 3 2" xfId="21053"/>
    <cellStyle name="40% - Accent1 54 3 3" xfId="21054"/>
    <cellStyle name="40% - Accent1 54 4" xfId="21055"/>
    <cellStyle name="40% - Accent1 54 4 2" xfId="21056"/>
    <cellStyle name="40% - Accent1 54 5" xfId="21057"/>
    <cellStyle name="40% - Accent1 54 6" xfId="21058"/>
    <cellStyle name="40% - Accent1 54 7" xfId="21059"/>
    <cellStyle name="40% - Accent1 55" xfId="21060"/>
    <cellStyle name="40% - Accent1 55 2" xfId="21061"/>
    <cellStyle name="40% - Accent1 55 2 2" xfId="21062"/>
    <cellStyle name="40% - Accent1 55 2 3" xfId="21063"/>
    <cellStyle name="40% - Accent1 55 2 4" xfId="21064"/>
    <cellStyle name="40% - Accent1 55 3" xfId="21065"/>
    <cellStyle name="40% - Accent1 55 3 2" xfId="21066"/>
    <cellStyle name="40% - Accent1 55 3 3" xfId="21067"/>
    <cellStyle name="40% - Accent1 55 4" xfId="21068"/>
    <cellStyle name="40% - Accent1 55 4 2" xfId="21069"/>
    <cellStyle name="40% - Accent1 55 5" xfId="21070"/>
    <cellStyle name="40% - Accent1 55 6" xfId="21071"/>
    <cellStyle name="40% - Accent1 55 7" xfId="21072"/>
    <cellStyle name="40% - Accent1 56" xfId="21073"/>
    <cellStyle name="40% - Accent1 56 2" xfId="21074"/>
    <cellStyle name="40% - Accent1 56 2 2" xfId="21075"/>
    <cellStyle name="40% - Accent1 56 2 3" xfId="21076"/>
    <cellStyle name="40% - Accent1 56 2 4" xfId="21077"/>
    <cellStyle name="40% - Accent1 56 3" xfId="21078"/>
    <cellStyle name="40% - Accent1 56 3 2" xfId="21079"/>
    <cellStyle name="40% - Accent1 56 3 3" xfId="21080"/>
    <cellStyle name="40% - Accent1 56 4" xfId="21081"/>
    <cellStyle name="40% - Accent1 56 4 2" xfId="21082"/>
    <cellStyle name="40% - Accent1 56 5" xfId="21083"/>
    <cellStyle name="40% - Accent1 56 6" xfId="21084"/>
    <cellStyle name="40% - Accent1 56 7" xfId="21085"/>
    <cellStyle name="40% - Accent1 57" xfId="21086"/>
    <cellStyle name="40% - Accent1 57 2" xfId="21087"/>
    <cellStyle name="40% - Accent1 57 2 2" xfId="21088"/>
    <cellStyle name="40% - Accent1 57 2 3" xfId="21089"/>
    <cellStyle name="40% - Accent1 57 2 4" xfId="21090"/>
    <cellStyle name="40% - Accent1 57 3" xfId="21091"/>
    <cellStyle name="40% - Accent1 57 3 2" xfId="21092"/>
    <cellStyle name="40% - Accent1 57 3 3" xfId="21093"/>
    <cellStyle name="40% - Accent1 57 4" xfId="21094"/>
    <cellStyle name="40% - Accent1 57 4 2" xfId="21095"/>
    <cellStyle name="40% - Accent1 57 5" xfId="21096"/>
    <cellStyle name="40% - Accent1 57 6" xfId="21097"/>
    <cellStyle name="40% - Accent1 57 7" xfId="21098"/>
    <cellStyle name="40% - Accent1 58" xfId="21099"/>
    <cellStyle name="40% - Accent1 59" xfId="21100"/>
    <cellStyle name="40% - Accent1 6" xfId="21101"/>
    <cellStyle name="40% - Accent1 6 10" xfId="21102"/>
    <cellStyle name="40% - Accent1 6 10 2" xfId="21103"/>
    <cellStyle name="40% - Accent1 6 10 3" xfId="21104"/>
    <cellStyle name="40% - Accent1 6 11" xfId="21105"/>
    <cellStyle name="40% - Accent1 6 11 2" xfId="21106"/>
    <cellStyle name="40% - Accent1 6 12" xfId="21107"/>
    <cellStyle name="40% - Accent1 6 13" xfId="21108"/>
    <cellStyle name="40% - Accent1 6 14" xfId="21109"/>
    <cellStyle name="40% - Accent1 6 2" xfId="21110"/>
    <cellStyle name="40% - Accent1 6 3" xfId="21111"/>
    <cellStyle name="40% - Accent1 6 4" xfId="21112"/>
    <cellStyle name="40% - Accent1 6 5" xfId="21113"/>
    <cellStyle name="40% - Accent1 6 6" xfId="21114"/>
    <cellStyle name="40% - Accent1 6 7" xfId="21115"/>
    <cellStyle name="40% - Accent1 6 8" xfId="21116"/>
    <cellStyle name="40% - Accent1 6 9" xfId="21117"/>
    <cellStyle name="40% - Accent1 6 9 2" xfId="21118"/>
    <cellStyle name="40% - Accent1 6 9 3" xfId="21119"/>
    <cellStyle name="40% - Accent1 6 9 4" xfId="21120"/>
    <cellStyle name="40% - Accent1 60" xfId="21121"/>
    <cellStyle name="40% - Accent1 61" xfId="21122"/>
    <cellStyle name="40% - Accent1 62" xfId="21123"/>
    <cellStyle name="40% - Accent1 63" xfId="21124"/>
    <cellStyle name="40% - Accent1 64" xfId="21125"/>
    <cellStyle name="40% - Accent1 65" xfId="21126"/>
    <cellStyle name="40% - Accent1 65 2" xfId="21127"/>
    <cellStyle name="40% - Accent1 65 2 2" xfId="21128"/>
    <cellStyle name="40% - Accent1 65 2 3" xfId="21129"/>
    <cellStyle name="40% - Accent1 65 2 4" xfId="21130"/>
    <cellStyle name="40% - Accent1 65 3" xfId="21131"/>
    <cellStyle name="40% - Accent1 65 3 2" xfId="21132"/>
    <cellStyle name="40% - Accent1 65 3 3" xfId="21133"/>
    <cellStyle name="40% - Accent1 65 4" xfId="21134"/>
    <cellStyle name="40% - Accent1 65 4 2" xfId="21135"/>
    <cellStyle name="40% - Accent1 65 5" xfId="21136"/>
    <cellStyle name="40% - Accent1 65 6" xfId="21137"/>
    <cellStyle name="40% - Accent1 65 7" xfId="21138"/>
    <cellStyle name="40% - Accent1 66" xfId="21139"/>
    <cellStyle name="40% - Accent1 66 2" xfId="21140"/>
    <cellStyle name="40% - Accent1 66 2 2" xfId="21141"/>
    <cellStyle name="40% - Accent1 66 2 3" xfId="21142"/>
    <cellStyle name="40% - Accent1 66 2 4" xfId="21143"/>
    <cellStyle name="40% - Accent1 66 3" xfId="21144"/>
    <cellStyle name="40% - Accent1 66 3 2" xfId="21145"/>
    <cellStyle name="40% - Accent1 66 3 3" xfId="21146"/>
    <cellStyle name="40% - Accent1 66 4" xfId="21147"/>
    <cellStyle name="40% - Accent1 66 4 2" xfId="21148"/>
    <cellStyle name="40% - Accent1 66 5" xfId="21149"/>
    <cellStyle name="40% - Accent1 66 6" xfId="21150"/>
    <cellStyle name="40% - Accent1 66 7" xfId="21151"/>
    <cellStyle name="40% - Accent1 67" xfId="21152"/>
    <cellStyle name="40% - Accent1 67 2" xfId="21153"/>
    <cellStyle name="40% - Accent1 67 2 2" xfId="21154"/>
    <cellStyle name="40% - Accent1 67 2 3" xfId="21155"/>
    <cellStyle name="40% - Accent1 67 2 4" xfId="21156"/>
    <cellStyle name="40% - Accent1 67 3" xfId="21157"/>
    <cellStyle name="40% - Accent1 67 3 2" xfId="21158"/>
    <cellStyle name="40% - Accent1 67 3 3" xfId="21159"/>
    <cellStyle name="40% - Accent1 67 4" xfId="21160"/>
    <cellStyle name="40% - Accent1 67 4 2" xfId="21161"/>
    <cellStyle name="40% - Accent1 67 5" xfId="21162"/>
    <cellStyle name="40% - Accent1 67 6" xfId="21163"/>
    <cellStyle name="40% - Accent1 67 7" xfId="21164"/>
    <cellStyle name="40% - Accent1 68" xfId="21165"/>
    <cellStyle name="40% - Accent1 68 2" xfId="21166"/>
    <cellStyle name="40% - Accent1 68 2 2" xfId="21167"/>
    <cellStyle name="40% - Accent1 68 2 3" xfId="21168"/>
    <cellStyle name="40% - Accent1 68 2 4" xfId="21169"/>
    <cellStyle name="40% - Accent1 68 3" xfId="21170"/>
    <cellStyle name="40% - Accent1 68 3 2" xfId="21171"/>
    <cellStyle name="40% - Accent1 68 3 3" xfId="21172"/>
    <cellStyle name="40% - Accent1 68 4" xfId="21173"/>
    <cellStyle name="40% - Accent1 68 4 2" xfId="21174"/>
    <cellStyle name="40% - Accent1 68 5" xfId="21175"/>
    <cellStyle name="40% - Accent1 68 6" xfId="21176"/>
    <cellStyle name="40% - Accent1 68 7" xfId="21177"/>
    <cellStyle name="40% - Accent1 69" xfId="21178"/>
    <cellStyle name="40% - Accent1 69 2" xfId="21179"/>
    <cellStyle name="40% - Accent1 69 2 2" xfId="21180"/>
    <cellStyle name="40% - Accent1 69 2 3" xfId="21181"/>
    <cellStyle name="40% - Accent1 69 2 4" xfId="21182"/>
    <cellStyle name="40% - Accent1 69 3" xfId="21183"/>
    <cellStyle name="40% - Accent1 69 3 2" xfId="21184"/>
    <cellStyle name="40% - Accent1 69 3 3" xfId="21185"/>
    <cellStyle name="40% - Accent1 69 4" xfId="21186"/>
    <cellStyle name="40% - Accent1 69 4 2" xfId="21187"/>
    <cellStyle name="40% - Accent1 69 5" xfId="21188"/>
    <cellStyle name="40% - Accent1 69 6" xfId="21189"/>
    <cellStyle name="40% - Accent1 69 7" xfId="21190"/>
    <cellStyle name="40% - Accent1 7" xfId="21191"/>
    <cellStyle name="40% - Accent1 7 2" xfId="21192"/>
    <cellStyle name="40% - Accent1 7 3" xfId="21193"/>
    <cellStyle name="40% - Accent1 7 3 2" xfId="21194"/>
    <cellStyle name="40% - Accent1 7 3 3" xfId="21195"/>
    <cellStyle name="40% - Accent1 7 3 4" xfId="21196"/>
    <cellStyle name="40% - Accent1 7 4" xfId="21197"/>
    <cellStyle name="40% - Accent1 7 4 2" xfId="21198"/>
    <cellStyle name="40% - Accent1 7 4 3" xfId="21199"/>
    <cellStyle name="40% - Accent1 7 5" xfId="21200"/>
    <cellStyle name="40% - Accent1 7 5 2" xfId="21201"/>
    <cellStyle name="40% - Accent1 7 6" xfId="21202"/>
    <cellStyle name="40% - Accent1 7 7" xfId="21203"/>
    <cellStyle name="40% - Accent1 7 8" xfId="21204"/>
    <cellStyle name="40% - Accent1 70" xfId="21205"/>
    <cellStyle name="40% - Accent1 70 2" xfId="21206"/>
    <cellStyle name="40% - Accent1 70 2 2" xfId="21207"/>
    <cellStyle name="40% - Accent1 70 2 3" xfId="21208"/>
    <cellStyle name="40% - Accent1 70 2 4" xfId="21209"/>
    <cellStyle name="40% - Accent1 70 3" xfId="21210"/>
    <cellStyle name="40% - Accent1 70 3 2" xfId="21211"/>
    <cellStyle name="40% - Accent1 70 3 3" xfId="21212"/>
    <cellStyle name="40% - Accent1 70 4" xfId="21213"/>
    <cellStyle name="40% - Accent1 70 4 2" xfId="21214"/>
    <cellStyle name="40% - Accent1 70 5" xfId="21215"/>
    <cellStyle name="40% - Accent1 70 6" xfId="21216"/>
    <cellStyle name="40% - Accent1 70 7" xfId="21217"/>
    <cellStyle name="40% - Accent1 71" xfId="21218"/>
    <cellStyle name="40% - Accent1 71 2" xfId="21219"/>
    <cellStyle name="40% - Accent1 71 2 2" xfId="21220"/>
    <cellStyle name="40% - Accent1 71 2 3" xfId="21221"/>
    <cellStyle name="40% - Accent1 71 2 4" xfId="21222"/>
    <cellStyle name="40% - Accent1 71 3" xfId="21223"/>
    <cellStyle name="40% - Accent1 71 3 2" xfId="21224"/>
    <cellStyle name="40% - Accent1 71 3 3" xfId="21225"/>
    <cellStyle name="40% - Accent1 71 4" xfId="21226"/>
    <cellStyle name="40% - Accent1 71 4 2" xfId="21227"/>
    <cellStyle name="40% - Accent1 71 5" xfId="21228"/>
    <cellStyle name="40% - Accent1 71 6" xfId="21229"/>
    <cellStyle name="40% - Accent1 71 7" xfId="21230"/>
    <cellStyle name="40% - Accent1 72" xfId="21231"/>
    <cellStyle name="40% - Accent1 72 2" xfId="21232"/>
    <cellStyle name="40% - Accent1 72 2 2" xfId="21233"/>
    <cellStyle name="40% - Accent1 72 2 3" xfId="21234"/>
    <cellStyle name="40% - Accent1 72 2 4" xfId="21235"/>
    <cellStyle name="40% - Accent1 72 3" xfId="21236"/>
    <cellStyle name="40% - Accent1 72 3 2" xfId="21237"/>
    <cellStyle name="40% - Accent1 72 3 3" xfId="21238"/>
    <cellStyle name="40% - Accent1 72 4" xfId="21239"/>
    <cellStyle name="40% - Accent1 72 4 2" xfId="21240"/>
    <cellStyle name="40% - Accent1 72 5" xfId="21241"/>
    <cellStyle name="40% - Accent1 72 6" xfId="21242"/>
    <cellStyle name="40% - Accent1 72 7" xfId="21243"/>
    <cellStyle name="40% - Accent1 73" xfId="21244"/>
    <cellStyle name="40% - Accent1 73 2" xfId="21245"/>
    <cellStyle name="40% - Accent1 73 2 2" xfId="21246"/>
    <cellStyle name="40% - Accent1 73 2 3" xfId="21247"/>
    <cellStyle name="40% - Accent1 73 2 4" xfId="21248"/>
    <cellStyle name="40% - Accent1 73 3" xfId="21249"/>
    <cellStyle name="40% - Accent1 73 3 2" xfId="21250"/>
    <cellStyle name="40% - Accent1 73 3 3" xfId="21251"/>
    <cellStyle name="40% - Accent1 73 4" xfId="21252"/>
    <cellStyle name="40% - Accent1 73 4 2" xfId="21253"/>
    <cellStyle name="40% - Accent1 73 5" xfId="21254"/>
    <cellStyle name="40% - Accent1 73 6" xfId="21255"/>
    <cellStyle name="40% - Accent1 73 7" xfId="21256"/>
    <cellStyle name="40% - Accent1 74" xfId="21257"/>
    <cellStyle name="40% - Accent1 74 2" xfId="21258"/>
    <cellStyle name="40% - Accent1 74 2 2" xfId="21259"/>
    <cellStyle name="40% - Accent1 74 2 3" xfId="21260"/>
    <cellStyle name="40% - Accent1 74 2 4" xfId="21261"/>
    <cellStyle name="40% - Accent1 74 3" xfId="21262"/>
    <cellStyle name="40% - Accent1 74 3 2" xfId="21263"/>
    <cellStyle name="40% - Accent1 74 3 3" xfId="21264"/>
    <cellStyle name="40% - Accent1 74 4" xfId="21265"/>
    <cellStyle name="40% - Accent1 74 4 2" xfId="21266"/>
    <cellStyle name="40% - Accent1 74 5" xfId="21267"/>
    <cellStyle name="40% - Accent1 74 6" xfId="21268"/>
    <cellStyle name="40% - Accent1 74 7" xfId="21269"/>
    <cellStyle name="40% - Accent1 75" xfId="21270"/>
    <cellStyle name="40% - Accent1 75 2" xfId="21271"/>
    <cellStyle name="40% - Accent1 75 2 2" xfId="21272"/>
    <cellStyle name="40% - Accent1 75 2 3" xfId="21273"/>
    <cellStyle name="40% - Accent1 75 2 4" xfId="21274"/>
    <cellStyle name="40% - Accent1 75 3" xfId="21275"/>
    <cellStyle name="40% - Accent1 75 3 2" xfId="21276"/>
    <cellStyle name="40% - Accent1 75 3 3" xfId="21277"/>
    <cellStyle name="40% - Accent1 75 4" xfId="21278"/>
    <cellStyle name="40% - Accent1 75 4 2" xfId="21279"/>
    <cellStyle name="40% - Accent1 75 5" xfId="21280"/>
    <cellStyle name="40% - Accent1 75 6" xfId="21281"/>
    <cellStyle name="40% - Accent1 75 7" xfId="21282"/>
    <cellStyle name="40% - Accent1 76" xfId="21283"/>
    <cellStyle name="40% - Accent1 76 2" xfId="21284"/>
    <cellStyle name="40% - Accent1 76 2 2" xfId="21285"/>
    <cellStyle name="40% - Accent1 76 2 3" xfId="21286"/>
    <cellStyle name="40% - Accent1 76 2 4" xfId="21287"/>
    <cellStyle name="40% - Accent1 76 3" xfId="21288"/>
    <cellStyle name="40% - Accent1 76 3 2" xfId="21289"/>
    <cellStyle name="40% - Accent1 76 3 3" xfId="21290"/>
    <cellStyle name="40% - Accent1 76 4" xfId="21291"/>
    <cellStyle name="40% - Accent1 76 4 2" xfId="21292"/>
    <cellStyle name="40% - Accent1 76 5" xfId="21293"/>
    <cellStyle name="40% - Accent1 76 6" xfId="21294"/>
    <cellStyle name="40% - Accent1 76 7" xfId="21295"/>
    <cellStyle name="40% - Accent1 77" xfId="21296"/>
    <cellStyle name="40% - Accent1 77 2" xfId="21297"/>
    <cellStyle name="40% - Accent1 77 2 2" xfId="21298"/>
    <cellStyle name="40% - Accent1 77 2 3" xfId="21299"/>
    <cellStyle name="40% - Accent1 77 2 4" xfId="21300"/>
    <cellStyle name="40% - Accent1 77 3" xfId="21301"/>
    <cellStyle name="40% - Accent1 77 3 2" xfId="21302"/>
    <cellStyle name="40% - Accent1 77 3 3" xfId="21303"/>
    <cellStyle name="40% - Accent1 77 4" xfId="21304"/>
    <cellStyle name="40% - Accent1 77 4 2" xfId="21305"/>
    <cellStyle name="40% - Accent1 77 5" xfId="21306"/>
    <cellStyle name="40% - Accent1 77 6" xfId="21307"/>
    <cellStyle name="40% - Accent1 77 7" xfId="21308"/>
    <cellStyle name="40% - Accent1 78" xfId="21309"/>
    <cellStyle name="40% - Accent1 79" xfId="21310"/>
    <cellStyle name="40% - Accent1 79 2" xfId="21311"/>
    <cellStyle name="40% - Accent1 79 3" xfId="21312"/>
    <cellStyle name="40% - Accent1 8" xfId="21313"/>
    <cellStyle name="40% - Accent1 8 10" xfId="21314"/>
    <cellStyle name="40% - Accent1 8 11" xfId="21315"/>
    <cellStyle name="40% - Accent1 8 2" xfId="21316"/>
    <cellStyle name="40% - Accent1 8 2 10" xfId="21317"/>
    <cellStyle name="40% - Accent1 8 2 2" xfId="21318"/>
    <cellStyle name="40% - Accent1 8 2 2 2" xfId="21319"/>
    <cellStyle name="40% - Accent1 8 2 2 2 2" xfId="21320"/>
    <cellStyle name="40% - Accent1 8 2 2 2 3" xfId="21321"/>
    <cellStyle name="40% - Accent1 8 2 2 2 4" xfId="21322"/>
    <cellStyle name="40% - Accent1 8 2 2 3" xfId="21323"/>
    <cellStyle name="40% - Accent1 8 2 2 3 2" xfId="21324"/>
    <cellStyle name="40% - Accent1 8 2 2 3 3" xfId="21325"/>
    <cellStyle name="40% - Accent1 8 2 2 4" xfId="21326"/>
    <cellStyle name="40% - Accent1 8 2 2 4 2" xfId="21327"/>
    <cellStyle name="40% - Accent1 8 2 2 5" xfId="21328"/>
    <cellStyle name="40% - Accent1 8 2 2 6" xfId="21329"/>
    <cellStyle name="40% - Accent1 8 2 2 7" xfId="21330"/>
    <cellStyle name="40% - Accent1 8 2 3" xfId="21331"/>
    <cellStyle name="40% - Accent1 8 2 3 2" xfId="21332"/>
    <cellStyle name="40% - Accent1 8 2 3 2 2" xfId="21333"/>
    <cellStyle name="40% - Accent1 8 2 3 2 3" xfId="21334"/>
    <cellStyle name="40% - Accent1 8 2 3 2 4" xfId="21335"/>
    <cellStyle name="40% - Accent1 8 2 3 3" xfId="21336"/>
    <cellStyle name="40% - Accent1 8 2 3 3 2" xfId="21337"/>
    <cellStyle name="40% - Accent1 8 2 3 3 3" xfId="21338"/>
    <cellStyle name="40% - Accent1 8 2 3 4" xfId="21339"/>
    <cellStyle name="40% - Accent1 8 2 3 4 2" xfId="21340"/>
    <cellStyle name="40% - Accent1 8 2 3 5" xfId="21341"/>
    <cellStyle name="40% - Accent1 8 2 3 6" xfId="21342"/>
    <cellStyle name="40% - Accent1 8 2 3 7" xfId="21343"/>
    <cellStyle name="40% - Accent1 8 2 4" xfId="21344"/>
    <cellStyle name="40% - Accent1 8 2 4 2" xfId="21345"/>
    <cellStyle name="40% - Accent1 8 2 4 2 2" xfId="21346"/>
    <cellStyle name="40% - Accent1 8 2 4 2 3" xfId="21347"/>
    <cellStyle name="40% - Accent1 8 2 4 2 4" xfId="21348"/>
    <cellStyle name="40% - Accent1 8 2 4 3" xfId="21349"/>
    <cellStyle name="40% - Accent1 8 2 4 3 2" xfId="21350"/>
    <cellStyle name="40% - Accent1 8 2 4 3 3" xfId="21351"/>
    <cellStyle name="40% - Accent1 8 2 4 4" xfId="21352"/>
    <cellStyle name="40% - Accent1 8 2 4 4 2" xfId="21353"/>
    <cellStyle name="40% - Accent1 8 2 4 5" xfId="21354"/>
    <cellStyle name="40% - Accent1 8 2 4 6" xfId="21355"/>
    <cellStyle name="40% - Accent1 8 2 4 7" xfId="21356"/>
    <cellStyle name="40% - Accent1 8 2 5" xfId="21357"/>
    <cellStyle name="40% - Accent1 8 2 5 2" xfId="21358"/>
    <cellStyle name="40% - Accent1 8 2 5 3" xfId="21359"/>
    <cellStyle name="40% - Accent1 8 2 5 4" xfId="21360"/>
    <cellStyle name="40% - Accent1 8 2 6" xfId="21361"/>
    <cellStyle name="40% - Accent1 8 2 6 2" xfId="21362"/>
    <cellStyle name="40% - Accent1 8 2 6 3" xfId="21363"/>
    <cellStyle name="40% - Accent1 8 2 7" xfId="21364"/>
    <cellStyle name="40% - Accent1 8 2 7 2" xfId="21365"/>
    <cellStyle name="40% - Accent1 8 2 8" xfId="21366"/>
    <cellStyle name="40% - Accent1 8 2 9" xfId="21367"/>
    <cellStyle name="40% - Accent1 8 3" xfId="21368"/>
    <cellStyle name="40% - Accent1 8 3 2" xfId="21369"/>
    <cellStyle name="40% - Accent1 8 3 2 2" xfId="21370"/>
    <cellStyle name="40% - Accent1 8 3 2 3" xfId="21371"/>
    <cellStyle name="40% - Accent1 8 3 2 4" xfId="21372"/>
    <cellStyle name="40% - Accent1 8 3 3" xfId="21373"/>
    <cellStyle name="40% - Accent1 8 3 3 2" xfId="21374"/>
    <cellStyle name="40% - Accent1 8 3 3 3" xfId="21375"/>
    <cellStyle name="40% - Accent1 8 3 4" xfId="21376"/>
    <cellStyle name="40% - Accent1 8 3 4 2" xfId="21377"/>
    <cellStyle name="40% - Accent1 8 3 5" xfId="21378"/>
    <cellStyle name="40% - Accent1 8 3 6" xfId="21379"/>
    <cellStyle name="40% - Accent1 8 3 7" xfId="21380"/>
    <cellStyle name="40% - Accent1 8 4" xfId="21381"/>
    <cellStyle name="40% - Accent1 8 4 2" xfId="21382"/>
    <cellStyle name="40% - Accent1 8 4 2 2" xfId="21383"/>
    <cellStyle name="40% - Accent1 8 4 2 3" xfId="21384"/>
    <cellStyle name="40% - Accent1 8 4 2 4" xfId="21385"/>
    <cellStyle name="40% - Accent1 8 4 3" xfId="21386"/>
    <cellStyle name="40% - Accent1 8 4 3 2" xfId="21387"/>
    <cellStyle name="40% - Accent1 8 4 3 3" xfId="21388"/>
    <cellStyle name="40% - Accent1 8 4 4" xfId="21389"/>
    <cellStyle name="40% - Accent1 8 4 4 2" xfId="21390"/>
    <cellStyle name="40% - Accent1 8 4 5" xfId="21391"/>
    <cellStyle name="40% - Accent1 8 4 6" xfId="21392"/>
    <cellStyle name="40% - Accent1 8 4 7" xfId="21393"/>
    <cellStyle name="40% - Accent1 8 5" xfId="21394"/>
    <cellStyle name="40% - Accent1 8 5 2" xfId="21395"/>
    <cellStyle name="40% - Accent1 8 5 2 2" xfId="21396"/>
    <cellStyle name="40% - Accent1 8 5 2 3" xfId="21397"/>
    <cellStyle name="40% - Accent1 8 5 2 4" xfId="21398"/>
    <cellStyle name="40% - Accent1 8 5 3" xfId="21399"/>
    <cellStyle name="40% - Accent1 8 5 3 2" xfId="21400"/>
    <cellStyle name="40% - Accent1 8 5 3 3" xfId="21401"/>
    <cellStyle name="40% - Accent1 8 5 4" xfId="21402"/>
    <cellStyle name="40% - Accent1 8 5 4 2" xfId="21403"/>
    <cellStyle name="40% - Accent1 8 5 5" xfId="21404"/>
    <cellStyle name="40% - Accent1 8 5 6" xfId="21405"/>
    <cellStyle name="40% - Accent1 8 5 7" xfId="21406"/>
    <cellStyle name="40% - Accent1 8 6" xfId="21407"/>
    <cellStyle name="40% - Accent1 8 6 2" xfId="21408"/>
    <cellStyle name="40% - Accent1 8 6 3" xfId="21409"/>
    <cellStyle name="40% - Accent1 8 6 4" xfId="21410"/>
    <cellStyle name="40% - Accent1 8 7" xfId="21411"/>
    <cellStyle name="40% - Accent1 8 7 2" xfId="21412"/>
    <cellStyle name="40% - Accent1 8 7 3" xfId="21413"/>
    <cellStyle name="40% - Accent1 8 8" xfId="21414"/>
    <cellStyle name="40% - Accent1 8 8 2" xfId="21415"/>
    <cellStyle name="40% - Accent1 8 9" xfId="21416"/>
    <cellStyle name="40% - Accent1 80" xfId="21417"/>
    <cellStyle name="40% - Accent1 80 2" xfId="21418"/>
    <cellStyle name="40% - Accent1 80 3" xfId="21419"/>
    <cellStyle name="40% - Accent1 81" xfId="21420"/>
    <cellStyle name="40% - Accent1 81 2" xfId="21421"/>
    <cellStyle name="40% - Accent1 82" xfId="21422"/>
    <cellStyle name="40% - Accent1 83" xfId="21423"/>
    <cellStyle name="40% - Accent1 9" xfId="21424"/>
    <cellStyle name="40% - Accent1 9 10" xfId="21425"/>
    <cellStyle name="40% - Accent1 9 2" xfId="21426"/>
    <cellStyle name="40% - Accent1 9 2 2" xfId="21427"/>
    <cellStyle name="40% - Accent1 9 2 2 2" xfId="21428"/>
    <cellStyle name="40% - Accent1 9 2 2 3" xfId="21429"/>
    <cellStyle name="40% - Accent1 9 2 2 4" xfId="21430"/>
    <cellStyle name="40% - Accent1 9 2 3" xfId="21431"/>
    <cellStyle name="40% - Accent1 9 2 3 2" xfId="21432"/>
    <cellStyle name="40% - Accent1 9 2 3 3" xfId="21433"/>
    <cellStyle name="40% - Accent1 9 2 4" xfId="21434"/>
    <cellStyle name="40% - Accent1 9 2 4 2" xfId="21435"/>
    <cellStyle name="40% - Accent1 9 2 5" xfId="21436"/>
    <cellStyle name="40% - Accent1 9 2 6" xfId="21437"/>
    <cellStyle name="40% - Accent1 9 2 7" xfId="21438"/>
    <cellStyle name="40% - Accent1 9 3" xfId="21439"/>
    <cellStyle name="40% - Accent1 9 3 2" xfId="21440"/>
    <cellStyle name="40% - Accent1 9 3 2 2" xfId="21441"/>
    <cellStyle name="40% - Accent1 9 3 2 3" xfId="21442"/>
    <cellStyle name="40% - Accent1 9 3 2 4" xfId="21443"/>
    <cellStyle name="40% - Accent1 9 3 3" xfId="21444"/>
    <cellStyle name="40% - Accent1 9 3 3 2" xfId="21445"/>
    <cellStyle name="40% - Accent1 9 3 3 3" xfId="21446"/>
    <cellStyle name="40% - Accent1 9 3 4" xfId="21447"/>
    <cellStyle name="40% - Accent1 9 3 4 2" xfId="21448"/>
    <cellStyle name="40% - Accent1 9 3 5" xfId="21449"/>
    <cellStyle name="40% - Accent1 9 3 6" xfId="21450"/>
    <cellStyle name="40% - Accent1 9 3 7" xfId="21451"/>
    <cellStyle name="40% - Accent1 9 4" xfId="21452"/>
    <cellStyle name="40% - Accent1 9 4 2" xfId="21453"/>
    <cellStyle name="40% - Accent1 9 4 2 2" xfId="21454"/>
    <cellStyle name="40% - Accent1 9 4 2 3" xfId="21455"/>
    <cellStyle name="40% - Accent1 9 4 2 4" xfId="21456"/>
    <cellStyle name="40% - Accent1 9 4 3" xfId="21457"/>
    <cellStyle name="40% - Accent1 9 4 3 2" xfId="21458"/>
    <cellStyle name="40% - Accent1 9 4 3 3" xfId="21459"/>
    <cellStyle name="40% - Accent1 9 4 4" xfId="21460"/>
    <cellStyle name="40% - Accent1 9 4 4 2" xfId="21461"/>
    <cellStyle name="40% - Accent1 9 4 5" xfId="21462"/>
    <cellStyle name="40% - Accent1 9 4 6" xfId="21463"/>
    <cellStyle name="40% - Accent1 9 4 7" xfId="21464"/>
    <cellStyle name="40% - Accent1 9 5" xfId="21465"/>
    <cellStyle name="40% - Accent1 9 5 2" xfId="21466"/>
    <cellStyle name="40% - Accent1 9 5 3" xfId="21467"/>
    <cellStyle name="40% - Accent1 9 6" xfId="21468"/>
    <cellStyle name="40% - Accent1 9 6 2" xfId="21469"/>
    <cellStyle name="40% - Accent1 9 6 3" xfId="21470"/>
    <cellStyle name="40% - Accent1 9 7" xfId="21471"/>
    <cellStyle name="40% - Accent1 9 7 2" xfId="21472"/>
    <cellStyle name="40% - Accent1 9 8" xfId="21473"/>
    <cellStyle name="40% - Accent1 9 9" xfId="21474"/>
    <cellStyle name="40% - Accent2 10" xfId="21475"/>
    <cellStyle name="40% - Accent2 10 2" xfId="21476"/>
    <cellStyle name="40% - Accent2 10 2 2" xfId="21477"/>
    <cellStyle name="40% - Accent2 10 2 3" xfId="21478"/>
    <cellStyle name="40% - Accent2 10 2 4" xfId="21479"/>
    <cellStyle name="40% - Accent2 10 3" xfId="21480"/>
    <cellStyle name="40% - Accent2 10 3 2" xfId="21481"/>
    <cellStyle name="40% - Accent2 10 3 3" xfId="21482"/>
    <cellStyle name="40% - Accent2 10 4" xfId="21483"/>
    <cellStyle name="40% - Accent2 10 4 2" xfId="21484"/>
    <cellStyle name="40% - Accent2 10 5" xfId="21485"/>
    <cellStyle name="40% - Accent2 10 6" xfId="21486"/>
    <cellStyle name="40% - Accent2 10 7" xfId="21487"/>
    <cellStyle name="40% - Accent2 11" xfId="21488"/>
    <cellStyle name="40% - Accent2 11 2" xfId="21489"/>
    <cellStyle name="40% - Accent2 11 2 2" xfId="21490"/>
    <cellStyle name="40% - Accent2 11 2 3" xfId="21491"/>
    <cellStyle name="40% - Accent2 11 2 4" xfId="21492"/>
    <cellStyle name="40% - Accent2 11 3" xfId="21493"/>
    <cellStyle name="40% - Accent2 11 3 2" xfId="21494"/>
    <cellStyle name="40% - Accent2 11 3 3" xfId="21495"/>
    <cellStyle name="40% - Accent2 11 4" xfId="21496"/>
    <cellStyle name="40% - Accent2 11 4 2" xfId="21497"/>
    <cellStyle name="40% - Accent2 11 5" xfId="21498"/>
    <cellStyle name="40% - Accent2 11 6" xfId="21499"/>
    <cellStyle name="40% - Accent2 11 7" xfId="21500"/>
    <cellStyle name="40% - Accent2 12" xfId="21501"/>
    <cellStyle name="40% - Accent2 12 2" xfId="21502"/>
    <cellStyle name="40% - Accent2 12 2 2" xfId="21503"/>
    <cellStyle name="40% - Accent2 12 2 3" xfId="21504"/>
    <cellStyle name="40% - Accent2 12 2 4" xfId="21505"/>
    <cellStyle name="40% - Accent2 12 3" xfId="21506"/>
    <cellStyle name="40% - Accent2 12 3 2" xfId="21507"/>
    <cellStyle name="40% - Accent2 12 3 3" xfId="21508"/>
    <cellStyle name="40% - Accent2 12 4" xfId="21509"/>
    <cellStyle name="40% - Accent2 12 4 2" xfId="21510"/>
    <cellStyle name="40% - Accent2 12 5" xfId="21511"/>
    <cellStyle name="40% - Accent2 12 6" xfId="21512"/>
    <cellStyle name="40% - Accent2 12 7" xfId="21513"/>
    <cellStyle name="40% - Accent2 13" xfId="21514"/>
    <cellStyle name="40% - Accent2 13 2" xfId="21515"/>
    <cellStyle name="40% - Accent2 13 3" xfId="21516"/>
    <cellStyle name="40% - Accent2 13 4" xfId="21517"/>
    <cellStyle name="40% - Accent2 14" xfId="21518"/>
    <cellStyle name="40% - Accent2 14 10" xfId="21519"/>
    <cellStyle name="40% - Accent2 14 2" xfId="21520"/>
    <cellStyle name="40% - Accent2 14 2 2" xfId="21521"/>
    <cellStyle name="40% - Accent2 14 2 2 2" xfId="21522"/>
    <cellStyle name="40% - Accent2 14 2 2 2 2" xfId="21523"/>
    <cellStyle name="40% - Accent2 14 2 2 2 2 2" xfId="21524"/>
    <cellStyle name="40% - Accent2 14 2 2 2 2 2 2" xfId="21525"/>
    <cellStyle name="40% - Accent2 14 2 2 2 3" xfId="21526"/>
    <cellStyle name="40% - Accent2 14 2 2 2 3 2" xfId="21527"/>
    <cellStyle name="40% - Accent2 14 2 2 3" xfId="21528"/>
    <cellStyle name="40% - Accent2 14 2 2 3 2" xfId="21529"/>
    <cellStyle name="40% - Accent2 14 2 2 3 2 2" xfId="21530"/>
    <cellStyle name="40% - Accent2 14 2 2 4" xfId="21531"/>
    <cellStyle name="40% - Accent2 14 2 2 4 2" xfId="21532"/>
    <cellStyle name="40% - Accent2 14 2 2 5" xfId="21533"/>
    <cellStyle name="40% - Accent2 14 2 2 6" xfId="21534"/>
    <cellStyle name="40% - Accent2 14 2 2 7" xfId="21535"/>
    <cellStyle name="40% - Accent2 14 2 3" xfId="21536"/>
    <cellStyle name="40% - Accent2 14 2 3 2" xfId="21537"/>
    <cellStyle name="40% - Accent2 14 2 3 2 2" xfId="21538"/>
    <cellStyle name="40% - Accent2 14 2 3 2 2 2" xfId="21539"/>
    <cellStyle name="40% - Accent2 14 2 3 3" xfId="21540"/>
    <cellStyle name="40% - Accent2 14 2 3 3 2" xfId="21541"/>
    <cellStyle name="40% - Accent2 14 2 3 4" xfId="21542"/>
    <cellStyle name="40% - Accent2 14 2 3 5" xfId="21543"/>
    <cellStyle name="40% - Accent2 14 2 3 6" xfId="21544"/>
    <cellStyle name="40% - Accent2 14 2 4" xfId="21545"/>
    <cellStyle name="40% - Accent2 14 2 4 2" xfId="21546"/>
    <cellStyle name="40% - Accent2 14 2 4 2 2" xfId="21547"/>
    <cellStyle name="40% - Accent2 14 2 4 3" xfId="21548"/>
    <cellStyle name="40% - Accent2 14 2 5" xfId="21549"/>
    <cellStyle name="40% - Accent2 14 2 5 2" xfId="21550"/>
    <cellStyle name="40% - Accent2 14 2 6" xfId="21551"/>
    <cellStyle name="40% - Accent2 14 2 7" xfId="21552"/>
    <cellStyle name="40% - Accent2 14 2 8" xfId="21553"/>
    <cellStyle name="40% - Accent2 14 2 9" xfId="21554"/>
    <cellStyle name="40% - Accent2 14 3" xfId="21555"/>
    <cellStyle name="40% - Accent2 14 3 2" xfId="21556"/>
    <cellStyle name="40% - Accent2 14 3 2 2" xfId="21557"/>
    <cellStyle name="40% - Accent2 14 3 2 2 2" xfId="21558"/>
    <cellStyle name="40% - Accent2 14 3 2 2 2 2" xfId="21559"/>
    <cellStyle name="40% - Accent2 14 3 2 3" xfId="21560"/>
    <cellStyle name="40% - Accent2 14 3 2 3 2" xfId="21561"/>
    <cellStyle name="40% - Accent2 14 3 2 4" xfId="21562"/>
    <cellStyle name="40% - Accent2 14 3 2 5" xfId="21563"/>
    <cellStyle name="40% - Accent2 14 3 2 6" xfId="21564"/>
    <cellStyle name="40% - Accent2 14 3 3" xfId="21565"/>
    <cellStyle name="40% - Accent2 14 3 3 2" xfId="21566"/>
    <cellStyle name="40% - Accent2 14 3 3 2 2" xfId="21567"/>
    <cellStyle name="40% - Accent2 14 3 3 3" xfId="21568"/>
    <cellStyle name="40% - Accent2 14 3 3 4" xfId="21569"/>
    <cellStyle name="40% - Accent2 14 3 3 5" xfId="21570"/>
    <cellStyle name="40% - Accent2 14 3 4" xfId="21571"/>
    <cellStyle name="40% - Accent2 14 3 4 2" xfId="21572"/>
    <cellStyle name="40% - Accent2 14 3 4 3" xfId="21573"/>
    <cellStyle name="40% - Accent2 14 3 5" xfId="21574"/>
    <cellStyle name="40% - Accent2 14 3 6" xfId="21575"/>
    <cellStyle name="40% - Accent2 14 3 7" xfId="21576"/>
    <cellStyle name="40% - Accent2 14 3 8" xfId="21577"/>
    <cellStyle name="40% - Accent2 14 4" xfId="21578"/>
    <cellStyle name="40% - Accent2 14 4 2" xfId="21579"/>
    <cellStyle name="40% - Accent2 14 4 2 2" xfId="21580"/>
    <cellStyle name="40% - Accent2 14 4 2 2 2" xfId="21581"/>
    <cellStyle name="40% - Accent2 14 4 3" xfId="21582"/>
    <cellStyle name="40% - Accent2 14 4 3 2" xfId="21583"/>
    <cellStyle name="40% - Accent2 14 4 4" xfId="21584"/>
    <cellStyle name="40% - Accent2 14 4 5" xfId="21585"/>
    <cellStyle name="40% - Accent2 14 4 6" xfId="21586"/>
    <cellStyle name="40% - Accent2 14 5" xfId="21587"/>
    <cellStyle name="40% - Accent2 14 5 2" xfId="21588"/>
    <cellStyle name="40% - Accent2 14 5 2 2" xfId="21589"/>
    <cellStyle name="40% - Accent2 14 5 3" xfId="21590"/>
    <cellStyle name="40% - Accent2 14 5 4" xfId="21591"/>
    <cellStyle name="40% - Accent2 14 5 5" xfId="21592"/>
    <cellStyle name="40% - Accent2 14 6" xfId="21593"/>
    <cellStyle name="40% - Accent2 14 6 2" xfId="21594"/>
    <cellStyle name="40% - Accent2 14 6 3" xfId="21595"/>
    <cellStyle name="40% - Accent2 14 7" xfId="21596"/>
    <cellStyle name="40% - Accent2 14 8" xfId="21597"/>
    <cellStyle name="40% - Accent2 14 9" xfId="21598"/>
    <cellStyle name="40% - Accent2 15" xfId="21599"/>
    <cellStyle name="40% - Accent2 15 2" xfId="21600"/>
    <cellStyle name="40% - Accent2 15 2 2" xfId="21601"/>
    <cellStyle name="40% - Accent2 15 2 3" xfId="21602"/>
    <cellStyle name="40% - Accent2 15 2 4" xfId="21603"/>
    <cellStyle name="40% - Accent2 15 3" xfId="21604"/>
    <cellStyle name="40% - Accent2 15 3 2" xfId="21605"/>
    <cellStyle name="40% - Accent2 15 3 3" xfId="21606"/>
    <cellStyle name="40% - Accent2 15 4" xfId="21607"/>
    <cellStyle name="40% - Accent2 15 4 2" xfId="21608"/>
    <cellStyle name="40% - Accent2 15 5" xfId="21609"/>
    <cellStyle name="40% - Accent2 15 6" xfId="21610"/>
    <cellStyle name="40% - Accent2 15 7" xfId="21611"/>
    <cellStyle name="40% - Accent2 16" xfId="21612"/>
    <cellStyle name="40% - Accent2 16 2" xfId="21613"/>
    <cellStyle name="40% - Accent2 16 2 2" xfId="21614"/>
    <cellStyle name="40% - Accent2 16 2 3" xfId="21615"/>
    <cellStyle name="40% - Accent2 16 2 4" xfId="21616"/>
    <cellStyle name="40% - Accent2 16 3" xfId="21617"/>
    <cellStyle name="40% - Accent2 16 3 2" xfId="21618"/>
    <cellStyle name="40% - Accent2 16 3 3" xfId="21619"/>
    <cellStyle name="40% - Accent2 16 4" xfId="21620"/>
    <cellStyle name="40% - Accent2 16 4 2" xfId="21621"/>
    <cellStyle name="40% - Accent2 16 5" xfId="21622"/>
    <cellStyle name="40% - Accent2 16 6" xfId="21623"/>
    <cellStyle name="40% - Accent2 16 7" xfId="21624"/>
    <cellStyle name="40% - Accent2 17" xfId="21625"/>
    <cellStyle name="40% - Accent2 17 2" xfId="21626"/>
    <cellStyle name="40% - Accent2 17 2 2" xfId="21627"/>
    <cellStyle name="40% - Accent2 17 2 3" xfId="21628"/>
    <cellStyle name="40% - Accent2 17 2 4" xfId="21629"/>
    <cellStyle name="40% - Accent2 17 3" xfId="21630"/>
    <cellStyle name="40% - Accent2 17 3 2" xfId="21631"/>
    <cellStyle name="40% - Accent2 17 3 3" xfId="21632"/>
    <cellStyle name="40% - Accent2 17 4" xfId="21633"/>
    <cellStyle name="40% - Accent2 17 4 2" xfId="21634"/>
    <cellStyle name="40% - Accent2 17 5" xfId="21635"/>
    <cellStyle name="40% - Accent2 17 6" xfId="21636"/>
    <cellStyle name="40% - Accent2 17 7" xfId="21637"/>
    <cellStyle name="40% - Accent2 18" xfId="21638"/>
    <cellStyle name="40% - Accent2 18 2" xfId="21639"/>
    <cellStyle name="40% - Accent2 18 2 2" xfId="21640"/>
    <cellStyle name="40% - Accent2 18 2 3" xfId="21641"/>
    <cellStyle name="40% - Accent2 18 2 4" xfId="21642"/>
    <cellStyle name="40% - Accent2 18 3" xfId="21643"/>
    <cellStyle name="40% - Accent2 18 3 2" xfId="21644"/>
    <cellStyle name="40% - Accent2 18 3 3" xfId="21645"/>
    <cellStyle name="40% - Accent2 18 4" xfId="21646"/>
    <cellStyle name="40% - Accent2 18 4 2" xfId="21647"/>
    <cellStyle name="40% - Accent2 18 5" xfId="21648"/>
    <cellStyle name="40% - Accent2 18 6" xfId="21649"/>
    <cellStyle name="40% - Accent2 18 7" xfId="21650"/>
    <cellStyle name="40% - Accent2 19" xfId="21651"/>
    <cellStyle name="40% - Accent2 19 2" xfId="21652"/>
    <cellStyle name="40% - Accent2 19 2 2" xfId="21653"/>
    <cellStyle name="40% - Accent2 19 2 3" xfId="21654"/>
    <cellStyle name="40% - Accent2 19 2 4" xfId="21655"/>
    <cellStyle name="40% - Accent2 19 3" xfId="21656"/>
    <cellStyle name="40% - Accent2 19 3 2" xfId="21657"/>
    <cellStyle name="40% - Accent2 19 3 3" xfId="21658"/>
    <cellStyle name="40% - Accent2 19 4" xfId="21659"/>
    <cellStyle name="40% - Accent2 19 4 2" xfId="21660"/>
    <cellStyle name="40% - Accent2 19 5" xfId="21661"/>
    <cellStyle name="40% - Accent2 19 6" xfId="21662"/>
    <cellStyle name="40% - Accent2 19 7" xfId="21663"/>
    <cellStyle name="40% - Accent2 2" xfId="21664"/>
    <cellStyle name="40% - Accent2 2 10" xfId="21665"/>
    <cellStyle name="40% - Accent2 2 10 2" xfId="21666"/>
    <cellStyle name="40% - Accent2 2 10 2 2" xfId="21667"/>
    <cellStyle name="40% - Accent2 2 10 2 2 2" xfId="21668"/>
    <cellStyle name="40% - Accent2 2 10 2 2 2 2" xfId="21669"/>
    <cellStyle name="40% - Accent2 2 10 2 2 2 2 2" xfId="21670"/>
    <cellStyle name="40% - Accent2 2 10 2 2 2 2 2 2" xfId="21671"/>
    <cellStyle name="40% - Accent2 2 10 2 2 2 3" xfId="21672"/>
    <cellStyle name="40% - Accent2 2 10 2 2 2 3 2" xfId="21673"/>
    <cellStyle name="40% - Accent2 2 10 2 2 3" xfId="21674"/>
    <cellStyle name="40% - Accent2 2 10 2 2 3 2" xfId="21675"/>
    <cellStyle name="40% - Accent2 2 10 2 2 3 2 2" xfId="21676"/>
    <cellStyle name="40% - Accent2 2 10 2 2 4" xfId="21677"/>
    <cellStyle name="40% - Accent2 2 10 2 2 4 2" xfId="21678"/>
    <cellStyle name="40% - Accent2 2 10 2 3" xfId="21679"/>
    <cellStyle name="40% - Accent2 2 10 2 3 2" xfId="21680"/>
    <cellStyle name="40% - Accent2 2 10 2 3 2 2" xfId="21681"/>
    <cellStyle name="40% - Accent2 2 10 2 3 2 2 2" xfId="21682"/>
    <cellStyle name="40% - Accent2 2 10 2 3 3" xfId="21683"/>
    <cellStyle name="40% - Accent2 2 10 2 3 3 2" xfId="21684"/>
    <cellStyle name="40% - Accent2 2 10 2 4" xfId="21685"/>
    <cellStyle name="40% - Accent2 2 10 2 4 2" xfId="21686"/>
    <cellStyle name="40% - Accent2 2 10 2 4 2 2" xfId="21687"/>
    <cellStyle name="40% - Accent2 2 10 2 5" xfId="21688"/>
    <cellStyle name="40% - Accent2 2 10 2 5 2" xfId="21689"/>
    <cellStyle name="40% - Accent2 2 10 3" xfId="21690"/>
    <cellStyle name="40% - Accent2 2 10 3 2" xfId="21691"/>
    <cellStyle name="40% - Accent2 2 10 3 2 2" xfId="21692"/>
    <cellStyle name="40% - Accent2 2 10 3 2 2 2" xfId="21693"/>
    <cellStyle name="40% - Accent2 2 10 3 2 2 2 2" xfId="21694"/>
    <cellStyle name="40% - Accent2 2 10 3 2 3" xfId="21695"/>
    <cellStyle name="40% - Accent2 2 10 3 2 3 2" xfId="21696"/>
    <cellStyle name="40% - Accent2 2 10 3 3" xfId="21697"/>
    <cellStyle name="40% - Accent2 2 10 3 3 2" xfId="21698"/>
    <cellStyle name="40% - Accent2 2 10 3 3 2 2" xfId="21699"/>
    <cellStyle name="40% - Accent2 2 10 3 4" xfId="21700"/>
    <cellStyle name="40% - Accent2 2 10 3 4 2" xfId="21701"/>
    <cellStyle name="40% - Accent2 2 10 4" xfId="21702"/>
    <cellStyle name="40% - Accent2 2 10 4 2" xfId="21703"/>
    <cellStyle name="40% - Accent2 2 10 4 2 2" xfId="21704"/>
    <cellStyle name="40% - Accent2 2 10 4 2 2 2" xfId="21705"/>
    <cellStyle name="40% - Accent2 2 10 4 3" xfId="21706"/>
    <cellStyle name="40% - Accent2 2 10 4 3 2" xfId="21707"/>
    <cellStyle name="40% - Accent2 2 10 5" xfId="21708"/>
    <cellStyle name="40% - Accent2 2 10 5 2" xfId="21709"/>
    <cellStyle name="40% - Accent2 2 10 5 2 2" xfId="21710"/>
    <cellStyle name="40% - Accent2 2 10 6" xfId="21711"/>
    <cellStyle name="40% - Accent2 2 10 6 2" xfId="21712"/>
    <cellStyle name="40% - Accent2 2 11" xfId="21713"/>
    <cellStyle name="40% - Accent2 2 11 2" xfId="21714"/>
    <cellStyle name="40% - Accent2 2 11 2 2" xfId="21715"/>
    <cellStyle name="40% - Accent2 2 11 2 2 2" xfId="21716"/>
    <cellStyle name="40% - Accent2 2 11 2 2 2 2" xfId="21717"/>
    <cellStyle name="40% - Accent2 2 11 2 2 2 2 2" xfId="21718"/>
    <cellStyle name="40% - Accent2 2 11 2 2 2 2 2 2" xfId="21719"/>
    <cellStyle name="40% - Accent2 2 11 2 2 2 3" xfId="21720"/>
    <cellStyle name="40% - Accent2 2 11 2 2 2 3 2" xfId="21721"/>
    <cellStyle name="40% - Accent2 2 11 2 2 3" xfId="21722"/>
    <cellStyle name="40% - Accent2 2 11 2 2 3 2" xfId="21723"/>
    <cellStyle name="40% - Accent2 2 11 2 2 3 2 2" xfId="21724"/>
    <cellStyle name="40% - Accent2 2 11 2 2 4" xfId="21725"/>
    <cellStyle name="40% - Accent2 2 11 2 2 4 2" xfId="21726"/>
    <cellStyle name="40% - Accent2 2 11 2 3" xfId="21727"/>
    <cellStyle name="40% - Accent2 2 11 2 3 2" xfId="21728"/>
    <cellStyle name="40% - Accent2 2 11 2 3 2 2" xfId="21729"/>
    <cellStyle name="40% - Accent2 2 11 2 3 2 2 2" xfId="21730"/>
    <cellStyle name="40% - Accent2 2 11 2 3 3" xfId="21731"/>
    <cellStyle name="40% - Accent2 2 11 2 3 3 2" xfId="21732"/>
    <cellStyle name="40% - Accent2 2 11 2 4" xfId="21733"/>
    <cellStyle name="40% - Accent2 2 11 2 4 2" xfId="21734"/>
    <cellStyle name="40% - Accent2 2 11 2 4 2 2" xfId="21735"/>
    <cellStyle name="40% - Accent2 2 11 2 5" xfId="21736"/>
    <cellStyle name="40% - Accent2 2 11 2 5 2" xfId="21737"/>
    <cellStyle name="40% - Accent2 2 11 3" xfId="21738"/>
    <cellStyle name="40% - Accent2 2 11 3 2" xfId="21739"/>
    <cellStyle name="40% - Accent2 2 11 3 2 2" xfId="21740"/>
    <cellStyle name="40% - Accent2 2 11 3 2 2 2" xfId="21741"/>
    <cellStyle name="40% - Accent2 2 11 3 2 2 2 2" xfId="21742"/>
    <cellStyle name="40% - Accent2 2 11 3 2 3" xfId="21743"/>
    <cellStyle name="40% - Accent2 2 11 3 2 3 2" xfId="21744"/>
    <cellStyle name="40% - Accent2 2 11 3 3" xfId="21745"/>
    <cellStyle name="40% - Accent2 2 11 3 3 2" xfId="21746"/>
    <cellStyle name="40% - Accent2 2 11 3 3 2 2" xfId="21747"/>
    <cellStyle name="40% - Accent2 2 11 3 4" xfId="21748"/>
    <cellStyle name="40% - Accent2 2 11 3 4 2" xfId="21749"/>
    <cellStyle name="40% - Accent2 2 11 4" xfId="21750"/>
    <cellStyle name="40% - Accent2 2 11 4 2" xfId="21751"/>
    <cellStyle name="40% - Accent2 2 11 4 2 2" xfId="21752"/>
    <cellStyle name="40% - Accent2 2 11 4 2 2 2" xfId="21753"/>
    <cellStyle name="40% - Accent2 2 11 4 3" xfId="21754"/>
    <cellStyle name="40% - Accent2 2 11 4 3 2" xfId="21755"/>
    <cellStyle name="40% - Accent2 2 11 5" xfId="21756"/>
    <cellStyle name="40% - Accent2 2 11 5 2" xfId="21757"/>
    <cellStyle name="40% - Accent2 2 11 5 2 2" xfId="21758"/>
    <cellStyle name="40% - Accent2 2 11 6" xfId="21759"/>
    <cellStyle name="40% - Accent2 2 11 6 2" xfId="21760"/>
    <cellStyle name="40% - Accent2 2 12" xfId="21761"/>
    <cellStyle name="40% - Accent2 2 12 2" xfId="21762"/>
    <cellStyle name="40% - Accent2 2 12 2 2" xfId="21763"/>
    <cellStyle name="40% - Accent2 2 12 2 2 2" xfId="21764"/>
    <cellStyle name="40% - Accent2 2 12 2 2 2 2" xfId="21765"/>
    <cellStyle name="40% - Accent2 2 12 2 2 2 2 2" xfId="21766"/>
    <cellStyle name="40% - Accent2 2 12 2 2 2 2 2 2" xfId="21767"/>
    <cellStyle name="40% - Accent2 2 12 2 2 2 3" xfId="21768"/>
    <cellStyle name="40% - Accent2 2 12 2 2 2 3 2" xfId="21769"/>
    <cellStyle name="40% - Accent2 2 12 2 2 3" xfId="21770"/>
    <cellStyle name="40% - Accent2 2 12 2 2 3 2" xfId="21771"/>
    <cellStyle name="40% - Accent2 2 12 2 2 3 2 2" xfId="21772"/>
    <cellStyle name="40% - Accent2 2 12 2 2 4" xfId="21773"/>
    <cellStyle name="40% - Accent2 2 12 2 2 4 2" xfId="21774"/>
    <cellStyle name="40% - Accent2 2 12 2 3" xfId="21775"/>
    <cellStyle name="40% - Accent2 2 12 2 3 2" xfId="21776"/>
    <cellStyle name="40% - Accent2 2 12 2 3 2 2" xfId="21777"/>
    <cellStyle name="40% - Accent2 2 12 2 3 2 2 2" xfId="21778"/>
    <cellStyle name="40% - Accent2 2 12 2 3 3" xfId="21779"/>
    <cellStyle name="40% - Accent2 2 12 2 3 3 2" xfId="21780"/>
    <cellStyle name="40% - Accent2 2 12 2 4" xfId="21781"/>
    <cellStyle name="40% - Accent2 2 12 2 4 2" xfId="21782"/>
    <cellStyle name="40% - Accent2 2 12 2 4 2 2" xfId="21783"/>
    <cellStyle name="40% - Accent2 2 12 2 5" xfId="21784"/>
    <cellStyle name="40% - Accent2 2 12 2 5 2" xfId="21785"/>
    <cellStyle name="40% - Accent2 2 12 3" xfId="21786"/>
    <cellStyle name="40% - Accent2 2 12 3 2" xfId="21787"/>
    <cellStyle name="40% - Accent2 2 12 3 2 2" xfId="21788"/>
    <cellStyle name="40% - Accent2 2 12 3 2 2 2" xfId="21789"/>
    <cellStyle name="40% - Accent2 2 12 3 2 2 2 2" xfId="21790"/>
    <cellStyle name="40% - Accent2 2 12 3 2 3" xfId="21791"/>
    <cellStyle name="40% - Accent2 2 12 3 2 3 2" xfId="21792"/>
    <cellStyle name="40% - Accent2 2 12 3 3" xfId="21793"/>
    <cellStyle name="40% - Accent2 2 12 3 3 2" xfId="21794"/>
    <cellStyle name="40% - Accent2 2 12 3 3 2 2" xfId="21795"/>
    <cellStyle name="40% - Accent2 2 12 3 4" xfId="21796"/>
    <cellStyle name="40% - Accent2 2 12 3 4 2" xfId="21797"/>
    <cellStyle name="40% - Accent2 2 12 4" xfId="21798"/>
    <cellStyle name="40% - Accent2 2 12 4 2" xfId="21799"/>
    <cellStyle name="40% - Accent2 2 12 4 2 2" xfId="21800"/>
    <cellStyle name="40% - Accent2 2 12 4 2 2 2" xfId="21801"/>
    <cellStyle name="40% - Accent2 2 12 4 3" xfId="21802"/>
    <cellStyle name="40% - Accent2 2 12 4 3 2" xfId="21803"/>
    <cellStyle name="40% - Accent2 2 12 5" xfId="21804"/>
    <cellStyle name="40% - Accent2 2 12 5 2" xfId="21805"/>
    <cellStyle name="40% - Accent2 2 12 5 2 2" xfId="21806"/>
    <cellStyle name="40% - Accent2 2 12 6" xfId="21807"/>
    <cellStyle name="40% - Accent2 2 12 6 2" xfId="21808"/>
    <cellStyle name="40% - Accent2 2 13" xfId="21809"/>
    <cellStyle name="40% - Accent2 2 13 2" xfId="21810"/>
    <cellStyle name="40% - Accent2 2 13 2 2" xfId="21811"/>
    <cellStyle name="40% - Accent2 2 13 2 2 2" xfId="21812"/>
    <cellStyle name="40% - Accent2 2 13 2 2 2 2" xfId="21813"/>
    <cellStyle name="40% - Accent2 2 13 2 2 2 2 2" xfId="21814"/>
    <cellStyle name="40% - Accent2 2 13 2 2 2 2 2 2" xfId="21815"/>
    <cellStyle name="40% - Accent2 2 13 2 2 2 3" xfId="21816"/>
    <cellStyle name="40% - Accent2 2 13 2 2 2 3 2" xfId="21817"/>
    <cellStyle name="40% - Accent2 2 13 2 2 3" xfId="21818"/>
    <cellStyle name="40% - Accent2 2 13 2 2 3 2" xfId="21819"/>
    <cellStyle name="40% - Accent2 2 13 2 2 3 2 2" xfId="21820"/>
    <cellStyle name="40% - Accent2 2 13 2 2 4" xfId="21821"/>
    <cellStyle name="40% - Accent2 2 13 2 2 4 2" xfId="21822"/>
    <cellStyle name="40% - Accent2 2 13 2 3" xfId="21823"/>
    <cellStyle name="40% - Accent2 2 13 2 3 2" xfId="21824"/>
    <cellStyle name="40% - Accent2 2 13 2 3 2 2" xfId="21825"/>
    <cellStyle name="40% - Accent2 2 13 2 3 2 2 2" xfId="21826"/>
    <cellStyle name="40% - Accent2 2 13 2 3 3" xfId="21827"/>
    <cellStyle name="40% - Accent2 2 13 2 3 3 2" xfId="21828"/>
    <cellStyle name="40% - Accent2 2 13 2 4" xfId="21829"/>
    <cellStyle name="40% - Accent2 2 13 2 4 2" xfId="21830"/>
    <cellStyle name="40% - Accent2 2 13 2 4 2 2" xfId="21831"/>
    <cellStyle name="40% - Accent2 2 13 2 5" xfId="21832"/>
    <cellStyle name="40% - Accent2 2 13 2 5 2" xfId="21833"/>
    <cellStyle name="40% - Accent2 2 13 3" xfId="21834"/>
    <cellStyle name="40% - Accent2 2 13 3 2" xfId="21835"/>
    <cellStyle name="40% - Accent2 2 13 3 2 2" xfId="21836"/>
    <cellStyle name="40% - Accent2 2 13 3 2 2 2" xfId="21837"/>
    <cellStyle name="40% - Accent2 2 13 3 2 2 2 2" xfId="21838"/>
    <cellStyle name="40% - Accent2 2 13 3 2 3" xfId="21839"/>
    <cellStyle name="40% - Accent2 2 13 3 2 3 2" xfId="21840"/>
    <cellStyle name="40% - Accent2 2 13 3 3" xfId="21841"/>
    <cellStyle name="40% - Accent2 2 13 3 3 2" xfId="21842"/>
    <cellStyle name="40% - Accent2 2 13 3 3 2 2" xfId="21843"/>
    <cellStyle name="40% - Accent2 2 13 3 4" xfId="21844"/>
    <cellStyle name="40% - Accent2 2 13 3 4 2" xfId="21845"/>
    <cellStyle name="40% - Accent2 2 13 4" xfId="21846"/>
    <cellStyle name="40% - Accent2 2 13 4 2" xfId="21847"/>
    <cellStyle name="40% - Accent2 2 13 4 2 2" xfId="21848"/>
    <cellStyle name="40% - Accent2 2 13 4 2 2 2" xfId="21849"/>
    <cellStyle name="40% - Accent2 2 13 4 3" xfId="21850"/>
    <cellStyle name="40% - Accent2 2 13 4 3 2" xfId="21851"/>
    <cellStyle name="40% - Accent2 2 13 5" xfId="21852"/>
    <cellStyle name="40% - Accent2 2 13 5 2" xfId="21853"/>
    <cellStyle name="40% - Accent2 2 13 5 2 2" xfId="21854"/>
    <cellStyle name="40% - Accent2 2 13 6" xfId="21855"/>
    <cellStyle name="40% - Accent2 2 13 6 2" xfId="21856"/>
    <cellStyle name="40% - Accent2 2 14" xfId="21857"/>
    <cellStyle name="40% - Accent2 2 14 2" xfId="21858"/>
    <cellStyle name="40% - Accent2 2 14 2 2" xfId="21859"/>
    <cellStyle name="40% - Accent2 2 14 2 2 2" xfId="21860"/>
    <cellStyle name="40% - Accent2 2 14 2 2 2 2" xfId="21861"/>
    <cellStyle name="40% - Accent2 2 14 2 2 2 2 2" xfId="21862"/>
    <cellStyle name="40% - Accent2 2 14 2 2 3" xfId="21863"/>
    <cellStyle name="40% - Accent2 2 14 2 2 3 2" xfId="21864"/>
    <cellStyle name="40% - Accent2 2 14 2 3" xfId="21865"/>
    <cellStyle name="40% - Accent2 2 14 2 3 2" xfId="21866"/>
    <cellStyle name="40% - Accent2 2 14 2 3 2 2" xfId="21867"/>
    <cellStyle name="40% - Accent2 2 14 2 4" xfId="21868"/>
    <cellStyle name="40% - Accent2 2 14 2 4 2" xfId="21869"/>
    <cellStyle name="40% - Accent2 2 14 3" xfId="21870"/>
    <cellStyle name="40% - Accent2 2 14 3 2" xfId="21871"/>
    <cellStyle name="40% - Accent2 2 14 3 2 2" xfId="21872"/>
    <cellStyle name="40% - Accent2 2 14 3 2 2 2" xfId="21873"/>
    <cellStyle name="40% - Accent2 2 14 3 3" xfId="21874"/>
    <cellStyle name="40% - Accent2 2 14 3 3 2" xfId="21875"/>
    <cellStyle name="40% - Accent2 2 14 4" xfId="21876"/>
    <cellStyle name="40% - Accent2 2 14 4 2" xfId="21877"/>
    <cellStyle name="40% - Accent2 2 14 4 2 2" xfId="21878"/>
    <cellStyle name="40% - Accent2 2 14 5" xfId="21879"/>
    <cellStyle name="40% - Accent2 2 14 5 2" xfId="21880"/>
    <cellStyle name="40% - Accent2 2 15" xfId="21881"/>
    <cellStyle name="40% - Accent2 2 15 2" xfId="21882"/>
    <cellStyle name="40% - Accent2 2 15 2 2" xfId="21883"/>
    <cellStyle name="40% - Accent2 2 15 2 2 2" xfId="21884"/>
    <cellStyle name="40% - Accent2 2 15 2 2 2 2" xfId="21885"/>
    <cellStyle name="40% - Accent2 2 15 2 3" xfId="21886"/>
    <cellStyle name="40% - Accent2 2 15 2 3 2" xfId="21887"/>
    <cellStyle name="40% - Accent2 2 15 3" xfId="21888"/>
    <cellStyle name="40% - Accent2 2 15 3 2" xfId="21889"/>
    <cellStyle name="40% - Accent2 2 15 3 2 2" xfId="21890"/>
    <cellStyle name="40% - Accent2 2 15 4" xfId="21891"/>
    <cellStyle name="40% - Accent2 2 15 4 2" xfId="21892"/>
    <cellStyle name="40% - Accent2 2 16" xfId="21893"/>
    <cellStyle name="40% - Accent2 2 16 2" xfId="21894"/>
    <cellStyle name="40% - Accent2 2 16 2 2" xfId="21895"/>
    <cellStyle name="40% - Accent2 2 16 2 2 2" xfId="21896"/>
    <cellStyle name="40% - Accent2 2 16 3" xfId="21897"/>
    <cellStyle name="40% - Accent2 2 16 3 2" xfId="21898"/>
    <cellStyle name="40% - Accent2 2 17" xfId="21899"/>
    <cellStyle name="40% - Accent2 2 17 2" xfId="21900"/>
    <cellStyle name="40% - Accent2 2 17 2 2" xfId="21901"/>
    <cellStyle name="40% - Accent2 2 18" xfId="21902"/>
    <cellStyle name="40% - Accent2 2 19" xfId="21903"/>
    <cellStyle name="40% - Accent2 2 19 2" xfId="21904"/>
    <cellStyle name="40% - Accent2 2 2" xfId="21905"/>
    <cellStyle name="40% - Accent2 2 2 2" xfId="21906"/>
    <cellStyle name="40% - Accent2 2 2 2 2" xfId="21907"/>
    <cellStyle name="40% - Accent2 2 2 2 2 2" xfId="21908"/>
    <cellStyle name="40% - Accent2 2 2 2 2 2 2" xfId="21909"/>
    <cellStyle name="40% - Accent2 2 2 2 2 2 2 2" xfId="21910"/>
    <cellStyle name="40% - Accent2 2 2 2 2 2 2 2 2" xfId="21911"/>
    <cellStyle name="40% - Accent2 2 2 2 2 2 3" xfId="21912"/>
    <cellStyle name="40% - Accent2 2 2 2 2 2 3 2" xfId="21913"/>
    <cellStyle name="40% - Accent2 2 2 2 2 3" xfId="21914"/>
    <cellStyle name="40% - Accent2 2 2 2 2 3 2" xfId="21915"/>
    <cellStyle name="40% - Accent2 2 2 2 2 3 2 2" xfId="21916"/>
    <cellStyle name="40% - Accent2 2 2 2 2 4" xfId="21917"/>
    <cellStyle name="40% - Accent2 2 2 2 2 4 2" xfId="21918"/>
    <cellStyle name="40% - Accent2 2 2 2 3" xfId="21919"/>
    <cellStyle name="40% - Accent2 2 2 2 3 2" xfId="21920"/>
    <cellStyle name="40% - Accent2 2 2 2 3 2 2" xfId="21921"/>
    <cellStyle name="40% - Accent2 2 2 2 3 2 2 2" xfId="21922"/>
    <cellStyle name="40% - Accent2 2 2 2 3 3" xfId="21923"/>
    <cellStyle name="40% - Accent2 2 2 2 3 3 2" xfId="21924"/>
    <cellStyle name="40% - Accent2 2 2 2 4" xfId="21925"/>
    <cellStyle name="40% - Accent2 2 2 2 4 2" xfId="21926"/>
    <cellStyle name="40% - Accent2 2 2 2 4 2 2" xfId="21927"/>
    <cellStyle name="40% - Accent2 2 2 2 5" xfId="21928"/>
    <cellStyle name="40% - Accent2 2 2 2 5 2" xfId="21929"/>
    <cellStyle name="40% - Accent2 2 2 3" xfId="21930"/>
    <cellStyle name="40% - Accent2 2 2 3 2" xfId="21931"/>
    <cellStyle name="40% - Accent2 2 2 3 2 2" xfId="21932"/>
    <cellStyle name="40% - Accent2 2 2 3 2 2 2" xfId="21933"/>
    <cellStyle name="40% - Accent2 2 2 3 2 2 2 2" xfId="21934"/>
    <cellStyle name="40% - Accent2 2 2 3 2 3" xfId="21935"/>
    <cellStyle name="40% - Accent2 2 2 3 2 3 2" xfId="21936"/>
    <cellStyle name="40% - Accent2 2 2 3 3" xfId="21937"/>
    <cellStyle name="40% - Accent2 2 2 3 3 2" xfId="21938"/>
    <cellStyle name="40% - Accent2 2 2 3 3 2 2" xfId="21939"/>
    <cellStyle name="40% - Accent2 2 2 3 4" xfId="21940"/>
    <cellStyle name="40% - Accent2 2 2 3 4 2" xfId="21941"/>
    <cellStyle name="40% - Accent2 2 2 4" xfId="21942"/>
    <cellStyle name="40% - Accent2 2 2 4 2" xfId="21943"/>
    <cellStyle name="40% - Accent2 2 2 4 2 2" xfId="21944"/>
    <cellStyle name="40% - Accent2 2 2 4 2 2 2" xfId="21945"/>
    <cellStyle name="40% - Accent2 2 2 4 3" xfId="21946"/>
    <cellStyle name="40% - Accent2 2 2 4 3 2" xfId="21947"/>
    <cellStyle name="40% - Accent2 2 2 5" xfId="21948"/>
    <cellStyle name="40% - Accent2 2 2 5 2" xfId="21949"/>
    <cellStyle name="40% - Accent2 2 2 5 2 2" xfId="21950"/>
    <cellStyle name="40% - Accent2 2 2 6" xfId="21951"/>
    <cellStyle name="40% - Accent2 2 2 6 2" xfId="21952"/>
    <cellStyle name="40% - Accent2 2 2 7" xfId="21953"/>
    <cellStyle name="40% - Accent2 2 3" xfId="21954"/>
    <cellStyle name="40% - Accent2 2 3 2" xfId="21955"/>
    <cellStyle name="40% - Accent2 2 3 2 2" xfId="21956"/>
    <cellStyle name="40% - Accent2 2 3 2 2 2" xfId="21957"/>
    <cellStyle name="40% - Accent2 2 3 2 2 2 2" xfId="21958"/>
    <cellStyle name="40% - Accent2 2 3 2 2 2 2 2" xfId="21959"/>
    <cellStyle name="40% - Accent2 2 3 2 2 2 2 2 2" xfId="21960"/>
    <cellStyle name="40% - Accent2 2 3 2 2 2 3" xfId="21961"/>
    <cellStyle name="40% - Accent2 2 3 2 2 2 3 2" xfId="21962"/>
    <cellStyle name="40% - Accent2 2 3 2 2 3" xfId="21963"/>
    <cellStyle name="40% - Accent2 2 3 2 2 3 2" xfId="21964"/>
    <cellStyle name="40% - Accent2 2 3 2 2 3 2 2" xfId="21965"/>
    <cellStyle name="40% - Accent2 2 3 2 2 4" xfId="21966"/>
    <cellStyle name="40% - Accent2 2 3 2 2 4 2" xfId="21967"/>
    <cellStyle name="40% - Accent2 2 3 2 3" xfId="21968"/>
    <cellStyle name="40% - Accent2 2 3 2 3 2" xfId="21969"/>
    <cellStyle name="40% - Accent2 2 3 2 3 2 2" xfId="21970"/>
    <cellStyle name="40% - Accent2 2 3 2 3 2 2 2" xfId="21971"/>
    <cellStyle name="40% - Accent2 2 3 2 3 3" xfId="21972"/>
    <cellStyle name="40% - Accent2 2 3 2 3 3 2" xfId="21973"/>
    <cellStyle name="40% - Accent2 2 3 2 4" xfId="21974"/>
    <cellStyle name="40% - Accent2 2 3 2 4 2" xfId="21975"/>
    <cellStyle name="40% - Accent2 2 3 2 4 2 2" xfId="21976"/>
    <cellStyle name="40% - Accent2 2 3 2 5" xfId="21977"/>
    <cellStyle name="40% - Accent2 2 3 2 5 2" xfId="21978"/>
    <cellStyle name="40% - Accent2 2 3 3" xfId="21979"/>
    <cellStyle name="40% - Accent2 2 3 3 2" xfId="21980"/>
    <cellStyle name="40% - Accent2 2 3 3 2 2" xfId="21981"/>
    <cellStyle name="40% - Accent2 2 3 3 2 2 2" xfId="21982"/>
    <cellStyle name="40% - Accent2 2 3 3 2 2 2 2" xfId="21983"/>
    <cellStyle name="40% - Accent2 2 3 3 2 3" xfId="21984"/>
    <cellStyle name="40% - Accent2 2 3 3 2 3 2" xfId="21985"/>
    <cellStyle name="40% - Accent2 2 3 3 3" xfId="21986"/>
    <cellStyle name="40% - Accent2 2 3 3 3 2" xfId="21987"/>
    <cellStyle name="40% - Accent2 2 3 3 3 2 2" xfId="21988"/>
    <cellStyle name="40% - Accent2 2 3 3 4" xfId="21989"/>
    <cellStyle name="40% - Accent2 2 3 3 4 2" xfId="21990"/>
    <cellStyle name="40% - Accent2 2 3 4" xfId="21991"/>
    <cellStyle name="40% - Accent2 2 3 4 2" xfId="21992"/>
    <cellStyle name="40% - Accent2 2 3 4 2 2" xfId="21993"/>
    <cellStyle name="40% - Accent2 2 3 4 2 2 2" xfId="21994"/>
    <cellStyle name="40% - Accent2 2 3 4 3" xfId="21995"/>
    <cellStyle name="40% - Accent2 2 3 4 3 2" xfId="21996"/>
    <cellStyle name="40% - Accent2 2 3 5" xfId="21997"/>
    <cellStyle name="40% - Accent2 2 3 5 2" xfId="21998"/>
    <cellStyle name="40% - Accent2 2 3 5 2 2" xfId="21999"/>
    <cellStyle name="40% - Accent2 2 3 6" xfId="22000"/>
    <cellStyle name="40% - Accent2 2 3 6 2" xfId="22001"/>
    <cellStyle name="40% - Accent2 2 3 7" xfId="22002"/>
    <cellStyle name="40% - Accent2 2 4" xfId="22003"/>
    <cellStyle name="40% - Accent2 2 4 2" xfId="22004"/>
    <cellStyle name="40% - Accent2 2 4 2 2" xfId="22005"/>
    <cellStyle name="40% - Accent2 2 4 2 2 2" xfId="22006"/>
    <cellStyle name="40% - Accent2 2 4 2 2 2 2" xfId="22007"/>
    <cellStyle name="40% - Accent2 2 4 2 2 2 2 2" xfId="22008"/>
    <cellStyle name="40% - Accent2 2 4 2 2 2 2 2 2" xfId="22009"/>
    <cellStyle name="40% - Accent2 2 4 2 2 2 3" xfId="22010"/>
    <cellStyle name="40% - Accent2 2 4 2 2 2 3 2" xfId="22011"/>
    <cellStyle name="40% - Accent2 2 4 2 2 3" xfId="22012"/>
    <cellStyle name="40% - Accent2 2 4 2 2 3 2" xfId="22013"/>
    <cellStyle name="40% - Accent2 2 4 2 2 3 2 2" xfId="22014"/>
    <cellStyle name="40% - Accent2 2 4 2 2 4" xfId="22015"/>
    <cellStyle name="40% - Accent2 2 4 2 2 4 2" xfId="22016"/>
    <cellStyle name="40% - Accent2 2 4 2 3" xfId="22017"/>
    <cellStyle name="40% - Accent2 2 4 2 3 2" xfId="22018"/>
    <cellStyle name="40% - Accent2 2 4 2 3 2 2" xfId="22019"/>
    <cellStyle name="40% - Accent2 2 4 2 3 2 2 2" xfId="22020"/>
    <cellStyle name="40% - Accent2 2 4 2 3 3" xfId="22021"/>
    <cellStyle name="40% - Accent2 2 4 2 3 3 2" xfId="22022"/>
    <cellStyle name="40% - Accent2 2 4 2 4" xfId="22023"/>
    <cellStyle name="40% - Accent2 2 4 2 4 2" xfId="22024"/>
    <cellStyle name="40% - Accent2 2 4 2 4 2 2" xfId="22025"/>
    <cellStyle name="40% - Accent2 2 4 2 5" xfId="22026"/>
    <cellStyle name="40% - Accent2 2 4 2 5 2" xfId="22027"/>
    <cellStyle name="40% - Accent2 2 4 3" xfId="22028"/>
    <cellStyle name="40% - Accent2 2 4 3 2" xfId="22029"/>
    <cellStyle name="40% - Accent2 2 4 3 2 2" xfId="22030"/>
    <cellStyle name="40% - Accent2 2 4 3 2 2 2" xfId="22031"/>
    <cellStyle name="40% - Accent2 2 4 3 2 2 2 2" xfId="22032"/>
    <cellStyle name="40% - Accent2 2 4 3 2 3" xfId="22033"/>
    <cellStyle name="40% - Accent2 2 4 3 2 3 2" xfId="22034"/>
    <cellStyle name="40% - Accent2 2 4 3 3" xfId="22035"/>
    <cellStyle name="40% - Accent2 2 4 3 3 2" xfId="22036"/>
    <cellStyle name="40% - Accent2 2 4 3 3 2 2" xfId="22037"/>
    <cellStyle name="40% - Accent2 2 4 3 4" xfId="22038"/>
    <cellStyle name="40% - Accent2 2 4 3 4 2" xfId="22039"/>
    <cellStyle name="40% - Accent2 2 4 4" xfId="22040"/>
    <cellStyle name="40% - Accent2 2 4 4 2" xfId="22041"/>
    <cellStyle name="40% - Accent2 2 4 4 2 2" xfId="22042"/>
    <cellStyle name="40% - Accent2 2 4 4 2 2 2" xfId="22043"/>
    <cellStyle name="40% - Accent2 2 4 4 3" xfId="22044"/>
    <cellStyle name="40% - Accent2 2 4 4 3 2" xfId="22045"/>
    <cellStyle name="40% - Accent2 2 4 5" xfId="22046"/>
    <cellStyle name="40% - Accent2 2 4 5 2" xfId="22047"/>
    <cellStyle name="40% - Accent2 2 4 5 2 2" xfId="22048"/>
    <cellStyle name="40% - Accent2 2 4 6" xfId="22049"/>
    <cellStyle name="40% - Accent2 2 4 6 2" xfId="22050"/>
    <cellStyle name="40% - Accent2 2 4 7" xfId="22051"/>
    <cellStyle name="40% - Accent2 2 5" xfId="22052"/>
    <cellStyle name="40% - Accent2 2 5 2" xfId="22053"/>
    <cellStyle name="40% - Accent2 2 5 2 2" xfId="22054"/>
    <cellStyle name="40% - Accent2 2 5 2 2 2" xfId="22055"/>
    <cellStyle name="40% - Accent2 2 5 2 2 2 2" xfId="22056"/>
    <cellStyle name="40% - Accent2 2 5 2 2 2 2 2" xfId="22057"/>
    <cellStyle name="40% - Accent2 2 5 2 2 2 2 2 2" xfId="22058"/>
    <cellStyle name="40% - Accent2 2 5 2 2 2 3" xfId="22059"/>
    <cellStyle name="40% - Accent2 2 5 2 2 2 3 2" xfId="22060"/>
    <cellStyle name="40% - Accent2 2 5 2 2 3" xfId="22061"/>
    <cellStyle name="40% - Accent2 2 5 2 2 3 2" xfId="22062"/>
    <cellStyle name="40% - Accent2 2 5 2 2 3 2 2" xfId="22063"/>
    <cellStyle name="40% - Accent2 2 5 2 2 4" xfId="22064"/>
    <cellStyle name="40% - Accent2 2 5 2 2 4 2" xfId="22065"/>
    <cellStyle name="40% - Accent2 2 5 2 3" xfId="22066"/>
    <cellStyle name="40% - Accent2 2 5 2 3 2" xfId="22067"/>
    <cellStyle name="40% - Accent2 2 5 2 3 2 2" xfId="22068"/>
    <cellStyle name="40% - Accent2 2 5 2 3 2 2 2" xfId="22069"/>
    <cellStyle name="40% - Accent2 2 5 2 3 3" xfId="22070"/>
    <cellStyle name="40% - Accent2 2 5 2 3 3 2" xfId="22071"/>
    <cellStyle name="40% - Accent2 2 5 2 4" xfId="22072"/>
    <cellStyle name="40% - Accent2 2 5 2 4 2" xfId="22073"/>
    <cellStyle name="40% - Accent2 2 5 2 4 2 2" xfId="22074"/>
    <cellStyle name="40% - Accent2 2 5 2 5" xfId="22075"/>
    <cellStyle name="40% - Accent2 2 5 2 5 2" xfId="22076"/>
    <cellStyle name="40% - Accent2 2 5 3" xfId="22077"/>
    <cellStyle name="40% - Accent2 2 5 3 2" xfId="22078"/>
    <cellStyle name="40% - Accent2 2 5 3 2 2" xfId="22079"/>
    <cellStyle name="40% - Accent2 2 5 3 2 2 2" xfId="22080"/>
    <cellStyle name="40% - Accent2 2 5 3 2 2 2 2" xfId="22081"/>
    <cellStyle name="40% - Accent2 2 5 3 2 3" xfId="22082"/>
    <cellStyle name="40% - Accent2 2 5 3 2 3 2" xfId="22083"/>
    <cellStyle name="40% - Accent2 2 5 3 3" xfId="22084"/>
    <cellStyle name="40% - Accent2 2 5 3 3 2" xfId="22085"/>
    <cellStyle name="40% - Accent2 2 5 3 3 2 2" xfId="22086"/>
    <cellStyle name="40% - Accent2 2 5 3 4" xfId="22087"/>
    <cellStyle name="40% - Accent2 2 5 3 4 2" xfId="22088"/>
    <cellStyle name="40% - Accent2 2 5 4" xfId="22089"/>
    <cellStyle name="40% - Accent2 2 5 4 2" xfId="22090"/>
    <cellStyle name="40% - Accent2 2 5 4 2 2" xfId="22091"/>
    <cellStyle name="40% - Accent2 2 5 4 2 2 2" xfId="22092"/>
    <cellStyle name="40% - Accent2 2 5 4 3" xfId="22093"/>
    <cellStyle name="40% - Accent2 2 5 4 3 2" xfId="22094"/>
    <cellStyle name="40% - Accent2 2 5 5" xfId="22095"/>
    <cellStyle name="40% - Accent2 2 5 5 2" xfId="22096"/>
    <cellStyle name="40% - Accent2 2 5 5 2 2" xfId="22097"/>
    <cellStyle name="40% - Accent2 2 5 6" xfId="22098"/>
    <cellStyle name="40% - Accent2 2 5 6 2" xfId="22099"/>
    <cellStyle name="40% - Accent2 2 5 7" xfId="22100"/>
    <cellStyle name="40% - Accent2 2 6" xfId="22101"/>
    <cellStyle name="40% - Accent2 2 6 2" xfId="22102"/>
    <cellStyle name="40% - Accent2 2 6 2 2" xfId="22103"/>
    <cellStyle name="40% - Accent2 2 6 2 2 2" xfId="22104"/>
    <cellStyle name="40% - Accent2 2 6 2 2 2 2" xfId="22105"/>
    <cellStyle name="40% - Accent2 2 6 2 2 2 2 2" xfId="22106"/>
    <cellStyle name="40% - Accent2 2 6 2 2 2 2 2 2" xfId="22107"/>
    <cellStyle name="40% - Accent2 2 6 2 2 2 3" xfId="22108"/>
    <cellStyle name="40% - Accent2 2 6 2 2 2 3 2" xfId="22109"/>
    <cellStyle name="40% - Accent2 2 6 2 2 3" xfId="22110"/>
    <cellStyle name="40% - Accent2 2 6 2 2 3 2" xfId="22111"/>
    <cellStyle name="40% - Accent2 2 6 2 2 3 2 2" xfId="22112"/>
    <cellStyle name="40% - Accent2 2 6 2 2 4" xfId="22113"/>
    <cellStyle name="40% - Accent2 2 6 2 2 4 2" xfId="22114"/>
    <cellStyle name="40% - Accent2 2 6 2 3" xfId="22115"/>
    <cellStyle name="40% - Accent2 2 6 2 3 2" xfId="22116"/>
    <cellStyle name="40% - Accent2 2 6 2 3 2 2" xfId="22117"/>
    <cellStyle name="40% - Accent2 2 6 2 3 2 2 2" xfId="22118"/>
    <cellStyle name="40% - Accent2 2 6 2 3 3" xfId="22119"/>
    <cellStyle name="40% - Accent2 2 6 2 3 3 2" xfId="22120"/>
    <cellStyle name="40% - Accent2 2 6 2 4" xfId="22121"/>
    <cellStyle name="40% - Accent2 2 6 2 4 2" xfId="22122"/>
    <cellStyle name="40% - Accent2 2 6 2 4 2 2" xfId="22123"/>
    <cellStyle name="40% - Accent2 2 6 2 5" xfId="22124"/>
    <cellStyle name="40% - Accent2 2 6 2 5 2" xfId="22125"/>
    <cellStyle name="40% - Accent2 2 6 3" xfId="22126"/>
    <cellStyle name="40% - Accent2 2 6 3 2" xfId="22127"/>
    <cellStyle name="40% - Accent2 2 6 3 2 2" xfId="22128"/>
    <cellStyle name="40% - Accent2 2 6 3 2 2 2" xfId="22129"/>
    <cellStyle name="40% - Accent2 2 6 3 2 2 2 2" xfId="22130"/>
    <cellStyle name="40% - Accent2 2 6 3 2 3" xfId="22131"/>
    <cellStyle name="40% - Accent2 2 6 3 2 3 2" xfId="22132"/>
    <cellStyle name="40% - Accent2 2 6 3 3" xfId="22133"/>
    <cellStyle name="40% - Accent2 2 6 3 3 2" xfId="22134"/>
    <cellStyle name="40% - Accent2 2 6 3 3 2 2" xfId="22135"/>
    <cellStyle name="40% - Accent2 2 6 3 4" xfId="22136"/>
    <cellStyle name="40% - Accent2 2 6 3 4 2" xfId="22137"/>
    <cellStyle name="40% - Accent2 2 6 4" xfId="22138"/>
    <cellStyle name="40% - Accent2 2 6 4 2" xfId="22139"/>
    <cellStyle name="40% - Accent2 2 6 4 2 2" xfId="22140"/>
    <cellStyle name="40% - Accent2 2 6 4 2 2 2" xfId="22141"/>
    <cellStyle name="40% - Accent2 2 6 4 3" xfId="22142"/>
    <cellStyle name="40% - Accent2 2 6 4 3 2" xfId="22143"/>
    <cellStyle name="40% - Accent2 2 6 5" xfId="22144"/>
    <cellStyle name="40% - Accent2 2 6 5 2" xfId="22145"/>
    <cellStyle name="40% - Accent2 2 6 5 2 2" xfId="22146"/>
    <cellStyle name="40% - Accent2 2 6 6" xfId="22147"/>
    <cellStyle name="40% - Accent2 2 6 6 2" xfId="22148"/>
    <cellStyle name="40% - Accent2 2 6 7" xfId="22149"/>
    <cellStyle name="40% - Accent2 2 7" xfId="22150"/>
    <cellStyle name="40% - Accent2 2 7 2" xfId="22151"/>
    <cellStyle name="40% - Accent2 2 7 2 2" xfId="22152"/>
    <cellStyle name="40% - Accent2 2 7 2 2 2" xfId="22153"/>
    <cellStyle name="40% - Accent2 2 7 2 2 2 2" xfId="22154"/>
    <cellStyle name="40% - Accent2 2 7 2 2 2 2 2" xfId="22155"/>
    <cellStyle name="40% - Accent2 2 7 2 2 2 2 2 2" xfId="22156"/>
    <cellStyle name="40% - Accent2 2 7 2 2 2 3" xfId="22157"/>
    <cellStyle name="40% - Accent2 2 7 2 2 2 3 2" xfId="22158"/>
    <cellStyle name="40% - Accent2 2 7 2 2 3" xfId="22159"/>
    <cellStyle name="40% - Accent2 2 7 2 2 3 2" xfId="22160"/>
    <cellStyle name="40% - Accent2 2 7 2 2 3 2 2" xfId="22161"/>
    <cellStyle name="40% - Accent2 2 7 2 2 4" xfId="22162"/>
    <cellStyle name="40% - Accent2 2 7 2 2 4 2" xfId="22163"/>
    <cellStyle name="40% - Accent2 2 7 2 3" xfId="22164"/>
    <cellStyle name="40% - Accent2 2 7 2 3 2" xfId="22165"/>
    <cellStyle name="40% - Accent2 2 7 2 3 2 2" xfId="22166"/>
    <cellStyle name="40% - Accent2 2 7 2 3 2 2 2" xfId="22167"/>
    <cellStyle name="40% - Accent2 2 7 2 3 3" xfId="22168"/>
    <cellStyle name="40% - Accent2 2 7 2 3 3 2" xfId="22169"/>
    <cellStyle name="40% - Accent2 2 7 2 4" xfId="22170"/>
    <cellStyle name="40% - Accent2 2 7 2 4 2" xfId="22171"/>
    <cellStyle name="40% - Accent2 2 7 2 4 2 2" xfId="22172"/>
    <cellStyle name="40% - Accent2 2 7 2 5" xfId="22173"/>
    <cellStyle name="40% - Accent2 2 7 2 5 2" xfId="22174"/>
    <cellStyle name="40% - Accent2 2 7 3" xfId="22175"/>
    <cellStyle name="40% - Accent2 2 7 3 2" xfId="22176"/>
    <cellStyle name="40% - Accent2 2 7 3 2 2" xfId="22177"/>
    <cellStyle name="40% - Accent2 2 7 3 2 2 2" xfId="22178"/>
    <cellStyle name="40% - Accent2 2 7 3 2 2 2 2" xfId="22179"/>
    <cellStyle name="40% - Accent2 2 7 3 2 3" xfId="22180"/>
    <cellStyle name="40% - Accent2 2 7 3 2 3 2" xfId="22181"/>
    <cellStyle name="40% - Accent2 2 7 3 3" xfId="22182"/>
    <cellStyle name="40% - Accent2 2 7 3 3 2" xfId="22183"/>
    <cellStyle name="40% - Accent2 2 7 3 3 2 2" xfId="22184"/>
    <cellStyle name="40% - Accent2 2 7 3 4" xfId="22185"/>
    <cellStyle name="40% - Accent2 2 7 3 4 2" xfId="22186"/>
    <cellStyle name="40% - Accent2 2 7 4" xfId="22187"/>
    <cellStyle name="40% - Accent2 2 7 4 2" xfId="22188"/>
    <cellStyle name="40% - Accent2 2 7 4 2 2" xfId="22189"/>
    <cellStyle name="40% - Accent2 2 7 4 2 2 2" xfId="22190"/>
    <cellStyle name="40% - Accent2 2 7 4 3" xfId="22191"/>
    <cellStyle name="40% - Accent2 2 7 4 3 2" xfId="22192"/>
    <cellStyle name="40% - Accent2 2 7 5" xfId="22193"/>
    <cellStyle name="40% - Accent2 2 7 5 2" xfId="22194"/>
    <cellStyle name="40% - Accent2 2 7 5 2 2" xfId="22195"/>
    <cellStyle name="40% - Accent2 2 7 6" xfId="22196"/>
    <cellStyle name="40% - Accent2 2 7 6 2" xfId="22197"/>
    <cellStyle name="40% - Accent2 2 7 7" xfId="22198"/>
    <cellStyle name="40% - Accent2 2 8" xfId="22199"/>
    <cellStyle name="40% - Accent2 2 8 2" xfId="22200"/>
    <cellStyle name="40% - Accent2 2 8 2 2" xfId="22201"/>
    <cellStyle name="40% - Accent2 2 8 2 2 2" xfId="22202"/>
    <cellStyle name="40% - Accent2 2 8 2 2 2 2" xfId="22203"/>
    <cellStyle name="40% - Accent2 2 8 2 2 2 2 2" xfId="22204"/>
    <cellStyle name="40% - Accent2 2 8 2 2 2 2 2 2" xfId="22205"/>
    <cellStyle name="40% - Accent2 2 8 2 2 2 3" xfId="22206"/>
    <cellStyle name="40% - Accent2 2 8 2 2 2 3 2" xfId="22207"/>
    <cellStyle name="40% - Accent2 2 8 2 2 3" xfId="22208"/>
    <cellStyle name="40% - Accent2 2 8 2 2 3 2" xfId="22209"/>
    <cellStyle name="40% - Accent2 2 8 2 2 3 2 2" xfId="22210"/>
    <cellStyle name="40% - Accent2 2 8 2 2 4" xfId="22211"/>
    <cellStyle name="40% - Accent2 2 8 2 2 4 2" xfId="22212"/>
    <cellStyle name="40% - Accent2 2 8 2 3" xfId="22213"/>
    <cellStyle name="40% - Accent2 2 8 2 3 2" xfId="22214"/>
    <cellStyle name="40% - Accent2 2 8 2 3 2 2" xfId="22215"/>
    <cellStyle name="40% - Accent2 2 8 2 3 2 2 2" xfId="22216"/>
    <cellStyle name="40% - Accent2 2 8 2 3 3" xfId="22217"/>
    <cellStyle name="40% - Accent2 2 8 2 3 3 2" xfId="22218"/>
    <cellStyle name="40% - Accent2 2 8 2 4" xfId="22219"/>
    <cellStyle name="40% - Accent2 2 8 2 4 2" xfId="22220"/>
    <cellStyle name="40% - Accent2 2 8 2 4 2 2" xfId="22221"/>
    <cellStyle name="40% - Accent2 2 8 2 5" xfId="22222"/>
    <cellStyle name="40% - Accent2 2 8 2 5 2" xfId="22223"/>
    <cellStyle name="40% - Accent2 2 8 3" xfId="22224"/>
    <cellStyle name="40% - Accent2 2 8 3 2" xfId="22225"/>
    <cellStyle name="40% - Accent2 2 8 3 2 2" xfId="22226"/>
    <cellStyle name="40% - Accent2 2 8 3 2 2 2" xfId="22227"/>
    <cellStyle name="40% - Accent2 2 8 3 2 2 2 2" xfId="22228"/>
    <cellStyle name="40% - Accent2 2 8 3 2 3" xfId="22229"/>
    <cellStyle name="40% - Accent2 2 8 3 2 3 2" xfId="22230"/>
    <cellStyle name="40% - Accent2 2 8 3 3" xfId="22231"/>
    <cellStyle name="40% - Accent2 2 8 3 3 2" xfId="22232"/>
    <cellStyle name="40% - Accent2 2 8 3 3 2 2" xfId="22233"/>
    <cellStyle name="40% - Accent2 2 8 3 4" xfId="22234"/>
    <cellStyle name="40% - Accent2 2 8 3 4 2" xfId="22235"/>
    <cellStyle name="40% - Accent2 2 8 4" xfId="22236"/>
    <cellStyle name="40% - Accent2 2 8 4 2" xfId="22237"/>
    <cellStyle name="40% - Accent2 2 8 4 2 2" xfId="22238"/>
    <cellStyle name="40% - Accent2 2 8 4 2 2 2" xfId="22239"/>
    <cellStyle name="40% - Accent2 2 8 4 3" xfId="22240"/>
    <cellStyle name="40% - Accent2 2 8 4 3 2" xfId="22241"/>
    <cellStyle name="40% - Accent2 2 8 5" xfId="22242"/>
    <cellStyle name="40% - Accent2 2 8 5 2" xfId="22243"/>
    <cellStyle name="40% - Accent2 2 8 5 2 2" xfId="22244"/>
    <cellStyle name="40% - Accent2 2 8 6" xfId="22245"/>
    <cellStyle name="40% - Accent2 2 8 6 2" xfId="22246"/>
    <cellStyle name="40% - Accent2 2 8 7" xfId="22247"/>
    <cellStyle name="40% - Accent2 2 9" xfId="22248"/>
    <cellStyle name="40% - Accent2 2 9 2" xfId="22249"/>
    <cellStyle name="40% - Accent2 2 9 2 2" xfId="22250"/>
    <cellStyle name="40% - Accent2 2 9 2 2 2" xfId="22251"/>
    <cellStyle name="40% - Accent2 2 9 2 2 2 2" xfId="22252"/>
    <cellStyle name="40% - Accent2 2 9 2 2 2 2 2" xfId="22253"/>
    <cellStyle name="40% - Accent2 2 9 2 2 2 2 2 2" xfId="22254"/>
    <cellStyle name="40% - Accent2 2 9 2 2 2 3" xfId="22255"/>
    <cellStyle name="40% - Accent2 2 9 2 2 2 3 2" xfId="22256"/>
    <cellStyle name="40% - Accent2 2 9 2 2 3" xfId="22257"/>
    <cellStyle name="40% - Accent2 2 9 2 2 3 2" xfId="22258"/>
    <cellStyle name="40% - Accent2 2 9 2 2 3 2 2" xfId="22259"/>
    <cellStyle name="40% - Accent2 2 9 2 2 4" xfId="22260"/>
    <cellStyle name="40% - Accent2 2 9 2 2 4 2" xfId="22261"/>
    <cellStyle name="40% - Accent2 2 9 2 3" xfId="22262"/>
    <cellStyle name="40% - Accent2 2 9 2 3 2" xfId="22263"/>
    <cellStyle name="40% - Accent2 2 9 2 3 2 2" xfId="22264"/>
    <cellStyle name="40% - Accent2 2 9 2 3 2 2 2" xfId="22265"/>
    <cellStyle name="40% - Accent2 2 9 2 3 3" xfId="22266"/>
    <cellStyle name="40% - Accent2 2 9 2 3 3 2" xfId="22267"/>
    <cellStyle name="40% - Accent2 2 9 2 4" xfId="22268"/>
    <cellStyle name="40% - Accent2 2 9 2 4 2" xfId="22269"/>
    <cellStyle name="40% - Accent2 2 9 2 4 2 2" xfId="22270"/>
    <cellStyle name="40% - Accent2 2 9 2 5" xfId="22271"/>
    <cellStyle name="40% - Accent2 2 9 2 5 2" xfId="22272"/>
    <cellStyle name="40% - Accent2 2 9 3" xfId="22273"/>
    <cellStyle name="40% - Accent2 2 9 3 2" xfId="22274"/>
    <cellStyle name="40% - Accent2 2 9 3 2 2" xfId="22275"/>
    <cellStyle name="40% - Accent2 2 9 3 2 2 2" xfId="22276"/>
    <cellStyle name="40% - Accent2 2 9 3 2 2 2 2" xfId="22277"/>
    <cellStyle name="40% - Accent2 2 9 3 2 3" xfId="22278"/>
    <cellStyle name="40% - Accent2 2 9 3 2 3 2" xfId="22279"/>
    <cellStyle name="40% - Accent2 2 9 3 3" xfId="22280"/>
    <cellStyle name="40% - Accent2 2 9 3 3 2" xfId="22281"/>
    <cellStyle name="40% - Accent2 2 9 3 3 2 2" xfId="22282"/>
    <cellStyle name="40% - Accent2 2 9 3 4" xfId="22283"/>
    <cellStyle name="40% - Accent2 2 9 3 4 2" xfId="22284"/>
    <cellStyle name="40% - Accent2 2 9 4" xfId="22285"/>
    <cellStyle name="40% - Accent2 2 9 4 2" xfId="22286"/>
    <cellStyle name="40% - Accent2 2 9 4 2 2" xfId="22287"/>
    <cellStyle name="40% - Accent2 2 9 4 2 2 2" xfId="22288"/>
    <cellStyle name="40% - Accent2 2 9 4 3" xfId="22289"/>
    <cellStyle name="40% - Accent2 2 9 4 3 2" xfId="22290"/>
    <cellStyle name="40% - Accent2 2 9 5" xfId="22291"/>
    <cellStyle name="40% - Accent2 2 9 5 2" xfId="22292"/>
    <cellStyle name="40% - Accent2 2 9 5 2 2" xfId="22293"/>
    <cellStyle name="40% - Accent2 2 9 6" xfId="22294"/>
    <cellStyle name="40% - Accent2 2 9 6 2" xfId="22295"/>
    <cellStyle name="40% - Accent2 20" xfId="22296"/>
    <cellStyle name="40% - Accent2 20 2" xfId="22297"/>
    <cellStyle name="40% - Accent2 21" xfId="22298"/>
    <cellStyle name="40% - Accent2 21 2" xfId="22299"/>
    <cellStyle name="40% - Accent2 21 2 2" xfId="22300"/>
    <cellStyle name="40% - Accent2 21 2 2 2" xfId="22301"/>
    <cellStyle name="40% - Accent2 21 2 2 2 2" xfId="22302"/>
    <cellStyle name="40% - Accent2 21 2 2 2 2 2" xfId="22303"/>
    <cellStyle name="40% - Accent2 21 2 2 2 2 2 2" xfId="22304"/>
    <cellStyle name="40% - Accent2 21 2 2 2 3" xfId="22305"/>
    <cellStyle name="40% - Accent2 21 2 2 2 3 2" xfId="22306"/>
    <cellStyle name="40% - Accent2 21 2 2 3" xfId="22307"/>
    <cellStyle name="40% - Accent2 21 2 2 3 2" xfId="22308"/>
    <cellStyle name="40% - Accent2 21 2 2 3 2 2" xfId="22309"/>
    <cellStyle name="40% - Accent2 21 2 2 4" xfId="22310"/>
    <cellStyle name="40% - Accent2 21 2 2 4 2" xfId="22311"/>
    <cellStyle name="40% - Accent2 21 2 3" xfId="22312"/>
    <cellStyle name="40% - Accent2 21 2 3 2" xfId="22313"/>
    <cellStyle name="40% - Accent2 21 2 3 2 2" xfId="22314"/>
    <cellStyle name="40% - Accent2 21 2 3 2 2 2" xfId="22315"/>
    <cellStyle name="40% - Accent2 21 2 3 3" xfId="22316"/>
    <cellStyle name="40% - Accent2 21 2 3 3 2" xfId="22317"/>
    <cellStyle name="40% - Accent2 21 2 4" xfId="22318"/>
    <cellStyle name="40% - Accent2 21 2 4 2" xfId="22319"/>
    <cellStyle name="40% - Accent2 21 2 4 2 2" xfId="22320"/>
    <cellStyle name="40% - Accent2 21 2 5" xfId="22321"/>
    <cellStyle name="40% - Accent2 21 2 5 2" xfId="22322"/>
    <cellStyle name="40% - Accent2 21 3" xfId="22323"/>
    <cellStyle name="40% - Accent2 21 3 2" xfId="22324"/>
    <cellStyle name="40% - Accent2 21 3 2 2" xfId="22325"/>
    <cellStyle name="40% - Accent2 21 3 2 2 2" xfId="22326"/>
    <cellStyle name="40% - Accent2 21 3 2 2 2 2" xfId="22327"/>
    <cellStyle name="40% - Accent2 21 3 2 3" xfId="22328"/>
    <cellStyle name="40% - Accent2 21 3 2 3 2" xfId="22329"/>
    <cellStyle name="40% - Accent2 21 3 3" xfId="22330"/>
    <cellStyle name="40% - Accent2 21 3 3 2" xfId="22331"/>
    <cellStyle name="40% - Accent2 21 3 3 2 2" xfId="22332"/>
    <cellStyle name="40% - Accent2 21 3 4" xfId="22333"/>
    <cellStyle name="40% - Accent2 21 3 4 2" xfId="22334"/>
    <cellStyle name="40% - Accent2 21 4" xfId="22335"/>
    <cellStyle name="40% - Accent2 21 4 2" xfId="22336"/>
    <cellStyle name="40% - Accent2 21 4 2 2" xfId="22337"/>
    <cellStyle name="40% - Accent2 21 4 2 2 2" xfId="22338"/>
    <cellStyle name="40% - Accent2 21 4 3" xfId="22339"/>
    <cellStyle name="40% - Accent2 21 4 3 2" xfId="22340"/>
    <cellStyle name="40% - Accent2 21 5" xfId="22341"/>
    <cellStyle name="40% - Accent2 21 5 2" xfId="22342"/>
    <cellStyle name="40% - Accent2 21 5 2 2" xfId="22343"/>
    <cellStyle name="40% - Accent2 21 6" xfId="22344"/>
    <cellStyle name="40% - Accent2 21 6 2" xfId="22345"/>
    <cellStyle name="40% - Accent2 21 7" xfId="22346"/>
    <cellStyle name="40% - Accent2 22" xfId="22347"/>
    <cellStyle name="40% - Accent2 22 10" xfId="22348"/>
    <cellStyle name="40% - Accent2 22 2" xfId="22349"/>
    <cellStyle name="40% - Accent2 22 2 2" xfId="22350"/>
    <cellStyle name="40% - Accent2 22 2 2 2" xfId="22351"/>
    <cellStyle name="40% - Accent2 22 2 2 2 2" xfId="22352"/>
    <cellStyle name="40% - Accent2 22 2 2 2 2 2" xfId="22353"/>
    <cellStyle name="40% - Accent2 22 2 2 2 2 2 2" xfId="22354"/>
    <cellStyle name="40% - Accent2 22 2 2 2 3" xfId="22355"/>
    <cellStyle name="40% - Accent2 22 2 2 2 3 2" xfId="22356"/>
    <cellStyle name="40% - Accent2 22 2 2 3" xfId="22357"/>
    <cellStyle name="40% - Accent2 22 2 2 3 2" xfId="22358"/>
    <cellStyle name="40% - Accent2 22 2 2 3 2 2" xfId="22359"/>
    <cellStyle name="40% - Accent2 22 2 2 4" xfId="22360"/>
    <cellStyle name="40% - Accent2 22 2 2 4 2" xfId="22361"/>
    <cellStyle name="40% - Accent2 22 2 3" xfId="22362"/>
    <cellStyle name="40% - Accent2 22 2 3 2" xfId="22363"/>
    <cellStyle name="40% - Accent2 22 2 3 2 2" xfId="22364"/>
    <cellStyle name="40% - Accent2 22 2 3 2 2 2" xfId="22365"/>
    <cellStyle name="40% - Accent2 22 2 3 3" xfId="22366"/>
    <cellStyle name="40% - Accent2 22 2 3 3 2" xfId="22367"/>
    <cellStyle name="40% - Accent2 22 2 4" xfId="22368"/>
    <cellStyle name="40% - Accent2 22 2 4 2" xfId="22369"/>
    <cellStyle name="40% - Accent2 22 2 4 2 2" xfId="22370"/>
    <cellStyle name="40% - Accent2 22 2 5" xfId="22371"/>
    <cellStyle name="40% - Accent2 22 2 5 2" xfId="22372"/>
    <cellStyle name="40% - Accent2 22 2 6" xfId="22373"/>
    <cellStyle name="40% - Accent2 22 2 7" xfId="22374"/>
    <cellStyle name="40% - Accent2 22 2 8" xfId="22375"/>
    <cellStyle name="40% - Accent2 22 3" xfId="22376"/>
    <cellStyle name="40% - Accent2 22 3 2" xfId="22377"/>
    <cellStyle name="40% - Accent2 22 3 2 2" xfId="22378"/>
    <cellStyle name="40% - Accent2 22 3 2 2 2" xfId="22379"/>
    <cellStyle name="40% - Accent2 22 3 2 2 2 2" xfId="22380"/>
    <cellStyle name="40% - Accent2 22 3 2 3" xfId="22381"/>
    <cellStyle name="40% - Accent2 22 3 2 3 2" xfId="22382"/>
    <cellStyle name="40% - Accent2 22 3 3" xfId="22383"/>
    <cellStyle name="40% - Accent2 22 3 3 2" xfId="22384"/>
    <cellStyle name="40% - Accent2 22 3 3 2 2" xfId="22385"/>
    <cellStyle name="40% - Accent2 22 3 4" xfId="22386"/>
    <cellStyle name="40% - Accent2 22 3 4 2" xfId="22387"/>
    <cellStyle name="40% - Accent2 22 3 5" xfId="22388"/>
    <cellStyle name="40% - Accent2 22 3 6" xfId="22389"/>
    <cellStyle name="40% - Accent2 22 3 7" xfId="22390"/>
    <cellStyle name="40% - Accent2 22 4" xfId="22391"/>
    <cellStyle name="40% - Accent2 22 4 2" xfId="22392"/>
    <cellStyle name="40% - Accent2 22 4 2 2" xfId="22393"/>
    <cellStyle name="40% - Accent2 22 4 2 2 2" xfId="22394"/>
    <cellStyle name="40% - Accent2 22 4 3" xfId="22395"/>
    <cellStyle name="40% - Accent2 22 4 3 2" xfId="22396"/>
    <cellStyle name="40% - Accent2 22 4 4" xfId="22397"/>
    <cellStyle name="40% - Accent2 22 5" xfId="22398"/>
    <cellStyle name="40% - Accent2 22 5 2" xfId="22399"/>
    <cellStyle name="40% - Accent2 22 5 2 2" xfId="22400"/>
    <cellStyle name="40% - Accent2 22 6" xfId="22401"/>
    <cellStyle name="40% - Accent2 22 6 2" xfId="22402"/>
    <cellStyle name="40% - Accent2 22 7" xfId="22403"/>
    <cellStyle name="40% - Accent2 22 8" xfId="22404"/>
    <cellStyle name="40% - Accent2 22 9" xfId="22405"/>
    <cellStyle name="40% - Accent2 23" xfId="22406"/>
    <cellStyle name="40% - Accent2 23 2" xfId="22407"/>
    <cellStyle name="40% - Accent2 23 2 2" xfId="22408"/>
    <cellStyle name="40% - Accent2 23 2 2 2" xfId="22409"/>
    <cellStyle name="40% - Accent2 23 2 2 2 2" xfId="22410"/>
    <cellStyle name="40% - Accent2 23 2 2 2 2 2" xfId="22411"/>
    <cellStyle name="40% - Accent2 23 2 2 2 2 2 2" xfId="22412"/>
    <cellStyle name="40% - Accent2 23 2 2 2 3" xfId="22413"/>
    <cellStyle name="40% - Accent2 23 2 2 2 3 2" xfId="22414"/>
    <cellStyle name="40% - Accent2 23 2 2 3" xfId="22415"/>
    <cellStyle name="40% - Accent2 23 2 2 3 2" xfId="22416"/>
    <cellStyle name="40% - Accent2 23 2 2 3 2 2" xfId="22417"/>
    <cellStyle name="40% - Accent2 23 2 2 4" xfId="22418"/>
    <cellStyle name="40% - Accent2 23 2 2 4 2" xfId="22419"/>
    <cellStyle name="40% - Accent2 23 2 3" xfId="22420"/>
    <cellStyle name="40% - Accent2 23 2 3 2" xfId="22421"/>
    <cellStyle name="40% - Accent2 23 2 3 2 2" xfId="22422"/>
    <cellStyle name="40% - Accent2 23 2 3 2 2 2" xfId="22423"/>
    <cellStyle name="40% - Accent2 23 2 3 3" xfId="22424"/>
    <cellStyle name="40% - Accent2 23 2 3 3 2" xfId="22425"/>
    <cellStyle name="40% - Accent2 23 2 4" xfId="22426"/>
    <cellStyle name="40% - Accent2 23 2 4 2" xfId="22427"/>
    <cellStyle name="40% - Accent2 23 2 4 2 2" xfId="22428"/>
    <cellStyle name="40% - Accent2 23 2 5" xfId="22429"/>
    <cellStyle name="40% - Accent2 23 2 5 2" xfId="22430"/>
    <cellStyle name="40% - Accent2 23 3" xfId="22431"/>
    <cellStyle name="40% - Accent2 23 3 2" xfId="22432"/>
    <cellStyle name="40% - Accent2 23 3 2 2" xfId="22433"/>
    <cellStyle name="40% - Accent2 23 3 2 2 2" xfId="22434"/>
    <cellStyle name="40% - Accent2 23 3 2 2 2 2" xfId="22435"/>
    <cellStyle name="40% - Accent2 23 3 2 3" xfId="22436"/>
    <cellStyle name="40% - Accent2 23 3 2 3 2" xfId="22437"/>
    <cellStyle name="40% - Accent2 23 3 3" xfId="22438"/>
    <cellStyle name="40% - Accent2 23 3 3 2" xfId="22439"/>
    <cellStyle name="40% - Accent2 23 3 3 2 2" xfId="22440"/>
    <cellStyle name="40% - Accent2 23 3 4" xfId="22441"/>
    <cellStyle name="40% - Accent2 23 3 4 2" xfId="22442"/>
    <cellStyle name="40% - Accent2 23 4" xfId="22443"/>
    <cellStyle name="40% - Accent2 23 4 2" xfId="22444"/>
    <cellStyle name="40% - Accent2 23 4 2 2" xfId="22445"/>
    <cellStyle name="40% - Accent2 23 4 2 2 2" xfId="22446"/>
    <cellStyle name="40% - Accent2 23 4 3" xfId="22447"/>
    <cellStyle name="40% - Accent2 23 4 3 2" xfId="22448"/>
    <cellStyle name="40% - Accent2 23 5" xfId="22449"/>
    <cellStyle name="40% - Accent2 23 5 2" xfId="22450"/>
    <cellStyle name="40% - Accent2 23 5 2 2" xfId="22451"/>
    <cellStyle name="40% - Accent2 23 6" xfId="22452"/>
    <cellStyle name="40% - Accent2 23 6 2" xfId="22453"/>
    <cellStyle name="40% - Accent2 23 7" xfId="22454"/>
    <cellStyle name="40% - Accent2 24" xfId="22455"/>
    <cellStyle name="40% - Accent2 24 2" xfId="22456"/>
    <cellStyle name="40% - Accent2 24 2 2" xfId="22457"/>
    <cellStyle name="40% - Accent2 24 2 2 2" xfId="22458"/>
    <cellStyle name="40% - Accent2 24 2 2 2 2" xfId="22459"/>
    <cellStyle name="40% - Accent2 24 2 2 2 2 2" xfId="22460"/>
    <cellStyle name="40% - Accent2 24 2 2 3" xfId="22461"/>
    <cellStyle name="40% - Accent2 24 2 2 3 2" xfId="22462"/>
    <cellStyle name="40% - Accent2 24 2 3" xfId="22463"/>
    <cellStyle name="40% - Accent2 24 2 3 2" xfId="22464"/>
    <cellStyle name="40% - Accent2 24 2 3 2 2" xfId="22465"/>
    <cellStyle name="40% - Accent2 24 2 4" xfId="22466"/>
    <cellStyle name="40% - Accent2 24 2 4 2" xfId="22467"/>
    <cellStyle name="40% - Accent2 24 3" xfId="22468"/>
    <cellStyle name="40% - Accent2 24 3 2" xfId="22469"/>
    <cellStyle name="40% - Accent2 24 3 2 2" xfId="22470"/>
    <cellStyle name="40% - Accent2 24 3 2 2 2" xfId="22471"/>
    <cellStyle name="40% - Accent2 24 3 3" xfId="22472"/>
    <cellStyle name="40% - Accent2 24 3 3 2" xfId="22473"/>
    <cellStyle name="40% - Accent2 24 4" xfId="22474"/>
    <cellStyle name="40% - Accent2 24 4 2" xfId="22475"/>
    <cellStyle name="40% - Accent2 24 4 2 2" xfId="22476"/>
    <cellStyle name="40% - Accent2 24 5" xfId="22477"/>
    <cellStyle name="40% - Accent2 24 5 2" xfId="22478"/>
    <cellStyle name="40% - Accent2 24 6" xfId="22479"/>
    <cellStyle name="40% - Accent2 25" xfId="22480"/>
    <cellStyle name="40% - Accent2 25 2" xfId="22481"/>
    <cellStyle name="40% - Accent2 25 2 2" xfId="22482"/>
    <cellStyle name="40% - Accent2 25 2 2 2" xfId="22483"/>
    <cellStyle name="40% - Accent2 25 2 2 2 2" xfId="22484"/>
    <cellStyle name="40% - Accent2 25 2 2 2 2 2" xfId="22485"/>
    <cellStyle name="40% - Accent2 25 2 2 3" xfId="22486"/>
    <cellStyle name="40% - Accent2 25 2 2 3 2" xfId="22487"/>
    <cellStyle name="40% - Accent2 25 2 3" xfId="22488"/>
    <cellStyle name="40% - Accent2 25 2 3 2" xfId="22489"/>
    <cellStyle name="40% - Accent2 25 2 3 2 2" xfId="22490"/>
    <cellStyle name="40% - Accent2 25 2 4" xfId="22491"/>
    <cellStyle name="40% - Accent2 25 2 4 2" xfId="22492"/>
    <cellStyle name="40% - Accent2 25 3" xfId="22493"/>
    <cellStyle name="40% - Accent2 25 3 2" xfId="22494"/>
    <cellStyle name="40% - Accent2 25 3 2 2" xfId="22495"/>
    <cellStyle name="40% - Accent2 25 3 2 2 2" xfId="22496"/>
    <cellStyle name="40% - Accent2 25 3 3" xfId="22497"/>
    <cellStyle name="40% - Accent2 25 3 3 2" xfId="22498"/>
    <cellStyle name="40% - Accent2 25 4" xfId="22499"/>
    <cellStyle name="40% - Accent2 25 4 2" xfId="22500"/>
    <cellStyle name="40% - Accent2 25 4 2 2" xfId="22501"/>
    <cellStyle name="40% - Accent2 25 5" xfId="22502"/>
    <cellStyle name="40% - Accent2 25 5 2" xfId="22503"/>
    <cellStyle name="40% - Accent2 25 6" xfId="22504"/>
    <cellStyle name="40% - Accent2 26" xfId="22505"/>
    <cellStyle name="40% - Accent2 26 2" xfId="22506"/>
    <cellStyle name="40% - Accent2 26 2 2" xfId="22507"/>
    <cellStyle name="40% - Accent2 26 2 2 2" xfId="22508"/>
    <cellStyle name="40% - Accent2 26 2 2 2 2" xfId="22509"/>
    <cellStyle name="40% - Accent2 26 2 2 2 2 2" xfId="22510"/>
    <cellStyle name="40% - Accent2 26 2 2 3" xfId="22511"/>
    <cellStyle name="40% - Accent2 26 2 2 3 2" xfId="22512"/>
    <cellStyle name="40% - Accent2 26 2 3" xfId="22513"/>
    <cellStyle name="40% - Accent2 26 2 3 2" xfId="22514"/>
    <cellStyle name="40% - Accent2 26 2 3 2 2" xfId="22515"/>
    <cellStyle name="40% - Accent2 26 2 4" xfId="22516"/>
    <cellStyle name="40% - Accent2 26 2 4 2" xfId="22517"/>
    <cellStyle name="40% - Accent2 26 3" xfId="22518"/>
    <cellStyle name="40% - Accent2 26 3 2" xfId="22519"/>
    <cellStyle name="40% - Accent2 26 3 2 2" xfId="22520"/>
    <cellStyle name="40% - Accent2 26 3 2 2 2" xfId="22521"/>
    <cellStyle name="40% - Accent2 26 3 3" xfId="22522"/>
    <cellStyle name="40% - Accent2 26 3 3 2" xfId="22523"/>
    <cellStyle name="40% - Accent2 26 4" xfId="22524"/>
    <cellStyle name="40% - Accent2 26 4 2" xfId="22525"/>
    <cellStyle name="40% - Accent2 26 4 2 2" xfId="22526"/>
    <cellStyle name="40% - Accent2 26 5" xfId="22527"/>
    <cellStyle name="40% - Accent2 26 5 2" xfId="22528"/>
    <cellStyle name="40% - Accent2 26 6" xfId="22529"/>
    <cellStyle name="40% - Accent2 27" xfId="22530"/>
    <cellStyle name="40% - Accent2 27 2" xfId="22531"/>
    <cellStyle name="40% - Accent2 27 2 2" xfId="22532"/>
    <cellStyle name="40% - Accent2 27 2 2 2" xfId="22533"/>
    <cellStyle name="40% - Accent2 27 2 2 2 2" xfId="22534"/>
    <cellStyle name="40% - Accent2 27 2 2 2 2 2" xfId="22535"/>
    <cellStyle name="40% - Accent2 27 2 2 3" xfId="22536"/>
    <cellStyle name="40% - Accent2 27 2 2 3 2" xfId="22537"/>
    <cellStyle name="40% - Accent2 27 2 3" xfId="22538"/>
    <cellStyle name="40% - Accent2 27 2 3 2" xfId="22539"/>
    <cellStyle name="40% - Accent2 27 2 3 2 2" xfId="22540"/>
    <cellStyle name="40% - Accent2 27 2 4" xfId="22541"/>
    <cellStyle name="40% - Accent2 27 2 4 2" xfId="22542"/>
    <cellStyle name="40% - Accent2 27 3" xfId="22543"/>
    <cellStyle name="40% - Accent2 27 3 2" xfId="22544"/>
    <cellStyle name="40% - Accent2 27 3 2 2" xfId="22545"/>
    <cellStyle name="40% - Accent2 27 3 2 2 2" xfId="22546"/>
    <cellStyle name="40% - Accent2 27 3 3" xfId="22547"/>
    <cellStyle name="40% - Accent2 27 3 3 2" xfId="22548"/>
    <cellStyle name="40% - Accent2 27 4" xfId="22549"/>
    <cellStyle name="40% - Accent2 27 4 2" xfId="22550"/>
    <cellStyle name="40% - Accent2 27 4 2 2" xfId="22551"/>
    <cellStyle name="40% - Accent2 27 5" xfId="22552"/>
    <cellStyle name="40% - Accent2 27 5 2" xfId="22553"/>
    <cellStyle name="40% - Accent2 27 6" xfId="22554"/>
    <cellStyle name="40% - Accent2 28" xfId="22555"/>
    <cellStyle name="40% - Accent2 28 2" xfId="22556"/>
    <cellStyle name="40% - Accent2 28 2 2" xfId="22557"/>
    <cellStyle name="40% - Accent2 28 2 2 2" xfId="22558"/>
    <cellStyle name="40% - Accent2 28 2 2 2 2" xfId="22559"/>
    <cellStyle name="40% - Accent2 28 2 3" xfId="22560"/>
    <cellStyle name="40% - Accent2 28 2 3 2" xfId="22561"/>
    <cellStyle name="40% - Accent2 28 3" xfId="22562"/>
    <cellStyle name="40% - Accent2 28 3 2" xfId="22563"/>
    <cellStyle name="40% - Accent2 28 3 2 2" xfId="22564"/>
    <cellStyle name="40% - Accent2 28 4" xfId="22565"/>
    <cellStyle name="40% - Accent2 28 4 2" xfId="22566"/>
    <cellStyle name="40% - Accent2 28 5" xfId="22567"/>
    <cellStyle name="40% - Accent2 29" xfId="22568"/>
    <cellStyle name="40% - Accent2 29 2" xfId="22569"/>
    <cellStyle name="40% - Accent2 29 2 2" xfId="22570"/>
    <cellStyle name="40% - Accent2 29 2 2 2" xfId="22571"/>
    <cellStyle name="40% - Accent2 29 3" xfId="22572"/>
    <cellStyle name="40% - Accent2 29 3 2" xfId="22573"/>
    <cellStyle name="40% - Accent2 29 4" xfId="22574"/>
    <cellStyle name="40% - Accent2 3" xfId="22575"/>
    <cellStyle name="40% - Accent2 3 10" xfId="22576"/>
    <cellStyle name="40% - Accent2 3 10 2" xfId="22577"/>
    <cellStyle name="40% - Accent2 3 10 2 2" xfId="22578"/>
    <cellStyle name="40% - Accent2 3 10 2 2 2" xfId="22579"/>
    <cellStyle name="40% - Accent2 3 10 2 2 2 2" xfId="22580"/>
    <cellStyle name="40% - Accent2 3 10 2 2 2 2 2" xfId="22581"/>
    <cellStyle name="40% - Accent2 3 10 2 2 2 2 2 2" xfId="22582"/>
    <cellStyle name="40% - Accent2 3 10 2 2 2 3" xfId="22583"/>
    <cellStyle name="40% - Accent2 3 10 2 2 2 3 2" xfId="22584"/>
    <cellStyle name="40% - Accent2 3 10 2 2 3" xfId="22585"/>
    <cellStyle name="40% - Accent2 3 10 2 2 3 2" xfId="22586"/>
    <cellStyle name="40% - Accent2 3 10 2 2 3 2 2" xfId="22587"/>
    <cellStyle name="40% - Accent2 3 10 2 2 4" xfId="22588"/>
    <cellStyle name="40% - Accent2 3 10 2 2 4 2" xfId="22589"/>
    <cellStyle name="40% - Accent2 3 10 2 3" xfId="22590"/>
    <cellStyle name="40% - Accent2 3 10 2 3 2" xfId="22591"/>
    <cellStyle name="40% - Accent2 3 10 2 3 2 2" xfId="22592"/>
    <cellStyle name="40% - Accent2 3 10 2 3 2 2 2" xfId="22593"/>
    <cellStyle name="40% - Accent2 3 10 2 3 3" xfId="22594"/>
    <cellStyle name="40% - Accent2 3 10 2 3 3 2" xfId="22595"/>
    <cellStyle name="40% - Accent2 3 10 2 4" xfId="22596"/>
    <cellStyle name="40% - Accent2 3 10 2 4 2" xfId="22597"/>
    <cellStyle name="40% - Accent2 3 10 2 4 2 2" xfId="22598"/>
    <cellStyle name="40% - Accent2 3 10 2 5" xfId="22599"/>
    <cellStyle name="40% - Accent2 3 10 2 5 2" xfId="22600"/>
    <cellStyle name="40% - Accent2 3 10 3" xfId="22601"/>
    <cellStyle name="40% - Accent2 3 10 3 2" xfId="22602"/>
    <cellStyle name="40% - Accent2 3 10 3 2 2" xfId="22603"/>
    <cellStyle name="40% - Accent2 3 10 3 2 2 2" xfId="22604"/>
    <cellStyle name="40% - Accent2 3 10 3 2 2 2 2" xfId="22605"/>
    <cellStyle name="40% - Accent2 3 10 3 2 3" xfId="22606"/>
    <cellStyle name="40% - Accent2 3 10 3 2 3 2" xfId="22607"/>
    <cellStyle name="40% - Accent2 3 10 3 3" xfId="22608"/>
    <cellStyle name="40% - Accent2 3 10 3 3 2" xfId="22609"/>
    <cellStyle name="40% - Accent2 3 10 3 3 2 2" xfId="22610"/>
    <cellStyle name="40% - Accent2 3 10 3 4" xfId="22611"/>
    <cellStyle name="40% - Accent2 3 10 3 4 2" xfId="22612"/>
    <cellStyle name="40% - Accent2 3 10 4" xfId="22613"/>
    <cellStyle name="40% - Accent2 3 10 4 2" xfId="22614"/>
    <cellStyle name="40% - Accent2 3 10 4 2 2" xfId="22615"/>
    <cellStyle name="40% - Accent2 3 10 4 2 2 2" xfId="22616"/>
    <cellStyle name="40% - Accent2 3 10 4 3" xfId="22617"/>
    <cellStyle name="40% - Accent2 3 10 4 3 2" xfId="22618"/>
    <cellStyle name="40% - Accent2 3 10 5" xfId="22619"/>
    <cellStyle name="40% - Accent2 3 10 5 2" xfId="22620"/>
    <cellStyle name="40% - Accent2 3 10 5 2 2" xfId="22621"/>
    <cellStyle name="40% - Accent2 3 10 6" xfId="22622"/>
    <cellStyle name="40% - Accent2 3 10 6 2" xfId="22623"/>
    <cellStyle name="40% - Accent2 3 10 7" xfId="22624"/>
    <cellStyle name="40% - Accent2 3 10 8" xfId="22625"/>
    <cellStyle name="40% - Accent2 3 10 9" xfId="22626"/>
    <cellStyle name="40% - Accent2 3 11" xfId="22627"/>
    <cellStyle name="40% - Accent2 3 11 2" xfId="22628"/>
    <cellStyle name="40% - Accent2 3 11 2 2" xfId="22629"/>
    <cellStyle name="40% - Accent2 3 11 2 2 2" xfId="22630"/>
    <cellStyle name="40% - Accent2 3 11 2 2 2 2" xfId="22631"/>
    <cellStyle name="40% - Accent2 3 11 2 2 2 2 2" xfId="22632"/>
    <cellStyle name="40% - Accent2 3 11 2 2 2 2 2 2" xfId="22633"/>
    <cellStyle name="40% - Accent2 3 11 2 2 2 3" xfId="22634"/>
    <cellStyle name="40% - Accent2 3 11 2 2 2 3 2" xfId="22635"/>
    <cellStyle name="40% - Accent2 3 11 2 2 3" xfId="22636"/>
    <cellStyle name="40% - Accent2 3 11 2 2 3 2" xfId="22637"/>
    <cellStyle name="40% - Accent2 3 11 2 2 3 2 2" xfId="22638"/>
    <cellStyle name="40% - Accent2 3 11 2 2 4" xfId="22639"/>
    <cellStyle name="40% - Accent2 3 11 2 2 4 2" xfId="22640"/>
    <cellStyle name="40% - Accent2 3 11 2 3" xfId="22641"/>
    <cellStyle name="40% - Accent2 3 11 2 3 2" xfId="22642"/>
    <cellStyle name="40% - Accent2 3 11 2 3 2 2" xfId="22643"/>
    <cellStyle name="40% - Accent2 3 11 2 3 2 2 2" xfId="22644"/>
    <cellStyle name="40% - Accent2 3 11 2 3 3" xfId="22645"/>
    <cellStyle name="40% - Accent2 3 11 2 3 3 2" xfId="22646"/>
    <cellStyle name="40% - Accent2 3 11 2 4" xfId="22647"/>
    <cellStyle name="40% - Accent2 3 11 2 4 2" xfId="22648"/>
    <cellStyle name="40% - Accent2 3 11 2 4 2 2" xfId="22649"/>
    <cellStyle name="40% - Accent2 3 11 2 5" xfId="22650"/>
    <cellStyle name="40% - Accent2 3 11 2 5 2" xfId="22651"/>
    <cellStyle name="40% - Accent2 3 11 3" xfId="22652"/>
    <cellStyle name="40% - Accent2 3 11 3 2" xfId="22653"/>
    <cellStyle name="40% - Accent2 3 11 3 2 2" xfId="22654"/>
    <cellStyle name="40% - Accent2 3 11 3 2 2 2" xfId="22655"/>
    <cellStyle name="40% - Accent2 3 11 3 2 2 2 2" xfId="22656"/>
    <cellStyle name="40% - Accent2 3 11 3 2 3" xfId="22657"/>
    <cellStyle name="40% - Accent2 3 11 3 2 3 2" xfId="22658"/>
    <cellStyle name="40% - Accent2 3 11 3 3" xfId="22659"/>
    <cellStyle name="40% - Accent2 3 11 3 3 2" xfId="22660"/>
    <cellStyle name="40% - Accent2 3 11 3 3 2 2" xfId="22661"/>
    <cellStyle name="40% - Accent2 3 11 3 4" xfId="22662"/>
    <cellStyle name="40% - Accent2 3 11 3 4 2" xfId="22663"/>
    <cellStyle name="40% - Accent2 3 11 4" xfId="22664"/>
    <cellStyle name="40% - Accent2 3 11 4 2" xfId="22665"/>
    <cellStyle name="40% - Accent2 3 11 4 2 2" xfId="22666"/>
    <cellStyle name="40% - Accent2 3 11 4 2 2 2" xfId="22667"/>
    <cellStyle name="40% - Accent2 3 11 4 3" xfId="22668"/>
    <cellStyle name="40% - Accent2 3 11 4 3 2" xfId="22669"/>
    <cellStyle name="40% - Accent2 3 11 5" xfId="22670"/>
    <cellStyle name="40% - Accent2 3 11 5 2" xfId="22671"/>
    <cellStyle name="40% - Accent2 3 11 5 2 2" xfId="22672"/>
    <cellStyle name="40% - Accent2 3 11 6" xfId="22673"/>
    <cellStyle name="40% - Accent2 3 11 6 2" xfId="22674"/>
    <cellStyle name="40% - Accent2 3 11 7" xfId="22675"/>
    <cellStyle name="40% - Accent2 3 12" xfId="22676"/>
    <cellStyle name="40% - Accent2 3 12 2" xfId="22677"/>
    <cellStyle name="40% - Accent2 3 12 2 2" xfId="22678"/>
    <cellStyle name="40% - Accent2 3 12 2 2 2" xfId="22679"/>
    <cellStyle name="40% - Accent2 3 12 2 2 2 2" xfId="22680"/>
    <cellStyle name="40% - Accent2 3 12 2 2 2 2 2" xfId="22681"/>
    <cellStyle name="40% - Accent2 3 12 2 2 2 2 2 2" xfId="22682"/>
    <cellStyle name="40% - Accent2 3 12 2 2 2 3" xfId="22683"/>
    <cellStyle name="40% - Accent2 3 12 2 2 2 3 2" xfId="22684"/>
    <cellStyle name="40% - Accent2 3 12 2 2 3" xfId="22685"/>
    <cellStyle name="40% - Accent2 3 12 2 2 3 2" xfId="22686"/>
    <cellStyle name="40% - Accent2 3 12 2 2 3 2 2" xfId="22687"/>
    <cellStyle name="40% - Accent2 3 12 2 2 4" xfId="22688"/>
    <cellStyle name="40% - Accent2 3 12 2 2 4 2" xfId="22689"/>
    <cellStyle name="40% - Accent2 3 12 2 3" xfId="22690"/>
    <cellStyle name="40% - Accent2 3 12 2 3 2" xfId="22691"/>
    <cellStyle name="40% - Accent2 3 12 2 3 2 2" xfId="22692"/>
    <cellStyle name="40% - Accent2 3 12 2 3 2 2 2" xfId="22693"/>
    <cellStyle name="40% - Accent2 3 12 2 3 3" xfId="22694"/>
    <cellStyle name="40% - Accent2 3 12 2 3 3 2" xfId="22695"/>
    <cellStyle name="40% - Accent2 3 12 2 4" xfId="22696"/>
    <cellStyle name="40% - Accent2 3 12 2 4 2" xfId="22697"/>
    <cellStyle name="40% - Accent2 3 12 2 4 2 2" xfId="22698"/>
    <cellStyle name="40% - Accent2 3 12 2 5" xfId="22699"/>
    <cellStyle name="40% - Accent2 3 12 2 5 2" xfId="22700"/>
    <cellStyle name="40% - Accent2 3 12 3" xfId="22701"/>
    <cellStyle name="40% - Accent2 3 12 3 2" xfId="22702"/>
    <cellStyle name="40% - Accent2 3 12 3 2 2" xfId="22703"/>
    <cellStyle name="40% - Accent2 3 12 3 2 2 2" xfId="22704"/>
    <cellStyle name="40% - Accent2 3 12 3 2 2 2 2" xfId="22705"/>
    <cellStyle name="40% - Accent2 3 12 3 2 3" xfId="22706"/>
    <cellStyle name="40% - Accent2 3 12 3 2 3 2" xfId="22707"/>
    <cellStyle name="40% - Accent2 3 12 3 3" xfId="22708"/>
    <cellStyle name="40% - Accent2 3 12 3 3 2" xfId="22709"/>
    <cellStyle name="40% - Accent2 3 12 3 3 2 2" xfId="22710"/>
    <cellStyle name="40% - Accent2 3 12 3 4" xfId="22711"/>
    <cellStyle name="40% - Accent2 3 12 3 4 2" xfId="22712"/>
    <cellStyle name="40% - Accent2 3 12 4" xfId="22713"/>
    <cellStyle name="40% - Accent2 3 12 4 2" xfId="22714"/>
    <cellStyle name="40% - Accent2 3 12 4 2 2" xfId="22715"/>
    <cellStyle name="40% - Accent2 3 12 4 2 2 2" xfId="22716"/>
    <cellStyle name="40% - Accent2 3 12 4 3" xfId="22717"/>
    <cellStyle name="40% - Accent2 3 12 4 3 2" xfId="22718"/>
    <cellStyle name="40% - Accent2 3 12 5" xfId="22719"/>
    <cellStyle name="40% - Accent2 3 12 5 2" xfId="22720"/>
    <cellStyle name="40% - Accent2 3 12 5 2 2" xfId="22721"/>
    <cellStyle name="40% - Accent2 3 12 6" xfId="22722"/>
    <cellStyle name="40% - Accent2 3 12 6 2" xfId="22723"/>
    <cellStyle name="40% - Accent2 3 13" xfId="22724"/>
    <cellStyle name="40% - Accent2 3 13 2" xfId="22725"/>
    <cellStyle name="40% - Accent2 3 13 2 2" xfId="22726"/>
    <cellStyle name="40% - Accent2 3 13 2 2 2" xfId="22727"/>
    <cellStyle name="40% - Accent2 3 13 2 2 2 2" xfId="22728"/>
    <cellStyle name="40% - Accent2 3 13 2 2 2 2 2" xfId="22729"/>
    <cellStyle name="40% - Accent2 3 13 2 2 2 2 2 2" xfId="22730"/>
    <cellStyle name="40% - Accent2 3 13 2 2 2 3" xfId="22731"/>
    <cellStyle name="40% - Accent2 3 13 2 2 2 3 2" xfId="22732"/>
    <cellStyle name="40% - Accent2 3 13 2 2 3" xfId="22733"/>
    <cellStyle name="40% - Accent2 3 13 2 2 3 2" xfId="22734"/>
    <cellStyle name="40% - Accent2 3 13 2 2 3 2 2" xfId="22735"/>
    <cellStyle name="40% - Accent2 3 13 2 2 4" xfId="22736"/>
    <cellStyle name="40% - Accent2 3 13 2 2 4 2" xfId="22737"/>
    <cellStyle name="40% - Accent2 3 13 2 3" xfId="22738"/>
    <cellStyle name="40% - Accent2 3 13 2 3 2" xfId="22739"/>
    <cellStyle name="40% - Accent2 3 13 2 3 2 2" xfId="22740"/>
    <cellStyle name="40% - Accent2 3 13 2 3 2 2 2" xfId="22741"/>
    <cellStyle name="40% - Accent2 3 13 2 3 3" xfId="22742"/>
    <cellStyle name="40% - Accent2 3 13 2 3 3 2" xfId="22743"/>
    <cellStyle name="40% - Accent2 3 13 2 4" xfId="22744"/>
    <cellStyle name="40% - Accent2 3 13 2 4 2" xfId="22745"/>
    <cellStyle name="40% - Accent2 3 13 2 4 2 2" xfId="22746"/>
    <cellStyle name="40% - Accent2 3 13 2 5" xfId="22747"/>
    <cellStyle name="40% - Accent2 3 13 2 5 2" xfId="22748"/>
    <cellStyle name="40% - Accent2 3 13 3" xfId="22749"/>
    <cellStyle name="40% - Accent2 3 13 3 2" xfId="22750"/>
    <cellStyle name="40% - Accent2 3 13 3 2 2" xfId="22751"/>
    <cellStyle name="40% - Accent2 3 13 3 2 2 2" xfId="22752"/>
    <cellStyle name="40% - Accent2 3 13 3 2 2 2 2" xfId="22753"/>
    <cellStyle name="40% - Accent2 3 13 3 2 3" xfId="22754"/>
    <cellStyle name="40% - Accent2 3 13 3 2 3 2" xfId="22755"/>
    <cellStyle name="40% - Accent2 3 13 3 3" xfId="22756"/>
    <cellStyle name="40% - Accent2 3 13 3 3 2" xfId="22757"/>
    <cellStyle name="40% - Accent2 3 13 3 3 2 2" xfId="22758"/>
    <cellStyle name="40% - Accent2 3 13 3 4" xfId="22759"/>
    <cellStyle name="40% - Accent2 3 13 3 4 2" xfId="22760"/>
    <cellStyle name="40% - Accent2 3 13 4" xfId="22761"/>
    <cellStyle name="40% - Accent2 3 13 4 2" xfId="22762"/>
    <cellStyle name="40% - Accent2 3 13 4 2 2" xfId="22763"/>
    <cellStyle name="40% - Accent2 3 13 4 2 2 2" xfId="22764"/>
    <cellStyle name="40% - Accent2 3 13 4 3" xfId="22765"/>
    <cellStyle name="40% - Accent2 3 13 4 3 2" xfId="22766"/>
    <cellStyle name="40% - Accent2 3 13 5" xfId="22767"/>
    <cellStyle name="40% - Accent2 3 13 5 2" xfId="22768"/>
    <cellStyle name="40% - Accent2 3 13 5 2 2" xfId="22769"/>
    <cellStyle name="40% - Accent2 3 13 6" xfId="22770"/>
    <cellStyle name="40% - Accent2 3 13 6 2" xfId="22771"/>
    <cellStyle name="40% - Accent2 3 14" xfId="22772"/>
    <cellStyle name="40% - Accent2 3 14 2" xfId="22773"/>
    <cellStyle name="40% - Accent2 3 14 2 2" xfId="22774"/>
    <cellStyle name="40% - Accent2 3 14 2 2 2" xfId="22775"/>
    <cellStyle name="40% - Accent2 3 14 2 2 2 2" xfId="22776"/>
    <cellStyle name="40% - Accent2 3 14 2 2 2 2 2" xfId="22777"/>
    <cellStyle name="40% - Accent2 3 14 2 2 3" xfId="22778"/>
    <cellStyle name="40% - Accent2 3 14 2 2 3 2" xfId="22779"/>
    <cellStyle name="40% - Accent2 3 14 2 3" xfId="22780"/>
    <cellStyle name="40% - Accent2 3 14 2 3 2" xfId="22781"/>
    <cellStyle name="40% - Accent2 3 14 2 3 2 2" xfId="22782"/>
    <cellStyle name="40% - Accent2 3 14 2 4" xfId="22783"/>
    <cellStyle name="40% - Accent2 3 14 2 4 2" xfId="22784"/>
    <cellStyle name="40% - Accent2 3 14 3" xfId="22785"/>
    <cellStyle name="40% - Accent2 3 14 3 2" xfId="22786"/>
    <cellStyle name="40% - Accent2 3 14 3 2 2" xfId="22787"/>
    <cellStyle name="40% - Accent2 3 14 3 2 2 2" xfId="22788"/>
    <cellStyle name="40% - Accent2 3 14 3 3" xfId="22789"/>
    <cellStyle name="40% - Accent2 3 14 3 3 2" xfId="22790"/>
    <cellStyle name="40% - Accent2 3 14 4" xfId="22791"/>
    <cellStyle name="40% - Accent2 3 14 4 2" xfId="22792"/>
    <cellStyle name="40% - Accent2 3 14 4 2 2" xfId="22793"/>
    <cellStyle name="40% - Accent2 3 14 5" xfId="22794"/>
    <cellStyle name="40% - Accent2 3 14 5 2" xfId="22795"/>
    <cellStyle name="40% - Accent2 3 15" xfId="22796"/>
    <cellStyle name="40% - Accent2 3 15 2" xfId="22797"/>
    <cellStyle name="40% - Accent2 3 15 2 2" xfId="22798"/>
    <cellStyle name="40% - Accent2 3 15 2 2 2" xfId="22799"/>
    <cellStyle name="40% - Accent2 3 15 2 2 2 2" xfId="22800"/>
    <cellStyle name="40% - Accent2 3 15 2 3" xfId="22801"/>
    <cellStyle name="40% - Accent2 3 15 2 3 2" xfId="22802"/>
    <cellStyle name="40% - Accent2 3 15 3" xfId="22803"/>
    <cellStyle name="40% - Accent2 3 15 3 2" xfId="22804"/>
    <cellStyle name="40% - Accent2 3 15 3 2 2" xfId="22805"/>
    <cellStyle name="40% - Accent2 3 15 4" xfId="22806"/>
    <cellStyle name="40% - Accent2 3 15 4 2" xfId="22807"/>
    <cellStyle name="40% - Accent2 3 16" xfId="22808"/>
    <cellStyle name="40% - Accent2 3 16 2" xfId="22809"/>
    <cellStyle name="40% - Accent2 3 16 2 2" xfId="22810"/>
    <cellStyle name="40% - Accent2 3 16 2 2 2" xfId="22811"/>
    <cellStyle name="40% - Accent2 3 16 3" xfId="22812"/>
    <cellStyle name="40% - Accent2 3 16 3 2" xfId="22813"/>
    <cellStyle name="40% - Accent2 3 17" xfId="22814"/>
    <cellStyle name="40% - Accent2 3 17 2" xfId="22815"/>
    <cellStyle name="40% - Accent2 3 17 2 2" xfId="22816"/>
    <cellStyle name="40% - Accent2 3 18" xfId="22817"/>
    <cellStyle name="40% - Accent2 3 18 2" xfId="22818"/>
    <cellStyle name="40% - Accent2 3 19" xfId="22819"/>
    <cellStyle name="40% - Accent2 3 2" xfId="22820"/>
    <cellStyle name="40% - Accent2 3 2 10" xfId="22821"/>
    <cellStyle name="40% - Accent2 3 2 11" xfId="22822"/>
    <cellStyle name="40% - Accent2 3 2 2" xfId="22823"/>
    <cellStyle name="40% - Accent2 3 2 2 2" xfId="22824"/>
    <cellStyle name="40% - Accent2 3 2 2 2 2" xfId="22825"/>
    <cellStyle name="40% - Accent2 3 2 2 2 2 2" xfId="22826"/>
    <cellStyle name="40% - Accent2 3 2 2 2 2 2 2" xfId="22827"/>
    <cellStyle name="40% - Accent2 3 2 2 2 2 2 2 2" xfId="22828"/>
    <cellStyle name="40% - Accent2 3 2 2 2 2 3" xfId="22829"/>
    <cellStyle name="40% - Accent2 3 2 2 2 2 3 2" xfId="22830"/>
    <cellStyle name="40% - Accent2 3 2 2 2 3" xfId="22831"/>
    <cellStyle name="40% - Accent2 3 2 2 2 3 2" xfId="22832"/>
    <cellStyle name="40% - Accent2 3 2 2 2 3 2 2" xfId="22833"/>
    <cellStyle name="40% - Accent2 3 2 2 2 4" xfId="22834"/>
    <cellStyle name="40% - Accent2 3 2 2 2 4 2" xfId="22835"/>
    <cellStyle name="40% - Accent2 3 2 2 3" xfId="22836"/>
    <cellStyle name="40% - Accent2 3 2 2 3 2" xfId="22837"/>
    <cellStyle name="40% - Accent2 3 2 2 3 2 2" xfId="22838"/>
    <cellStyle name="40% - Accent2 3 2 2 3 2 2 2" xfId="22839"/>
    <cellStyle name="40% - Accent2 3 2 2 3 3" xfId="22840"/>
    <cellStyle name="40% - Accent2 3 2 2 3 3 2" xfId="22841"/>
    <cellStyle name="40% - Accent2 3 2 2 4" xfId="22842"/>
    <cellStyle name="40% - Accent2 3 2 2 4 2" xfId="22843"/>
    <cellStyle name="40% - Accent2 3 2 2 4 2 2" xfId="22844"/>
    <cellStyle name="40% - Accent2 3 2 2 5" xfId="22845"/>
    <cellStyle name="40% - Accent2 3 2 2 5 2" xfId="22846"/>
    <cellStyle name="40% - Accent2 3 2 2 6" xfId="22847"/>
    <cellStyle name="40% - Accent2 3 2 2 7" xfId="22848"/>
    <cellStyle name="40% - Accent2 3 2 2 8" xfId="22849"/>
    <cellStyle name="40% - Accent2 3 2 3" xfId="22850"/>
    <cellStyle name="40% - Accent2 3 2 3 2" xfId="22851"/>
    <cellStyle name="40% - Accent2 3 2 3 2 2" xfId="22852"/>
    <cellStyle name="40% - Accent2 3 2 3 2 2 2" xfId="22853"/>
    <cellStyle name="40% - Accent2 3 2 3 2 2 2 2" xfId="22854"/>
    <cellStyle name="40% - Accent2 3 2 3 2 3" xfId="22855"/>
    <cellStyle name="40% - Accent2 3 2 3 2 3 2" xfId="22856"/>
    <cellStyle name="40% - Accent2 3 2 3 3" xfId="22857"/>
    <cellStyle name="40% - Accent2 3 2 3 3 2" xfId="22858"/>
    <cellStyle name="40% - Accent2 3 2 3 3 2 2" xfId="22859"/>
    <cellStyle name="40% - Accent2 3 2 3 4" xfId="22860"/>
    <cellStyle name="40% - Accent2 3 2 3 4 2" xfId="22861"/>
    <cellStyle name="40% - Accent2 3 2 3 5" xfId="22862"/>
    <cellStyle name="40% - Accent2 3 2 3 6" xfId="22863"/>
    <cellStyle name="40% - Accent2 3 2 3 7" xfId="22864"/>
    <cellStyle name="40% - Accent2 3 2 4" xfId="22865"/>
    <cellStyle name="40% - Accent2 3 2 4 2" xfId="22866"/>
    <cellStyle name="40% - Accent2 3 2 4 2 2" xfId="22867"/>
    <cellStyle name="40% - Accent2 3 2 4 2 2 2" xfId="22868"/>
    <cellStyle name="40% - Accent2 3 2 4 3" xfId="22869"/>
    <cellStyle name="40% - Accent2 3 2 4 3 2" xfId="22870"/>
    <cellStyle name="40% - Accent2 3 2 4 4" xfId="22871"/>
    <cellStyle name="40% - Accent2 3 2 5" xfId="22872"/>
    <cellStyle name="40% - Accent2 3 2 5 2" xfId="22873"/>
    <cellStyle name="40% - Accent2 3 2 5 2 2" xfId="22874"/>
    <cellStyle name="40% - Accent2 3 2 6" xfId="22875"/>
    <cellStyle name="40% - Accent2 3 2 6 2" xfId="22876"/>
    <cellStyle name="40% - Accent2 3 2 7" xfId="22877"/>
    <cellStyle name="40% - Accent2 3 2 8" xfId="22878"/>
    <cellStyle name="40% - Accent2 3 2 9" xfId="22879"/>
    <cellStyle name="40% - Accent2 3 20" xfId="22880"/>
    <cellStyle name="40% - Accent2 3 21" xfId="22881"/>
    <cellStyle name="40% - Accent2 3 22" xfId="22882"/>
    <cellStyle name="40% - Accent2 3 3" xfId="22883"/>
    <cellStyle name="40% - Accent2 3 3 10" xfId="22884"/>
    <cellStyle name="40% - Accent2 3 3 11" xfId="22885"/>
    <cellStyle name="40% - Accent2 3 3 2" xfId="22886"/>
    <cellStyle name="40% - Accent2 3 3 2 2" xfId="22887"/>
    <cellStyle name="40% - Accent2 3 3 2 2 2" xfId="22888"/>
    <cellStyle name="40% - Accent2 3 3 2 2 2 2" xfId="22889"/>
    <cellStyle name="40% - Accent2 3 3 2 2 2 2 2" xfId="22890"/>
    <cellStyle name="40% - Accent2 3 3 2 2 2 2 2 2" xfId="22891"/>
    <cellStyle name="40% - Accent2 3 3 2 2 2 3" xfId="22892"/>
    <cellStyle name="40% - Accent2 3 3 2 2 2 3 2" xfId="22893"/>
    <cellStyle name="40% - Accent2 3 3 2 2 3" xfId="22894"/>
    <cellStyle name="40% - Accent2 3 3 2 2 3 2" xfId="22895"/>
    <cellStyle name="40% - Accent2 3 3 2 2 3 2 2" xfId="22896"/>
    <cellStyle name="40% - Accent2 3 3 2 2 4" xfId="22897"/>
    <cellStyle name="40% - Accent2 3 3 2 2 4 2" xfId="22898"/>
    <cellStyle name="40% - Accent2 3 3 2 3" xfId="22899"/>
    <cellStyle name="40% - Accent2 3 3 2 3 2" xfId="22900"/>
    <cellStyle name="40% - Accent2 3 3 2 3 2 2" xfId="22901"/>
    <cellStyle name="40% - Accent2 3 3 2 3 2 2 2" xfId="22902"/>
    <cellStyle name="40% - Accent2 3 3 2 3 3" xfId="22903"/>
    <cellStyle name="40% - Accent2 3 3 2 3 3 2" xfId="22904"/>
    <cellStyle name="40% - Accent2 3 3 2 4" xfId="22905"/>
    <cellStyle name="40% - Accent2 3 3 2 4 2" xfId="22906"/>
    <cellStyle name="40% - Accent2 3 3 2 4 2 2" xfId="22907"/>
    <cellStyle name="40% - Accent2 3 3 2 5" xfId="22908"/>
    <cellStyle name="40% - Accent2 3 3 2 5 2" xfId="22909"/>
    <cellStyle name="40% - Accent2 3 3 2 6" xfId="22910"/>
    <cellStyle name="40% - Accent2 3 3 2 7" xfId="22911"/>
    <cellStyle name="40% - Accent2 3 3 2 8" xfId="22912"/>
    <cellStyle name="40% - Accent2 3 3 3" xfId="22913"/>
    <cellStyle name="40% - Accent2 3 3 3 2" xfId="22914"/>
    <cellStyle name="40% - Accent2 3 3 3 2 2" xfId="22915"/>
    <cellStyle name="40% - Accent2 3 3 3 2 2 2" xfId="22916"/>
    <cellStyle name="40% - Accent2 3 3 3 2 2 2 2" xfId="22917"/>
    <cellStyle name="40% - Accent2 3 3 3 2 3" xfId="22918"/>
    <cellStyle name="40% - Accent2 3 3 3 2 3 2" xfId="22919"/>
    <cellStyle name="40% - Accent2 3 3 3 3" xfId="22920"/>
    <cellStyle name="40% - Accent2 3 3 3 3 2" xfId="22921"/>
    <cellStyle name="40% - Accent2 3 3 3 3 2 2" xfId="22922"/>
    <cellStyle name="40% - Accent2 3 3 3 4" xfId="22923"/>
    <cellStyle name="40% - Accent2 3 3 3 4 2" xfId="22924"/>
    <cellStyle name="40% - Accent2 3 3 3 5" xfId="22925"/>
    <cellStyle name="40% - Accent2 3 3 3 6" xfId="22926"/>
    <cellStyle name="40% - Accent2 3 3 3 7" xfId="22927"/>
    <cellStyle name="40% - Accent2 3 3 4" xfId="22928"/>
    <cellStyle name="40% - Accent2 3 3 4 2" xfId="22929"/>
    <cellStyle name="40% - Accent2 3 3 4 2 2" xfId="22930"/>
    <cellStyle name="40% - Accent2 3 3 4 2 2 2" xfId="22931"/>
    <cellStyle name="40% - Accent2 3 3 4 3" xfId="22932"/>
    <cellStyle name="40% - Accent2 3 3 4 3 2" xfId="22933"/>
    <cellStyle name="40% - Accent2 3 3 4 4" xfId="22934"/>
    <cellStyle name="40% - Accent2 3 3 5" xfId="22935"/>
    <cellStyle name="40% - Accent2 3 3 5 2" xfId="22936"/>
    <cellStyle name="40% - Accent2 3 3 5 2 2" xfId="22937"/>
    <cellStyle name="40% - Accent2 3 3 6" xfId="22938"/>
    <cellStyle name="40% - Accent2 3 3 6 2" xfId="22939"/>
    <cellStyle name="40% - Accent2 3 3 7" xfId="22940"/>
    <cellStyle name="40% - Accent2 3 3 8" xfId="22941"/>
    <cellStyle name="40% - Accent2 3 3 9" xfId="22942"/>
    <cellStyle name="40% - Accent2 3 4" xfId="22943"/>
    <cellStyle name="40% - Accent2 3 4 2" xfId="22944"/>
    <cellStyle name="40% - Accent2 3 4 2 2" xfId="22945"/>
    <cellStyle name="40% - Accent2 3 4 2 2 2" xfId="22946"/>
    <cellStyle name="40% - Accent2 3 4 2 2 2 2" xfId="22947"/>
    <cellStyle name="40% - Accent2 3 4 2 2 2 2 2" xfId="22948"/>
    <cellStyle name="40% - Accent2 3 4 2 2 2 2 2 2" xfId="22949"/>
    <cellStyle name="40% - Accent2 3 4 2 2 2 3" xfId="22950"/>
    <cellStyle name="40% - Accent2 3 4 2 2 2 3 2" xfId="22951"/>
    <cellStyle name="40% - Accent2 3 4 2 2 3" xfId="22952"/>
    <cellStyle name="40% - Accent2 3 4 2 2 3 2" xfId="22953"/>
    <cellStyle name="40% - Accent2 3 4 2 2 3 2 2" xfId="22954"/>
    <cellStyle name="40% - Accent2 3 4 2 2 4" xfId="22955"/>
    <cellStyle name="40% - Accent2 3 4 2 2 4 2" xfId="22956"/>
    <cellStyle name="40% - Accent2 3 4 2 3" xfId="22957"/>
    <cellStyle name="40% - Accent2 3 4 2 3 2" xfId="22958"/>
    <cellStyle name="40% - Accent2 3 4 2 3 2 2" xfId="22959"/>
    <cellStyle name="40% - Accent2 3 4 2 3 2 2 2" xfId="22960"/>
    <cellStyle name="40% - Accent2 3 4 2 3 3" xfId="22961"/>
    <cellStyle name="40% - Accent2 3 4 2 3 3 2" xfId="22962"/>
    <cellStyle name="40% - Accent2 3 4 2 4" xfId="22963"/>
    <cellStyle name="40% - Accent2 3 4 2 4 2" xfId="22964"/>
    <cellStyle name="40% - Accent2 3 4 2 4 2 2" xfId="22965"/>
    <cellStyle name="40% - Accent2 3 4 2 5" xfId="22966"/>
    <cellStyle name="40% - Accent2 3 4 2 5 2" xfId="22967"/>
    <cellStyle name="40% - Accent2 3 4 3" xfId="22968"/>
    <cellStyle name="40% - Accent2 3 4 3 2" xfId="22969"/>
    <cellStyle name="40% - Accent2 3 4 3 2 2" xfId="22970"/>
    <cellStyle name="40% - Accent2 3 4 3 2 2 2" xfId="22971"/>
    <cellStyle name="40% - Accent2 3 4 3 2 2 2 2" xfId="22972"/>
    <cellStyle name="40% - Accent2 3 4 3 2 3" xfId="22973"/>
    <cellStyle name="40% - Accent2 3 4 3 2 3 2" xfId="22974"/>
    <cellStyle name="40% - Accent2 3 4 3 3" xfId="22975"/>
    <cellStyle name="40% - Accent2 3 4 3 3 2" xfId="22976"/>
    <cellStyle name="40% - Accent2 3 4 3 3 2 2" xfId="22977"/>
    <cellStyle name="40% - Accent2 3 4 3 4" xfId="22978"/>
    <cellStyle name="40% - Accent2 3 4 3 4 2" xfId="22979"/>
    <cellStyle name="40% - Accent2 3 4 4" xfId="22980"/>
    <cellStyle name="40% - Accent2 3 4 4 2" xfId="22981"/>
    <cellStyle name="40% - Accent2 3 4 4 2 2" xfId="22982"/>
    <cellStyle name="40% - Accent2 3 4 4 2 2 2" xfId="22983"/>
    <cellStyle name="40% - Accent2 3 4 4 3" xfId="22984"/>
    <cellStyle name="40% - Accent2 3 4 4 3 2" xfId="22985"/>
    <cellStyle name="40% - Accent2 3 4 5" xfId="22986"/>
    <cellStyle name="40% - Accent2 3 4 5 2" xfId="22987"/>
    <cellStyle name="40% - Accent2 3 4 5 2 2" xfId="22988"/>
    <cellStyle name="40% - Accent2 3 4 6" xfId="22989"/>
    <cellStyle name="40% - Accent2 3 4 6 2" xfId="22990"/>
    <cellStyle name="40% - Accent2 3 4 7" xfId="22991"/>
    <cellStyle name="40% - Accent2 3 5" xfId="22992"/>
    <cellStyle name="40% - Accent2 3 5 2" xfId="22993"/>
    <cellStyle name="40% - Accent2 3 5 2 2" xfId="22994"/>
    <cellStyle name="40% - Accent2 3 5 2 2 2" xfId="22995"/>
    <cellStyle name="40% - Accent2 3 5 2 2 2 2" xfId="22996"/>
    <cellStyle name="40% - Accent2 3 5 2 2 2 2 2" xfId="22997"/>
    <cellStyle name="40% - Accent2 3 5 2 2 2 2 2 2" xfId="22998"/>
    <cellStyle name="40% - Accent2 3 5 2 2 2 3" xfId="22999"/>
    <cellStyle name="40% - Accent2 3 5 2 2 2 3 2" xfId="23000"/>
    <cellStyle name="40% - Accent2 3 5 2 2 3" xfId="23001"/>
    <cellStyle name="40% - Accent2 3 5 2 2 3 2" xfId="23002"/>
    <cellStyle name="40% - Accent2 3 5 2 2 3 2 2" xfId="23003"/>
    <cellStyle name="40% - Accent2 3 5 2 2 4" xfId="23004"/>
    <cellStyle name="40% - Accent2 3 5 2 2 4 2" xfId="23005"/>
    <cellStyle name="40% - Accent2 3 5 2 3" xfId="23006"/>
    <cellStyle name="40% - Accent2 3 5 2 3 2" xfId="23007"/>
    <cellStyle name="40% - Accent2 3 5 2 3 2 2" xfId="23008"/>
    <cellStyle name="40% - Accent2 3 5 2 3 2 2 2" xfId="23009"/>
    <cellStyle name="40% - Accent2 3 5 2 3 3" xfId="23010"/>
    <cellStyle name="40% - Accent2 3 5 2 3 3 2" xfId="23011"/>
    <cellStyle name="40% - Accent2 3 5 2 4" xfId="23012"/>
    <cellStyle name="40% - Accent2 3 5 2 4 2" xfId="23013"/>
    <cellStyle name="40% - Accent2 3 5 2 4 2 2" xfId="23014"/>
    <cellStyle name="40% - Accent2 3 5 2 5" xfId="23015"/>
    <cellStyle name="40% - Accent2 3 5 2 5 2" xfId="23016"/>
    <cellStyle name="40% - Accent2 3 5 3" xfId="23017"/>
    <cellStyle name="40% - Accent2 3 5 3 2" xfId="23018"/>
    <cellStyle name="40% - Accent2 3 5 3 2 2" xfId="23019"/>
    <cellStyle name="40% - Accent2 3 5 3 2 2 2" xfId="23020"/>
    <cellStyle name="40% - Accent2 3 5 3 2 2 2 2" xfId="23021"/>
    <cellStyle name="40% - Accent2 3 5 3 2 3" xfId="23022"/>
    <cellStyle name="40% - Accent2 3 5 3 2 3 2" xfId="23023"/>
    <cellStyle name="40% - Accent2 3 5 3 3" xfId="23024"/>
    <cellStyle name="40% - Accent2 3 5 3 3 2" xfId="23025"/>
    <cellStyle name="40% - Accent2 3 5 3 3 2 2" xfId="23026"/>
    <cellStyle name="40% - Accent2 3 5 3 4" xfId="23027"/>
    <cellStyle name="40% - Accent2 3 5 3 4 2" xfId="23028"/>
    <cellStyle name="40% - Accent2 3 5 4" xfId="23029"/>
    <cellStyle name="40% - Accent2 3 5 4 2" xfId="23030"/>
    <cellStyle name="40% - Accent2 3 5 4 2 2" xfId="23031"/>
    <cellStyle name="40% - Accent2 3 5 4 2 2 2" xfId="23032"/>
    <cellStyle name="40% - Accent2 3 5 4 3" xfId="23033"/>
    <cellStyle name="40% - Accent2 3 5 4 3 2" xfId="23034"/>
    <cellStyle name="40% - Accent2 3 5 5" xfId="23035"/>
    <cellStyle name="40% - Accent2 3 5 5 2" xfId="23036"/>
    <cellStyle name="40% - Accent2 3 5 5 2 2" xfId="23037"/>
    <cellStyle name="40% - Accent2 3 5 6" xfId="23038"/>
    <cellStyle name="40% - Accent2 3 5 6 2" xfId="23039"/>
    <cellStyle name="40% - Accent2 3 5 7" xfId="23040"/>
    <cellStyle name="40% - Accent2 3 6" xfId="23041"/>
    <cellStyle name="40% - Accent2 3 6 2" xfId="23042"/>
    <cellStyle name="40% - Accent2 3 6 2 2" xfId="23043"/>
    <cellStyle name="40% - Accent2 3 6 2 2 2" xfId="23044"/>
    <cellStyle name="40% - Accent2 3 6 2 2 2 2" xfId="23045"/>
    <cellStyle name="40% - Accent2 3 6 2 2 2 2 2" xfId="23046"/>
    <cellStyle name="40% - Accent2 3 6 2 2 2 2 2 2" xfId="23047"/>
    <cellStyle name="40% - Accent2 3 6 2 2 2 3" xfId="23048"/>
    <cellStyle name="40% - Accent2 3 6 2 2 2 3 2" xfId="23049"/>
    <cellStyle name="40% - Accent2 3 6 2 2 3" xfId="23050"/>
    <cellStyle name="40% - Accent2 3 6 2 2 3 2" xfId="23051"/>
    <cellStyle name="40% - Accent2 3 6 2 2 3 2 2" xfId="23052"/>
    <cellStyle name="40% - Accent2 3 6 2 2 4" xfId="23053"/>
    <cellStyle name="40% - Accent2 3 6 2 2 4 2" xfId="23054"/>
    <cellStyle name="40% - Accent2 3 6 2 3" xfId="23055"/>
    <cellStyle name="40% - Accent2 3 6 2 3 2" xfId="23056"/>
    <cellStyle name="40% - Accent2 3 6 2 3 2 2" xfId="23057"/>
    <cellStyle name="40% - Accent2 3 6 2 3 2 2 2" xfId="23058"/>
    <cellStyle name="40% - Accent2 3 6 2 3 3" xfId="23059"/>
    <cellStyle name="40% - Accent2 3 6 2 3 3 2" xfId="23060"/>
    <cellStyle name="40% - Accent2 3 6 2 4" xfId="23061"/>
    <cellStyle name="40% - Accent2 3 6 2 4 2" xfId="23062"/>
    <cellStyle name="40% - Accent2 3 6 2 4 2 2" xfId="23063"/>
    <cellStyle name="40% - Accent2 3 6 2 5" xfId="23064"/>
    <cellStyle name="40% - Accent2 3 6 2 5 2" xfId="23065"/>
    <cellStyle name="40% - Accent2 3 6 3" xfId="23066"/>
    <cellStyle name="40% - Accent2 3 6 3 2" xfId="23067"/>
    <cellStyle name="40% - Accent2 3 6 3 2 2" xfId="23068"/>
    <cellStyle name="40% - Accent2 3 6 3 2 2 2" xfId="23069"/>
    <cellStyle name="40% - Accent2 3 6 3 2 2 2 2" xfId="23070"/>
    <cellStyle name="40% - Accent2 3 6 3 2 3" xfId="23071"/>
    <cellStyle name="40% - Accent2 3 6 3 2 3 2" xfId="23072"/>
    <cellStyle name="40% - Accent2 3 6 3 3" xfId="23073"/>
    <cellStyle name="40% - Accent2 3 6 3 3 2" xfId="23074"/>
    <cellStyle name="40% - Accent2 3 6 3 3 2 2" xfId="23075"/>
    <cellStyle name="40% - Accent2 3 6 3 4" xfId="23076"/>
    <cellStyle name="40% - Accent2 3 6 3 4 2" xfId="23077"/>
    <cellStyle name="40% - Accent2 3 6 4" xfId="23078"/>
    <cellStyle name="40% - Accent2 3 6 4 2" xfId="23079"/>
    <cellStyle name="40% - Accent2 3 6 4 2 2" xfId="23080"/>
    <cellStyle name="40% - Accent2 3 6 4 2 2 2" xfId="23081"/>
    <cellStyle name="40% - Accent2 3 6 4 3" xfId="23082"/>
    <cellStyle name="40% - Accent2 3 6 4 3 2" xfId="23083"/>
    <cellStyle name="40% - Accent2 3 6 5" xfId="23084"/>
    <cellStyle name="40% - Accent2 3 6 5 2" xfId="23085"/>
    <cellStyle name="40% - Accent2 3 6 5 2 2" xfId="23086"/>
    <cellStyle name="40% - Accent2 3 6 6" xfId="23087"/>
    <cellStyle name="40% - Accent2 3 6 6 2" xfId="23088"/>
    <cellStyle name="40% - Accent2 3 6 7" xfId="23089"/>
    <cellStyle name="40% - Accent2 3 7" xfId="23090"/>
    <cellStyle name="40% - Accent2 3 7 2" xfId="23091"/>
    <cellStyle name="40% - Accent2 3 7 2 2" xfId="23092"/>
    <cellStyle name="40% - Accent2 3 7 2 2 2" xfId="23093"/>
    <cellStyle name="40% - Accent2 3 7 2 2 2 2" xfId="23094"/>
    <cellStyle name="40% - Accent2 3 7 2 2 2 2 2" xfId="23095"/>
    <cellStyle name="40% - Accent2 3 7 2 2 2 2 2 2" xfId="23096"/>
    <cellStyle name="40% - Accent2 3 7 2 2 2 3" xfId="23097"/>
    <cellStyle name="40% - Accent2 3 7 2 2 2 3 2" xfId="23098"/>
    <cellStyle name="40% - Accent2 3 7 2 2 3" xfId="23099"/>
    <cellStyle name="40% - Accent2 3 7 2 2 3 2" xfId="23100"/>
    <cellStyle name="40% - Accent2 3 7 2 2 3 2 2" xfId="23101"/>
    <cellStyle name="40% - Accent2 3 7 2 2 4" xfId="23102"/>
    <cellStyle name="40% - Accent2 3 7 2 2 4 2" xfId="23103"/>
    <cellStyle name="40% - Accent2 3 7 2 3" xfId="23104"/>
    <cellStyle name="40% - Accent2 3 7 2 3 2" xfId="23105"/>
    <cellStyle name="40% - Accent2 3 7 2 3 2 2" xfId="23106"/>
    <cellStyle name="40% - Accent2 3 7 2 3 2 2 2" xfId="23107"/>
    <cellStyle name="40% - Accent2 3 7 2 3 3" xfId="23108"/>
    <cellStyle name="40% - Accent2 3 7 2 3 3 2" xfId="23109"/>
    <cellStyle name="40% - Accent2 3 7 2 4" xfId="23110"/>
    <cellStyle name="40% - Accent2 3 7 2 4 2" xfId="23111"/>
    <cellStyle name="40% - Accent2 3 7 2 4 2 2" xfId="23112"/>
    <cellStyle name="40% - Accent2 3 7 2 5" xfId="23113"/>
    <cellStyle name="40% - Accent2 3 7 2 5 2" xfId="23114"/>
    <cellStyle name="40% - Accent2 3 7 3" xfId="23115"/>
    <cellStyle name="40% - Accent2 3 7 3 2" xfId="23116"/>
    <cellStyle name="40% - Accent2 3 7 3 2 2" xfId="23117"/>
    <cellStyle name="40% - Accent2 3 7 3 2 2 2" xfId="23118"/>
    <cellStyle name="40% - Accent2 3 7 3 2 2 2 2" xfId="23119"/>
    <cellStyle name="40% - Accent2 3 7 3 2 3" xfId="23120"/>
    <cellStyle name="40% - Accent2 3 7 3 2 3 2" xfId="23121"/>
    <cellStyle name="40% - Accent2 3 7 3 3" xfId="23122"/>
    <cellStyle name="40% - Accent2 3 7 3 3 2" xfId="23123"/>
    <cellStyle name="40% - Accent2 3 7 3 3 2 2" xfId="23124"/>
    <cellStyle name="40% - Accent2 3 7 3 4" xfId="23125"/>
    <cellStyle name="40% - Accent2 3 7 3 4 2" xfId="23126"/>
    <cellStyle name="40% - Accent2 3 7 4" xfId="23127"/>
    <cellStyle name="40% - Accent2 3 7 4 2" xfId="23128"/>
    <cellStyle name="40% - Accent2 3 7 4 2 2" xfId="23129"/>
    <cellStyle name="40% - Accent2 3 7 4 2 2 2" xfId="23130"/>
    <cellStyle name="40% - Accent2 3 7 4 3" xfId="23131"/>
    <cellStyle name="40% - Accent2 3 7 4 3 2" xfId="23132"/>
    <cellStyle name="40% - Accent2 3 7 5" xfId="23133"/>
    <cellStyle name="40% - Accent2 3 7 5 2" xfId="23134"/>
    <cellStyle name="40% - Accent2 3 7 5 2 2" xfId="23135"/>
    <cellStyle name="40% - Accent2 3 7 6" xfId="23136"/>
    <cellStyle name="40% - Accent2 3 7 6 2" xfId="23137"/>
    <cellStyle name="40% - Accent2 3 7 7" xfId="23138"/>
    <cellStyle name="40% - Accent2 3 8" xfId="23139"/>
    <cellStyle name="40% - Accent2 3 8 2" xfId="23140"/>
    <cellStyle name="40% - Accent2 3 8 2 2" xfId="23141"/>
    <cellStyle name="40% - Accent2 3 8 2 2 2" xfId="23142"/>
    <cellStyle name="40% - Accent2 3 8 2 2 2 2" xfId="23143"/>
    <cellStyle name="40% - Accent2 3 8 2 2 2 2 2" xfId="23144"/>
    <cellStyle name="40% - Accent2 3 8 2 2 2 2 2 2" xfId="23145"/>
    <cellStyle name="40% - Accent2 3 8 2 2 2 3" xfId="23146"/>
    <cellStyle name="40% - Accent2 3 8 2 2 2 3 2" xfId="23147"/>
    <cellStyle name="40% - Accent2 3 8 2 2 3" xfId="23148"/>
    <cellStyle name="40% - Accent2 3 8 2 2 3 2" xfId="23149"/>
    <cellStyle name="40% - Accent2 3 8 2 2 3 2 2" xfId="23150"/>
    <cellStyle name="40% - Accent2 3 8 2 2 4" xfId="23151"/>
    <cellStyle name="40% - Accent2 3 8 2 2 4 2" xfId="23152"/>
    <cellStyle name="40% - Accent2 3 8 2 3" xfId="23153"/>
    <cellStyle name="40% - Accent2 3 8 2 3 2" xfId="23154"/>
    <cellStyle name="40% - Accent2 3 8 2 3 2 2" xfId="23155"/>
    <cellStyle name="40% - Accent2 3 8 2 3 2 2 2" xfId="23156"/>
    <cellStyle name="40% - Accent2 3 8 2 3 3" xfId="23157"/>
    <cellStyle name="40% - Accent2 3 8 2 3 3 2" xfId="23158"/>
    <cellStyle name="40% - Accent2 3 8 2 4" xfId="23159"/>
    <cellStyle name="40% - Accent2 3 8 2 4 2" xfId="23160"/>
    <cellStyle name="40% - Accent2 3 8 2 4 2 2" xfId="23161"/>
    <cellStyle name="40% - Accent2 3 8 2 5" xfId="23162"/>
    <cellStyle name="40% - Accent2 3 8 2 5 2" xfId="23163"/>
    <cellStyle name="40% - Accent2 3 8 3" xfId="23164"/>
    <cellStyle name="40% - Accent2 3 8 3 2" xfId="23165"/>
    <cellStyle name="40% - Accent2 3 8 3 2 2" xfId="23166"/>
    <cellStyle name="40% - Accent2 3 8 3 2 2 2" xfId="23167"/>
    <cellStyle name="40% - Accent2 3 8 3 2 2 2 2" xfId="23168"/>
    <cellStyle name="40% - Accent2 3 8 3 2 3" xfId="23169"/>
    <cellStyle name="40% - Accent2 3 8 3 2 3 2" xfId="23170"/>
    <cellStyle name="40% - Accent2 3 8 3 3" xfId="23171"/>
    <cellStyle name="40% - Accent2 3 8 3 3 2" xfId="23172"/>
    <cellStyle name="40% - Accent2 3 8 3 3 2 2" xfId="23173"/>
    <cellStyle name="40% - Accent2 3 8 3 4" xfId="23174"/>
    <cellStyle name="40% - Accent2 3 8 3 4 2" xfId="23175"/>
    <cellStyle name="40% - Accent2 3 8 4" xfId="23176"/>
    <cellStyle name="40% - Accent2 3 8 4 2" xfId="23177"/>
    <cellStyle name="40% - Accent2 3 8 4 2 2" xfId="23178"/>
    <cellStyle name="40% - Accent2 3 8 4 2 2 2" xfId="23179"/>
    <cellStyle name="40% - Accent2 3 8 4 3" xfId="23180"/>
    <cellStyle name="40% - Accent2 3 8 4 3 2" xfId="23181"/>
    <cellStyle name="40% - Accent2 3 8 5" xfId="23182"/>
    <cellStyle name="40% - Accent2 3 8 5 2" xfId="23183"/>
    <cellStyle name="40% - Accent2 3 8 5 2 2" xfId="23184"/>
    <cellStyle name="40% - Accent2 3 8 6" xfId="23185"/>
    <cellStyle name="40% - Accent2 3 8 6 2" xfId="23186"/>
    <cellStyle name="40% - Accent2 3 8 7" xfId="23187"/>
    <cellStyle name="40% - Accent2 3 9" xfId="23188"/>
    <cellStyle name="40% - Accent2 3 9 2" xfId="23189"/>
    <cellStyle name="40% - Accent2 3 9 2 2" xfId="23190"/>
    <cellStyle name="40% - Accent2 3 9 2 2 2" xfId="23191"/>
    <cellStyle name="40% - Accent2 3 9 2 2 2 2" xfId="23192"/>
    <cellStyle name="40% - Accent2 3 9 2 2 2 2 2" xfId="23193"/>
    <cellStyle name="40% - Accent2 3 9 2 2 2 2 2 2" xfId="23194"/>
    <cellStyle name="40% - Accent2 3 9 2 2 2 3" xfId="23195"/>
    <cellStyle name="40% - Accent2 3 9 2 2 2 3 2" xfId="23196"/>
    <cellStyle name="40% - Accent2 3 9 2 2 3" xfId="23197"/>
    <cellStyle name="40% - Accent2 3 9 2 2 3 2" xfId="23198"/>
    <cellStyle name="40% - Accent2 3 9 2 2 3 2 2" xfId="23199"/>
    <cellStyle name="40% - Accent2 3 9 2 2 4" xfId="23200"/>
    <cellStyle name="40% - Accent2 3 9 2 2 4 2" xfId="23201"/>
    <cellStyle name="40% - Accent2 3 9 2 3" xfId="23202"/>
    <cellStyle name="40% - Accent2 3 9 2 3 2" xfId="23203"/>
    <cellStyle name="40% - Accent2 3 9 2 3 2 2" xfId="23204"/>
    <cellStyle name="40% - Accent2 3 9 2 3 2 2 2" xfId="23205"/>
    <cellStyle name="40% - Accent2 3 9 2 3 3" xfId="23206"/>
    <cellStyle name="40% - Accent2 3 9 2 3 3 2" xfId="23207"/>
    <cellStyle name="40% - Accent2 3 9 2 4" xfId="23208"/>
    <cellStyle name="40% - Accent2 3 9 2 4 2" xfId="23209"/>
    <cellStyle name="40% - Accent2 3 9 2 4 2 2" xfId="23210"/>
    <cellStyle name="40% - Accent2 3 9 2 5" xfId="23211"/>
    <cellStyle name="40% - Accent2 3 9 2 5 2" xfId="23212"/>
    <cellStyle name="40% - Accent2 3 9 3" xfId="23213"/>
    <cellStyle name="40% - Accent2 3 9 3 2" xfId="23214"/>
    <cellStyle name="40% - Accent2 3 9 3 2 2" xfId="23215"/>
    <cellStyle name="40% - Accent2 3 9 3 2 2 2" xfId="23216"/>
    <cellStyle name="40% - Accent2 3 9 3 2 2 2 2" xfId="23217"/>
    <cellStyle name="40% - Accent2 3 9 3 2 3" xfId="23218"/>
    <cellStyle name="40% - Accent2 3 9 3 2 3 2" xfId="23219"/>
    <cellStyle name="40% - Accent2 3 9 3 3" xfId="23220"/>
    <cellStyle name="40% - Accent2 3 9 3 3 2" xfId="23221"/>
    <cellStyle name="40% - Accent2 3 9 3 3 2 2" xfId="23222"/>
    <cellStyle name="40% - Accent2 3 9 3 4" xfId="23223"/>
    <cellStyle name="40% - Accent2 3 9 3 4 2" xfId="23224"/>
    <cellStyle name="40% - Accent2 3 9 4" xfId="23225"/>
    <cellStyle name="40% - Accent2 3 9 4 2" xfId="23226"/>
    <cellStyle name="40% - Accent2 3 9 4 2 2" xfId="23227"/>
    <cellStyle name="40% - Accent2 3 9 4 2 2 2" xfId="23228"/>
    <cellStyle name="40% - Accent2 3 9 4 3" xfId="23229"/>
    <cellStyle name="40% - Accent2 3 9 4 3 2" xfId="23230"/>
    <cellStyle name="40% - Accent2 3 9 5" xfId="23231"/>
    <cellStyle name="40% - Accent2 3 9 5 2" xfId="23232"/>
    <cellStyle name="40% - Accent2 3 9 5 2 2" xfId="23233"/>
    <cellStyle name="40% - Accent2 3 9 6" xfId="23234"/>
    <cellStyle name="40% - Accent2 3 9 6 2" xfId="23235"/>
    <cellStyle name="40% - Accent2 3 9 7" xfId="23236"/>
    <cellStyle name="40% - Accent2 3 9 8" xfId="23237"/>
    <cellStyle name="40% - Accent2 3 9 9" xfId="23238"/>
    <cellStyle name="40% - Accent2 30" xfId="23239"/>
    <cellStyle name="40% - Accent2 30 2" xfId="23240"/>
    <cellStyle name="40% - Accent2 30 2 2" xfId="23241"/>
    <cellStyle name="40% - Accent2 30 2 2 2" xfId="23242"/>
    <cellStyle name="40% - Accent2 30 3" xfId="23243"/>
    <cellStyle name="40% - Accent2 30 3 2" xfId="23244"/>
    <cellStyle name="40% - Accent2 30 4" xfId="23245"/>
    <cellStyle name="40% - Accent2 31" xfId="23246"/>
    <cellStyle name="40% - Accent2 31 2" xfId="23247"/>
    <cellStyle name="40% - Accent2 31 2 2" xfId="23248"/>
    <cellStyle name="40% - Accent2 31 2 2 2" xfId="23249"/>
    <cellStyle name="40% - Accent2 31 3" xfId="23250"/>
    <cellStyle name="40% - Accent2 31 3 2" xfId="23251"/>
    <cellStyle name="40% - Accent2 31 4" xfId="23252"/>
    <cellStyle name="40% - Accent2 32" xfId="23253"/>
    <cellStyle name="40% - Accent2 32 2" xfId="23254"/>
    <cellStyle name="40% - Accent2 32 2 2" xfId="23255"/>
    <cellStyle name="40% - Accent2 32 3" xfId="23256"/>
    <cellStyle name="40% - Accent2 33" xfId="23257"/>
    <cellStyle name="40% - Accent2 33 2" xfId="23258"/>
    <cellStyle name="40% - Accent2 33 2 2" xfId="23259"/>
    <cellStyle name="40% - Accent2 33 3" xfId="23260"/>
    <cellStyle name="40% - Accent2 34" xfId="23261"/>
    <cellStyle name="40% - Accent2 34 2" xfId="23262"/>
    <cellStyle name="40% - Accent2 34 2 2" xfId="23263"/>
    <cellStyle name="40% - Accent2 34 3" xfId="23264"/>
    <cellStyle name="40% - Accent2 35" xfId="23265"/>
    <cellStyle name="40% - Accent2 35 2" xfId="23266"/>
    <cellStyle name="40% - Accent2 35 3" xfId="23267"/>
    <cellStyle name="40% - Accent2 36" xfId="23268"/>
    <cellStyle name="40% - Accent2 36 2" xfId="23269"/>
    <cellStyle name="40% - Accent2 36 2 2" xfId="23270"/>
    <cellStyle name="40% - Accent2 36 2 3" xfId="23271"/>
    <cellStyle name="40% - Accent2 36 2 4" xfId="23272"/>
    <cellStyle name="40% - Accent2 36 3" xfId="23273"/>
    <cellStyle name="40% - Accent2 36 3 2" xfId="23274"/>
    <cellStyle name="40% - Accent2 36 3 3" xfId="23275"/>
    <cellStyle name="40% - Accent2 36 4" xfId="23276"/>
    <cellStyle name="40% - Accent2 36 4 2" xfId="23277"/>
    <cellStyle name="40% - Accent2 36 5" xfId="23278"/>
    <cellStyle name="40% - Accent2 36 6" xfId="23279"/>
    <cellStyle name="40% - Accent2 36 7" xfId="23280"/>
    <cellStyle name="40% - Accent2 37" xfId="23281"/>
    <cellStyle name="40% - Accent2 38" xfId="23282"/>
    <cellStyle name="40% - Accent2 39" xfId="23283"/>
    <cellStyle name="40% - Accent2 4" xfId="23284"/>
    <cellStyle name="40% - Accent2 4 10" xfId="23285"/>
    <cellStyle name="40% - Accent2 4 10 2" xfId="23286"/>
    <cellStyle name="40% - Accent2 4 10 2 2" xfId="23287"/>
    <cellStyle name="40% - Accent2 4 10 2 2 2" xfId="23288"/>
    <cellStyle name="40% - Accent2 4 10 2 2 2 2" xfId="23289"/>
    <cellStyle name="40% - Accent2 4 10 2 2 2 2 2" xfId="23290"/>
    <cellStyle name="40% - Accent2 4 10 2 2 2 2 2 2" xfId="23291"/>
    <cellStyle name="40% - Accent2 4 10 2 2 2 3" xfId="23292"/>
    <cellStyle name="40% - Accent2 4 10 2 2 2 3 2" xfId="23293"/>
    <cellStyle name="40% - Accent2 4 10 2 2 3" xfId="23294"/>
    <cellStyle name="40% - Accent2 4 10 2 2 3 2" xfId="23295"/>
    <cellStyle name="40% - Accent2 4 10 2 2 3 2 2" xfId="23296"/>
    <cellStyle name="40% - Accent2 4 10 2 2 4" xfId="23297"/>
    <cellStyle name="40% - Accent2 4 10 2 2 4 2" xfId="23298"/>
    <cellStyle name="40% - Accent2 4 10 2 3" xfId="23299"/>
    <cellStyle name="40% - Accent2 4 10 2 3 2" xfId="23300"/>
    <cellStyle name="40% - Accent2 4 10 2 3 2 2" xfId="23301"/>
    <cellStyle name="40% - Accent2 4 10 2 3 2 2 2" xfId="23302"/>
    <cellStyle name="40% - Accent2 4 10 2 3 3" xfId="23303"/>
    <cellStyle name="40% - Accent2 4 10 2 3 3 2" xfId="23304"/>
    <cellStyle name="40% - Accent2 4 10 2 4" xfId="23305"/>
    <cellStyle name="40% - Accent2 4 10 2 4 2" xfId="23306"/>
    <cellStyle name="40% - Accent2 4 10 2 4 2 2" xfId="23307"/>
    <cellStyle name="40% - Accent2 4 10 2 5" xfId="23308"/>
    <cellStyle name="40% - Accent2 4 10 2 5 2" xfId="23309"/>
    <cellStyle name="40% - Accent2 4 10 3" xfId="23310"/>
    <cellStyle name="40% - Accent2 4 10 3 2" xfId="23311"/>
    <cellStyle name="40% - Accent2 4 10 3 2 2" xfId="23312"/>
    <cellStyle name="40% - Accent2 4 10 3 2 2 2" xfId="23313"/>
    <cellStyle name="40% - Accent2 4 10 3 2 2 2 2" xfId="23314"/>
    <cellStyle name="40% - Accent2 4 10 3 2 3" xfId="23315"/>
    <cellStyle name="40% - Accent2 4 10 3 2 3 2" xfId="23316"/>
    <cellStyle name="40% - Accent2 4 10 3 3" xfId="23317"/>
    <cellStyle name="40% - Accent2 4 10 3 3 2" xfId="23318"/>
    <cellStyle name="40% - Accent2 4 10 3 3 2 2" xfId="23319"/>
    <cellStyle name="40% - Accent2 4 10 3 4" xfId="23320"/>
    <cellStyle name="40% - Accent2 4 10 3 4 2" xfId="23321"/>
    <cellStyle name="40% - Accent2 4 10 4" xfId="23322"/>
    <cellStyle name="40% - Accent2 4 10 4 2" xfId="23323"/>
    <cellStyle name="40% - Accent2 4 10 4 2 2" xfId="23324"/>
    <cellStyle name="40% - Accent2 4 10 4 2 2 2" xfId="23325"/>
    <cellStyle name="40% - Accent2 4 10 4 3" xfId="23326"/>
    <cellStyle name="40% - Accent2 4 10 4 3 2" xfId="23327"/>
    <cellStyle name="40% - Accent2 4 10 5" xfId="23328"/>
    <cellStyle name="40% - Accent2 4 10 5 2" xfId="23329"/>
    <cellStyle name="40% - Accent2 4 10 5 2 2" xfId="23330"/>
    <cellStyle name="40% - Accent2 4 10 6" xfId="23331"/>
    <cellStyle name="40% - Accent2 4 10 6 2" xfId="23332"/>
    <cellStyle name="40% - Accent2 4 10 7" xfId="23333"/>
    <cellStyle name="40% - Accent2 4 10 8" xfId="23334"/>
    <cellStyle name="40% - Accent2 4 10 9" xfId="23335"/>
    <cellStyle name="40% - Accent2 4 11" xfId="23336"/>
    <cellStyle name="40% - Accent2 4 11 2" xfId="23337"/>
    <cellStyle name="40% - Accent2 4 11 2 2" xfId="23338"/>
    <cellStyle name="40% - Accent2 4 11 2 2 2" xfId="23339"/>
    <cellStyle name="40% - Accent2 4 11 2 2 2 2" xfId="23340"/>
    <cellStyle name="40% - Accent2 4 11 2 2 2 2 2" xfId="23341"/>
    <cellStyle name="40% - Accent2 4 11 2 2 2 2 2 2" xfId="23342"/>
    <cellStyle name="40% - Accent2 4 11 2 2 2 3" xfId="23343"/>
    <cellStyle name="40% - Accent2 4 11 2 2 2 3 2" xfId="23344"/>
    <cellStyle name="40% - Accent2 4 11 2 2 3" xfId="23345"/>
    <cellStyle name="40% - Accent2 4 11 2 2 3 2" xfId="23346"/>
    <cellStyle name="40% - Accent2 4 11 2 2 3 2 2" xfId="23347"/>
    <cellStyle name="40% - Accent2 4 11 2 2 4" xfId="23348"/>
    <cellStyle name="40% - Accent2 4 11 2 2 4 2" xfId="23349"/>
    <cellStyle name="40% - Accent2 4 11 2 3" xfId="23350"/>
    <cellStyle name="40% - Accent2 4 11 2 3 2" xfId="23351"/>
    <cellStyle name="40% - Accent2 4 11 2 3 2 2" xfId="23352"/>
    <cellStyle name="40% - Accent2 4 11 2 3 2 2 2" xfId="23353"/>
    <cellStyle name="40% - Accent2 4 11 2 3 3" xfId="23354"/>
    <cellStyle name="40% - Accent2 4 11 2 3 3 2" xfId="23355"/>
    <cellStyle name="40% - Accent2 4 11 2 4" xfId="23356"/>
    <cellStyle name="40% - Accent2 4 11 2 4 2" xfId="23357"/>
    <cellStyle name="40% - Accent2 4 11 2 4 2 2" xfId="23358"/>
    <cellStyle name="40% - Accent2 4 11 2 5" xfId="23359"/>
    <cellStyle name="40% - Accent2 4 11 2 5 2" xfId="23360"/>
    <cellStyle name="40% - Accent2 4 11 3" xfId="23361"/>
    <cellStyle name="40% - Accent2 4 11 3 2" xfId="23362"/>
    <cellStyle name="40% - Accent2 4 11 3 2 2" xfId="23363"/>
    <cellStyle name="40% - Accent2 4 11 3 2 2 2" xfId="23364"/>
    <cellStyle name="40% - Accent2 4 11 3 2 2 2 2" xfId="23365"/>
    <cellStyle name="40% - Accent2 4 11 3 2 3" xfId="23366"/>
    <cellStyle name="40% - Accent2 4 11 3 2 3 2" xfId="23367"/>
    <cellStyle name="40% - Accent2 4 11 3 3" xfId="23368"/>
    <cellStyle name="40% - Accent2 4 11 3 3 2" xfId="23369"/>
    <cellStyle name="40% - Accent2 4 11 3 3 2 2" xfId="23370"/>
    <cellStyle name="40% - Accent2 4 11 3 4" xfId="23371"/>
    <cellStyle name="40% - Accent2 4 11 3 4 2" xfId="23372"/>
    <cellStyle name="40% - Accent2 4 11 4" xfId="23373"/>
    <cellStyle name="40% - Accent2 4 11 4 2" xfId="23374"/>
    <cellStyle name="40% - Accent2 4 11 4 2 2" xfId="23375"/>
    <cellStyle name="40% - Accent2 4 11 4 2 2 2" xfId="23376"/>
    <cellStyle name="40% - Accent2 4 11 4 3" xfId="23377"/>
    <cellStyle name="40% - Accent2 4 11 4 3 2" xfId="23378"/>
    <cellStyle name="40% - Accent2 4 11 5" xfId="23379"/>
    <cellStyle name="40% - Accent2 4 11 5 2" xfId="23380"/>
    <cellStyle name="40% - Accent2 4 11 5 2 2" xfId="23381"/>
    <cellStyle name="40% - Accent2 4 11 6" xfId="23382"/>
    <cellStyle name="40% - Accent2 4 11 6 2" xfId="23383"/>
    <cellStyle name="40% - Accent2 4 11 7" xfId="23384"/>
    <cellStyle name="40% - Accent2 4 12" xfId="23385"/>
    <cellStyle name="40% - Accent2 4 12 2" xfId="23386"/>
    <cellStyle name="40% - Accent2 4 12 2 2" xfId="23387"/>
    <cellStyle name="40% - Accent2 4 12 2 2 2" xfId="23388"/>
    <cellStyle name="40% - Accent2 4 12 2 2 2 2" xfId="23389"/>
    <cellStyle name="40% - Accent2 4 12 2 2 2 2 2" xfId="23390"/>
    <cellStyle name="40% - Accent2 4 12 2 2 2 2 2 2" xfId="23391"/>
    <cellStyle name="40% - Accent2 4 12 2 2 2 3" xfId="23392"/>
    <cellStyle name="40% - Accent2 4 12 2 2 2 3 2" xfId="23393"/>
    <cellStyle name="40% - Accent2 4 12 2 2 3" xfId="23394"/>
    <cellStyle name="40% - Accent2 4 12 2 2 3 2" xfId="23395"/>
    <cellStyle name="40% - Accent2 4 12 2 2 3 2 2" xfId="23396"/>
    <cellStyle name="40% - Accent2 4 12 2 2 4" xfId="23397"/>
    <cellStyle name="40% - Accent2 4 12 2 2 4 2" xfId="23398"/>
    <cellStyle name="40% - Accent2 4 12 2 3" xfId="23399"/>
    <cellStyle name="40% - Accent2 4 12 2 3 2" xfId="23400"/>
    <cellStyle name="40% - Accent2 4 12 2 3 2 2" xfId="23401"/>
    <cellStyle name="40% - Accent2 4 12 2 3 2 2 2" xfId="23402"/>
    <cellStyle name="40% - Accent2 4 12 2 3 3" xfId="23403"/>
    <cellStyle name="40% - Accent2 4 12 2 3 3 2" xfId="23404"/>
    <cellStyle name="40% - Accent2 4 12 2 4" xfId="23405"/>
    <cellStyle name="40% - Accent2 4 12 2 4 2" xfId="23406"/>
    <cellStyle name="40% - Accent2 4 12 2 4 2 2" xfId="23407"/>
    <cellStyle name="40% - Accent2 4 12 2 5" xfId="23408"/>
    <cellStyle name="40% - Accent2 4 12 2 5 2" xfId="23409"/>
    <cellStyle name="40% - Accent2 4 12 3" xfId="23410"/>
    <cellStyle name="40% - Accent2 4 12 3 2" xfId="23411"/>
    <cellStyle name="40% - Accent2 4 12 3 2 2" xfId="23412"/>
    <cellStyle name="40% - Accent2 4 12 3 2 2 2" xfId="23413"/>
    <cellStyle name="40% - Accent2 4 12 3 2 2 2 2" xfId="23414"/>
    <cellStyle name="40% - Accent2 4 12 3 2 3" xfId="23415"/>
    <cellStyle name="40% - Accent2 4 12 3 2 3 2" xfId="23416"/>
    <cellStyle name="40% - Accent2 4 12 3 3" xfId="23417"/>
    <cellStyle name="40% - Accent2 4 12 3 3 2" xfId="23418"/>
    <cellStyle name="40% - Accent2 4 12 3 3 2 2" xfId="23419"/>
    <cellStyle name="40% - Accent2 4 12 3 4" xfId="23420"/>
    <cellStyle name="40% - Accent2 4 12 3 4 2" xfId="23421"/>
    <cellStyle name="40% - Accent2 4 12 4" xfId="23422"/>
    <cellStyle name="40% - Accent2 4 12 4 2" xfId="23423"/>
    <cellStyle name="40% - Accent2 4 12 4 2 2" xfId="23424"/>
    <cellStyle name="40% - Accent2 4 12 4 2 2 2" xfId="23425"/>
    <cellStyle name="40% - Accent2 4 12 4 3" xfId="23426"/>
    <cellStyle name="40% - Accent2 4 12 4 3 2" xfId="23427"/>
    <cellStyle name="40% - Accent2 4 12 5" xfId="23428"/>
    <cellStyle name="40% - Accent2 4 12 5 2" xfId="23429"/>
    <cellStyle name="40% - Accent2 4 12 5 2 2" xfId="23430"/>
    <cellStyle name="40% - Accent2 4 12 6" xfId="23431"/>
    <cellStyle name="40% - Accent2 4 12 6 2" xfId="23432"/>
    <cellStyle name="40% - Accent2 4 13" xfId="23433"/>
    <cellStyle name="40% - Accent2 4 13 2" xfId="23434"/>
    <cellStyle name="40% - Accent2 4 13 2 2" xfId="23435"/>
    <cellStyle name="40% - Accent2 4 13 2 2 2" xfId="23436"/>
    <cellStyle name="40% - Accent2 4 13 2 2 2 2" xfId="23437"/>
    <cellStyle name="40% - Accent2 4 13 2 2 2 2 2" xfId="23438"/>
    <cellStyle name="40% - Accent2 4 13 2 2 2 2 2 2" xfId="23439"/>
    <cellStyle name="40% - Accent2 4 13 2 2 2 3" xfId="23440"/>
    <cellStyle name="40% - Accent2 4 13 2 2 2 3 2" xfId="23441"/>
    <cellStyle name="40% - Accent2 4 13 2 2 3" xfId="23442"/>
    <cellStyle name="40% - Accent2 4 13 2 2 3 2" xfId="23443"/>
    <cellStyle name="40% - Accent2 4 13 2 2 3 2 2" xfId="23444"/>
    <cellStyle name="40% - Accent2 4 13 2 2 4" xfId="23445"/>
    <cellStyle name="40% - Accent2 4 13 2 2 4 2" xfId="23446"/>
    <cellStyle name="40% - Accent2 4 13 2 3" xfId="23447"/>
    <cellStyle name="40% - Accent2 4 13 2 3 2" xfId="23448"/>
    <cellStyle name="40% - Accent2 4 13 2 3 2 2" xfId="23449"/>
    <cellStyle name="40% - Accent2 4 13 2 3 2 2 2" xfId="23450"/>
    <cellStyle name="40% - Accent2 4 13 2 3 3" xfId="23451"/>
    <cellStyle name="40% - Accent2 4 13 2 3 3 2" xfId="23452"/>
    <cellStyle name="40% - Accent2 4 13 2 4" xfId="23453"/>
    <cellStyle name="40% - Accent2 4 13 2 4 2" xfId="23454"/>
    <cellStyle name="40% - Accent2 4 13 2 4 2 2" xfId="23455"/>
    <cellStyle name="40% - Accent2 4 13 2 5" xfId="23456"/>
    <cellStyle name="40% - Accent2 4 13 2 5 2" xfId="23457"/>
    <cellStyle name="40% - Accent2 4 13 3" xfId="23458"/>
    <cellStyle name="40% - Accent2 4 13 3 2" xfId="23459"/>
    <cellStyle name="40% - Accent2 4 13 3 2 2" xfId="23460"/>
    <cellStyle name="40% - Accent2 4 13 3 2 2 2" xfId="23461"/>
    <cellStyle name="40% - Accent2 4 13 3 2 2 2 2" xfId="23462"/>
    <cellStyle name="40% - Accent2 4 13 3 2 3" xfId="23463"/>
    <cellStyle name="40% - Accent2 4 13 3 2 3 2" xfId="23464"/>
    <cellStyle name="40% - Accent2 4 13 3 3" xfId="23465"/>
    <cellStyle name="40% - Accent2 4 13 3 3 2" xfId="23466"/>
    <cellStyle name="40% - Accent2 4 13 3 3 2 2" xfId="23467"/>
    <cellStyle name="40% - Accent2 4 13 3 4" xfId="23468"/>
    <cellStyle name="40% - Accent2 4 13 3 4 2" xfId="23469"/>
    <cellStyle name="40% - Accent2 4 13 4" xfId="23470"/>
    <cellStyle name="40% - Accent2 4 13 4 2" xfId="23471"/>
    <cellStyle name="40% - Accent2 4 13 4 2 2" xfId="23472"/>
    <cellStyle name="40% - Accent2 4 13 4 2 2 2" xfId="23473"/>
    <cellStyle name="40% - Accent2 4 13 4 3" xfId="23474"/>
    <cellStyle name="40% - Accent2 4 13 4 3 2" xfId="23475"/>
    <cellStyle name="40% - Accent2 4 13 5" xfId="23476"/>
    <cellStyle name="40% - Accent2 4 13 5 2" xfId="23477"/>
    <cellStyle name="40% - Accent2 4 13 5 2 2" xfId="23478"/>
    <cellStyle name="40% - Accent2 4 13 6" xfId="23479"/>
    <cellStyle name="40% - Accent2 4 13 6 2" xfId="23480"/>
    <cellStyle name="40% - Accent2 4 14" xfId="23481"/>
    <cellStyle name="40% - Accent2 4 15" xfId="23482"/>
    <cellStyle name="40% - Accent2 4 16" xfId="23483"/>
    <cellStyle name="40% - Accent2 4 17" xfId="23484"/>
    <cellStyle name="40% - Accent2 4 18" xfId="23485"/>
    <cellStyle name="40% - Accent2 4 2" xfId="23486"/>
    <cellStyle name="40% - Accent2 4 2 10" xfId="23487"/>
    <cellStyle name="40% - Accent2 4 2 11" xfId="23488"/>
    <cellStyle name="40% - Accent2 4 2 2" xfId="23489"/>
    <cellStyle name="40% - Accent2 4 2 2 2" xfId="23490"/>
    <cellStyle name="40% - Accent2 4 2 2 2 2" xfId="23491"/>
    <cellStyle name="40% - Accent2 4 2 2 2 2 2" xfId="23492"/>
    <cellStyle name="40% - Accent2 4 2 2 2 2 2 2" xfId="23493"/>
    <cellStyle name="40% - Accent2 4 2 2 2 2 2 2 2" xfId="23494"/>
    <cellStyle name="40% - Accent2 4 2 2 2 2 3" xfId="23495"/>
    <cellStyle name="40% - Accent2 4 2 2 2 2 3 2" xfId="23496"/>
    <cellStyle name="40% - Accent2 4 2 2 2 3" xfId="23497"/>
    <cellStyle name="40% - Accent2 4 2 2 2 3 2" xfId="23498"/>
    <cellStyle name="40% - Accent2 4 2 2 2 3 2 2" xfId="23499"/>
    <cellStyle name="40% - Accent2 4 2 2 2 4" xfId="23500"/>
    <cellStyle name="40% - Accent2 4 2 2 2 4 2" xfId="23501"/>
    <cellStyle name="40% - Accent2 4 2 2 3" xfId="23502"/>
    <cellStyle name="40% - Accent2 4 2 2 3 2" xfId="23503"/>
    <cellStyle name="40% - Accent2 4 2 2 3 2 2" xfId="23504"/>
    <cellStyle name="40% - Accent2 4 2 2 3 2 2 2" xfId="23505"/>
    <cellStyle name="40% - Accent2 4 2 2 3 3" xfId="23506"/>
    <cellStyle name="40% - Accent2 4 2 2 3 3 2" xfId="23507"/>
    <cellStyle name="40% - Accent2 4 2 2 4" xfId="23508"/>
    <cellStyle name="40% - Accent2 4 2 2 4 2" xfId="23509"/>
    <cellStyle name="40% - Accent2 4 2 2 4 2 2" xfId="23510"/>
    <cellStyle name="40% - Accent2 4 2 2 5" xfId="23511"/>
    <cellStyle name="40% - Accent2 4 2 2 5 2" xfId="23512"/>
    <cellStyle name="40% - Accent2 4 2 2 6" xfId="23513"/>
    <cellStyle name="40% - Accent2 4 2 2 7" xfId="23514"/>
    <cellStyle name="40% - Accent2 4 2 2 8" xfId="23515"/>
    <cellStyle name="40% - Accent2 4 2 3" xfId="23516"/>
    <cellStyle name="40% - Accent2 4 2 3 2" xfId="23517"/>
    <cellStyle name="40% - Accent2 4 2 3 2 2" xfId="23518"/>
    <cellStyle name="40% - Accent2 4 2 3 2 2 2" xfId="23519"/>
    <cellStyle name="40% - Accent2 4 2 3 2 2 2 2" xfId="23520"/>
    <cellStyle name="40% - Accent2 4 2 3 2 3" xfId="23521"/>
    <cellStyle name="40% - Accent2 4 2 3 2 3 2" xfId="23522"/>
    <cellStyle name="40% - Accent2 4 2 3 3" xfId="23523"/>
    <cellStyle name="40% - Accent2 4 2 3 3 2" xfId="23524"/>
    <cellStyle name="40% - Accent2 4 2 3 3 2 2" xfId="23525"/>
    <cellStyle name="40% - Accent2 4 2 3 4" xfId="23526"/>
    <cellStyle name="40% - Accent2 4 2 3 4 2" xfId="23527"/>
    <cellStyle name="40% - Accent2 4 2 3 5" xfId="23528"/>
    <cellStyle name="40% - Accent2 4 2 3 6" xfId="23529"/>
    <cellStyle name="40% - Accent2 4 2 3 7" xfId="23530"/>
    <cellStyle name="40% - Accent2 4 2 4" xfId="23531"/>
    <cellStyle name="40% - Accent2 4 2 4 2" xfId="23532"/>
    <cellStyle name="40% - Accent2 4 2 4 2 2" xfId="23533"/>
    <cellStyle name="40% - Accent2 4 2 4 2 2 2" xfId="23534"/>
    <cellStyle name="40% - Accent2 4 2 4 3" xfId="23535"/>
    <cellStyle name="40% - Accent2 4 2 4 3 2" xfId="23536"/>
    <cellStyle name="40% - Accent2 4 2 4 4" xfId="23537"/>
    <cellStyle name="40% - Accent2 4 2 5" xfId="23538"/>
    <cellStyle name="40% - Accent2 4 2 5 2" xfId="23539"/>
    <cellStyle name="40% - Accent2 4 2 5 2 2" xfId="23540"/>
    <cellStyle name="40% - Accent2 4 2 6" xfId="23541"/>
    <cellStyle name="40% - Accent2 4 2 6 2" xfId="23542"/>
    <cellStyle name="40% - Accent2 4 2 7" xfId="23543"/>
    <cellStyle name="40% - Accent2 4 2 8" xfId="23544"/>
    <cellStyle name="40% - Accent2 4 2 9" xfId="23545"/>
    <cellStyle name="40% - Accent2 4 3" xfId="23546"/>
    <cellStyle name="40% - Accent2 4 3 10" xfId="23547"/>
    <cellStyle name="40% - Accent2 4 3 11" xfId="23548"/>
    <cellStyle name="40% - Accent2 4 3 2" xfId="23549"/>
    <cellStyle name="40% - Accent2 4 3 2 2" xfId="23550"/>
    <cellStyle name="40% - Accent2 4 3 2 2 2" xfId="23551"/>
    <cellStyle name="40% - Accent2 4 3 2 2 2 2" xfId="23552"/>
    <cellStyle name="40% - Accent2 4 3 2 2 2 2 2" xfId="23553"/>
    <cellStyle name="40% - Accent2 4 3 2 2 2 2 2 2" xfId="23554"/>
    <cellStyle name="40% - Accent2 4 3 2 2 2 3" xfId="23555"/>
    <cellStyle name="40% - Accent2 4 3 2 2 2 3 2" xfId="23556"/>
    <cellStyle name="40% - Accent2 4 3 2 2 3" xfId="23557"/>
    <cellStyle name="40% - Accent2 4 3 2 2 3 2" xfId="23558"/>
    <cellStyle name="40% - Accent2 4 3 2 2 3 2 2" xfId="23559"/>
    <cellStyle name="40% - Accent2 4 3 2 2 4" xfId="23560"/>
    <cellStyle name="40% - Accent2 4 3 2 2 4 2" xfId="23561"/>
    <cellStyle name="40% - Accent2 4 3 2 3" xfId="23562"/>
    <cellStyle name="40% - Accent2 4 3 2 3 2" xfId="23563"/>
    <cellStyle name="40% - Accent2 4 3 2 3 2 2" xfId="23564"/>
    <cellStyle name="40% - Accent2 4 3 2 3 2 2 2" xfId="23565"/>
    <cellStyle name="40% - Accent2 4 3 2 3 3" xfId="23566"/>
    <cellStyle name="40% - Accent2 4 3 2 3 3 2" xfId="23567"/>
    <cellStyle name="40% - Accent2 4 3 2 4" xfId="23568"/>
    <cellStyle name="40% - Accent2 4 3 2 4 2" xfId="23569"/>
    <cellStyle name="40% - Accent2 4 3 2 4 2 2" xfId="23570"/>
    <cellStyle name="40% - Accent2 4 3 2 5" xfId="23571"/>
    <cellStyle name="40% - Accent2 4 3 2 5 2" xfId="23572"/>
    <cellStyle name="40% - Accent2 4 3 2 6" xfId="23573"/>
    <cellStyle name="40% - Accent2 4 3 2 7" xfId="23574"/>
    <cellStyle name="40% - Accent2 4 3 2 8" xfId="23575"/>
    <cellStyle name="40% - Accent2 4 3 3" xfId="23576"/>
    <cellStyle name="40% - Accent2 4 3 3 2" xfId="23577"/>
    <cellStyle name="40% - Accent2 4 3 3 2 2" xfId="23578"/>
    <cellStyle name="40% - Accent2 4 3 3 2 2 2" xfId="23579"/>
    <cellStyle name="40% - Accent2 4 3 3 2 2 2 2" xfId="23580"/>
    <cellStyle name="40% - Accent2 4 3 3 2 3" xfId="23581"/>
    <cellStyle name="40% - Accent2 4 3 3 2 3 2" xfId="23582"/>
    <cellStyle name="40% - Accent2 4 3 3 3" xfId="23583"/>
    <cellStyle name="40% - Accent2 4 3 3 3 2" xfId="23584"/>
    <cellStyle name="40% - Accent2 4 3 3 3 2 2" xfId="23585"/>
    <cellStyle name="40% - Accent2 4 3 3 4" xfId="23586"/>
    <cellStyle name="40% - Accent2 4 3 3 4 2" xfId="23587"/>
    <cellStyle name="40% - Accent2 4 3 3 5" xfId="23588"/>
    <cellStyle name="40% - Accent2 4 3 3 6" xfId="23589"/>
    <cellStyle name="40% - Accent2 4 3 3 7" xfId="23590"/>
    <cellStyle name="40% - Accent2 4 3 4" xfId="23591"/>
    <cellStyle name="40% - Accent2 4 3 4 2" xfId="23592"/>
    <cellStyle name="40% - Accent2 4 3 4 2 2" xfId="23593"/>
    <cellStyle name="40% - Accent2 4 3 4 2 2 2" xfId="23594"/>
    <cellStyle name="40% - Accent2 4 3 4 3" xfId="23595"/>
    <cellStyle name="40% - Accent2 4 3 4 3 2" xfId="23596"/>
    <cellStyle name="40% - Accent2 4 3 4 4" xfId="23597"/>
    <cellStyle name="40% - Accent2 4 3 5" xfId="23598"/>
    <cellStyle name="40% - Accent2 4 3 5 2" xfId="23599"/>
    <cellStyle name="40% - Accent2 4 3 5 2 2" xfId="23600"/>
    <cellStyle name="40% - Accent2 4 3 6" xfId="23601"/>
    <cellStyle name="40% - Accent2 4 3 6 2" xfId="23602"/>
    <cellStyle name="40% - Accent2 4 3 7" xfId="23603"/>
    <cellStyle name="40% - Accent2 4 3 8" xfId="23604"/>
    <cellStyle name="40% - Accent2 4 3 9" xfId="23605"/>
    <cellStyle name="40% - Accent2 4 4" xfId="23606"/>
    <cellStyle name="40% - Accent2 4 4 2" xfId="23607"/>
    <cellStyle name="40% - Accent2 4 4 2 2" xfId="23608"/>
    <cellStyle name="40% - Accent2 4 4 2 2 2" xfId="23609"/>
    <cellStyle name="40% - Accent2 4 4 2 2 2 2" xfId="23610"/>
    <cellStyle name="40% - Accent2 4 4 2 2 2 2 2" xfId="23611"/>
    <cellStyle name="40% - Accent2 4 4 2 2 2 2 2 2" xfId="23612"/>
    <cellStyle name="40% - Accent2 4 4 2 2 2 3" xfId="23613"/>
    <cellStyle name="40% - Accent2 4 4 2 2 2 3 2" xfId="23614"/>
    <cellStyle name="40% - Accent2 4 4 2 2 3" xfId="23615"/>
    <cellStyle name="40% - Accent2 4 4 2 2 3 2" xfId="23616"/>
    <cellStyle name="40% - Accent2 4 4 2 2 3 2 2" xfId="23617"/>
    <cellStyle name="40% - Accent2 4 4 2 2 4" xfId="23618"/>
    <cellStyle name="40% - Accent2 4 4 2 2 4 2" xfId="23619"/>
    <cellStyle name="40% - Accent2 4 4 2 3" xfId="23620"/>
    <cellStyle name="40% - Accent2 4 4 2 3 2" xfId="23621"/>
    <cellStyle name="40% - Accent2 4 4 2 3 2 2" xfId="23622"/>
    <cellStyle name="40% - Accent2 4 4 2 3 2 2 2" xfId="23623"/>
    <cellStyle name="40% - Accent2 4 4 2 3 3" xfId="23624"/>
    <cellStyle name="40% - Accent2 4 4 2 3 3 2" xfId="23625"/>
    <cellStyle name="40% - Accent2 4 4 2 4" xfId="23626"/>
    <cellStyle name="40% - Accent2 4 4 2 4 2" xfId="23627"/>
    <cellStyle name="40% - Accent2 4 4 2 4 2 2" xfId="23628"/>
    <cellStyle name="40% - Accent2 4 4 2 5" xfId="23629"/>
    <cellStyle name="40% - Accent2 4 4 2 5 2" xfId="23630"/>
    <cellStyle name="40% - Accent2 4 4 3" xfId="23631"/>
    <cellStyle name="40% - Accent2 4 4 3 2" xfId="23632"/>
    <cellStyle name="40% - Accent2 4 4 3 2 2" xfId="23633"/>
    <cellStyle name="40% - Accent2 4 4 3 2 2 2" xfId="23634"/>
    <cellStyle name="40% - Accent2 4 4 3 2 2 2 2" xfId="23635"/>
    <cellStyle name="40% - Accent2 4 4 3 2 3" xfId="23636"/>
    <cellStyle name="40% - Accent2 4 4 3 2 3 2" xfId="23637"/>
    <cellStyle name="40% - Accent2 4 4 3 3" xfId="23638"/>
    <cellStyle name="40% - Accent2 4 4 3 3 2" xfId="23639"/>
    <cellStyle name="40% - Accent2 4 4 3 3 2 2" xfId="23640"/>
    <cellStyle name="40% - Accent2 4 4 3 4" xfId="23641"/>
    <cellStyle name="40% - Accent2 4 4 3 4 2" xfId="23642"/>
    <cellStyle name="40% - Accent2 4 4 4" xfId="23643"/>
    <cellStyle name="40% - Accent2 4 4 4 2" xfId="23644"/>
    <cellStyle name="40% - Accent2 4 4 4 2 2" xfId="23645"/>
    <cellStyle name="40% - Accent2 4 4 4 2 2 2" xfId="23646"/>
    <cellStyle name="40% - Accent2 4 4 4 3" xfId="23647"/>
    <cellStyle name="40% - Accent2 4 4 4 3 2" xfId="23648"/>
    <cellStyle name="40% - Accent2 4 4 5" xfId="23649"/>
    <cellStyle name="40% - Accent2 4 4 5 2" xfId="23650"/>
    <cellStyle name="40% - Accent2 4 4 5 2 2" xfId="23651"/>
    <cellStyle name="40% - Accent2 4 4 6" xfId="23652"/>
    <cellStyle name="40% - Accent2 4 4 6 2" xfId="23653"/>
    <cellStyle name="40% - Accent2 4 4 7" xfId="23654"/>
    <cellStyle name="40% - Accent2 4 5" xfId="23655"/>
    <cellStyle name="40% - Accent2 4 5 2" xfId="23656"/>
    <cellStyle name="40% - Accent2 4 5 2 2" xfId="23657"/>
    <cellStyle name="40% - Accent2 4 5 2 2 2" xfId="23658"/>
    <cellStyle name="40% - Accent2 4 5 2 2 2 2" xfId="23659"/>
    <cellStyle name="40% - Accent2 4 5 2 2 2 2 2" xfId="23660"/>
    <cellStyle name="40% - Accent2 4 5 2 2 2 2 2 2" xfId="23661"/>
    <cellStyle name="40% - Accent2 4 5 2 2 2 3" xfId="23662"/>
    <cellStyle name="40% - Accent2 4 5 2 2 2 3 2" xfId="23663"/>
    <cellStyle name="40% - Accent2 4 5 2 2 3" xfId="23664"/>
    <cellStyle name="40% - Accent2 4 5 2 2 3 2" xfId="23665"/>
    <cellStyle name="40% - Accent2 4 5 2 2 3 2 2" xfId="23666"/>
    <cellStyle name="40% - Accent2 4 5 2 2 4" xfId="23667"/>
    <cellStyle name="40% - Accent2 4 5 2 2 4 2" xfId="23668"/>
    <cellStyle name="40% - Accent2 4 5 2 3" xfId="23669"/>
    <cellStyle name="40% - Accent2 4 5 2 3 2" xfId="23670"/>
    <cellStyle name="40% - Accent2 4 5 2 3 2 2" xfId="23671"/>
    <cellStyle name="40% - Accent2 4 5 2 3 2 2 2" xfId="23672"/>
    <cellStyle name="40% - Accent2 4 5 2 3 3" xfId="23673"/>
    <cellStyle name="40% - Accent2 4 5 2 3 3 2" xfId="23674"/>
    <cellStyle name="40% - Accent2 4 5 2 4" xfId="23675"/>
    <cellStyle name="40% - Accent2 4 5 2 4 2" xfId="23676"/>
    <cellStyle name="40% - Accent2 4 5 2 4 2 2" xfId="23677"/>
    <cellStyle name="40% - Accent2 4 5 2 5" xfId="23678"/>
    <cellStyle name="40% - Accent2 4 5 2 5 2" xfId="23679"/>
    <cellStyle name="40% - Accent2 4 5 3" xfId="23680"/>
    <cellStyle name="40% - Accent2 4 5 3 2" xfId="23681"/>
    <cellStyle name="40% - Accent2 4 5 3 2 2" xfId="23682"/>
    <cellStyle name="40% - Accent2 4 5 3 2 2 2" xfId="23683"/>
    <cellStyle name="40% - Accent2 4 5 3 2 2 2 2" xfId="23684"/>
    <cellStyle name="40% - Accent2 4 5 3 2 3" xfId="23685"/>
    <cellStyle name="40% - Accent2 4 5 3 2 3 2" xfId="23686"/>
    <cellStyle name="40% - Accent2 4 5 3 3" xfId="23687"/>
    <cellStyle name="40% - Accent2 4 5 3 3 2" xfId="23688"/>
    <cellStyle name="40% - Accent2 4 5 3 3 2 2" xfId="23689"/>
    <cellStyle name="40% - Accent2 4 5 3 4" xfId="23690"/>
    <cellStyle name="40% - Accent2 4 5 3 4 2" xfId="23691"/>
    <cellStyle name="40% - Accent2 4 5 4" xfId="23692"/>
    <cellStyle name="40% - Accent2 4 5 4 2" xfId="23693"/>
    <cellStyle name="40% - Accent2 4 5 4 2 2" xfId="23694"/>
    <cellStyle name="40% - Accent2 4 5 4 2 2 2" xfId="23695"/>
    <cellStyle name="40% - Accent2 4 5 4 3" xfId="23696"/>
    <cellStyle name="40% - Accent2 4 5 4 3 2" xfId="23697"/>
    <cellStyle name="40% - Accent2 4 5 5" xfId="23698"/>
    <cellStyle name="40% - Accent2 4 5 5 2" xfId="23699"/>
    <cellStyle name="40% - Accent2 4 5 5 2 2" xfId="23700"/>
    <cellStyle name="40% - Accent2 4 5 6" xfId="23701"/>
    <cellStyle name="40% - Accent2 4 5 6 2" xfId="23702"/>
    <cellStyle name="40% - Accent2 4 5 7" xfId="23703"/>
    <cellStyle name="40% - Accent2 4 6" xfId="23704"/>
    <cellStyle name="40% - Accent2 4 6 2" xfId="23705"/>
    <cellStyle name="40% - Accent2 4 6 2 2" xfId="23706"/>
    <cellStyle name="40% - Accent2 4 6 2 2 2" xfId="23707"/>
    <cellStyle name="40% - Accent2 4 6 2 2 2 2" xfId="23708"/>
    <cellStyle name="40% - Accent2 4 6 2 2 2 2 2" xfId="23709"/>
    <cellStyle name="40% - Accent2 4 6 2 2 2 2 2 2" xfId="23710"/>
    <cellStyle name="40% - Accent2 4 6 2 2 2 3" xfId="23711"/>
    <cellStyle name="40% - Accent2 4 6 2 2 2 3 2" xfId="23712"/>
    <cellStyle name="40% - Accent2 4 6 2 2 3" xfId="23713"/>
    <cellStyle name="40% - Accent2 4 6 2 2 3 2" xfId="23714"/>
    <cellStyle name="40% - Accent2 4 6 2 2 3 2 2" xfId="23715"/>
    <cellStyle name="40% - Accent2 4 6 2 2 4" xfId="23716"/>
    <cellStyle name="40% - Accent2 4 6 2 2 4 2" xfId="23717"/>
    <cellStyle name="40% - Accent2 4 6 2 3" xfId="23718"/>
    <cellStyle name="40% - Accent2 4 6 2 3 2" xfId="23719"/>
    <cellStyle name="40% - Accent2 4 6 2 3 2 2" xfId="23720"/>
    <cellStyle name="40% - Accent2 4 6 2 3 2 2 2" xfId="23721"/>
    <cellStyle name="40% - Accent2 4 6 2 3 3" xfId="23722"/>
    <cellStyle name="40% - Accent2 4 6 2 3 3 2" xfId="23723"/>
    <cellStyle name="40% - Accent2 4 6 2 4" xfId="23724"/>
    <cellStyle name="40% - Accent2 4 6 2 4 2" xfId="23725"/>
    <cellStyle name="40% - Accent2 4 6 2 4 2 2" xfId="23726"/>
    <cellStyle name="40% - Accent2 4 6 2 5" xfId="23727"/>
    <cellStyle name="40% - Accent2 4 6 2 5 2" xfId="23728"/>
    <cellStyle name="40% - Accent2 4 6 3" xfId="23729"/>
    <cellStyle name="40% - Accent2 4 6 3 2" xfId="23730"/>
    <cellStyle name="40% - Accent2 4 6 3 2 2" xfId="23731"/>
    <cellStyle name="40% - Accent2 4 6 3 2 2 2" xfId="23732"/>
    <cellStyle name="40% - Accent2 4 6 3 2 2 2 2" xfId="23733"/>
    <cellStyle name="40% - Accent2 4 6 3 2 3" xfId="23734"/>
    <cellStyle name="40% - Accent2 4 6 3 2 3 2" xfId="23735"/>
    <cellStyle name="40% - Accent2 4 6 3 3" xfId="23736"/>
    <cellStyle name="40% - Accent2 4 6 3 3 2" xfId="23737"/>
    <cellStyle name="40% - Accent2 4 6 3 3 2 2" xfId="23738"/>
    <cellStyle name="40% - Accent2 4 6 3 4" xfId="23739"/>
    <cellStyle name="40% - Accent2 4 6 3 4 2" xfId="23740"/>
    <cellStyle name="40% - Accent2 4 6 4" xfId="23741"/>
    <cellStyle name="40% - Accent2 4 6 4 2" xfId="23742"/>
    <cellStyle name="40% - Accent2 4 6 4 2 2" xfId="23743"/>
    <cellStyle name="40% - Accent2 4 6 4 2 2 2" xfId="23744"/>
    <cellStyle name="40% - Accent2 4 6 4 3" xfId="23745"/>
    <cellStyle name="40% - Accent2 4 6 4 3 2" xfId="23746"/>
    <cellStyle name="40% - Accent2 4 6 5" xfId="23747"/>
    <cellStyle name="40% - Accent2 4 6 5 2" xfId="23748"/>
    <cellStyle name="40% - Accent2 4 6 5 2 2" xfId="23749"/>
    <cellStyle name="40% - Accent2 4 6 6" xfId="23750"/>
    <cellStyle name="40% - Accent2 4 6 6 2" xfId="23751"/>
    <cellStyle name="40% - Accent2 4 6 7" xfId="23752"/>
    <cellStyle name="40% - Accent2 4 7" xfId="23753"/>
    <cellStyle name="40% - Accent2 4 7 2" xfId="23754"/>
    <cellStyle name="40% - Accent2 4 7 2 2" xfId="23755"/>
    <cellStyle name="40% - Accent2 4 7 2 2 2" xfId="23756"/>
    <cellStyle name="40% - Accent2 4 7 2 2 2 2" xfId="23757"/>
    <cellStyle name="40% - Accent2 4 7 2 2 2 2 2" xfId="23758"/>
    <cellStyle name="40% - Accent2 4 7 2 2 2 2 2 2" xfId="23759"/>
    <cellStyle name="40% - Accent2 4 7 2 2 2 3" xfId="23760"/>
    <cellStyle name="40% - Accent2 4 7 2 2 2 3 2" xfId="23761"/>
    <cellStyle name="40% - Accent2 4 7 2 2 3" xfId="23762"/>
    <cellStyle name="40% - Accent2 4 7 2 2 3 2" xfId="23763"/>
    <cellStyle name="40% - Accent2 4 7 2 2 3 2 2" xfId="23764"/>
    <cellStyle name="40% - Accent2 4 7 2 2 4" xfId="23765"/>
    <cellStyle name="40% - Accent2 4 7 2 2 4 2" xfId="23766"/>
    <cellStyle name="40% - Accent2 4 7 2 3" xfId="23767"/>
    <cellStyle name="40% - Accent2 4 7 2 3 2" xfId="23768"/>
    <cellStyle name="40% - Accent2 4 7 2 3 2 2" xfId="23769"/>
    <cellStyle name="40% - Accent2 4 7 2 3 2 2 2" xfId="23770"/>
    <cellStyle name="40% - Accent2 4 7 2 3 3" xfId="23771"/>
    <cellStyle name="40% - Accent2 4 7 2 3 3 2" xfId="23772"/>
    <cellStyle name="40% - Accent2 4 7 2 4" xfId="23773"/>
    <cellStyle name="40% - Accent2 4 7 2 4 2" xfId="23774"/>
    <cellStyle name="40% - Accent2 4 7 2 4 2 2" xfId="23775"/>
    <cellStyle name="40% - Accent2 4 7 2 5" xfId="23776"/>
    <cellStyle name="40% - Accent2 4 7 2 5 2" xfId="23777"/>
    <cellStyle name="40% - Accent2 4 7 3" xfId="23778"/>
    <cellStyle name="40% - Accent2 4 7 3 2" xfId="23779"/>
    <cellStyle name="40% - Accent2 4 7 3 2 2" xfId="23780"/>
    <cellStyle name="40% - Accent2 4 7 3 2 2 2" xfId="23781"/>
    <cellStyle name="40% - Accent2 4 7 3 2 2 2 2" xfId="23782"/>
    <cellStyle name="40% - Accent2 4 7 3 2 3" xfId="23783"/>
    <cellStyle name="40% - Accent2 4 7 3 2 3 2" xfId="23784"/>
    <cellStyle name="40% - Accent2 4 7 3 3" xfId="23785"/>
    <cellStyle name="40% - Accent2 4 7 3 3 2" xfId="23786"/>
    <cellStyle name="40% - Accent2 4 7 3 3 2 2" xfId="23787"/>
    <cellStyle name="40% - Accent2 4 7 3 4" xfId="23788"/>
    <cellStyle name="40% - Accent2 4 7 3 4 2" xfId="23789"/>
    <cellStyle name="40% - Accent2 4 7 4" xfId="23790"/>
    <cellStyle name="40% - Accent2 4 7 4 2" xfId="23791"/>
    <cellStyle name="40% - Accent2 4 7 4 2 2" xfId="23792"/>
    <cellStyle name="40% - Accent2 4 7 4 2 2 2" xfId="23793"/>
    <cellStyle name="40% - Accent2 4 7 4 3" xfId="23794"/>
    <cellStyle name="40% - Accent2 4 7 4 3 2" xfId="23795"/>
    <cellStyle name="40% - Accent2 4 7 5" xfId="23796"/>
    <cellStyle name="40% - Accent2 4 7 5 2" xfId="23797"/>
    <cellStyle name="40% - Accent2 4 7 5 2 2" xfId="23798"/>
    <cellStyle name="40% - Accent2 4 7 6" xfId="23799"/>
    <cellStyle name="40% - Accent2 4 7 6 2" xfId="23800"/>
    <cellStyle name="40% - Accent2 4 7 7" xfId="23801"/>
    <cellStyle name="40% - Accent2 4 8" xfId="23802"/>
    <cellStyle name="40% - Accent2 4 8 2" xfId="23803"/>
    <cellStyle name="40% - Accent2 4 8 2 2" xfId="23804"/>
    <cellStyle name="40% - Accent2 4 8 2 2 2" xfId="23805"/>
    <cellStyle name="40% - Accent2 4 8 2 2 2 2" xfId="23806"/>
    <cellStyle name="40% - Accent2 4 8 2 2 2 2 2" xfId="23807"/>
    <cellStyle name="40% - Accent2 4 8 2 2 2 2 2 2" xfId="23808"/>
    <cellStyle name="40% - Accent2 4 8 2 2 2 3" xfId="23809"/>
    <cellStyle name="40% - Accent2 4 8 2 2 2 3 2" xfId="23810"/>
    <cellStyle name="40% - Accent2 4 8 2 2 3" xfId="23811"/>
    <cellStyle name="40% - Accent2 4 8 2 2 3 2" xfId="23812"/>
    <cellStyle name="40% - Accent2 4 8 2 2 3 2 2" xfId="23813"/>
    <cellStyle name="40% - Accent2 4 8 2 2 4" xfId="23814"/>
    <cellStyle name="40% - Accent2 4 8 2 2 4 2" xfId="23815"/>
    <cellStyle name="40% - Accent2 4 8 2 3" xfId="23816"/>
    <cellStyle name="40% - Accent2 4 8 2 3 2" xfId="23817"/>
    <cellStyle name="40% - Accent2 4 8 2 3 2 2" xfId="23818"/>
    <cellStyle name="40% - Accent2 4 8 2 3 2 2 2" xfId="23819"/>
    <cellStyle name="40% - Accent2 4 8 2 3 3" xfId="23820"/>
    <cellStyle name="40% - Accent2 4 8 2 3 3 2" xfId="23821"/>
    <cellStyle name="40% - Accent2 4 8 2 4" xfId="23822"/>
    <cellStyle name="40% - Accent2 4 8 2 4 2" xfId="23823"/>
    <cellStyle name="40% - Accent2 4 8 2 4 2 2" xfId="23824"/>
    <cellStyle name="40% - Accent2 4 8 2 5" xfId="23825"/>
    <cellStyle name="40% - Accent2 4 8 2 5 2" xfId="23826"/>
    <cellStyle name="40% - Accent2 4 8 3" xfId="23827"/>
    <cellStyle name="40% - Accent2 4 8 3 2" xfId="23828"/>
    <cellStyle name="40% - Accent2 4 8 3 2 2" xfId="23829"/>
    <cellStyle name="40% - Accent2 4 8 3 2 2 2" xfId="23830"/>
    <cellStyle name="40% - Accent2 4 8 3 2 2 2 2" xfId="23831"/>
    <cellStyle name="40% - Accent2 4 8 3 2 3" xfId="23832"/>
    <cellStyle name="40% - Accent2 4 8 3 2 3 2" xfId="23833"/>
    <cellStyle name="40% - Accent2 4 8 3 3" xfId="23834"/>
    <cellStyle name="40% - Accent2 4 8 3 3 2" xfId="23835"/>
    <cellStyle name="40% - Accent2 4 8 3 3 2 2" xfId="23836"/>
    <cellStyle name="40% - Accent2 4 8 3 4" xfId="23837"/>
    <cellStyle name="40% - Accent2 4 8 3 4 2" xfId="23838"/>
    <cellStyle name="40% - Accent2 4 8 4" xfId="23839"/>
    <cellStyle name="40% - Accent2 4 8 4 2" xfId="23840"/>
    <cellStyle name="40% - Accent2 4 8 4 2 2" xfId="23841"/>
    <cellStyle name="40% - Accent2 4 8 4 2 2 2" xfId="23842"/>
    <cellStyle name="40% - Accent2 4 8 4 3" xfId="23843"/>
    <cellStyle name="40% - Accent2 4 8 4 3 2" xfId="23844"/>
    <cellStyle name="40% - Accent2 4 8 5" xfId="23845"/>
    <cellStyle name="40% - Accent2 4 8 5 2" xfId="23846"/>
    <cellStyle name="40% - Accent2 4 8 5 2 2" xfId="23847"/>
    <cellStyle name="40% - Accent2 4 8 6" xfId="23848"/>
    <cellStyle name="40% - Accent2 4 8 6 2" xfId="23849"/>
    <cellStyle name="40% - Accent2 4 8 7" xfId="23850"/>
    <cellStyle name="40% - Accent2 4 9" xfId="23851"/>
    <cellStyle name="40% - Accent2 4 9 2" xfId="23852"/>
    <cellStyle name="40% - Accent2 4 9 2 2" xfId="23853"/>
    <cellStyle name="40% - Accent2 4 9 2 2 2" xfId="23854"/>
    <cellStyle name="40% - Accent2 4 9 2 2 2 2" xfId="23855"/>
    <cellStyle name="40% - Accent2 4 9 2 2 2 2 2" xfId="23856"/>
    <cellStyle name="40% - Accent2 4 9 2 2 2 2 2 2" xfId="23857"/>
    <cellStyle name="40% - Accent2 4 9 2 2 2 3" xfId="23858"/>
    <cellStyle name="40% - Accent2 4 9 2 2 2 3 2" xfId="23859"/>
    <cellStyle name="40% - Accent2 4 9 2 2 3" xfId="23860"/>
    <cellStyle name="40% - Accent2 4 9 2 2 3 2" xfId="23861"/>
    <cellStyle name="40% - Accent2 4 9 2 2 3 2 2" xfId="23862"/>
    <cellStyle name="40% - Accent2 4 9 2 2 4" xfId="23863"/>
    <cellStyle name="40% - Accent2 4 9 2 2 4 2" xfId="23864"/>
    <cellStyle name="40% - Accent2 4 9 2 3" xfId="23865"/>
    <cellStyle name="40% - Accent2 4 9 2 3 2" xfId="23866"/>
    <cellStyle name="40% - Accent2 4 9 2 3 2 2" xfId="23867"/>
    <cellStyle name="40% - Accent2 4 9 2 3 2 2 2" xfId="23868"/>
    <cellStyle name="40% - Accent2 4 9 2 3 3" xfId="23869"/>
    <cellStyle name="40% - Accent2 4 9 2 3 3 2" xfId="23870"/>
    <cellStyle name="40% - Accent2 4 9 2 4" xfId="23871"/>
    <cellStyle name="40% - Accent2 4 9 2 4 2" xfId="23872"/>
    <cellStyle name="40% - Accent2 4 9 2 4 2 2" xfId="23873"/>
    <cellStyle name="40% - Accent2 4 9 2 5" xfId="23874"/>
    <cellStyle name="40% - Accent2 4 9 2 5 2" xfId="23875"/>
    <cellStyle name="40% - Accent2 4 9 3" xfId="23876"/>
    <cellStyle name="40% - Accent2 4 9 3 2" xfId="23877"/>
    <cellStyle name="40% - Accent2 4 9 3 2 2" xfId="23878"/>
    <cellStyle name="40% - Accent2 4 9 3 2 2 2" xfId="23879"/>
    <cellStyle name="40% - Accent2 4 9 3 2 2 2 2" xfId="23880"/>
    <cellStyle name="40% - Accent2 4 9 3 2 3" xfId="23881"/>
    <cellStyle name="40% - Accent2 4 9 3 2 3 2" xfId="23882"/>
    <cellStyle name="40% - Accent2 4 9 3 3" xfId="23883"/>
    <cellStyle name="40% - Accent2 4 9 3 3 2" xfId="23884"/>
    <cellStyle name="40% - Accent2 4 9 3 3 2 2" xfId="23885"/>
    <cellStyle name="40% - Accent2 4 9 3 4" xfId="23886"/>
    <cellStyle name="40% - Accent2 4 9 3 4 2" xfId="23887"/>
    <cellStyle name="40% - Accent2 4 9 4" xfId="23888"/>
    <cellStyle name="40% - Accent2 4 9 4 2" xfId="23889"/>
    <cellStyle name="40% - Accent2 4 9 4 2 2" xfId="23890"/>
    <cellStyle name="40% - Accent2 4 9 4 2 2 2" xfId="23891"/>
    <cellStyle name="40% - Accent2 4 9 4 3" xfId="23892"/>
    <cellStyle name="40% - Accent2 4 9 4 3 2" xfId="23893"/>
    <cellStyle name="40% - Accent2 4 9 5" xfId="23894"/>
    <cellStyle name="40% - Accent2 4 9 5 2" xfId="23895"/>
    <cellStyle name="40% - Accent2 4 9 5 2 2" xfId="23896"/>
    <cellStyle name="40% - Accent2 4 9 6" xfId="23897"/>
    <cellStyle name="40% - Accent2 4 9 6 2" xfId="23898"/>
    <cellStyle name="40% - Accent2 4 9 7" xfId="23899"/>
    <cellStyle name="40% - Accent2 4 9 8" xfId="23900"/>
    <cellStyle name="40% - Accent2 4 9 9" xfId="23901"/>
    <cellStyle name="40% - Accent2 40" xfId="23902"/>
    <cellStyle name="40% - Accent2 40 2" xfId="23903"/>
    <cellStyle name="40% - Accent2 40 2 2" xfId="23904"/>
    <cellStyle name="40% - Accent2 40 2 3" xfId="23905"/>
    <cellStyle name="40% - Accent2 40 2 4" xfId="23906"/>
    <cellStyle name="40% - Accent2 40 3" xfId="23907"/>
    <cellStyle name="40% - Accent2 40 3 2" xfId="23908"/>
    <cellStyle name="40% - Accent2 40 3 3" xfId="23909"/>
    <cellStyle name="40% - Accent2 40 4" xfId="23910"/>
    <cellStyle name="40% - Accent2 40 4 2" xfId="23911"/>
    <cellStyle name="40% - Accent2 40 5" xfId="23912"/>
    <cellStyle name="40% - Accent2 40 6" xfId="23913"/>
    <cellStyle name="40% - Accent2 40 7" xfId="23914"/>
    <cellStyle name="40% - Accent2 41" xfId="23915"/>
    <cellStyle name="40% - Accent2 41 2" xfId="23916"/>
    <cellStyle name="40% - Accent2 41 2 2" xfId="23917"/>
    <cellStyle name="40% - Accent2 41 2 3" xfId="23918"/>
    <cellStyle name="40% - Accent2 41 2 4" xfId="23919"/>
    <cellStyle name="40% - Accent2 41 3" xfId="23920"/>
    <cellStyle name="40% - Accent2 41 3 2" xfId="23921"/>
    <cellStyle name="40% - Accent2 41 3 3" xfId="23922"/>
    <cellStyle name="40% - Accent2 41 4" xfId="23923"/>
    <cellStyle name="40% - Accent2 41 4 2" xfId="23924"/>
    <cellStyle name="40% - Accent2 41 5" xfId="23925"/>
    <cellStyle name="40% - Accent2 41 6" xfId="23926"/>
    <cellStyle name="40% - Accent2 41 7" xfId="23927"/>
    <cellStyle name="40% - Accent2 42" xfId="23928"/>
    <cellStyle name="40% - Accent2 42 2" xfId="23929"/>
    <cellStyle name="40% - Accent2 42 2 2" xfId="23930"/>
    <cellStyle name="40% - Accent2 42 2 3" xfId="23931"/>
    <cellStyle name="40% - Accent2 42 2 4" xfId="23932"/>
    <cellStyle name="40% - Accent2 42 3" xfId="23933"/>
    <cellStyle name="40% - Accent2 42 3 2" xfId="23934"/>
    <cellStyle name="40% - Accent2 42 3 3" xfId="23935"/>
    <cellStyle name="40% - Accent2 42 4" xfId="23936"/>
    <cellStyle name="40% - Accent2 42 4 2" xfId="23937"/>
    <cellStyle name="40% - Accent2 42 5" xfId="23938"/>
    <cellStyle name="40% - Accent2 42 6" xfId="23939"/>
    <cellStyle name="40% - Accent2 42 7" xfId="23940"/>
    <cellStyle name="40% - Accent2 43" xfId="23941"/>
    <cellStyle name="40% - Accent2 43 2" xfId="23942"/>
    <cellStyle name="40% - Accent2 43 2 2" xfId="23943"/>
    <cellStyle name="40% - Accent2 43 2 3" xfId="23944"/>
    <cellStyle name="40% - Accent2 43 2 4" xfId="23945"/>
    <cellStyle name="40% - Accent2 43 3" xfId="23946"/>
    <cellStyle name="40% - Accent2 43 3 2" xfId="23947"/>
    <cellStyle name="40% - Accent2 43 3 3" xfId="23948"/>
    <cellStyle name="40% - Accent2 43 4" xfId="23949"/>
    <cellStyle name="40% - Accent2 43 4 2" xfId="23950"/>
    <cellStyle name="40% - Accent2 43 5" xfId="23951"/>
    <cellStyle name="40% - Accent2 43 6" xfId="23952"/>
    <cellStyle name="40% - Accent2 43 7" xfId="23953"/>
    <cellStyle name="40% - Accent2 44" xfId="23954"/>
    <cellStyle name="40% - Accent2 44 2" xfId="23955"/>
    <cellStyle name="40% - Accent2 44 2 2" xfId="23956"/>
    <cellStyle name="40% - Accent2 44 2 3" xfId="23957"/>
    <cellStyle name="40% - Accent2 44 2 4" xfId="23958"/>
    <cellStyle name="40% - Accent2 44 3" xfId="23959"/>
    <cellStyle name="40% - Accent2 44 3 2" xfId="23960"/>
    <cellStyle name="40% - Accent2 44 3 3" xfId="23961"/>
    <cellStyle name="40% - Accent2 44 4" xfId="23962"/>
    <cellStyle name="40% - Accent2 44 4 2" xfId="23963"/>
    <cellStyle name="40% - Accent2 44 5" xfId="23964"/>
    <cellStyle name="40% - Accent2 44 6" xfId="23965"/>
    <cellStyle name="40% - Accent2 44 7" xfId="23966"/>
    <cellStyle name="40% - Accent2 45" xfId="23967"/>
    <cellStyle name="40% - Accent2 45 2" xfId="23968"/>
    <cellStyle name="40% - Accent2 45 2 2" xfId="23969"/>
    <cellStyle name="40% - Accent2 45 2 3" xfId="23970"/>
    <cellStyle name="40% - Accent2 45 2 4" xfId="23971"/>
    <cellStyle name="40% - Accent2 45 3" xfId="23972"/>
    <cellStyle name="40% - Accent2 45 3 2" xfId="23973"/>
    <cellStyle name="40% - Accent2 45 3 3" xfId="23974"/>
    <cellStyle name="40% - Accent2 45 4" xfId="23975"/>
    <cellStyle name="40% - Accent2 45 4 2" xfId="23976"/>
    <cellStyle name="40% - Accent2 45 5" xfId="23977"/>
    <cellStyle name="40% - Accent2 45 6" xfId="23978"/>
    <cellStyle name="40% - Accent2 45 7" xfId="23979"/>
    <cellStyle name="40% - Accent2 46" xfId="23980"/>
    <cellStyle name="40% - Accent2 46 2" xfId="23981"/>
    <cellStyle name="40% - Accent2 46 2 2" xfId="23982"/>
    <cellStyle name="40% - Accent2 46 2 3" xfId="23983"/>
    <cellStyle name="40% - Accent2 46 2 4" xfId="23984"/>
    <cellStyle name="40% - Accent2 46 3" xfId="23985"/>
    <cellStyle name="40% - Accent2 46 3 2" xfId="23986"/>
    <cellStyle name="40% - Accent2 46 3 3" xfId="23987"/>
    <cellStyle name="40% - Accent2 46 4" xfId="23988"/>
    <cellStyle name="40% - Accent2 46 4 2" xfId="23989"/>
    <cellStyle name="40% - Accent2 46 5" xfId="23990"/>
    <cellStyle name="40% - Accent2 46 6" xfId="23991"/>
    <cellStyle name="40% - Accent2 46 7" xfId="23992"/>
    <cellStyle name="40% - Accent2 47" xfId="23993"/>
    <cellStyle name="40% - Accent2 47 2" xfId="23994"/>
    <cellStyle name="40% - Accent2 47 2 2" xfId="23995"/>
    <cellStyle name="40% - Accent2 47 2 3" xfId="23996"/>
    <cellStyle name="40% - Accent2 47 2 4" xfId="23997"/>
    <cellStyle name="40% - Accent2 47 3" xfId="23998"/>
    <cellStyle name="40% - Accent2 47 3 2" xfId="23999"/>
    <cellStyle name="40% - Accent2 47 3 3" xfId="24000"/>
    <cellStyle name="40% - Accent2 47 4" xfId="24001"/>
    <cellStyle name="40% - Accent2 47 4 2" xfId="24002"/>
    <cellStyle name="40% - Accent2 47 5" xfId="24003"/>
    <cellStyle name="40% - Accent2 47 6" xfId="24004"/>
    <cellStyle name="40% - Accent2 47 7" xfId="24005"/>
    <cellStyle name="40% - Accent2 48" xfId="24006"/>
    <cellStyle name="40% - Accent2 48 2" xfId="24007"/>
    <cellStyle name="40% - Accent2 48 2 2" xfId="24008"/>
    <cellStyle name="40% - Accent2 48 2 3" xfId="24009"/>
    <cellStyle name="40% - Accent2 48 2 4" xfId="24010"/>
    <cellStyle name="40% - Accent2 48 3" xfId="24011"/>
    <cellStyle name="40% - Accent2 48 3 2" xfId="24012"/>
    <cellStyle name="40% - Accent2 48 3 3" xfId="24013"/>
    <cellStyle name="40% - Accent2 48 4" xfId="24014"/>
    <cellStyle name="40% - Accent2 48 4 2" xfId="24015"/>
    <cellStyle name="40% - Accent2 48 5" xfId="24016"/>
    <cellStyle name="40% - Accent2 48 6" xfId="24017"/>
    <cellStyle name="40% - Accent2 48 7" xfId="24018"/>
    <cellStyle name="40% - Accent2 49" xfId="24019"/>
    <cellStyle name="40% - Accent2 49 2" xfId="24020"/>
    <cellStyle name="40% - Accent2 49 2 2" xfId="24021"/>
    <cellStyle name="40% - Accent2 49 2 3" xfId="24022"/>
    <cellStyle name="40% - Accent2 49 2 4" xfId="24023"/>
    <cellStyle name="40% - Accent2 49 3" xfId="24024"/>
    <cellStyle name="40% - Accent2 49 3 2" xfId="24025"/>
    <cellStyle name="40% - Accent2 49 3 3" xfId="24026"/>
    <cellStyle name="40% - Accent2 49 4" xfId="24027"/>
    <cellStyle name="40% - Accent2 49 4 2" xfId="24028"/>
    <cellStyle name="40% - Accent2 49 5" xfId="24029"/>
    <cellStyle name="40% - Accent2 49 6" xfId="24030"/>
    <cellStyle name="40% - Accent2 49 7" xfId="24031"/>
    <cellStyle name="40% - Accent2 5" xfId="24032"/>
    <cellStyle name="40% - Accent2 5 2" xfId="24033"/>
    <cellStyle name="40% - Accent2 5 3" xfId="24034"/>
    <cellStyle name="40% - Accent2 5 4" xfId="24035"/>
    <cellStyle name="40% - Accent2 5 5" xfId="24036"/>
    <cellStyle name="40% - Accent2 5 6" xfId="24037"/>
    <cellStyle name="40% - Accent2 5 7" xfId="24038"/>
    <cellStyle name="40% - Accent2 5 8" xfId="24039"/>
    <cellStyle name="40% - Accent2 50" xfId="24040"/>
    <cellStyle name="40% - Accent2 50 2" xfId="24041"/>
    <cellStyle name="40% - Accent2 50 2 2" xfId="24042"/>
    <cellStyle name="40% - Accent2 50 2 3" xfId="24043"/>
    <cellStyle name="40% - Accent2 50 2 4" xfId="24044"/>
    <cellStyle name="40% - Accent2 50 3" xfId="24045"/>
    <cellStyle name="40% - Accent2 50 3 2" xfId="24046"/>
    <cellStyle name="40% - Accent2 50 3 3" xfId="24047"/>
    <cellStyle name="40% - Accent2 50 4" xfId="24048"/>
    <cellStyle name="40% - Accent2 50 4 2" xfId="24049"/>
    <cellStyle name="40% - Accent2 50 5" xfId="24050"/>
    <cellStyle name="40% - Accent2 50 6" xfId="24051"/>
    <cellStyle name="40% - Accent2 50 7" xfId="24052"/>
    <cellStyle name="40% - Accent2 51" xfId="24053"/>
    <cellStyle name="40% - Accent2 51 2" xfId="24054"/>
    <cellStyle name="40% - Accent2 51 2 2" xfId="24055"/>
    <cellStyle name="40% - Accent2 51 2 3" xfId="24056"/>
    <cellStyle name="40% - Accent2 51 2 4" xfId="24057"/>
    <cellStyle name="40% - Accent2 51 3" xfId="24058"/>
    <cellStyle name="40% - Accent2 51 3 2" xfId="24059"/>
    <cellStyle name="40% - Accent2 51 3 3" xfId="24060"/>
    <cellStyle name="40% - Accent2 51 4" xfId="24061"/>
    <cellStyle name="40% - Accent2 51 4 2" xfId="24062"/>
    <cellStyle name="40% - Accent2 51 5" xfId="24063"/>
    <cellStyle name="40% - Accent2 51 6" xfId="24064"/>
    <cellStyle name="40% - Accent2 51 7" xfId="24065"/>
    <cellStyle name="40% - Accent2 52" xfId="24066"/>
    <cellStyle name="40% - Accent2 52 2" xfId="24067"/>
    <cellStyle name="40% - Accent2 52 2 2" xfId="24068"/>
    <cellStyle name="40% - Accent2 52 2 3" xfId="24069"/>
    <cellStyle name="40% - Accent2 52 2 4" xfId="24070"/>
    <cellStyle name="40% - Accent2 52 3" xfId="24071"/>
    <cellStyle name="40% - Accent2 52 3 2" xfId="24072"/>
    <cellStyle name="40% - Accent2 52 3 3" xfId="24073"/>
    <cellStyle name="40% - Accent2 52 4" xfId="24074"/>
    <cellStyle name="40% - Accent2 52 4 2" xfId="24075"/>
    <cellStyle name="40% - Accent2 52 5" xfId="24076"/>
    <cellStyle name="40% - Accent2 52 6" xfId="24077"/>
    <cellStyle name="40% - Accent2 52 7" xfId="24078"/>
    <cellStyle name="40% - Accent2 53" xfId="24079"/>
    <cellStyle name="40% - Accent2 53 2" xfId="24080"/>
    <cellStyle name="40% - Accent2 53 2 2" xfId="24081"/>
    <cellStyle name="40% - Accent2 53 2 3" xfId="24082"/>
    <cellStyle name="40% - Accent2 53 2 4" xfId="24083"/>
    <cellStyle name="40% - Accent2 53 3" xfId="24084"/>
    <cellStyle name="40% - Accent2 53 3 2" xfId="24085"/>
    <cellStyle name="40% - Accent2 53 3 3" xfId="24086"/>
    <cellStyle name="40% - Accent2 53 4" xfId="24087"/>
    <cellStyle name="40% - Accent2 53 4 2" xfId="24088"/>
    <cellStyle name="40% - Accent2 53 5" xfId="24089"/>
    <cellStyle name="40% - Accent2 53 6" xfId="24090"/>
    <cellStyle name="40% - Accent2 53 7" xfId="24091"/>
    <cellStyle name="40% - Accent2 54" xfId="24092"/>
    <cellStyle name="40% - Accent2 54 2" xfId="24093"/>
    <cellStyle name="40% - Accent2 54 2 2" xfId="24094"/>
    <cellStyle name="40% - Accent2 54 2 3" xfId="24095"/>
    <cellStyle name="40% - Accent2 54 2 4" xfId="24096"/>
    <cellStyle name="40% - Accent2 54 3" xfId="24097"/>
    <cellStyle name="40% - Accent2 54 3 2" xfId="24098"/>
    <cellStyle name="40% - Accent2 54 3 3" xfId="24099"/>
    <cellStyle name="40% - Accent2 54 4" xfId="24100"/>
    <cellStyle name="40% - Accent2 54 4 2" xfId="24101"/>
    <cellStyle name="40% - Accent2 54 5" xfId="24102"/>
    <cellStyle name="40% - Accent2 54 6" xfId="24103"/>
    <cellStyle name="40% - Accent2 54 7" xfId="24104"/>
    <cellStyle name="40% - Accent2 55" xfId="24105"/>
    <cellStyle name="40% - Accent2 55 2" xfId="24106"/>
    <cellStyle name="40% - Accent2 55 2 2" xfId="24107"/>
    <cellStyle name="40% - Accent2 55 2 3" xfId="24108"/>
    <cellStyle name="40% - Accent2 55 2 4" xfId="24109"/>
    <cellStyle name="40% - Accent2 55 3" xfId="24110"/>
    <cellStyle name="40% - Accent2 55 3 2" xfId="24111"/>
    <cellStyle name="40% - Accent2 55 3 3" xfId="24112"/>
    <cellStyle name="40% - Accent2 55 4" xfId="24113"/>
    <cellStyle name="40% - Accent2 55 4 2" xfId="24114"/>
    <cellStyle name="40% - Accent2 55 5" xfId="24115"/>
    <cellStyle name="40% - Accent2 55 6" xfId="24116"/>
    <cellStyle name="40% - Accent2 55 7" xfId="24117"/>
    <cellStyle name="40% - Accent2 56" xfId="24118"/>
    <cellStyle name="40% - Accent2 56 2" xfId="24119"/>
    <cellStyle name="40% - Accent2 56 2 2" xfId="24120"/>
    <cellStyle name="40% - Accent2 56 2 3" xfId="24121"/>
    <cellStyle name="40% - Accent2 56 2 4" xfId="24122"/>
    <cellStyle name="40% - Accent2 56 3" xfId="24123"/>
    <cellStyle name="40% - Accent2 56 3 2" xfId="24124"/>
    <cellStyle name="40% - Accent2 56 3 3" xfId="24125"/>
    <cellStyle name="40% - Accent2 56 4" xfId="24126"/>
    <cellStyle name="40% - Accent2 56 4 2" xfId="24127"/>
    <cellStyle name="40% - Accent2 56 5" xfId="24128"/>
    <cellStyle name="40% - Accent2 56 6" xfId="24129"/>
    <cellStyle name="40% - Accent2 56 7" xfId="24130"/>
    <cellStyle name="40% - Accent2 57" xfId="24131"/>
    <cellStyle name="40% - Accent2 57 2" xfId="24132"/>
    <cellStyle name="40% - Accent2 57 2 2" xfId="24133"/>
    <cellStyle name="40% - Accent2 57 2 3" xfId="24134"/>
    <cellStyle name="40% - Accent2 57 2 4" xfId="24135"/>
    <cellStyle name="40% - Accent2 57 3" xfId="24136"/>
    <cellStyle name="40% - Accent2 57 3 2" xfId="24137"/>
    <cellStyle name="40% - Accent2 57 3 3" xfId="24138"/>
    <cellStyle name="40% - Accent2 57 4" xfId="24139"/>
    <cellStyle name="40% - Accent2 57 4 2" xfId="24140"/>
    <cellStyle name="40% - Accent2 57 5" xfId="24141"/>
    <cellStyle name="40% - Accent2 57 6" xfId="24142"/>
    <cellStyle name="40% - Accent2 57 7" xfId="24143"/>
    <cellStyle name="40% - Accent2 58" xfId="24144"/>
    <cellStyle name="40% - Accent2 59" xfId="24145"/>
    <cellStyle name="40% - Accent2 6" xfId="24146"/>
    <cellStyle name="40% - Accent2 6 10" xfId="24147"/>
    <cellStyle name="40% - Accent2 6 10 2" xfId="24148"/>
    <cellStyle name="40% - Accent2 6 10 3" xfId="24149"/>
    <cellStyle name="40% - Accent2 6 11" xfId="24150"/>
    <cellStyle name="40% - Accent2 6 11 2" xfId="24151"/>
    <cellStyle name="40% - Accent2 6 12" xfId="24152"/>
    <cellStyle name="40% - Accent2 6 13" xfId="24153"/>
    <cellStyle name="40% - Accent2 6 14" xfId="24154"/>
    <cellStyle name="40% - Accent2 6 2" xfId="24155"/>
    <cellStyle name="40% - Accent2 6 3" xfId="24156"/>
    <cellStyle name="40% - Accent2 6 4" xfId="24157"/>
    <cellStyle name="40% - Accent2 6 5" xfId="24158"/>
    <cellStyle name="40% - Accent2 6 6" xfId="24159"/>
    <cellStyle name="40% - Accent2 6 7" xfId="24160"/>
    <cellStyle name="40% - Accent2 6 8" xfId="24161"/>
    <cellStyle name="40% - Accent2 6 9" xfId="24162"/>
    <cellStyle name="40% - Accent2 6 9 2" xfId="24163"/>
    <cellStyle name="40% - Accent2 6 9 3" xfId="24164"/>
    <cellStyle name="40% - Accent2 6 9 4" xfId="24165"/>
    <cellStyle name="40% - Accent2 60" xfId="24166"/>
    <cellStyle name="40% - Accent2 61" xfId="24167"/>
    <cellStyle name="40% - Accent2 62" xfId="24168"/>
    <cellStyle name="40% - Accent2 63" xfId="24169"/>
    <cellStyle name="40% - Accent2 64" xfId="24170"/>
    <cellStyle name="40% - Accent2 65" xfId="24171"/>
    <cellStyle name="40% - Accent2 65 2" xfId="24172"/>
    <cellStyle name="40% - Accent2 65 2 2" xfId="24173"/>
    <cellStyle name="40% - Accent2 65 2 3" xfId="24174"/>
    <cellStyle name="40% - Accent2 65 2 4" xfId="24175"/>
    <cellStyle name="40% - Accent2 65 3" xfId="24176"/>
    <cellStyle name="40% - Accent2 65 3 2" xfId="24177"/>
    <cellStyle name="40% - Accent2 65 3 3" xfId="24178"/>
    <cellStyle name="40% - Accent2 65 4" xfId="24179"/>
    <cellStyle name="40% - Accent2 65 4 2" xfId="24180"/>
    <cellStyle name="40% - Accent2 65 5" xfId="24181"/>
    <cellStyle name="40% - Accent2 65 6" xfId="24182"/>
    <cellStyle name="40% - Accent2 65 7" xfId="24183"/>
    <cellStyle name="40% - Accent2 66" xfId="24184"/>
    <cellStyle name="40% - Accent2 66 2" xfId="24185"/>
    <cellStyle name="40% - Accent2 66 2 2" xfId="24186"/>
    <cellStyle name="40% - Accent2 66 2 3" xfId="24187"/>
    <cellStyle name="40% - Accent2 66 2 4" xfId="24188"/>
    <cellStyle name="40% - Accent2 66 3" xfId="24189"/>
    <cellStyle name="40% - Accent2 66 3 2" xfId="24190"/>
    <cellStyle name="40% - Accent2 66 3 3" xfId="24191"/>
    <cellStyle name="40% - Accent2 66 4" xfId="24192"/>
    <cellStyle name="40% - Accent2 66 4 2" xfId="24193"/>
    <cellStyle name="40% - Accent2 66 5" xfId="24194"/>
    <cellStyle name="40% - Accent2 66 6" xfId="24195"/>
    <cellStyle name="40% - Accent2 66 7" xfId="24196"/>
    <cellStyle name="40% - Accent2 67" xfId="24197"/>
    <cellStyle name="40% - Accent2 67 2" xfId="24198"/>
    <cellStyle name="40% - Accent2 67 2 2" xfId="24199"/>
    <cellStyle name="40% - Accent2 67 2 3" xfId="24200"/>
    <cellStyle name="40% - Accent2 67 2 4" xfId="24201"/>
    <cellStyle name="40% - Accent2 67 3" xfId="24202"/>
    <cellStyle name="40% - Accent2 67 3 2" xfId="24203"/>
    <cellStyle name="40% - Accent2 67 3 3" xfId="24204"/>
    <cellStyle name="40% - Accent2 67 4" xfId="24205"/>
    <cellStyle name="40% - Accent2 67 4 2" xfId="24206"/>
    <cellStyle name="40% - Accent2 67 5" xfId="24207"/>
    <cellStyle name="40% - Accent2 67 6" xfId="24208"/>
    <cellStyle name="40% - Accent2 67 7" xfId="24209"/>
    <cellStyle name="40% - Accent2 68" xfId="24210"/>
    <cellStyle name="40% - Accent2 68 2" xfId="24211"/>
    <cellStyle name="40% - Accent2 68 2 2" xfId="24212"/>
    <cellStyle name="40% - Accent2 68 2 3" xfId="24213"/>
    <cellStyle name="40% - Accent2 68 2 4" xfId="24214"/>
    <cellStyle name="40% - Accent2 68 3" xfId="24215"/>
    <cellStyle name="40% - Accent2 68 3 2" xfId="24216"/>
    <cellStyle name="40% - Accent2 68 3 3" xfId="24217"/>
    <cellStyle name="40% - Accent2 68 4" xfId="24218"/>
    <cellStyle name="40% - Accent2 68 4 2" xfId="24219"/>
    <cellStyle name="40% - Accent2 68 5" xfId="24220"/>
    <cellStyle name="40% - Accent2 68 6" xfId="24221"/>
    <cellStyle name="40% - Accent2 68 7" xfId="24222"/>
    <cellStyle name="40% - Accent2 69" xfId="24223"/>
    <cellStyle name="40% - Accent2 69 2" xfId="24224"/>
    <cellStyle name="40% - Accent2 69 2 2" xfId="24225"/>
    <cellStyle name="40% - Accent2 69 2 3" xfId="24226"/>
    <cellStyle name="40% - Accent2 69 2 4" xfId="24227"/>
    <cellStyle name="40% - Accent2 69 3" xfId="24228"/>
    <cellStyle name="40% - Accent2 69 3 2" xfId="24229"/>
    <cellStyle name="40% - Accent2 69 3 3" xfId="24230"/>
    <cellStyle name="40% - Accent2 69 4" xfId="24231"/>
    <cellStyle name="40% - Accent2 69 4 2" xfId="24232"/>
    <cellStyle name="40% - Accent2 69 5" xfId="24233"/>
    <cellStyle name="40% - Accent2 69 6" xfId="24234"/>
    <cellStyle name="40% - Accent2 69 7" xfId="24235"/>
    <cellStyle name="40% - Accent2 7" xfId="24236"/>
    <cellStyle name="40% - Accent2 7 2" xfId="24237"/>
    <cellStyle name="40% - Accent2 7 3" xfId="24238"/>
    <cellStyle name="40% - Accent2 7 3 2" xfId="24239"/>
    <cellStyle name="40% - Accent2 7 3 3" xfId="24240"/>
    <cellStyle name="40% - Accent2 7 3 4" xfId="24241"/>
    <cellStyle name="40% - Accent2 7 4" xfId="24242"/>
    <cellStyle name="40% - Accent2 7 4 2" xfId="24243"/>
    <cellStyle name="40% - Accent2 7 4 3" xfId="24244"/>
    <cellStyle name="40% - Accent2 7 5" xfId="24245"/>
    <cellStyle name="40% - Accent2 7 5 2" xfId="24246"/>
    <cellStyle name="40% - Accent2 7 6" xfId="24247"/>
    <cellStyle name="40% - Accent2 7 7" xfId="24248"/>
    <cellStyle name="40% - Accent2 7 8" xfId="24249"/>
    <cellStyle name="40% - Accent2 70" xfId="24250"/>
    <cellStyle name="40% - Accent2 70 2" xfId="24251"/>
    <cellStyle name="40% - Accent2 70 2 2" xfId="24252"/>
    <cellStyle name="40% - Accent2 70 2 3" xfId="24253"/>
    <cellStyle name="40% - Accent2 70 2 4" xfId="24254"/>
    <cellStyle name="40% - Accent2 70 3" xfId="24255"/>
    <cellStyle name="40% - Accent2 70 3 2" xfId="24256"/>
    <cellStyle name="40% - Accent2 70 3 3" xfId="24257"/>
    <cellStyle name="40% - Accent2 70 4" xfId="24258"/>
    <cellStyle name="40% - Accent2 70 4 2" xfId="24259"/>
    <cellStyle name="40% - Accent2 70 5" xfId="24260"/>
    <cellStyle name="40% - Accent2 70 6" xfId="24261"/>
    <cellStyle name="40% - Accent2 70 7" xfId="24262"/>
    <cellStyle name="40% - Accent2 71" xfId="24263"/>
    <cellStyle name="40% - Accent2 71 2" xfId="24264"/>
    <cellStyle name="40% - Accent2 71 2 2" xfId="24265"/>
    <cellStyle name="40% - Accent2 71 2 3" xfId="24266"/>
    <cellStyle name="40% - Accent2 71 2 4" xfId="24267"/>
    <cellStyle name="40% - Accent2 71 3" xfId="24268"/>
    <cellStyle name="40% - Accent2 71 3 2" xfId="24269"/>
    <cellStyle name="40% - Accent2 71 3 3" xfId="24270"/>
    <cellStyle name="40% - Accent2 71 4" xfId="24271"/>
    <cellStyle name="40% - Accent2 71 4 2" xfId="24272"/>
    <cellStyle name="40% - Accent2 71 5" xfId="24273"/>
    <cellStyle name="40% - Accent2 71 6" xfId="24274"/>
    <cellStyle name="40% - Accent2 71 7" xfId="24275"/>
    <cellStyle name="40% - Accent2 72" xfId="24276"/>
    <cellStyle name="40% - Accent2 72 2" xfId="24277"/>
    <cellStyle name="40% - Accent2 72 2 2" xfId="24278"/>
    <cellStyle name="40% - Accent2 72 2 3" xfId="24279"/>
    <cellStyle name="40% - Accent2 72 2 4" xfId="24280"/>
    <cellStyle name="40% - Accent2 72 3" xfId="24281"/>
    <cellStyle name="40% - Accent2 72 3 2" xfId="24282"/>
    <cellStyle name="40% - Accent2 72 3 3" xfId="24283"/>
    <cellStyle name="40% - Accent2 72 4" xfId="24284"/>
    <cellStyle name="40% - Accent2 72 4 2" xfId="24285"/>
    <cellStyle name="40% - Accent2 72 5" xfId="24286"/>
    <cellStyle name="40% - Accent2 72 6" xfId="24287"/>
    <cellStyle name="40% - Accent2 72 7" xfId="24288"/>
    <cellStyle name="40% - Accent2 73" xfId="24289"/>
    <cellStyle name="40% - Accent2 73 2" xfId="24290"/>
    <cellStyle name="40% - Accent2 73 2 2" xfId="24291"/>
    <cellStyle name="40% - Accent2 73 2 3" xfId="24292"/>
    <cellStyle name="40% - Accent2 73 2 4" xfId="24293"/>
    <cellStyle name="40% - Accent2 73 3" xfId="24294"/>
    <cellStyle name="40% - Accent2 73 3 2" xfId="24295"/>
    <cellStyle name="40% - Accent2 73 3 3" xfId="24296"/>
    <cellStyle name="40% - Accent2 73 4" xfId="24297"/>
    <cellStyle name="40% - Accent2 73 4 2" xfId="24298"/>
    <cellStyle name="40% - Accent2 73 5" xfId="24299"/>
    <cellStyle name="40% - Accent2 73 6" xfId="24300"/>
    <cellStyle name="40% - Accent2 73 7" xfId="24301"/>
    <cellStyle name="40% - Accent2 74" xfId="24302"/>
    <cellStyle name="40% - Accent2 74 2" xfId="24303"/>
    <cellStyle name="40% - Accent2 74 2 2" xfId="24304"/>
    <cellStyle name="40% - Accent2 74 2 3" xfId="24305"/>
    <cellStyle name="40% - Accent2 74 2 4" xfId="24306"/>
    <cellStyle name="40% - Accent2 74 3" xfId="24307"/>
    <cellStyle name="40% - Accent2 74 3 2" xfId="24308"/>
    <cellStyle name="40% - Accent2 74 3 3" xfId="24309"/>
    <cellStyle name="40% - Accent2 74 4" xfId="24310"/>
    <cellStyle name="40% - Accent2 74 4 2" xfId="24311"/>
    <cellStyle name="40% - Accent2 74 5" xfId="24312"/>
    <cellStyle name="40% - Accent2 74 6" xfId="24313"/>
    <cellStyle name="40% - Accent2 74 7" xfId="24314"/>
    <cellStyle name="40% - Accent2 75" xfId="24315"/>
    <cellStyle name="40% - Accent2 75 2" xfId="24316"/>
    <cellStyle name="40% - Accent2 75 2 2" xfId="24317"/>
    <cellStyle name="40% - Accent2 75 2 3" xfId="24318"/>
    <cellStyle name="40% - Accent2 75 2 4" xfId="24319"/>
    <cellStyle name="40% - Accent2 75 3" xfId="24320"/>
    <cellStyle name="40% - Accent2 75 3 2" xfId="24321"/>
    <cellStyle name="40% - Accent2 75 3 3" xfId="24322"/>
    <cellStyle name="40% - Accent2 75 4" xfId="24323"/>
    <cellStyle name="40% - Accent2 75 4 2" xfId="24324"/>
    <cellStyle name="40% - Accent2 75 5" xfId="24325"/>
    <cellStyle name="40% - Accent2 75 6" xfId="24326"/>
    <cellStyle name="40% - Accent2 75 7" xfId="24327"/>
    <cellStyle name="40% - Accent2 76" xfId="24328"/>
    <cellStyle name="40% - Accent2 76 2" xfId="24329"/>
    <cellStyle name="40% - Accent2 76 2 2" xfId="24330"/>
    <cellStyle name="40% - Accent2 76 2 3" xfId="24331"/>
    <cellStyle name="40% - Accent2 76 2 4" xfId="24332"/>
    <cellStyle name="40% - Accent2 76 3" xfId="24333"/>
    <cellStyle name="40% - Accent2 76 3 2" xfId="24334"/>
    <cellStyle name="40% - Accent2 76 3 3" xfId="24335"/>
    <cellStyle name="40% - Accent2 76 4" xfId="24336"/>
    <cellStyle name="40% - Accent2 76 4 2" xfId="24337"/>
    <cellStyle name="40% - Accent2 76 5" xfId="24338"/>
    <cellStyle name="40% - Accent2 76 6" xfId="24339"/>
    <cellStyle name="40% - Accent2 76 7" xfId="24340"/>
    <cellStyle name="40% - Accent2 77" xfId="24341"/>
    <cellStyle name="40% - Accent2 77 2" xfId="24342"/>
    <cellStyle name="40% - Accent2 77 2 2" xfId="24343"/>
    <cellStyle name="40% - Accent2 77 2 3" xfId="24344"/>
    <cellStyle name="40% - Accent2 77 2 4" xfId="24345"/>
    <cellStyle name="40% - Accent2 77 3" xfId="24346"/>
    <cellStyle name="40% - Accent2 77 3 2" xfId="24347"/>
    <cellStyle name="40% - Accent2 77 3 3" xfId="24348"/>
    <cellStyle name="40% - Accent2 77 4" xfId="24349"/>
    <cellStyle name="40% - Accent2 77 4 2" xfId="24350"/>
    <cellStyle name="40% - Accent2 77 5" xfId="24351"/>
    <cellStyle name="40% - Accent2 77 6" xfId="24352"/>
    <cellStyle name="40% - Accent2 77 7" xfId="24353"/>
    <cellStyle name="40% - Accent2 78" xfId="24354"/>
    <cellStyle name="40% - Accent2 79" xfId="24355"/>
    <cellStyle name="40% - Accent2 79 2" xfId="24356"/>
    <cellStyle name="40% - Accent2 79 3" xfId="24357"/>
    <cellStyle name="40% - Accent2 8" xfId="24358"/>
    <cellStyle name="40% - Accent2 8 10" xfId="24359"/>
    <cellStyle name="40% - Accent2 8 11" xfId="24360"/>
    <cellStyle name="40% - Accent2 8 2" xfId="24361"/>
    <cellStyle name="40% - Accent2 8 2 10" xfId="24362"/>
    <cellStyle name="40% - Accent2 8 2 2" xfId="24363"/>
    <cellStyle name="40% - Accent2 8 2 2 2" xfId="24364"/>
    <cellStyle name="40% - Accent2 8 2 2 2 2" xfId="24365"/>
    <cellStyle name="40% - Accent2 8 2 2 2 3" xfId="24366"/>
    <cellStyle name="40% - Accent2 8 2 2 2 4" xfId="24367"/>
    <cellStyle name="40% - Accent2 8 2 2 3" xfId="24368"/>
    <cellStyle name="40% - Accent2 8 2 2 3 2" xfId="24369"/>
    <cellStyle name="40% - Accent2 8 2 2 3 3" xfId="24370"/>
    <cellStyle name="40% - Accent2 8 2 2 4" xfId="24371"/>
    <cellStyle name="40% - Accent2 8 2 2 4 2" xfId="24372"/>
    <cellStyle name="40% - Accent2 8 2 2 5" xfId="24373"/>
    <cellStyle name="40% - Accent2 8 2 2 6" xfId="24374"/>
    <cellStyle name="40% - Accent2 8 2 2 7" xfId="24375"/>
    <cellStyle name="40% - Accent2 8 2 3" xfId="24376"/>
    <cellStyle name="40% - Accent2 8 2 3 2" xfId="24377"/>
    <cellStyle name="40% - Accent2 8 2 3 2 2" xfId="24378"/>
    <cellStyle name="40% - Accent2 8 2 3 2 3" xfId="24379"/>
    <cellStyle name="40% - Accent2 8 2 3 2 4" xfId="24380"/>
    <cellStyle name="40% - Accent2 8 2 3 3" xfId="24381"/>
    <cellStyle name="40% - Accent2 8 2 3 3 2" xfId="24382"/>
    <cellStyle name="40% - Accent2 8 2 3 3 3" xfId="24383"/>
    <cellStyle name="40% - Accent2 8 2 3 4" xfId="24384"/>
    <cellStyle name="40% - Accent2 8 2 3 4 2" xfId="24385"/>
    <cellStyle name="40% - Accent2 8 2 3 5" xfId="24386"/>
    <cellStyle name="40% - Accent2 8 2 3 6" xfId="24387"/>
    <cellStyle name="40% - Accent2 8 2 3 7" xfId="24388"/>
    <cellStyle name="40% - Accent2 8 2 4" xfId="24389"/>
    <cellStyle name="40% - Accent2 8 2 4 2" xfId="24390"/>
    <cellStyle name="40% - Accent2 8 2 4 2 2" xfId="24391"/>
    <cellStyle name="40% - Accent2 8 2 4 2 3" xfId="24392"/>
    <cellStyle name="40% - Accent2 8 2 4 2 4" xfId="24393"/>
    <cellStyle name="40% - Accent2 8 2 4 3" xfId="24394"/>
    <cellStyle name="40% - Accent2 8 2 4 3 2" xfId="24395"/>
    <cellStyle name="40% - Accent2 8 2 4 3 3" xfId="24396"/>
    <cellStyle name="40% - Accent2 8 2 4 4" xfId="24397"/>
    <cellStyle name="40% - Accent2 8 2 4 4 2" xfId="24398"/>
    <cellStyle name="40% - Accent2 8 2 4 5" xfId="24399"/>
    <cellStyle name="40% - Accent2 8 2 4 6" xfId="24400"/>
    <cellStyle name="40% - Accent2 8 2 4 7" xfId="24401"/>
    <cellStyle name="40% - Accent2 8 2 5" xfId="24402"/>
    <cellStyle name="40% - Accent2 8 2 5 2" xfId="24403"/>
    <cellStyle name="40% - Accent2 8 2 5 3" xfId="24404"/>
    <cellStyle name="40% - Accent2 8 2 5 4" xfId="24405"/>
    <cellStyle name="40% - Accent2 8 2 6" xfId="24406"/>
    <cellStyle name="40% - Accent2 8 2 6 2" xfId="24407"/>
    <cellStyle name="40% - Accent2 8 2 6 3" xfId="24408"/>
    <cellStyle name="40% - Accent2 8 2 7" xfId="24409"/>
    <cellStyle name="40% - Accent2 8 2 7 2" xfId="24410"/>
    <cellStyle name="40% - Accent2 8 2 8" xfId="24411"/>
    <cellStyle name="40% - Accent2 8 2 9" xfId="24412"/>
    <cellStyle name="40% - Accent2 8 3" xfId="24413"/>
    <cellStyle name="40% - Accent2 8 3 2" xfId="24414"/>
    <cellStyle name="40% - Accent2 8 3 2 2" xfId="24415"/>
    <cellStyle name="40% - Accent2 8 3 2 3" xfId="24416"/>
    <cellStyle name="40% - Accent2 8 3 2 4" xfId="24417"/>
    <cellStyle name="40% - Accent2 8 3 3" xfId="24418"/>
    <cellStyle name="40% - Accent2 8 3 3 2" xfId="24419"/>
    <cellStyle name="40% - Accent2 8 3 3 3" xfId="24420"/>
    <cellStyle name="40% - Accent2 8 3 4" xfId="24421"/>
    <cellStyle name="40% - Accent2 8 3 4 2" xfId="24422"/>
    <cellStyle name="40% - Accent2 8 3 5" xfId="24423"/>
    <cellStyle name="40% - Accent2 8 3 6" xfId="24424"/>
    <cellStyle name="40% - Accent2 8 3 7" xfId="24425"/>
    <cellStyle name="40% - Accent2 8 4" xfId="24426"/>
    <cellStyle name="40% - Accent2 8 4 2" xfId="24427"/>
    <cellStyle name="40% - Accent2 8 4 2 2" xfId="24428"/>
    <cellStyle name="40% - Accent2 8 4 2 3" xfId="24429"/>
    <cellStyle name="40% - Accent2 8 4 2 4" xfId="24430"/>
    <cellStyle name="40% - Accent2 8 4 3" xfId="24431"/>
    <cellStyle name="40% - Accent2 8 4 3 2" xfId="24432"/>
    <cellStyle name="40% - Accent2 8 4 3 3" xfId="24433"/>
    <cellStyle name="40% - Accent2 8 4 4" xfId="24434"/>
    <cellStyle name="40% - Accent2 8 4 4 2" xfId="24435"/>
    <cellStyle name="40% - Accent2 8 4 5" xfId="24436"/>
    <cellStyle name="40% - Accent2 8 4 6" xfId="24437"/>
    <cellStyle name="40% - Accent2 8 4 7" xfId="24438"/>
    <cellStyle name="40% - Accent2 8 5" xfId="24439"/>
    <cellStyle name="40% - Accent2 8 5 2" xfId="24440"/>
    <cellStyle name="40% - Accent2 8 5 2 2" xfId="24441"/>
    <cellStyle name="40% - Accent2 8 5 2 3" xfId="24442"/>
    <cellStyle name="40% - Accent2 8 5 2 4" xfId="24443"/>
    <cellStyle name="40% - Accent2 8 5 3" xfId="24444"/>
    <cellStyle name="40% - Accent2 8 5 3 2" xfId="24445"/>
    <cellStyle name="40% - Accent2 8 5 3 3" xfId="24446"/>
    <cellStyle name="40% - Accent2 8 5 4" xfId="24447"/>
    <cellStyle name="40% - Accent2 8 5 4 2" xfId="24448"/>
    <cellStyle name="40% - Accent2 8 5 5" xfId="24449"/>
    <cellStyle name="40% - Accent2 8 5 6" xfId="24450"/>
    <cellStyle name="40% - Accent2 8 5 7" xfId="24451"/>
    <cellStyle name="40% - Accent2 8 6" xfId="24452"/>
    <cellStyle name="40% - Accent2 8 6 2" xfId="24453"/>
    <cellStyle name="40% - Accent2 8 6 3" xfId="24454"/>
    <cellStyle name="40% - Accent2 8 6 4" xfId="24455"/>
    <cellStyle name="40% - Accent2 8 7" xfId="24456"/>
    <cellStyle name="40% - Accent2 8 7 2" xfId="24457"/>
    <cellStyle name="40% - Accent2 8 7 3" xfId="24458"/>
    <cellStyle name="40% - Accent2 8 8" xfId="24459"/>
    <cellStyle name="40% - Accent2 8 8 2" xfId="24460"/>
    <cellStyle name="40% - Accent2 8 9" xfId="24461"/>
    <cellStyle name="40% - Accent2 80" xfId="24462"/>
    <cellStyle name="40% - Accent2 80 2" xfId="24463"/>
    <cellStyle name="40% - Accent2 80 3" xfId="24464"/>
    <cellStyle name="40% - Accent2 81" xfId="24465"/>
    <cellStyle name="40% - Accent2 81 2" xfId="24466"/>
    <cellStyle name="40% - Accent2 82" xfId="24467"/>
    <cellStyle name="40% - Accent2 83" xfId="24468"/>
    <cellStyle name="40% - Accent2 9" xfId="24469"/>
    <cellStyle name="40% - Accent2 9 10" xfId="24470"/>
    <cellStyle name="40% - Accent2 9 2" xfId="24471"/>
    <cellStyle name="40% - Accent2 9 2 2" xfId="24472"/>
    <cellStyle name="40% - Accent2 9 2 2 2" xfId="24473"/>
    <cellStyle name="40% - Accent2 9 2 2 3" xfId="24474"/>
    <cellStyle name="40% - Accent2 9 2 2 4" xfId="24475"/>
    <cellStyle name="40% - Accent2 9 2 3" xfId="24476"/>
    <cellStyle name="40% - Accent2 9 2 3 2" xfId="24477"/>
    <cellStyle name="40% - Accent2 9 2 3 3" xfId="24478"/>
    <cellStyle name="40% - Accent2 9 2 4" xfId="24479"/>
    <cellStyle name="40% - Accent2 9 2 4 2" xfId="24480"/>
    <cellStyle name="40% - Accent2 9 2 5" xfId="24481"/>
    <cellStyle name="40% - Accent2 9 2 6" xfId="24482"/>
    <cellStyle name="40% - Accent2 9 2 7" xfId="24483"/>
    <cellStyle name="40% - Accent2 9 3" xfId="24484"/>
    <cellStyle name="40% - Accent2 9 3 2" xfId="24485"/>
    <cellStyle name="40% - Accent2 9 3 2 2" xfId="24486"/>
    <cellStyle name="40% - Accent2 9 3 2 3" xfId="24487"/>
    <cellStyle name="40% - Accent2 9 3 2 4" xfId="24488"/>
    <cellStyle name="40% - Accent2 9 3 3" xfId="24489"/>
    <cellStyle name="40% - Accent2 9 3 3 2" xfId="24490"/>
    <cellStyle name="40% - Accent2 9 3 3 3" xfId="24491"/>
    <cellStyle name="40% - Accent2 9 3 4" xfId="24492"/>
    <cellStyle name="40% - Accent2 9 3 4 2" xfId="24493"/>
    <cellStyle name="40% - Accent2 9 3 5" xfId="24494"/>
    <cellStyle name="40% - Accent2 9 3 6" xfId="24495"/>
    <cellStyle name="40% - Accent2 9 3 7" xfId="24496"/>
    <cellStyle name="40% - Accent2 9 4" xfId="24497"/>
    <cellStyle name="40% - Accent2 9 4 2" xfId="24498"/>
    <cellStyle name="40% - Accent2 9 4 2 2" xfId="24499"/>
    <cellStyle name="40% - Accent2 9 4 2 3" xfId="24500"/>
    <cellStyle name="40% - Accent2 9 4 2 4" xfId="24501"/>
    <cellStyle name="40% - Accent2 9 4 3" xfId="24502"/>
    <cellStyle name="40% - Accent2 9 4 3 2" xfId="24503"/>
    <cellStyle name="40% - Accent2 9 4 3 3" xfId="24504"/>
    <cellStyle name="40% - Accent2 9 4 4" xfId="24505"/>
    <cellStyle name="40% - Accent2 9 4 4 2" xfId="24506"/>
    <cellStyle name="40% - Accent2 9 4 5" xfId="24507"/>
    <cellStyle name="40% - Accent2 9 4 6" xfId="24508"/>
    <cellStyle name="40% - Accent2 9 4 7" xfId="24509"/>
    <cellStyle name="40% - Accent2 9 5" xfId="24510"/>
    <cellStyle name="40% - Accent2 9 5 2" xfId="24511"/>
    <cellStyle name="40% - Accent2 9 5 3" xfId="24512"/>
    <cellStyle name="40% - Accent2 9 6" xfId="24513"/>
    <cellStyle name="40% - Accent2 9 6 2" xfId="24514"/>
    <cellStyle name="40% - Accent2 9 6 3" xfId="24515"/>
    <cellStyle name="40% - Accent2 9 7" xfId="24516"/>
    <cellStyle name="40% - Accent2 9 7 2" xfId="24517"/>
    <cellStyle name="40% - Accent2 9 8" xfId="24518"/>
    <cellStyle name="40% - Accent2 9 9" xfId="24519"/>
    <cellStyle name="40% - Accent3 10" xfId="24520"/>
    <cellStyle name="40% - Accent3 10 2" xfId="24521"/>
    <cellStyle name="40% - Accent3 10 2 2" xfId="24522"/>
    <cellStyle name="40% - Accent3 10 2 3" xfId="24523"/>
    <cellStyle name="40% - Accent3 10 2 4" xfId="24524"/>
    <cellStyle name="40% - Accent3 10 3" xfId="24525"/>
    <cellStyle name="40% - Accent3 10 3 2" xfId="24526"/>
    <cellStyle name="40% - Accent3 10 3 3" xfId="24527"/>
    <cellStyle name="40% - Accent3 10 4" xfId="24528"/>
    <cellStyle name="40% - Accent3 10 4 2" xfId="24529"/>
    <cellStyle name="40% - Accent3 10 5" xfId="24530"/>
    <cellStyle name="40% - Accent3 10 6" xfId="24531"/>
    <cellStyle name="40% - Accent3 10 7" xfId="24532"/>
    <cellStyle name="40% - Accent3 11" xfId="24533"/>
    <cellStyle name="40% - Accent3 11 2" xfId="24534"/>
    <cellStyle name="40% - Accent3 11 2 2" xfId="24535"/>
    <cellStyle name="40% - Accent3 11 2 3" xfId="24536"/>
    <cellStyle name="40% - Accent3 11 2 4" xfId="24537"/>
    <cellStyle name="40% - Accent3 11 3" xfId="24538"/>
    <cellStyle name="40% - Accent3 11 3 2" xfId="24539"/>
    <cellStyle name="40% - Accent3 11 3 3" xfId="24540"/>
    <cellStyle name="40% - Accent3 11 4" xfId="24541"/>
    <cellStyle name="40% - Accent3 11 4 2" xfId="24542"/>
    <cellStyle name="40% - Accent3 11 5" xfId="24543"/>
    <cellStyle name="40% - Accent3 11 6" xfId="24544"/>
    <cellStyle name="40% - Accent3 11 7" xfId="24545"/>
    <cellStyle name="40% - Accent3 12" xfId="24546"/>
    <cellStyle name="40% - Accent3 12 2" xfId="24547"/>
    <cellStyle name="40% - Accent3 12 2 2" xfId="24548"/>
    <cellStyle name="40% - Accent3 12 2 3" xfId="24549"/>
    <cellStyle name="40% - Accent3 12 2 4" xfId="24550"/>
    <cellStyle name="40% - Accent3 12 3" xfId="24551"/>
    <cellStyle name="40% - Accent3 12 3 2" xfId="24552"/>
    <cellStyle name="40% - Accent3 12 3 3" xfId="24553"/>
    <cellStyle name="40% - Accent3 12 4" xfId="24554"/>
    <cellStyle name="40% - Accent3 12 4 2" xfId="24555"/>
    <cellStyle name="40% - Accent3 12 5" xfId="24556"/>
    <cellStyle name="40% - Accent3 12 6" xfId="24557"/>
    <cellStyle name="40% - Accent3 12 7" xfId="24558"/>
    <cellStyle name="40% - Accent3 13" xfId="24559"/>
    <cellStyle name="40% - Accent3 13 2" xfId="24560"/>
    <cellStyle name="40% - Accent3 13 3" xfId="24561"/>
    <cellStyle name="40% - Accent3 13 4" xfId="24562"/>
    <cellStyle name="40% - Accent3 14" xfId="24563"/>
    <cellStyle name="40% - Accent3 14 10" xfId="24564"/>
    <cellStyle name="40% - Accent3 14 2" xfId="24565"/>
    <cellStyle name="40% - Accent3 14 2 2" xfId="24566"/>
    <cellStyle name="40% - Accent3 14 2 2 2" xfId="24567"/>
    <cellStyle name="40% - Accent3 14 2 2 2 2" xfId="24568"/>
    <cellStyle name="40% - Accent3 14 2 2 2 2 2" xfId="24569"/>
    <cellStyle name="40% - Accent3 14 2 2 2 2 2 2" xfId="24570"/>
    <cellStyle name="40% - Accent3 14 2 2 2 3" xfId="24571"/>
    <cellStyle name="40% - Accent3 14 2 2 2 3 2" xfId="24572"/>
    <cellStyle name="40% - Accent3 14 2 2 3" xfId="24573"/>
    <cellStyle name="40% - Accent3 14 2 2 3 2" xfId="24574"/>
    <cellStyle name="40% - Accent3 14 2 2 3 2 2" xfId="24575"/>
    <cellStyle name="40% - Accent3 14 2 2 4" xfId="24576"/>
    <cellStyle name="40% - Accent3 14 2 2 4 2" xfId="24577"/>
    <cellStyle name="40% - Accent3 14 2 2 5" xfId="24578"/>
    <cellStyle name="40% - Accent3 14 2 2 6" xfId="24579"/>
    <cellStyle name="40% - Accent3 14 2 2 7" xfId="24580"/>
    <cellStyle name="40% - Accent3 14 2 3" xfId="24581"/>
    <cellStyle name="40% - Accent3 14 2 3 2" xfId="24582"/>
    <cellStyle name="40% - Accent3 14 2 3 2 2" xfId="24583"/>
    <cellStyle name="40% - Accent3 14 2 3 2 2 2" xfId="24584"/>
    <cellStyle name="40% - Accent3 14 2 3 3" xfId="24585"/>
    <cellStyle name="40% - Accent3 14 2 3 3 2" xfId="24586"/>
    <cellStyle name="40% - Accent3 14 2 3 4" xfId="24587"/>
    <cellStyle name="40% - Accent3 14 2 3 5" xfId="24588"/>
    <cellStyle name="40% - Accent3 14 2 3 6" xfId="24589"/>
    <cellStyle name="40% - Accent3 14 2 4" xfId="24590"/>
    <cellStyle name="40% - Accent3 14 2 4 2" xfId="24591"/>
    <cellStyle name="40% - Accent3 14 2 4 2 2" xfId="24592"/>
    <cellStyle name="40% - Accent3 14 2 4 3" xfId="24593"/>
    <cellStyle name="40% - Accent3 14 2 5" xfId="24594"/>
    <cellStyle name="40% - Accent3 14 2 5 2" xfId="24595"/>
    <cellStyle name="40% - Accent3 14 2 6" xfId="24596"/>
    <cellStyle name="40% - Accent3 14 2 7" xfId="24597"/>
    <cellStyle name="40% - Accent3 14 2 8" xfId="24598"/>
    <cellStyle name="40% - Accent3 14 2 9" xfId="24599"/>
    <cellStyle name="40% - Accent3 14 3" xfId="24600"/>
    <cellStyle name="40% - Accent3 14 3 2" xfId="24601"/>
    <cellStyle name="40% - Accent3 14 3 2 2" xfId="24602"/>
    <cellStyle name="40% - Accent3 14 3 2 2 2" xfId="24603"/>
    <cellStyle name="40% - Accent3 14 3 2 2 2 2" xfId="24604"/>
    <cellStyle name="40% - Accent3 14 3 2 3" xfId="24605"/>
    <cellStyle name="40% - Accent3 14 3 2 3 2" xfId="24606"/>
    <cellStyle name="40% - Accent3 14 3 2 4" xfId="24607"/>
    <cellStyle name="40% - Accent3 14 3 2 5" xfId="24608"/>
    <cellStyle name="40% - Accent3 14 3 2 6" xfId="24609"/>
    <cellStyle name="40% - Accent3 14 3 3" xfId="24610"/>
    <cellStyle name="40% - Accent3 14 3 3 2" xfId="24611"/>
    <cellStyle name="40% - Accent3 14 3 3 2 2" xfId="24612"/>
    <cellStyle name="40% - Accent3 14 3 3 3" xfId="24613"/>
    <cellStyle name="40% - Accent3 14 3 3 4" xfId="24614"/>
    <cellStyle name="40% - Accent3 14 3 3 5" xfId="24615"/>
    <cellStyle name="40% - Accent3 14 3 4" xfId="24616"/>
    <cellStyle name="40% - Accent3 14 3 4 2" xfId="24617"/>
    <cellStyle name="40% - Accent3 14 3 4 3" xfId="24618"/>
    <cellStyle name="40% - Accent3 14 3 5" xfId="24619"/>
    <cellStyle name="40% - Accent3 14 3 6" xfId="24620"/>
    <cellStyle name="40% - Accent3 14 3 7" xfId="24621"/>
    <cellStyle name="40% - Accent3 14 3 8" xfId="24622"/>
    <cellStyle name="40% - Accent3 14 4" xfId="24623"/>
    <cellStyle name="40% - Accent3 14 4 2" xfId="24624"/>
    <cellStyle name="40% - Accent3 14 4 2 2" xfId="24625"/>
    <cellStyle name="40% - Accent3 14 4 2 2 2" xfId="24626"/>
    <cellStyle name="40% - Accent3 14 4 3" xfId="24627"/>
    <cellStyle name="40% - Accent3 14 4 3 2" xfId="24628"/>
    <cellStyle name="40% - Accent3 14 4 4" xfId="24629"/>
    <cellStyle name="40% - Accent3 14 4 5" xfId="24630"/>
    <cellStyle name="40% - Accent3 14 4 6" xfId="24631"/>
    <cellStyle name="40% - Accent3 14 5" xfId="24632"/>
    <cellStyle name="40% - Accent3 14 5 2" xfId="24633"/>
    <cellStyle name="40% - Accent3 14 5 2 2" xfId="24634"/>
    <cellStyle name="40% - Accent3 14 5 3" xfId="24635"/>
    <cellStyle name="40% - Accent3 14 5 4" xfId="24636"/>
    <cellStyle name="40% - Accent3 14 5 5" xfId="24637"/>
    <cellStyle name="40% - Accent3 14 6" xfId="24638"/>
    <cellStyle name="40% - Accent3 14 6 2" xfId="24639"/>
    <cellStyle name="40% - Accent3 14 6 3" xfId="24640"/>
    <cellStyle name="40% - Accent3 14 7" xfId="24641"/>
    <cellStyle name="40% - Accent3 14 8" xfId="24642"/>
    <cellStyle name="40% - Accent3 14 9" xfId="24643"/>
    <cellStyle name="40% - Accent3 15" xfId="24644"/>
    <cellStyle name="40% - Accent3 15 2" xfId="24645"/>
    <cellStyle name="40% - Accent3 15 2 2" xfId="24646"/>
    <cellStyle name="40% - Accent3 15 2 3" xfId="24647"/>
    <cellStyle name="40% - Accent3 15 2 4" xfId="24648"/>
    <cellStyle name="40% - Accent3 15 3" xfId="24649"/>
    <cellStyle name="40% - Accent3 15 3 2" xfId="24650"/>
    <cellStyle name="40% - Accent3 15 3 3" xfId="24651"/>
    <cellStyle name="40% - Accent3 15 4" xfId="24652"/>
    <cellStyle name="40% - Accent3 15 4 2" xfId="24653"/>
    <cellStyle name="40% - Accent3 15 5" xfId="24654"/>
    <cellStyle name="40% - Accent3 15 6" xfId="24655"/>
    <cellStyle name="40% - Accent3 15 7" xfId="24656"/>
    <cellStyle name="40% - Accent3 16" xfId="24657"/>
    <cellStyle name="40% - Accent3 16 2" xfId="24658"/>
    <cellStyle name="40% - Accent3 16 2 2" xfId="24659"/>
    <cellStyle name="40% - Accent3 16 2 3" xfId="24660"/>
    <cellStyle name="40% - Accent3 16 2 4" xfId="24661"/>
    <cellStyle name="40% - Accent3 16 3" xfId="24662"/>
    <cellStyle name="40% - Accent3 16 3 2" xfId="24663"/>
    <cellStyle name="40% - Accent3 16 3 3" xfId="24664"/>
    <cellStyle name="40% - Accent3 16 4" xfId="24665"/>
    <cellStyle name="40% - Accent3 16 4 2" xfId="24666"/>
    <cellStyle name="40% - Accent3 16 5" xfId="24667"/>
    <cellStyle name="40% - Accent3 16 6" xfId="24668"/>
    <cellStyle name="40% - Accent3 16 7" xfId="24669"/>
    <cellStyle name="40% - Accent3 17" xfId="24670"/>
    <cellStyle name="40% - Accent3 17 2" xfId="24671"/>
    <cellStyle name="40% - Accent3 17 2 2" xfId="24672"/>
    <cellStyle name="40% - Accent3 17 2 3" xfId="24673"/>
    <cellStyle name="40% - Accent3 17 2 4" xfId="24674"/>
    <cellStyle name="40% - Accent3 17 3" xfId="24675"/>
    <cellStyle name="40% - Accent3 17 3 2" xfId="24676"/>
    <cellStyle name="40% - Accent3 17 3 3" xfId="24677"/>
    <cellStyle name="40% - Accent3 17 4" xfId="24678"/>
    <cellStyle name="40% - Accent3 17 4 2" xfId="24679"/>
    <cellStyle name="40% - Accent3 17 5" xfId="24680"/>
    <cellStyle name="40% - Accent3 17 6" xfId="24681"/>
    <cellStyle name="40% - Accent3 17 7" xfId="24682"/>
    <cellStyle name="40% - Accent3 18" xfId="24683"/>
    <cellStyle name="40% - Accent3 18 2" xfId="24684"/>
    <cellStyle name="40% - Accent3 18 2 2" xfId="24685"/>
    <cellStyle name="40% - Accent3 18 2 3" xfId="24686"/>
    <cellStyle name="40% - Accent3 18 2 4" xfId="24687"/>
    <cellStyle name="40% - Accent3 18 3" xfId="24688"/>
    <cellStyle name="40% - Accent3 18 3 2" xfId="24689"/>
    <cellStyle name="40% - Accent3 18 3 3" xfId="24690"/>
    <cellStyle name="40% - Accent3 18 4" xfId="24691"/>
    <cellStyle name="40% - Accent3 18 4 2" xfId="24692"/>
    <cellStyle name="40% - Accent3 18 5" xfId="24693"/>
    <cellStyle name="40% - Accent3 18 6" xfId="24694"/>
    <cellStyle name="40% - Accent3 18 7" xfId="24695"/>
    <cellStyle name="40% - Accent3 19" xfId="24696"/>
    <cellStyle name="40% - Accent3 19 2" xfId="24697"/>
    <cellStyle name="40% - Accent3 19 2 2" xfId="24698"/>
    <cellStyle name="40% - Accent3 19 2 3" xfId="24699"/>
    <cellStyle name="40% - Accent3 19 2 4" xfId="24700"/>
    <cellStyle name="40% - Accent3 19 3" xfId="24701"/>
    <cellStyle name="40% - Accent3 19 3 2" xfId="24702"/>
    <cellStyle name="40% - Accent3 19 3 3" xfId="24703"/>
    <cellStyle name="40% - Accent3 19 4" xfId="24704"/>
    <cellStyle name="40% - Accent3 19 4 2" xfId="24705"/>
    <cellStyle name="40% - Accent3 19 5" xfId="24706"/>
    <cellStyle name="40% - Accent3 19 6" xfId="24707"/>
    <cellStyle name="40% - Accent3 19 7" xfId="24708"/>
    <cellStyle name="40% - Accent3 2" xfId="24709"/>
    <cellStyle name="40% - Accent3 2 10" xfId="24710"/>
    <cellStyle name="40% - Accent3 2 10 2" xfId="24711"/>
    <cellStyle name="40% - Accent3 2 10 2 2" xfId="24712"/>
    <cellStyle name="40% - Accent3 2 10 2 2 2" xfId="24713"/>
    <cellStyle name="40% - Accent3 2 10 2 2 2 2" xfId="24714"/>
    <cellStyle name="40% - Accent3 2 10 2 2 2 2 2" xfId="24715"/>
    <cellStyle name="40% - Accent3 2 10 2 2 2 2 2 2" xfId="24716"/>
    <cellStyle name="40% - Accent3 2 10 2 2 2 3" xfId="24717"/>
    <cellStyle name="40% - Accent3 2 10 2 2 2 3 2" xfId="24718"/>
    <cellStyle name="40% - Accent3 2 10 2 2 3" xfId="24719"/>
    <cellStyle name="40% - Accent3 2 10 2 2 3 2" xfId="24720"/>
    <cellStyle name="40% - Accent3 2 10 2 2 3 2 2" xfId="24721"/>
    <cellStyle name="40% - Accent3 2 10 2 2 4" xfId="24722"/>
    <cellStyle name="40% - Accent3 2 10 2 2 4 2" xfId="24723"/>
    <cellStyle name="40% - Accent3 2 10 2 3" xfId="24724"/>
    <cellStyle name="40% - Accent3 2 10 2 3 2" xfId="24725"/>
    <cellStyle name="40% - Accent3 2 10 2 3 2 2" xfId="24726"/>
    <cellStyle name="40% - Accent3 2 10 2 3 2 2 2" xfId="24727"/>
    <cellStyle name="40% - Accent3 2 10 2 3 3" xfId="24728"/>
    <cellStyle name="40% - Accent3 2 10 2 3 3 2" xfId="24729"/>
    <cellStyle name="40% - Accent3 2 10 2 4" xfId="24730"/>
    <cellStyle name="40% - Accent3 2 10 2 4 2" xfId="24731"/>
    <cellStyle name="40% - Accent3 2 10 2 4 2 2" xfId="24732"/>
    <cellStyle name="40% - Accent3 2 10 2 5" xfId="24733"/>
    <cellStyle name="40% - Accent3 2 10 2 5 2" xfId="24734"/>
    <cellStyle name="40% - Accent3 2 10 3" xfId="24735"/>
    <cellStyle name="40% - Accent3 2 10 3 2" xfId="24736"/>
    <cellStyle name="40% - Accent3 2 10 3 2 2" xfId="24737"/>
    <cellStyle name="40% - Accent3 2 10 3 2 2 2" xfId="24738"/>
    <cellStyle name="40% - Accent3 2 10 3 2 2 2 2" xfId="24739"/>
    <cellStyle name="40% - Accent3 2 10 3 2 3" xfId="24740"/>
    <cellStyle name="40% - Accent3 2 10 3 2 3 2" xfId="24741"/>
    <cellStyle name="40% - Accent3 2 10 3 3" xfId="24742"/>
    <cellStyle name="40% - Accent3 2 10 3 3 2" xfId="24743"/>
    <cellStyle name="40% - Accent3 2 10 3 3 2 2" xfId="24744"/>
    <cellStyle name="40% - Accent3 2 10 3 4" xfId="24745"/>
    <cellStyle name="40% - Accent3 2 10 3 4 2" xfId="24746"/>
    <cellStyle name="40% - Accent3 2 10 4" xfId="24747"/>
    <cellStyle name="40% - Accent3 2 10 4 2" xfId="24748"/>
    <cellStyle name="40% - Accent3 2 10 4 2 2" xfId="24749"/>
    <cellStyle name="40% - Accent3 2 10 4 2 2 2" xfId="24750"/>
    <cellStyle name="40% - Accent3 2 10 4 3" xfId="24751"/>
    <cellStyle name="40% - Accent3 2 10 4 3 2" xfId="24752"/>
    <cellStyle name="40% - Accent3 2 10 5" xfId="24753"/>
    <cellStyle name="40% - Accent3 2 10 5 2" xfId="24754"/>
    <cellStyle name="40% - Accent3 2 10 5 2 2" xfId="24755"/>
    <cellStyle name="40% - Accent3 2 10 6" xfId="24756"/>
    <cellStyle name="40% - Accent3 2 10 6 2" xfId="24757"/>
    <cellStyle name="40% - Accent3 2 11" xfId="24758"/>
    <cellStyle name="40% - Accent3 2 11 2" xfId="24759"/>
    <cellStyle name="40% - Accent3 2 11 2 2" xfId="24760"/>
    <cellStyle name="40% - Accent3 2 11 2 2 2" xfId="24761"/>
    <cellStyle name="40% - Accent3 2 11 2 2 2 2" xfId="24762"/>
    <cellStyle name="40% - Accent3 2 11 2 2 2 2 2" xfId="24763"/>
    <cellStyle name="40% - Accent3 2 11 2 2 2 2 2 2" xfId="24764"/>
    <cellStyle name="40% - Accent3 2 11 2 2 2 3" xfId="24765"/>
    <cellStyle name="40% - Accent3 2 11 2 2 2 3 2" xfId="24766"/>
    <cellStyle name="40% - Accent3 2 11 2 2 3" xfId="24767"/>
    <cellStyle name="40% - Accent3 2 11 2 2 3 2" xfId="24768"/>
    <cellStyle name="40% - Accent3 2 11 2 2 3 2 2" xfId="24769"/>
    <cellStyle name="40% - Accent3 2 11 2 2 4" xfId="24770"/>
    <cellStyle name="40% - Accent3 2 11 2 2 4 2" xfId="24771"/>
    <cellStyle name="40% - Accent3 2 11 2 3" xfId="24772"/>
    <cellStyle name="40% - Accent3 2 11 2 3 2" xfId="24773"/>
    <cellStyle name="40% - Accent3 2 11 2 3 2 2" xfId="24774"/>
    <cellStyle name="40% - Accent3 2 11 2 3 2 2 2" xfId="24775"/>
    <cellStyle name="40% - Accent3 2 11 2 3 3" xfId="24776"/>
    <cellStyle name="40% - Accent3 2 11 2 3 3 2" xfId="24777"/>
    <cellStyle name="40% - Accent3 2 11 2 4" xfId="24778"/>
    <cellStyle name="40% - Accent3 2 11 2 4 2" xfId="24779"/>
    <cellStyle name="40% - Accent3 2 11 2 4 2 2" xfId="24780"/>
    <cellStyle name="40% - Accent3 2 11 2 5" xfId="24781"/>
    <cellStyle name="40% - Accent3 2 11 2 5 2" xfId="24782"/>
    <cellStyle name="40% - Accent3 2 11 3" xfId="24783"/>
    <cellStyle name="40% - Accent3 2 11 3 2" xfId="24784"/>
    <cellStyle name="40% - Accent3 2 11 3 2 2" xfId="24785"/>
    <cellStyle name="40% - Accent3 2 11 3 2 2 2" xfId="24786"/>
    <cellStyle name="40% - Accent3 2 11 3 2 2 2 2" xfId="24787"/>
    <cellStyle name="40% - Accent3 2 11 3 2 3" xfId="24788"/>
    <cellStyle name="40% - Accent3 2 11 3 2 3 2" xfId="24789"/>
    <cellStyle name="40% - Accent3 2 11 3 3" xfId="24790"/>
    <cellStyle name="40% - Accent3 2 11 3 3 2" xfId="24791"/>
    <cellStyle name="40% - Accent3 2 11 3 3 2 2" xfId="24792"/>
    <cellStyle name="40% - Accent3 2 11 3 4" xfId="24793"/>
    <cellStyle name="40% - Accent3 2 11 3 4 2" xfId="24794"/>
    <cellStyle name="40% - Accent3 2 11 4" xfId="24795"/>
    <cellStyle name="40% - Accent3 2 11 4 2" xfId="24796"/>
    <cellStyle name="40% - Accent3 2 11 4 2 2" xfId="24797"/>
    <cellStyle name="40% - Accent3 2 11 4 2 2 2" xfId="24798"/>
    <cellStyle name="40% - Accent3 2 11 4 3" xfId="24799"/>
    <cellStyle name="40% - Accent3 2 11 4 3 2" xfId="24800"/>
    <cellStyle name="40% - Accent3 2 11 5" xfId="24801"/>
    <cellStyle name="40% - Accent3 2 11 5 2" xfId="24802"/>
    <cellStyle name="40% - Accent3 2 11 5 2 2" xfId="24803"/>
    <cellStyle name="40% - Accent3 2 11 6" xfId="24804"/>
    <cellStyle name="40% - Accent3 2 11 6 2" xfId="24805"/>
    <cellStyle name="40% - Accent3 2 12" xfId="24806"/>
    <cellStyle name="40% - Accent3 2 12 2" xfId="24807"/>
    <cellStyle name="40% - Accent3 2 12 2 2" xfId="24808"/>
    <cellStyle name="40% - Accent3 2 12 2 2 2" xfId="24809"/>
    <cellStyle name="40% - Accent3 2 12 2 2 2 2" xfId="24810"/>
    <cellStyle name="40% - Accent3 2 12 2 2 2 2 2" xfId="24811"/>
    <cellStyle name="40% - Accent3 2 12 2 2 2 2 2 2" xfId="24812"/>
    <cellStyle name="40% - Accent3 2 12 2 2 2 3" xfId="24813"/>
    <cellStyle name="40% - Accent3 2 12 2 2 2 3 2" xfId="24814"/>
    <cellStyle name="40% - Accent3 2 12 2 2 3" xfId="24815"/>
    <cellStyle name="40% - Accent3 2 12 2 2 3 2" xfId="24816"/>
    <cellStyle name="40% - Accent3 2 12 2 2 3 2 2" xfId="24817"/>
    <cellStyle name="40% - Accent3 2 12 2 2 4" xfId="24818"/>
    <cellStyle name="40% - Accent3 2 12 2 2 4 2" xfId="24819"/>
    <cellStyle name="40% - Accent3 2 12 2 3" xfId="24820"/>
    <cellStyle name="40% - Accent3 2 12 2 3 2" xfId="24821"/>
    <cellStyle name="40% - Accent3 2 12 2 3 2 2" xfId="24822"/>
    <cellStyle name="40% - Accent3 2 12 2 3 2 2 2" xfId="24823"/>
    <cellStyle name="40% - Accent3 2 12 2 3 3" xfId="24824"/>
    <cellStyle name="40% - Accent3 2 12 2 3 3 2" xfId="24825"/>
    <cellStyle name="40% - Accent3 2 12 2 4" xfId="24826"/>
    <cellStyle name="40% - Accent3 2 12 2 4 2" xfId="24827"/>
    <cellStyle name="40% - Accent3 2 12 2 4 2 2" xfId="24828"/>
    <cellStyle name="40% - Accent3 2 12 2 5" xfId="24829"/>
    <cellStyle name="40% - Accent3 2 12 2 5 2" xfId="24830"/>
    <cellStyle name="40% - Accent3 2 12 3" xfId="24831"/>
    <cellStyle name="40% - Accent3 2 12 3 2" xfId="24832"/>
    <cellStyle name="40% - Accent3 2 12 3 2 2" xfId="24833"/>
    <cellStyle name="40% - Accent3 2 12 3 2 2 2" xfId="24834"/>
    <cellStyle name="40% - Accent3 2 12 3 2 2 2 2" xfId="24835"/>
    <cellStyle name="40% - Accent3 2 12 3 2 3" xfId="24836"/>
    <cellStyle name="40% - Accent3 2 12 3 2 3 2" xfId="24837"/>
    <cellStyle name="40% - Accent3 2 12 3 3" xfId="24838"/>
    <cellStyle name="40% - Accent3 2 12 3 3 2" xfId="24839"/>
    <cellStyle name="40% - Accent3 2 12 3 3 2 2" xfId="24840"/>
    <cellStyle name="40% - Accent3 2 12 3 4" xfId="24841"/>
    <cellStyle name="40% - Accent3 2 12 3 4 2" xfId="24842"/>
    <cellStyle name="40% - Accent3 2 12 4" xfId="24843"/>
    <cellStyle name="40% - Accent3 2 12 4 2" xfId="24844"/>
    <cellStyle name="40% - Accent3 2 12 4 2 2" xfId="24845"/>
    <cellStyle name="40% - Accent3 2 12 4 2 2 2" xfId="24846"/>
    <cellStyle name="40% - Accent3 2 12 4 3" xfId="24847"/>
    <cellStyle name="40% - Accent3 2 12 4 3 2" xfId="24848"/>
    <cellStyle name="40% - Accent3 2 12 5" xfId="24849"/>
    <cellStyle name="40% - Accent3 2 12 5 2" xfId="24850"/>
    <cellStyle name="40% - Accent3 2 12 5 2 2" xfId="24851"/>
    <cellStyle name="40% - Accent3 2 12 6" xfId="24852"/>
    <cellStyle name="40% - Accent3 2 12 6 2" xfId="24853"/>
    <cellStyle name="40% - Accent3 2 13" xfId="24854"/>
    <cellStyle name="40% - Accent3 2 13 2" xfId="24855"/>
    <cellStyle name="40% - Accent3 2 13 2 2" xfId="24856"/>
    <cellStyle name="40% - Accent3 2 13 2 2 2" xfId="24857"/>
    <cellStyle name="40% - Accent3 2 13 2 2 2 2" xfId="24858"/>
    <cellStyle name="40% - Accent3 2 13 2 2 2 2 2" xfId="24859"/>
    <cellStyle name="40% - Accent3 2 13 2 2 2 2 2 2" xfId="24860"/>
    <cellStyle name="40% - Accent3 2 13 2 2 2 3" xfId="24861"/>
    <cellStyle name="40% - Accent3 2 13 2 2 2 3 2" xfId="24862"/>
    <cellStyle name="40% - Accent3 2 13 2 2 3" xfId="24863"/>
    <cellStyle name="40% - Accent3 2 13 2 2 3 2" xfId="24864"/>
    <cellStyle name="40% - Accent3 2 13 2 2 3 2 2" xfId="24865"/>
    <cellStyle name="40% - Accent3 2 13 2 2 4" xfId="24866"/>
    <cellStyle name="40% - Accent3 2 13 2 2 4 2" xfId="24867"/>
    <cellStyle name="40% - Accent3 2 13 2 3" xfId="24868"/>
    <cellStyle name="40% - Accent3 2 13 2 3 2" xfId="24869"/>
    <cellStyle name="40% - Accent3 2 13 2 3 2 2" xfId="24870"/>
    <cellStyle name="40% - Accent3 2 13 2 3 2 2 2" xfId="24871"/>
    <cellStyle name="40% - Accent3 2 13 2 3 3" xfId="24872"/>
    <cellStyle name="40% - Accent3 2 13 2 3 3 2" xfId="24873"/>
    <cellStyle name="40% - Accent3 2 13 2 4" xfId="24874"/>
    <cellStyle name="40% - Accent3 2 13 2 4 2" xfId="24875"/>
    <cellStyle name="40% - Accent3 2 13 2 4 2 2" xfId="24876"/>
    <cellStyle name="40% - Accent3 2 13 2 5" xfId="24877"/>
    <cellStyle name="40% - Accent3 2 13 2 5 2" xfId="24878"/>
    <cellStyle name="40% - Accent3 2 13 3" xfId="24879"/>
    <cellStyle name="40% - Accent3 2 13 3 2" xfId="24880"/>
    <cellStyle name="40% - Accent3 2 13 3 2 2" xfId="24881"/>
    <cellStyle name="40% - Accent3 2 13 3 2 2 2" xfId="24882"/>
    <cellStyle name="40% - Accent3 2 13 3 2 2 2 2" xfId="24883"/>
    <cellStyle name="40% - Accent3 2 13 3 2 3" xfId="24884"/>
    <cellStyle name="40% - Accent3 2 13 3 2 3 2" xfId="24885"/>
    <cellStyle name="40% - Accent3 2 13 3 3" xfId="24886"/>
    <cellStyle name="40% - Accent3 2 13 3 3 2" xfId="24887"/>
    <cellStyle name="40% - Accent3 2 13 3 3 2 2" xfId="24888"/>
    <cellStyle name="40% - Accent3 2 13 3 4" xfId="24889"/>
    <cellStyle name="40% - Accent3 2 13 3 4 2" xfId="24890"/>
    <cellStyle name="40% - Accent3 2 13 4" xfId="24891"/>
    <cellStyle name="40% - Accent3 2 13 4 2" xfId="24892"/>
    <cellStyle name="40% - Accent3 2 13 4 2 2" xfId="24893"/>
    <cellStyle name="40% - Accent3 2 13 4 2 2 2" xfId="24894"/>
    <cellStyle name="40% - Accent3 2 13 4 3" xfId="24895"/>
    <cellStyle name="40% - Accent3 2 13 4 3 2" xfId="24896"/>
    <cellStyle name="40% - Accent3 2 13 5" xfId="24897"/>
    <cellStyle name="40% - Accent3 2 13 5 2" xfId="24898"/>
    <cellStyle name="40% - Accent3 2 13 5 2 2" xfId="24899"/>
    <cellStyle name="40% - Accent3 2 13 6" xfId="24900"/>
    <cellStyle name="40% - Accent3 2 13 6 2" xfId="24901"/>
    <cellStyle name="40% - Accent3 2 14" xfId="24902"/>
    <cellStyle name="40% - Accent3 2 14 2" xfId="24903"/>
    <cellStyle name="40% - Accent3 2 14 2 2" xfId="24904"/>
    <cellStyle name="40% - Accent3 2 14 2 2 2" xfId="24905"/>
    <cellStyle name="40% - Accent3 2 14 2 2 2 2" xfId="24906"/>
    <cellStyle name="40% - Accent3 2 14 2 2 2 2 2" xfId="24907"/>
    <cellStyle name="40% - Accent3 2 14 2 2 3" xfId="24908"/>
    <cellStyle name="40% - Accent3 2 14 2 2 3 2" xfId="24909"/>
    <cellStyle name="40% - Accent3 2 14 2 3" xfId="24910"/>
    <cellStyle name="40% - Accent3 2 14 2 3 2" xfId="24911"/>
    <cellStyle name="40% - Accent3 2 14 2 3 2 2" xfId="24912"/>
    <cellStyle name="40% - Accent3 2 14 2 4" xfId="24913"/>
    <cellStyle name="40% - Accent3 2 14 2 4 2" xfId="24914"/>
    <cellStyle name="40% - Accent3 2 14 3" xfId="24915"/>
    <cellStyle name="40% - Accent3 2 14 3 2" xfId="24916"/>
    <cellStyle name="40% - Accent3 2 14 3 2 2" xfId="24917"/>
    <cellStyle name="40% - Accent3 2 14 3 2 2 2" xfId="24918"/>
    <cellStyle name="40% - Accent3 2 14 3 3" xfId="24919"/>
    <cellStyle name="40% - Accent3 2 14 3 3 2" xfId="24920"/>
    <cellStyle name="40% - Accent3 2 14 4" xfId="24921"/>
    <cellStyle name="40% - Accent3 2 14 4 2" xfId="24922"/>
    <cellStyle name="40% - Accent3 2 14 4 2 2" xfId="24923"/>
    <cellStyle name="40% - Accent3 2 14 5" xfId="24924"/>
    <cellStyle name="40% - Accent3 2 14 5 2" xfId="24925"/>
    <cellStyle name="40% - Accent3 2 15" xfId="24926"/>
    <cellStyle name="40% - Accent3 2 15 2" xfId="24927"/>
    <cellStyle name="40% - Accent3 2 15 2 2" xfId="24928"/>
    <cellStyle name="40% - Accent3 2 15 2 2 2" xfId="24929"/>
    <cellStyle name="40% - Accent3 2 15 2 2 2 2" xfId="24930"/>
    <cellStyle name="40% - Accent3 2 15 2 3" xfId="24931"/>
    <cellStyle name="40% - Accent3 2 15 2 3 2" xfId="24932"/>
    <cellStyle name="40% - Accent3 2 15 3" xfId="24933"/>
    <cellStyle name="40% - Accent3 2 15 3 2" xfId="24934"/>
    <cellStyle name="40% - Accent3 2 15 3 2 2" xfId="24935"/>
    <cellStyle name="40% - Accent3 2 15 4" xfId="24936"/>
    <cellStyle name="40% - Accent3 2 15 4 2" xfId="24937"/>
    <cellStyle name="40% - Accent3 2 16" xfId="24938"/>
    <cellStyle name="40% - Accent3 2 16 2" xfId="24939"/>
    <cellStyle name="40% - Accent3 2 16 2 2" xfId="24940"/>
    <cellStyle name="40% - Accent3 2 16 2 2 2" xfId="24941"/>
    <cellStyle name="40% - Accent3 2 16 3" xfId="24942"/>
    <cellStyle name="40% - Accent3 2 16 3 2" xfId="24943"/>
    <cellStyle name="40% - Accent3 2 17" xfId="24944"/>
    <cellStyle name="40% - Accent3 2 17 2" xfId="24945"/>
    <cellStyle name="40% - Accent3 2 17 2 2" xfId="24946"/>
    <cellStyle name="40% - Accent3 2 18" xfId="24947"/>
    <cellStyle name="40% - Accent3 2 19" xfId="24948"/>
    <cellStyle name="40% - Accent3 2 19 2" xfId="24949"/>
    <cellStyle name="40% - Accent3 2 2" xfId="24950"/>
    <cellStyle name="40% - Accent3 2 2 2" xfId="24951"/>
    <cellStyle name="40% - Accent3 2 2 2 2" xfId="24952"/>
    <cellStyle name="40% - Accent3 2 2 2 2 2" xfId="24953"/>
    <cellStyle name="40% - Accent3 2 2 2 2 2 2" xfId="24954"/>
    <cellStyle name="40% - Accent3 2 2 2 2 2 2 2" xfId="24955"/>
    <cellStyle name="40% - Accent3 2 2 2 2 2 2 2 2" xfId="24956"/>
    <cellStyle name="40% - Accent3 2 2 2 2 2 3" xfId="24957"/>
    <cellStyle name="40% - Accent3 2 2 2 2 2 3 2" xfId="24958"/>
    <cellStyle name="40% - Accent3 2 2 2 2 3" xfId="24959"/>
    <cellStyle name="40% - Accent3 2 2 2 2 3 2" xfId="24960"/>
    <cellStyle name="40% - Accent3 2 2 2 2 3 2 2" xfId="24961"/>
    <cellStyle name="40% - Accent3 2 2 2 2 4" xfId="24962"/>
    <cellStyle name="40% - Accent3 2 2 2 2 4 2" xfId="24963"/>
    <cellStyle name="40% - Accent3 2 2 2 3" xfId="24964"/>
    <cellStyle name="40% - Accent3 2 2 2 3 2" xfId="24965"/>
    <cellStyle name="40% - Accent3 2 2 2 3 2 2" xfId="24966"/>
    <cellStyle name="40% - Accent3 2 2 2 3 2 2 2" xfId="24967"/>
    <cellStyle name="40% - Accent3 2 2 2 3 3" xfId="24968"/>
    <cellStyle name="40% - Accent3 2 2 2 3 3 2" xfId="24969"/>
    <cellStyle name="40% - Accent3 2 2 2 4" xfId="24970"/>
    <cellStyle name="40% - Accent3 2 2 2 4 2" xfId="24971"/>
    <cellStyle name="40% - Accent3 2 2 2 4 2 2" xfId="24972"/>
    <cellStyle name="40% - Accent3 2 2 2 5" xfId="24973"/>
    <cellStyle name="40% - Accent3 2 2 2 5 2" xfId="24974"/>
    <cellStyle name="40% - Accent3 2 2 3" xfId="24975"/>
    <cellStyle name="40% - Accent3 2 2 3 2" xfId="24976"/>
    <cellStyle name="40% - Accent3 2 2 3 2 2" xfId="24977"/>
    <cellStyle name="40% - Accent3 2 2 3 2 2 2" xfId="24978"/>
    <cellStyle name="40% - Accent3 2 2 3 2 2 2 2" xfId="24979"/>
    <cellStyle name="40% - Accent3 2 2 3 2 3" xfId="24980"/>
    <cellStyle name="40% - Accent3 2 2 3 2 3 2" xfId="24981"/>
    <cellStyle name="40% - Accent3 2 2 3 3" xfId="24982"/>
    <cellStyle name="40% - Accent3 2 2 3 3 2" xfId="24983"/>
    <cellStyle name="40% - Accent3 2 2 3 3 2 2" xfId="24984"/>
    <cellStyle name="40% - Accent3 2 2 3 4" xfId="24985"/>
    <cellStyle name="40% - Accent3 2 2 3 4 2" xfId="24986"/>
    <cellStyle name="40% - Accent3 2 2 4" xfId="24987"/>
    <cellStyle name="40% - Accent3 2 2 4 2" xfId="24988"/>
    <cellStyle name="40% - Accent3 2 2 4 2 2" xfId="24989"/>
    <cellStyle name="40% - Accent3 2 2 4 2 2 2" xfId="24990"/>
    <cellStyle name="40% - Accent3 2 2 4 3" xfId="24991"/>
    <cellStyle name="40% - Accent3 2 2 4 3 2" xfId="24992"/>
    <cellStyle name="40% - Accent3 2 2 5" xfId="24993"/>
    <cellStyle name="40% - Accent3 2 2 5 2" xfId="24994"/>
    <cellStyle name="40% - Accent3 2 2 5 2 2" xfId="24995"/>
    <cellStyle name="40% - Accent3 2 2 6" xfId="24996"/>
    <cellStyle name="40% - Accent3 2 2 6 2" xfId="24997"/>
    <cellStyle name="40% - Accent3 2 2 7" xfId="24998"/>
    <cellStyle name="40% - Accent3 2 3" xfId="24999"/>
    <cellStyle name="40% - Accent3 2 3 2" xfId="25000"/>
    <cellStyle name="40% - Accent3 2 3 2 2" xfId="25001"/>
    <cellStyle name="40% - Accent3 2 3 2 2 2" xfId="25002"/>
    <cellStyle name="40% - Accent3 2 3 2 2 2 2" xfId="25003"/>
    <cellStyle name="40% - Accent3 2 3 2 2 2 2 2" xfId="25004"/>
    <cellStyle name="40% - Accent3 2 3 2 2 2 2 2 2" xfId="25005"/>
    <cellStyle name="40% - Accent3 2 3 2 2 2 3" xfId="25006"/>
    <cellStyle name="40% - Accent3 2 3 2 2 2 3 2" xfId="25007"/>
    <cellStyle name="40% - Accent3 2 3 2 2 3" xfId="25008"/>
    <cellStyle name="40% - Accent3 2 3 2 2 3 2" xfId="25009"/>
    <cellStyle name="40% - Accent3 2 3 2 2 3 2 2" xfId="25010"/>
    <cellStyle name="40% - Accent3 2 3 2 2 4" xfId="25011"/>
    <cellStyle name="40% - Accent3 2 3 2 2 4 2" xfId="25012"/>
    <cellStyle name="40% - Accent3 2 3 2 3" xfId="25013"/>
    <cellStyle name="40% - Accent3 2 3 2 3 2" xfId="25014"/>
    <cellStyle name="40% - Accent3 2 3 2 3 2 2" xfId="25015"/>
    <cellStyle name="40% - Accent3 2 3 2 3 2 2 2" xfId="25016"/>
    <cellStyle name="40% - Accent3 2 3 2 3 3" xfId="25017"/>
    <cellStyle name="40% - Accent3 2 3 2 3 3 2" xfId="25018"/>
    <cellStyle name="40% - Accent3 2 3 2 4" xfId="25019"/>
    <cellStyle name="40% - Accent3 2 3 2 4 2" xfId="25020"/>
    <cellStyle name="40% - Accent3 2 3 2 4 2 2" xfId="25021"/>
    <cellStyle name="40% - Accent3 2 3 2 5" xfId="25022"/>
    <cellStyle name="40% - Accent3 2 3 2 5 2" xfId="25023"/>
    <cellStyle name="40% - Accent3 2 3 3" xfId="25024"/>
    <cellStyle name="40% - Accent3 2 3 3 2" xfId="25025"/>
    <cellStyle name="40% - Accent3 2 3 3 2 2" xfId="25026"/>
    <cellStyle name="40% - Accent3 2 3 3 2 2 2" xfId="25027"/>
    <cellStyle name="40% - Accent3 2 3 3 2 2 2 2" xfId="25028"/>
    <cellStyle name="40% - Accent3 2 3 3 2 3" xfId="25029"/>
    <cellStyle name="40% - Accent3 2 3 3 2 3 2" xfId="25030"/>
    <cellStyle name="40% - Accent3 2 3 3 3" xfId="25031"/>
    <cellStyle name="40% - Accent3 2 3 3 3 2" xfId="25032"/>
    <cellStyle name="40% - Accent3 2 3 3 3 2 2" xfId="25033"/>
    <cellStyle name="40% - Accent3 2 3 3 4" xfId="25034"/>
    <cellStyle name="40% - Accent3 2 3 3 4 2" xfId="25035"/>
    <cellStyle name="40% - Accent3 2 3 4" xfId="25036"/>
    <cellStyle name="40% - Accent3 2 3 4 2" xfId="25037"/>
    <cellStyle name="40% - Accent3 2 3 4 2 2" xfId="25038"/>
    <cellStyle name="40% - Accent3 2 3 4 2 2 2" xfId="25039"/>
    <cellStyle name="40% - Accent3 2 3 4 3" xfId="25040"/>
    <cellStyle name="40% - Accent3 2 3 4 3 2" xfId="25041"/>
    <cellStyle name="40% - Accent3 2 3 5" xfId="25042"/>
    <cellStyle name="40% - Accent3 2 3 5 2" xfId="25043"/>
    <cellStyle name="40% - Accent3 2 3 5 2 2" xfId="25044"/>
    <cellStyle name="40% - Accent3 2 3 6" xfId="25045"/>
    <cellStyle name="40% - Accent3 2 3 6 2" xfId="25046"/>
    <cellStyle name="40% - Accent3 2 3 7" xfId="25047"/>
    <cellStyle name="40% - Accent3 2 4" xfId="25048"/>
    <cellStyle name="40% - Accent3 2 4 2" xfId="25049"/>
    <cellStyle name="40% - Accent3 2 4 2 2" xfId="25050"/>
    <cellStyle name="40% - Accent3 2 4 2 2 2" xfId="25051"/>
    <cellStyle name="40% - Accent3 2 4 2 2 2 2" xfId="25052"/>
    <cellStyle name="40% - Accent3 2 4 2 2 2 2 2" xfId="25053"/>
    <cellStyle name="40% - Accent3 2 4 2 2 2 2 2 2" xfId="25054"/>
    <cellStyle name="40% - Accent3 2 4 2 2 2 3" xfId="25055"/>
    <cellStyle name="40% - Accent3 2 4 2 2 2 3 2" xfId="25056"/>
    <cellStyle name="40% - Accent3 2 4 2 2 3" xfId="25057"/>
    <cellStyle name="40% - Accent3 2 4 2 2 3 2" xfId="25058"/>
    <cellStyle name="40% - Accent3 2 4 2 2 3 2 2" xfId="25059"/>
    <cellStyle name="40% - Accent3 2 4 2 2 4" xfId="25060"/>
    <cellStyle name="40% - Accent3 2 4 2 2 4 2" xfId="25061"/>
    <cellStyle name="40% - Accent3 2 4 2 3" xfId="25062"/>
    <cellStyle name="40% - Accent3 2 4 2 3 2" xfId="25063"/>
    <cellStyle name="40% - Accent3 2 4 2 3 2 2" xfId="25064"/>
    <cellStyle name="40% - Accent3 2 4 2 3 2 2 2" xfId="25065"/>
    <cellStyle name="40% - Accent3 2 4 2 3 3" xfId="25066"/>
    <cellStyle name="40% - Accent3 2 4 2 3 3 2" xfId="25067"/>
    <cellStyle name="40% - Accent3 2 4 2 4" xfId="25068"/>
    <cellStyle name="40% - Accent3 2 4 2 4 2" xfId="25069"/>
    <cellStyle name="40% - Accent3 2 4 2 4 2 2" xfId="25070"/>
    <cellStyle name="40% - Accent3 2 4 2 5" xfId="25071"/>
    <cellStyle name="40% - Accent3 2 4 2 5 2" xfId="25072"/>
    <cellStyle name="40% - Accent3 2 4 3" xfId="25073"/>
    <cellStyle name="40% - Accent3 2 4 3 2" xfId="25074"/>
    <cellStyle name="40% - Accent3 2 4 3 2 2" xfId="25075"/>
    <cellStyle name="40% - Accent3 2 4 3 2 2 2" xfId="25076"/>
    <cellStyle name="40% - Accent3 2 4 3 2 2 2 2" xfId="25077"/>
    <cellStyle name="40% - Accent3 2 4 3 2 3" xfId="25078"/>
    <cellStyle name="40% - Accent3 2 4 3 2 3 2" xfId="25079"/>
    <cellStyle name="40% - Accent3 2 4 3 3" xfId="25080"/>
    <cellStyle name="40% - Accent3 2 4 3 3 2" xfId="25081"/>
    <cellStyle name="40% - Accent3 2 4 3 3 2 2" xfId="25082"/>
    <cellStyle name="40% - Accent3 2 4 3 4" xfId="25083"/>
    <cellStyle name="40% - Accent3 2 4 3 4 2" xfId="25084"/>
    <cellStyle name="40% - Accent3 2 4 4" xfId="25085"/>
    <cellStyle name="40% - Accent3 2 4 4 2" xfId="25086"/>
    <cellStyle name="40% - Accent3 2 4 4 2 2" xfId="25087"/>
    <cellStyle name="40% - Accent3 2 4 4 2 2 2" xfId="25088"/>
    <cellStyle name="40% - Accent3 2 4 4 3" xfId="25089"/>
    <cellStyle name="40% - Accent3 2 4 4 3 2" xfId="25090"/>
    <cellStyle name="40% - Accent3 2 4 5" xfId="25091"/>
    <cellStyle name="40% - Accent3 2 4 5 2" xfId="25092"/>
    <cellStyle name="40% - Accent3 2 4 5 2 2" xfId="25093"/>
    <cellStyle name="40% - Accent3 2 4 6" xfId="25094"/>
    <cellStyle name="40% - Accent3 2 4 6 2" xfId="25095"/>
    <cellStyle name="40% - Accent3 2 4 7" xfId="25096"/>
    <cellStyle name="40% - Accent3 2 5" xfId="25097"/>
    <cellStyle name="40% - Accent3 2 5 2" xfId="25098"/>
    <cellStyle name="40% - Accent3 2 5 2 2" xfId="25099"/>
    <cellStyle name="40% - Accent3 2 5 2 2 2" xfId="25100"/>
    <cellStyle name="40% - Accent3 2 5 2 2 2 2" xfId="25101"/>
    <cellStyle name="40% - Accent3 2 5 2 2 2 2 2" xfId="25102"/>
    <cellStyle name="40% - Accent3 2 5 2 2 2 2 2 2" xfId="25103"/>
    <cellStyle name="40% - Accent3 2 5 2 2 2 3" xfId="25104"/>
    <cellStyle name="40% - Accent3 2 5 2 2 2 3 2" xfId="25105"/>
    <cellStyle name="40% - Accent3 2 5 2 2 3" xfId="25106"/>
    <cellStyle name="40% - Accent3 2 5 2 2 3 2" xfId="25107"/>
    <cellStyle name="40% - Accent3 2 5 2 2 3 2 2" xfId="25108"/>
    <cellStyle name="40% - Accent3 2 5 2 2 4" xfId="25109"/>
    <cellStyle name="40% - Accent3 2 5 2 2 4 2" xfId="25110"/>
    <cellStyle name="40% - Accent3 2 5 2 3" xfId="25111"/>
    <cellStyle name="40% - Accent3 2 5 2 3 2" xfId="25112"/>
    <cellStyle name="40% - Accent3 2 5 2 3 2 2" xfId="25113"/>
    <cellStyle name="40% - Accent3 2 5 2 3 2 2 2" xfId="25114"/>
    <cellStyle name="40% - Accent3 2 5 2 3 3" xfId="25115"/>
    <cellStyle name="40% - Accent3 2 5 2 3 3 2" xfId="25116"/>
    <cellStyle name="40% - Accent3 2 5 2 4" xfId="25117"/>
    <cellStyle name="40% - Accent3 2 5 2 4 2" xfId="25118"/>
    <cellStyle name="40% - Accent3 2 5 2 4 2 2" xfId="25119"/>
    <cellStyle name="40% - Accent3 2 5 2 5" xfId="25120"/>
    <cellStyle name="40% - Accent3 2 5 2 5 2" xfId="25121"/>
    <cellStyle name="40% - Accent3 2 5 3" xfId="25122"/>
    <cellStyle name="40% - Accent3 2 5 3 2" xfId="25123"/>
    <cellStyle name="40% - Accent3 2 5 3 2 2" xfId="25124"/>
    <cellStyle name="40% - Accent3 2 5 3 2 2 2" xfId="25125"/>
    <cellStyle name="40% - Accent3 2 5 3 2 2 2 2" xfId="25126"/>
    <cellStyle name="40% - Accent3 2 5 3 2 3" xfId="25127"/>
    <cellStyle name="40% - Accent3 2 5 3 2 3 2" xfId="25128"/>
    <cellStyle name="40% - Accent3 2 5 3 3" xfId="25129"/>
    <cellStyle name="40% - Accent3 2 5 3 3 2" xfId="25130"/>
    <cellStyle name="40% - Accent3 2 5 3 3 2 2" xfId="25131"/>
    <cellStyle name="40% - Accent3 2 5 3 4" xfId="25132"/>
    <cellStyle name="40% - Accent3 2 5 3 4 2" xfId="25133"/>
    <cellStyle name="40% - Accent3 2 5 4" xfId="25134"/>
    <cellStyle name="40% - Accent3 2 5 4 2" xfId="25135"/>
    <cellStyle name="40% - Accent3 2 5 4 2 2" xfId="25136"/>
    <cellStyle name="40% - Accent3 2 5 4 2 2 2" xfId="25137"/>
    <cellStyle name="40% - Accent3 2 5 4 3" xfId="25138"/>
    <cellStyle name="40% - Accent3 2 5 4 3 2" xfId="25139"/>
    <cellStyle name="40% - Accent3 2 5 5" xfId="25140"/>
    <cellStyle name="40% - Accent3 2 5 5 2" xfId="25141"/>
    <cellStyle name="40% - Accent3 2 5 5 2 2" xfId="25142"/>
    <cellStyle name="40% - Accent3 2 5 6" xfId="25143"/>
    <cellStyle name="40% - Accent3 2 5 6 2" xfId="25144"/>
    <cellStyle name="40% - Accent3 2 5 7" xfId="25145"/>
    <cellStyle name="40% - Accent3 2 6" xfId="25146"/>
    <cellStyle name="40% - Accent3 2 6 2" xfId="25147"/>
    <cellStyle name="40% - Accent3 2 6 2 2" xfId="25148"/>
    <cellStyle name="40% - Accent3 2 6 2 2 2" xfId="25149"/>
    <cellStyle name="40% - Accent3 2 6 2 2 2 2" xfId="25150"/>
    <cellStyle name="40% - Accent3 2 6 2 2 2 2 2" xfId="25151"/>
    <cellStyle name="40% - Accent3 2 6 2 2 2 2 2 2" xfId="25152"/>
    <cellStyle name="40% - Accent3 2 6 2 2 2 3" xfId="25153"/>
    <cellStyle name="40% - Accent3 2 6 2 2 2 3 2" xfId="25154"/>
    <cellStyle name="40% - Accent3 2 6 2 2 3" xfId="25155"/>
    <cellStyle name="40% - Accent3 2 6 2 2 3 2" xfId="25156"/>
    <cellStyle name="40% - Accent3 2 6 2 2 3 2 2" xfId="25157"/>
    <cellStyle name="40% - Accent3 2 6 2 2 4" xfId="25158"/>
    <cellStyle name="40% - Accent3 2 6 2 2 4 2" xfId="25159"/>
    <cellStyle name="40% - Accent3 2 6 2 3" xfId="25160"/>
    <cellStyle name="40% - Accent3 2 6 2 3 2" xfId="25161"/>
    <cellStyle name="40% - Accent3 2 6 2 3 2 2" xfId="25162"/>
    <cellStyle name="40% - Accent3 2 6 2 3 2 2 2" xfId="25163"/>
    <cellStyle name="40% - Accent3 2 6 2 3 3" xfId="25164"/>
    <cellStyle name="40% - Accent3 2 6 2 3 3 2" xfId="25165"/>
    <cellStyle name="40% - Accent3 2 6 2 4" xfId="25166"/>
    <cellStyle name="40% - Accent3 2 6 2 4 2" xfId="25167"/>
    <cellStyle name="40% - Accent3 2 6 2 4 2 2" xfId="25168"/>
    <cellStyle name="40% - Accent3 2 6 2 5" xfId="25169"/>
    <cellStyle name="40% - Accent3 2 6 2 5 2" xfId="25170"/>
    <cellStyle name="40% - Accent3 2 6 3" xfId="25171"/>
    <cellStyle name="40% - Accent3 2 6 3 2" xfId="25172"/>
    <cellStyle name="40% - Accent3 2 6 3 2 2" xfId="25173"/>
    <cellStyle name="40% - Accent3 2 6 3 2 2 2" xfId="25174"/>
    <cellStyle name="40% - Accent3 2 6 3 2 2 2 2" xfId="25175"/>
    <cellStyle name="40% - Accent3 2 6 3 2 3" xfId="25176"/>
    <cellStyle name="40% - Accent3 2 6 3 2 3 2" xfId="25177"/>
    <cellStyle name="40% - Accent3 2 6 3 3" xfId="25178"/>
    <cellStyle name="40% - Accent3 2 6 3 3 2" xfId="25179"/>
    <cellStyle name="40% - Accent3 2 6 3 3 2 2" xfId="25180"/>
    <cellStyle name="40% - Accent3 2 6 3 4" xfId="25181"/>
    <cellStyle name="40% - Accent3 2 6 3 4 2" xfId="25182"/>
    <cellStyle name="40% - Accent3 2 6 4" xfId="25183"/>
    <cellStyle name="40% - Accent3 2 6 4 2" xfId="25184"/>
    <cellStyle name="40% - Accent3 2 6 4 2 2" xfId="25185"/>
    <cellStyle name="40% - Accent3 2 6 4 2 2 2" xfId="25186"/>
    <cellStyle name="40% - Accent3 2 6 4 3" xfId="25187"/>
    <cellStyle name="40% - Accent3 2 6 4 3 2" xfId="25188"/>
    <cellStyle name="40% - Accent3 2 6 5" xfId="25189"/>
    <cellStyle name="40% - Accent3 2 6 5 2" xfId="25190"/>
    <cellStyle name="40% - Accent3 2 6 5 2 2" xfId="25191"/>
    <cellStyle name="40% - Accent3 2 6 6" xfId="25192"/>
    <cellStyle name="40% - Accent3 2 6 6 2" xfId="25193"/>
    <cellStyle name="40% - Accent3 2 6 7" xfId="25194"/>
    <cellStyle name="40% - Accent3 2 7" xfId="25195"/>
    <cellStyle name="40% - Accent3 2 7 2" xfId="25196"/>
    <cellStyle name="40% - Accent3 2 7 2 2" xfId="25197"/>
    <cellStyle name="40% - Accent3 2 7 2 2 2" xfId="25198"/>
    <cellStyle name="40% - Accent3 2 7 2 2 2 2" xfId="25199"/>
    <cellStyle name="40% - Accent3 2 7 2 2 2 2 2" xfId="25200"/>
    <cellStyle name="40% - Accent3 2 7 2 2 2 2 2 2" xfId="25201"/>
    <cellStyle name="40% - Accent3 2 7 2 2 2 3" xfId="25202"/>
    <cellStyle name="40% - Accent3 2 7 2 2 2 3 2" xfId="25203"/>
    <cellStyle name="40% - Accent3 2 7 2 2 3" xfId="25204"/>
    <cellStyle name="40% - Accent3 2 7 2 2 3 2" xfId="25205"/>
    <cellStyle name="40% - Accent3 2 7 2 2 3 2 2" xfId="25206"/>
    <cellStyle name="40% - Accent3 2 7 2 2 4" xfId="25207"/>
    <cellStyle name="40% - Accent3 2 7 2 2 4 2" xfId="25208"/>
    <cellStyle name="40% - Accent3 2 7 2 3" xfId="25209"/>
    <cellStyle name="40% - Accent3 2 7 2 3 2" xfId="25210"/>
    <cellStyle name="40% - Accent3 2 7 2 3 2 2" xfId="25211"/>
    <cellStyle name="40% - Accent3 2 7 2 3 2 2 2" xfId="25212"/>
    <cellStyle name="40% - Accent3 2 7 2 3 3" xfId="25213"/>
    <cellStyle name="40% - Accent3 2 7 2 3 3 2" xfId="25214"/>
    <cellStyle name="40% - Accent3 2 7 2 4" xfId="25215"/>
    <cellStyle name="40% - Accent3 2 7 2 4 2" xfId="25216"/>
    <cellStyle name="40% - Accent3 2 7 2 4 2 2" xfId="25217"/>
    <cellStyle name="40% - Accent3 2 7 2 5" xfId="25218"/>
    <cellStyle name="40% - Accent3 2 7 2 5 2" xfId="25219"/>
    <cellStyle name="40% - Accent3 2 7 3" xfId="25220"/>
    <cellStyle name="40% - Accent3 2 7 3 2" xfId="25221"/>
    <cellStyle name="40% - Accent3 2 7 3 2 2" xfId="25222"/>
    <cellStyle name="40% - Accent3 2 7 3 2 2 2" xfId="25223"/>
    <cellStyle name="40% - Accent3 2 7 3 2 2 2 2" xfId="25224"/>
    <cellStyle name="40% - Accent3 2 7 3 2 3" xfId="25225"/>
    <cellStyle name="40% - Accent3 2 7 3 2 3 2" xfId="25226"/>
    <cellStyle name="40% - Accent3 2 7 3 3" xfId="25227"/>
    <cellStyle name="40% - Accent3 2 7 3 3 2" xfId="25228"/>
    <cellStyle name="40% - Accent3 2 7 3 3 2 2" xfId="25229"/>
    <cellStyle name="40% - Accent3 2 7 3 4" xfId="25230"/>
    <cellStyle name="40% - Accent3 2 7 3 4 2" xfId="25231"/>
    <cellStyle name="40% - Accent3 2 7 4" xfId="25232"/>
    <cellStyle name="40% - Accent3 2 7 4 2" xfId="25233"/>
    <cellStyle name="40% - Accent3 2 7 4 2 2" xfId="25234"/>
    <cellStyle name="40% - Accent3 2 7 4 2 2 2" xfId="25235"/>
    <cellStyle name="40% - Accent3 2 7 4 3" xfId="25236"/>
    <cellStyle name="40% - Accent3 2 7 4 3 2" xfId="25237"/>
    <cellStyle name="40% - Accent3 2 7 5" xfId="25238"/>
    <cellStyle name="40% - Accent3 2 7 5 2" xfId="25239"/>
    <cellStyle name="40% - Accent3 2 7 5 2 2" xfId="25240"/>
    <cellStyle name="40% - Accent3 2 7 6" xfId="25241"/>
    <cellStyle name="40% - Accent3 2 7 6 2" xfId="25242"/>
    <cellStyle name="40% - Accent3 2 7 7" xfId="25243"/>
    <cellStyle name="40% - Accent3 2 8" xfId="25244"/>
    <cellStyle name="40% - Accent3 2 8 2" xfId="25245"/>
    <cellStyle name="40% - Accent3 2 8 2 2" xfId="25246"/>
    <cellStyle name="40% - Accent3 2 8 2 2 2" xfId="25247"/>
    <cellStyle name="40% - Accent3 2 8 2 2 2 2" xfId="25248"/>
    <cellStyle name="40% - Accent3 2 8 2 2 2 2 2" xfId="25249"/>
    <cellStyle name="40% - Accent3 2 8 2 2 2 2 2 2" xfId="25250"/>
    <cellStyle name="40% - Accent3 2 8 2 2 2 3" xfId="25251"/>
    <cellStyle name="40% - Accent3 2 8 2 2 2 3 2" xfId="25252"/>
    <cellStyle name="40% - Accent3 2 8 2 2 3" xfId="25253"/>
    <cellStyle name="40% - Accent3 2 8 2 2 3 2" xfId="25254"/>
    <cellStyle name="40% - Accent3 2 8 2 2 3 2 2" xfId="25255"/>
    <cellStyle name="40% - Accent3 2 8 2 2 4" xfId="25256"/>
    <cellStyle name="40% - Accent3 2 8 2 2 4 2" xfId="25257"/>
    <cellStyle name="40% - Accent3 2 8 2 3" xfId="25258"/>
    <cellStyle name="40% - Accent3 2 8 2 3 2" xfId="25259"/>
    <cellStyle name="40% - Accent3 2 8 2 3 2 2" xfId="25260"/>
    <cellStyle name="40% - Accent3 2 8 2 3 2 2 2" xfId="25261"/>
    <cellStyle name="40% - Accent3 2 8 2 3 3" xfId="25262"/>
    <cellStyle name="40% - Accent3 2 8 2 3 3 2" xfId="25263"/>
    <cellStyle name="40% - Accent3 2 8 2 4" xfId="25264"/>
    <cellStyle name="40% - Accent3 2 8 2 4 2" xfId="25265"/>
    <cellStyle name="40% - Accent3 2 8 2 4 2 2" xfId="25266"/>
    <cellStyle name="40% - Accent3 2 8 2 5" xfId="25267"/>
    <cellStyle name="40% - Accent3 2 8 2 5 2" xfId="25268"/>
    <cellStyle name="40% - Accent3 2 8 3" xfId="25269"/>
    <cellStyle name="40% - Accent3 2 8 3 2" xfId="25270"/>
    <cellStyle name="40% - Accent3 2 8 3 2 2" xfId="25271"/>
    <cellStyle name="40% - Accent3 2 8 3 2 2 2" xfId="25272"/>
    <cellStyle name="40% - Accent3 2 8 3 2 2 2 2" xfId="25273"/>
    <cellStyle name="40% - Accent3 2 8 3 2 3" xfId="25274"/>
    <cellStyle name="40% - Accent3 2 8 3 2 3 2" xfId="25275"/>
    <cellStyle name="40% - Accent3 2 8 3 3" xfId="25276"/>
    <cellStyle name="40% - Accent3 2 8 3 3 2" xfId="25277"/>
    <cellStyle name="40% - Accent3 2 8 3 3 2 2" xfId="25278"/>
    <cellStyle name="40% - Accent3 2 8 3 4" xfId="25279"/>
    <cellStyle name="40% - Accent3 2 8 3 4 2" xfId="25280"/>
    <cellStyle name="40% - Accent3 2 8 4" xfId="25281"/>
    <cellStyle name="40% - Accent3 2 8 4 2" xfId="25282"/>
    <cellStyle name="40% - Accent3 2 8 4 2 2" xfId="25283"/>
    <cellStyle name="40% - Accent3 2 8 4 2 2 2" xfId="25284"/>
    <cellStyle name="40% - Accent3 2 8 4 3" xfId="25285"/>
    <cellStyle name="40% - Accent3 2 8 4 3 2" xfId="25286"/>
    <cellStyle name="40% - Accent3 2 8 5" xfId="25287"/>
    <cellStyle name="40% - Accent3 2 8 5 2" xfId="25288"/>
    <cellStyle name="40% - Accent3 2 8 5 2 2" xfId="25289"/>
    <cellStyle name="40% - Accent3 2 8 6" xfId="25290"/>
    <cellStyle name="40% - Accent3 2 8 6 2" xfId="25291"/>
    <cellStyle name="40% - Accent3 2 8 7" xfId="25292"/>
    <cellStyle name="40% - Accent3 2 9" xfId="25293"/>
    <cellStyle name="40% - Accent3 2 9 2" xfId="25294"/>
    <cellStyle name="40% - Accent3 2 9 2 2" xfId="25295"/>
    <cellStyle name="40% - Accent3 2 9 2 2 2" xfId="25296"/>
    <cellStyle name="40% - Accent3 2 9 2 2 2 2" xfId="25297"/>
    <cellStyle name="40% - Accent3 2 9 2 2 2 2 2" xfId="25298"/>
    <cellStyle name="40% - Accent3 2 9 2 2 2 2 2 2" xfId="25299"/>
    <cellStyle name="40% - Accent3 2 9 2 2 2 3" xfId="25300"/>
    <cellStyle name="40% - Accent3 2 9 2 2 2 3 2" xfId="25301"/>
    <cellStyle name="40% - Accent3 2 9 2 2 3" xfId="25302"/>
    <cellStyle name="40% - Accent3 2 9 2 2 3 2" xfId="25303"/>
    <cellStyle name="40% - Accent3 2 9 2 2 3 2 2" xfId="25304"/>
    <cellStyle name="40% - Accent3 2 9 2 2 4" xfId="25305"/>
    <cellStyle name="40% - Accent3 2 9 2 2 4 2" xfId="25306"/>
    <cellStyle name="40% - Accent3 2 9 2 3" xfId="25307"/>
    <cellStyle name="40% - Accent3 2 9 2 3 2" xfId="25308"/>
    <cellStyle name="40% - Accent3 2 9 2 3 2 2" xfId="25309"/>
    <cellStyle name="40% - Accent3 2 9 2 3 2 2 2" xfId="25310"/>
    <cellStyle name="40% - Accent3 2 9 2 3 3" xfId="25311"/>
    <cellStyle name="40% - Accent3 2 9 2 3 3 2" xfId="25312"/>
    <cellStyle name="40% - Accent3 2 9 2 4" xfId="25313"/>
    <cellStyle name="40% - Accent3 2 9 2 4 2" xfId="25314"/>
    <cellStyle name="40% - Accent3 2 9 2 4 2 2" xfId="25315"/>
    <cellStyle name="40% - Accent3 2 9 2 5" xfId="25316"/>
    <cellStyle name="40% - Accent3 2 9 2 5 2" xfId="25317"/>
    <cellStyle name="40% - Accent3 2 9 3" xfId="25318"/>
    <cellStyle name="40% - Accent3 2 9 3 2" xfId="25319"/>
    <cellStyle name="40% - Accent3 2 9 3 2 2" xfId="25320"/>
    <cellStyle name="40% - Accent3 2 9 3 2 2 2" xfId="25321"/>
    <cellStyle name="40% - Accent3 2 9 3 2 2 2 2" xfId="25322"/>
    <cellStyle name="40% - Accent3 2 9 3 2 3" xfId="25323"/>
    <cellStyle name="40% - Accent3 2 9 3 2 3 2" xfId="25324"/>
    <cellStyle name="40% - Accent3 2 9 3 3" xfId="25325"/>
    <cellStyle name="40% - Accent3 2 9 3 3 2" xfId="25326"/>
    <cellStyle name="40% - Accent3 2 9 3 3 2 2" xfId="25327"/>
    <cellStyle name="40% - Accent3 2 9 3 4" xfId="25328"/>
    <cellStyle name="40% - Accent3 2 9 3 4 2" xfId="25329"/>
    <cellStyle name="40% - Accent3 2 9 4" xfId="25330"/>
    <cellStyle name="40% - Accent3 2 9 4 2" xfId="25331"/>
    <cellStyle name="40% - Accent3 2 9 4 2 2" xfId="25332"/>
    <cellStyle name="40% - Accent3 2 9 4 2 2 2" xfId="25333"/>
    <cellStyle name="40% - Accent3 2 9 4 3" xfId="25334"/>
    <cellStyle name="40% - Accent3 2 9 4 3 2" xfId="25335"/>
    <cellStyle name="40% - Accent3 2 9 5" xfId="25336"/>
    <cellStyle name="40% - Accent3 2 9 5 2" xfId="25337"/>
    <cellStyle name="40% - Accent3 2 9 5 2 2" xfId="25338"/>
    <cellStyle name="40% - Accent3 2 9 6" xfId="25339"/>
    <cellStyle name="40% - Accent3 2 9 6 2" xfId="25340"/>
    <cellStyle name="40% - Accent3 20" xfId="25341"/>
    <cellStyle name="40% - Accent3 20 2" xfId="25342"/>
    <cellStyle name="40% - Accent3 21" xfId="25343"/>
    <cellStyle name="40% - Accent3 21 2" xfId="25344"/>
    <cellStyle name="40% - Accent3 21 2 2" xfId="25345"/>
    <cellStyle name="40% - Accent3 21 2 2 2" xfId="25346"/>
    <cellStyle name="40% - Accent3 21 2 2 2 2" xfId="25347"/>
    <cellStyle name="40% - Accent3 21 2 2 2 2 2" xfId="25348"/>
    <cellStyle name="40% - Accent3 21 2 2 2 2 2 2" xfId="25349"/>
    <cellStyle name="40% - Accent3 21 2 2 2 3" xfId="25350"/>
    <cellStyle name="40% - Accent3 21 2 2 2 3 2" xfId="25351"/>
    <cellStyle name="40% - Accent3 21 2 2 3" xfId="25352"/>
    <cellStyle name="40% - Accent3 21 2 2 3 2" xfId="25353"/>
    <cellStyle name="40% - Accent3 21 2 2 3 2 2" xfId="25354"/>
    <cellStyle name="40% - Accent3 21 2 2 4" xfId="25355"/>
    <cellStyle name="40% - Accent3 21 2 2 4 2" xfId="25356"/>
    <cellStyle name="40% - Accent3 21 2 3" xfId="25357"/>
    <cellStyle name="40% - Accent3 21 2 3 2" xfId="25358"/>
    <cellStyle name="40% - Accent3 21 2 3 2 2" xfId="25359"/>
    <cellStyle name="40% - Accent3 21 2 3 2 2 2" xfId="25360"/>
    <cellStyle name="40% - Accent3 21 2 3 3" xfId="25361"/>
    <cellStyle name="40% - Accent3 21 2 3 3 2" xfId="25362"/>
    <cellStyle name="40% - Accent3 21 2 4" xfId="25363"/>
    <cellStyle name="40% - Accent3 21 2 4 2" xfId="25364"/>
    <cellStyle name="40% - Accent3 21 2 4 2 2" xfId="25365"/>
    <cellStyle name="40% - Accent3 21 2 5" xfId="25366"/>
    <cellStyle name="40% - Accent3 21 2 5 2" xfId="25367"/>
    <cellStyle name="40% - Accent3 21 3" xfId="25368"/>
    <cellStyle name="40% - Accent3 21 3 2" xfId="25369"/>
    <cellStyle name="40% - Accent3 21 3 2 2" xfId="25370"/>
    <cellStyle name="40% - Accent3 21 3 2 2 2" xfId="25371"/>
    <cellStyle name="40% - Accent3 21 3 2 2 2 2" xfId="25372"/>
    <cellStyle name="40% - Accent3 21 3 2 3" xfId="25373"/>
    <cellStyle name="40% - Accent3 21 3 2 3 2" xfId="25374"/>
    <cellStyle name="40% - Accent3 21 3 3" xfId="25375"/>
    <cellStyle name="40% - Accent3 21 3 3 2" xfId="25376"/>
    <cellStyle name="40% - Accent3 21 3 3 2 2" xfId="25377"/>
    <cellStyle name="40% - Accent3 21 3 4" xfId="25378"/>
    <cellStyle name="40% - Accent3 21 3 4 2" xfId="25379"/>
    <cellStyle name="40% - Accent3 21 4" xfId="25380"/>
    <cellStyle name="40% - Accent3 21 4 2" xfId="25381"/>
    <cellStyle name="40% - Accent3 21 4 2 2" xfId="25382"/>
    <cellStyle name="40% - Accent3 21 4 2 2 2" xfId="25383"/>
    <cellStyle name="40% - Accent3 21 4 3" xfId="25384"/>
    <cellStyle name="40% - Accent3 21 4 3 2" xfId="25385"/>
    <cellStyle name="40% - Accent3 21 5" xfId="25386"/>
    <cellStyle name="40% - Accent3 21 5 2" xfId="25387"/>
    <cellStyle name="40% - Accent3 21 5 2 2" xfId="25388"/>
    <cellStyle name="40% - Accent3 21 6" xfId="25389"/>
    <cellStyle name="40% - Accent3 21 6 2" xfId="25390"/>
    <cellStyle name="40% - Accent3 21 7" xfId="25391"/>
    <cellStyle name="40% - Accent3 22" xfId="25392"/>
    <cellStyle name="40% - Accent3 22 10" xfId="25393"/>
    <cellStyle name="40% - Accent3 22 2" xfId="25394"/>
    <cellStyle name="40% - Accent3 22 2 2" xfId="25395"/>
    <cellStyle name="40% - Accent3 22 2 2 2" xfId="25396"/>
    <cellStyle name="40% - Accent3 22 2 2 2 2" xfId="25397"/>
    <cellStyle name="40% - Accent3 22 2 2 2 2 2" xfId="25398"/>
    <cellStyle name="40% - Accent3 22 2 2 2 2 2 2" xfId="25399"/>
    <cellStyle name="40% - Accent3 22 2 2 2 3" xfId="25400"/>
    <cellStyle name="40% - Accent3 22 2 2 2 3 2" xfId="25401"/>
    <cellStyle name="40% - Accent3 22 2 2 3" xfId="25402"/>
    <cellStyle name="40% - Accent3 22 2 2 3 2" xfId="25403"/>
    <cellStyle name="40% - Accent3 22 2 2 3 2 2" xfId="25404"/>
    <cellStyle name="40% - Accent3 22 2 2 4" xfId="25405"/>
    <cellStyle name="40% - Accent3 22 2 2 4 2" xfId="25406"/>
    <cellStyle name="40% - Accent3 22 2 3" xfId="25407"/>
    <cellStyle name="40% - Accent3 22 2 3 2" xfId="25408"/>
    <cellStyle name="40% - Accent3 22 2 3 2 2" xfId="25409"/>
    <cellStyle name="40% - Accent3 22 2 3 2 2 2" xfId="25410"/>
    <cellStyle name="40% - Accent3 22 2 3 3" xfId="25411"/>
    <cellStyle name="40% - Accent3 22 2 3 3 2" xfId="25412"/>
    <cellStyle name="40% - Accent3 22 2 4" xfId="25413"/>
    <cellStyle name="40% - Accent3 22 2 4 2" xfId="25414"/>
    <cellStyle name="40% - Accent3 22 2 4 2 2" xfId="25415"/>
    <cellStyle name="40% - Accent3 22 2 5" xfId="25416"/>
    <cellStyle name="40% - Accent3 22 2 5 2" xfId="25417"/>
    <cellStyle name="40% - Accent3 22 2 6" xfId="25418"/>
    <cellStyle name="40% - Accent3 22 2 7" xfId="25419"/>
    <cellStyle name="40% - Accent3 22 2 8" xfId="25420"/>
    <cellStyle name="40% - Accent3 22 3" xfId="25421"/>
    <cellStyle name="40% - Accent3 22 3 2" xfId="25422"/>
    <cellStyle name="40% - Accent3 22 3 2 2" xfId="25423"/>
    <cellStyle name="40% - Accent3 22 3 2 2 2" xfId="25424"/>
    <cellStyle name="40% - Accent3 22 3 2 2 2 2" xfId="25425"/>
    <cellStyle name="40% - Accent3 22 3 2 3" xfId="25426"/>
    <cellStyle name="40% - Accent3 22 3 2 3 2" xfId="25427"/>
    <cellStyle name="40% - Accent3 22 3 3" xfId="25428"/>
    <cellStyle name="40% - Accent3 22 3 3 2" xfId="25429"/>
    <cellStyle name="40% - Accent3 22 3 3 2 2" xfId="25430"/>
    <cellStyle name="40% - Accent3 22 3 4" xfId="25431"/>
    <cellStyle name="40% - Accent3 22 3 4 2" xfId="25432"/>
    <cellStyle name="40% - Accent3 22 3 5" xfId="25433"/>
    <cellStyle name="40% - Accent3 22 3 6" xfId="25434"/>
    <cellStyle name="40% - Accent3 22 3 7" xfId="25435"/>
    <cellStyle name="40% - Accent3 22 4" xfId="25436"/>
    <cellStyle name="40% - Accent3 22 4 2" xfId="25437"/>
    <cellStyle name="40% - Accent3 22 4 2 2" xfId="25438"/>
    <cellStyle name="40% - Accent3 22 4 2 2 2" xfId="25439"/>
    <cellStyle name="40% - Accent3 22 4 3" xfId="25440"/>
    <cellStyle name="40% - Accent3 22 4 3 2" xfId="25441"/>
    <cellStyle name="40% - Accent3 22 4 4" xfId="25442"/>
    <cellStyle name="40% - Accent3 22 5" xfId="25443"/>
    <cellStyle name="40% - Accent3 22 5 2" xfId="25444"/>
    <cellStyle name="40% - Accent3 22 5 2 2" xfId="25445"/>
    <cellStyle name="40% - Accent3 22 6" xfId="25446"/>
    <cellStyle name="40% - Accent3 22 6 2" xfId="25447"/>
    <cellStyle name="40% - Accent3 22 7" xfId="25448"/>
    <cellStyle name="40% - Accent3 22 8" xfId="25449"/>
    <cellStyle name="40% - Accent3 22 9" xfId="25450"/>
    <cellStyle name="40% - Accent3 23" xfId="25451"/>
    <cellStyle name="40% - Accent3 23 2" xfId="25452"/>
    <cellStyle name="40% - Accent3 23 2 2" xfId="25453"/>
    <cellStyle name="40% - Accent3 23 2 2 2" xfId="25454"/>
    <cellStyle name="40% - Accent3 23 2 2 2 2" xfId="25455"/>
    <cellStyle name="40% - Accent3 23 2 2 2 2 2" xfId="25456"/>
    <cellStyle name="40% - Accent3 23 2 2 2 2 2 2" xfId="25457"/>
    <cellStyle name="40% - Accent3 23 2 2 2 3" xfId="25458"/>
    <cellStyle name="40% - Accent3 23 2 2 2 3 2" xfId="25459"/>
    <cellStyle name="40% - Accent3 23 2 2 3" xfId="25460"/>
    <cellStyle name="40% - Accent3 23 2 2 3 2" xfId="25461"/>
    <cellStyle name="40% - Accent3 23 2 2 3 2 2" xfId="25462"/>
    <cellStyle name="40% - Accent3 23 2 2 4" xfId="25463"/>
    <cellStyle name="40% - Accent3 23 2 2 4 2" xfId="25464"/>
    <cellStyle name="40% - Accent3 23 2 3" xfId="25465"/>
    <cellStyle name="40% - Accent3 23 2 3 2" xfId="25466"/>
    <cellStyle name="40% - Accent3 23 2 3 2 2" xfId="25467"/>
    <cellStyle name="40% - Accent3 23 2 3 2 2 2" xfId="25468"/>
    <cellStyle name="40% - Accent3 23 2 3 3" xfId="25469"/>
    <cellStyle name="40% - Accent3 23 2 3 3 2" xfId="25470"/>
    <cellStyle name="40% - Accent3 23 2 4" xfId="25471"/>
    <cellStyle name="40% - Accent3 23 2 4 2" xfId="25472"/>
    <cellStyle name="40% - Accent3 23 2 4 2 2" xfId="25473"/>
    <cellStyle name="40% - Accent3 23 2 5" xfId="25474"/>
    <cellStyle name="40% - Accent3 23 2 5 2" xfId="25475"/>
    <cellStyle name="40% - Accent3 23 3" xfId="25476"/>
    <cellStyle name="40% - Accent3 23 3 2" xfId="25477"/>
    <cellStyle name="40% - Accent3 23 3 2 2" xfId="25478"/>
    <cellStyle name="40% - Accent3 23 3 2 2 2" xfId="25479"/>
    <cellStyle name="40% - Accent3 23 3 2 2 2 2" xfId="25480"/>
    <cellStyle name="40% - Accent3 23 3 2 3" xfId="25481"/>
    <cellStyle name="40% - Accent3 23 3 2 3 2" xfId="25482"/>
    <cellStyle name="40% - Accent3 23 3 3" xfId="25483"/>
    <cellStyle name="40% - Accent3 23 3 3 2" xfId="25484"/>
    <cellStyle name="40% - Accent3 23 3 3 2 2" xfId="25485"/>
    <cellStyle name="40% - Accent3 23 3 4" xfId="25486"/>
    <cellStyle name="40% - Accent3 23 3 4 2" xfId="25487"/>
    <cellStyle name="40% - Accent3 23 4" xfId="25488"/>
    <cellStyle name="40% - Accent3 23 4 2" xfId="25489"/>
    <cellStyle name="40% - Accent3 23 4 2 2" xfId="25490"/>
    <cellStyle name="40% - Accent3 23 4 2 2 2" xfId="25491"/>
    <cellStyle name="40% - Accent3 23 4 3" xfId="25492"/>
    <cellStyle name="40% - Accent3 23 4 3 2" xfId="25493"/>
    <cellStyle name="40% - Accent3 23 5" xfId="25494"/>
    <cellStyle name="40% - Accent3 23 5 2" xfId="25495"/>
    <cellStyle name="40% - Accent3 23 5 2 2" xfId="25496"/>
    <cellStyle name="40% - Accent3 23 6" xfId="25497"/>
    <cellStyle name="40% - Accent3 23 6 2" xfId="25498"/>
    <cellStyle name="40% - Accent3 23 7" xfId="25499"/>
    <cellStyle name="40% - Accent3 24" xfId="25500"/>
    <cellStyle name="40% - Accent3 24 2" xfId="25501"/>
    <cellStyle name="40% - Accent3 24 2 2" xfId="25502"/>
    <cellStyle name="40% - Accent3 24 2 2 2" xfId="25503"/>
    <cellStyle name="40% - Accent3 24 2 2 2 2" xfId="25504"/>
    <cellStyle name="40% - Accent3 24 2 2 2 2 2" xfId="25505"/>
    <cellStyle name="40% - Accent3 24 2 2 3" xfId="25506"/>
    <cellStyle name="40% - Accent3 24 2 2 3 2" xfId="25507"/>
    <cellStyle name="40% - Accent3 24 2 3" xfId="25508"/>
    <cellStyle name="40% - Accent3 24 2 3 2" xfId="25509"/>
    <cellStyle name="40% - Accent3 24 2 3 2 2" xfId="25510"/>
    <cellStyle name="40% - Accent3 24 2 4" xfId="25511"/>
    <cellStyle name="40% - Accent3 24 2 4 2" xfId="25512"/>
    <cellStyle name="40% - Accent3 24 3" xfId="25513"/>
    <cellStyle name="40% - Accent3 24 3 2" xfId="25514"/>
    <cellStyle name="40% - Accent3 24 3 2 2" xfId="25515"/>
    <cellStyle name="40% - Accent3 24 3 2 2 2" xfId="25516"/>
    <cellStyle name="40% - Accent3 24 3 3" xfId="25517"/>
    <cellStyle name="40% - Accent3 24 3 3 2" xfId="25518"/>
    <cellStyle name="40% - Accent3 24 4" xfId="25519"/>
    <cellStyle name="40% - Accent3 24 4 2" xfId="25520"/>
    <cellStyle name="40% - Accent3 24 4 2 2" xfId="25521"/>
    <cellStyle name="40% - Accent3 24 5" xfId="25522"/>
    <cellStyle name="40% - Accent3 24 5 2" xfId="25523"/>
    <cellStyle name="40% - Accent3 24 6" xfId="25524"/>
    <cellStyle name="40% - Accent3 25" xfId="25525"/>
    <cellStyle name="40% - Accent3 25 2" xfId="25526"/>
    <cellStyle name="40% - Accent3 25 2 2" xfId="25527"/>
    <cellStyle name="40% - Accent3 25 2 2 2" xfId="25528"/>
    <cellStyle name="40% - Accent3 25 2 2 2 2" xfId="25529"/>
    <cellStyle name="40% - Accent3 25 2 2 2 2 2" xfId="25530"/>
    <cellStyle name="40% - Accent3 25 2 2 3" xfId="25531"/>
    <cellStyle name="40% - Accent3 25 2 2 3 2" xfId="25532"/>
    <cellStyle name="40% - Accent3 25 2 3" xfId="25533"/>
    <cellStyle name="40% - Accent3 25 2 3 2" xfId="25534"/>
    <cellStyle name="40% - Accent3 25 2 3 2 2" xfId="25535"/>
    <cellStyle name="40% - Accent3 25 2 4" xfId="25536"/>
    <cellStyle name="40% - Accent3 25 2 4 2" xfId="25537"/>
    <cellStyle name="40% - Accent3 25 3" xfId="25538"/>
    <cellStyle name="40% - Accent3 25 3 2" xfId="25539"/>
    <cellStyle name="40% - Accent3 25 3 2 2" xfId="25540"/>
    <cellStyle name="40% - Accent3 25 3 2 2 2" xfId="25541"/>
    <cellStyle name="40% - Accent3 25 3 3" xfId="25542"/>
    <cellStyle name="40% - Accent3 25 3 3 2" xfId="25543"/>
    <cellStyle name="40% - Accent3 25 4" xfId="25544"/>
    <cellStyle name="40% - Accent3 25 4 2" xfId="25545"/>
    <cellStyle name="40% - Accent3 25 4 2 2" xfId="25546"/>
    <cellStyle name="40% - Accent3 25 5" xfId="25547"/>
    <cellStyle name="40% - Accent3 25 5 2" xfId="25548"/>
    <cellStyle name="40% - Accent3 25 6" xfId="25549"/>
    <cellStyle name="40% - Accent3 26" xfId="25550"/>
    <cellStyle name="40% - Accent3 26 2" xfId="25551"/>
    <cellStyle name="40% - Accent3 26 2 2" xfId="25552"/>
    <cellStyle name="40% - Accent3 26 2 2 2" xfId="25553"/>
    <cellStyle name="40% - Accent3 26 2 2 2 2" xfId="25554"/>
    <cellStyle name="40% - Accent3 26 2 2 2 2 2" xfId="25555"/>
    <cellStyle name="40% - Accent3 26 2 2 3" xfId="25556"/>
    <cellStyle name="40% - Accent3 26 2 2 3 2" xfId="25557"/>
    <cellStyle name="40% - Accent3 26 2 3" xfId="25558"/>
    <cellStyle name="40% - Accent3 26 2 3 2" xfId="25559"/>
    <cellStyle name="40% - Accent3 26 2 3 2 2" xfId="25560"/>
    <cellStyle name="40% - Accent3 26 2 4" xfId="25561"/>
    <cellStyle name="40% - Accent3 26 2 4 2" xfId="25562"/>
    <cellStyle name="40% - Accent3 26 3" xfId="25563"/>
    <cellStyle name="40% - Accent3 26 3 2" xfId="25564"/>
    <cellStyle name="40% - Accent3 26 3 2 2" xfId="25565"/>
    <cellStyle name="40% - Accent3 26 3 2 2 2" xfId="25566"/>
    <cellStyle name="40% - Accent3 26 3 3" xfId="25567"/>
    <cellStyle name="40% - Accent3 26 3 3 2" xfId="25568"/>
    <cellStyle name="40% - Accent3 26 4" xfId="25569"/>
    <cellStyle name="40% - Accent3 26 4 2" xfId="25570"/>
    <cellStyle name="40% - Accent3 26 4 2 2" xfId="25571"/>
    <cellStyle name="40% - Accent3 26 5" xfId="25572"/>
    <cellStyle name="40% - Accent3 26 5 2" xfId="25573"/>
    <cellStyle name="40% - Accent3 26 6" xfId="25574"/>
    <cellStyle name="40% - Accent3 27" xfId="25575"/>
    <cellStyle name="40% - Accent3 27 2" xfId="25576"/>
    <cellStyle name="40% - Accent3 27 2 2" xfId="25577"/>
    <cellStyle name="40% - Accent3 27 2 2 2" xfId="25578"/>
    <cellStyle name="40% - Accent3 27 2 2 2 2" xfId="25579"/>
    <cellStyle name="40% - Accent3 27 2 2 2 2 2" xfId="25580"/>
    <cellStyle name="40% - Accent3 27 2 2 3" xfId="25581"/>
    <cellStyle name="40% - Accent3 27 2 2 3 2" xfId="25582"/>
    <cellStyle name="40% - Accent3 27 2 3" xfId="25583"/>
    <cellStyle name="40% - Accent3 27 2 3 2" xfId="25584"/>
    <cellStyle name="40% - Accent3 27 2 3 2 2" xfId="25585"/>
    <cellStyle name="40% - Accent3 27 2 4" xfId="25586"/>
    <cellStyle name="40% - Accent3 27 2 4 2" xfId="25587"/>
    <cellStyle name="40% - Accent3 27 3" xfId="25588"/>
    <cellStyle name="40% - Accent3 27 3 2" xfId="25589"/>
    <cellStyle name="40% - Accent3 27 3 2 2" xfId="25590"/>
    <cellStyle name="40% - Accent3 27 3 2 2 2" xfId="25591"/>
    <cellStyle name="40% - Accent3 27 3 3" xfId="25592"/>
    <cellStyle name="40% - Accent3 27 3 3 2" xfId="25593"/>
    <cellStyle name="40% - Accent3 27 4" xfId="25594"/>
    <cellStyle name="40% - Accent3 27 4 2" xfId="25595"/>
    <cellStyle name="40% - Accent3 27 4 2 2" xfId="25596"/>
    <cellStyle name="40% - Accent3 27 5" xfId="25597"/>
    <cellStyle name="40% - Accent3 27 5 2" xfId="25598"/>
    <cellStyle name="40% - Accent3 27 6" xfId="25599"/>
    <cellStyle name="40% - Accent3 28" xfId="25600"/>
    <cellStyle name="40% - Accent3 28 2" xfId="25601"/>
    <cellStyle name="40% - Accent3 28 2 2" xfId="25602"/>
    <cellStyle name="40% - Accent3 28 2 2 2" xfId="25603"/>
    <cellStyle name="40% - Accent3 28 2 2 2 2" xfId="25604"/>
    <cellStyle name="40% - Accent3 28 2 3" xfId="25605"/>
    <cellStyle name="40% - Accent3 28 2 3 2" xfId="25606"/>
    <cellStyle name="40% - Accent3 28 3" xfId="25607"/>
    <cellStyle name="40% - Accent3 28 3 2" xfId="25608"/>
    <cellStyle name="40% - Accent3 28 3 2 2" xfId="25609"/>
    <cellStyle name="40% - Accent3 28 4" xfId="25610"/>
    <cellStyle name="40% - Accent3 28 4 2" xfId="25611"/>
    <cellStyle name="40% - Accent3 28 5" xfId="25612"/>
    <cellStyle name="40% - Accent3 29" xfId="25613"/>
    <cellStyle name="40% - Accent3 29 2" xfId="25614"/>
    <cellStyle name="40% - Accent3 29 2 2" xfId="25615"/>
    <cellStyle name="40% - Accent3 29 2 2 2" xfId="25616"/>
    <cellStyle name="40% - Accent3 29 3" xfId="25617"/>
    <cellStyle name="40% - Accent3 29 3 2" xfId="25618"/>
    <cellStyle name="40% - Accent3 29 4" xfId="25619"/>
    <cellStyle name="40% - Accent3 3" xfId="25620"/>
    <cellStyle name="40% - Accent3 3 10" xfId="25621"/>
    <cellStyle name="40% - Accent3 3 10 2" xfId="25622"/>
    <cellStyle name="40% - Accent3 3 10 2 2" xfId="25623"/>
    <cellStyle name="40% - Accent3 3 10 2 2 2" xfId="25624"/>
    <cellStyle name="40% - Accent3 3 10 2 2 2 2" xfId="25625"/>
    <cellStyle name="40% - Accent3 3 10 2 2 2 2 2" xfId="25626"/>
    <cellStyle name="40% - Accent3 3 10 2 2 2 2 2 2" xfId="25627"/>
    <cellStyle name="40% - Accent3 3 10 2 2 2 3" xfId="25628"/>
    <cellStyle name="40% - Accent3 3 10 2 2 2 3 2" xfId="25629"/>
    <cellStyle name="40% - Accent3 3 10 2 2 3" xfId="25630"/>
    <cellStyle name="40% - Accent3 3 10 2 2 3 2" xfId="25631"/>
    <cellStyle name="40% - Accent3 3 10 2 2 3 2 2" xfId="25632"/>
    <cellStyle name="40% - Accent3 3 10 2 2 4" xfId="25633"/>
    <cellStyle name="40% - Accent3 3 10 2 2 4 2" xfId="25634"/>
    <cellStyle name="40% - Accent3 3 10 2 3" xfId="25635"/>
    <cellStyle name="40% - Accent3 3 10 2 3 2" xfId="25636"/>
    <cellStyle name="40% - Accent3 3 10 2 3 2 2" xfId="25637"/>
    <cellStyle name="40% - Accent3 3 10 2 3 2 2 2" xfId="25638"/>
    <cellStyle name="40% - Accent3 3 10 2 3 3" xfId="25639"/>
    <cellStyle name="40% - Accent3 3 10 2 3 3 2" xfId="25640"/>
    <cellStyle name="40% - Accent3 3 10 2 4" xfId="25641"/>
    <cellStyle name="40% - Accent3 3 10 2 4 2" xfId="25642"/>
    <cellStyle name="40% - Accent3 3 10 2 4 2 2" xfId="25643"/>
    <cellStyle name="40% - Accent3 3 10 2 5" xfId="25644"/>
    <cellStyle name="40% - Accent3 3 10 2 5 2" xfId="25645"/>
    <cellStyle name="40% - Accent3 3 10 3" xfId="25646"/>
    <cellStyle name="40% - Accent3 3 10 3 2" xfId="25647"/>
    <cellStyle name="40% - Accent3 3 10 3 2 2" xfId="25648"/>
    <cellStyle name="40% - Accent3 3 10 3 2 2 2" xfId="25649"/>
    <cellStyle name="40% - Accent3 3 10 3 2 2 2 2" xfId="25650"/>
    <cellStyle name="40% - Accent3 3 10 3 2 3" xfId="25651"/>
    <cellStyle name="40% - Accent3 3 10 3 2 3 2" xfId="25652"/>
    <cellStyle name="40% - Accent3 3 10 3 3" xfId="25653"/>
    <cellStyle name="40% - Accent3 3 10 3 3 2" xfId="25654"/>
    <cellStyle name="40% - Accent3 3 10 3 3 2 2" xfId="25655"/>
    <cellStyle name="40% - Accent3 3 10 3 4" xfId="25656"/>
    <cellStyle name="40% - Accent3 3 10 3 4 2" xfId="25657"/>
    <cellStyle name="40% - Accent3 3 10 4" xfId="25658"/>
    <cellStyle name="40% - Accent3 3 10 4 2" xfId="25659"/>
    <cellStyle name="40% - Accent3 3 10 4 2 2" xfId="25660"/>
    <cellStyle name="40% - Accent3 3 10 4 2 2 2" xfId="25661"/>
    <cellStyle name="40% - Accent3 3 10 4 3" xfId="25662"/>
    <cellStyle name="40% - Accent3 3 10 4 3 2" xfId="25663"/>
    <cellStyle name="40% - Accent3 3 10 5" xfId="25664"/>
    <cellStyle name="40% - Accent3 3 10 5 2" xfId="25665"/>
    <cellStyle name="40% - Accent3 3 10 5 2 2" xfId="25666"/>
    <cellStyle name="40% - Accent3 3 10 6" xfId="25667"/>
    <cellStyle name="40% - Accent3 3 10 6 2" xfId="25668"/>
    <cellStyle name="40% - Accent3 3 10 7" xfId="25669"/>
    <cellStyle name="40% - Accent3 3 10 8" xfId="25670"/>
    <cellStyle name="40% - Accent3 3 10 9" xfId="25671"/>
    <cellStyle name="40% - Accent3 3 11" xfId="25672"/>
    <cellStyle name="40% - Accent3 3 11 2" xfId="25673"/>
    <cellStyle name="40% - Accent3 3 11 2 2" xfId="25674"/>
    <cellStyle name="40% - Accent3 3 11 2 2 2" xfId="25675"/>
    <cellStyle name="40% - Accent3 3 11 2 2 2 2" xfId="25676"/>
    <cellStyle name="40% - Accent3 3 11 2 2 2 2 2" xfId="25677"/>
    <cellStyle name="40% - Accent3 3 11 2 2 2 2 2 2" xfId="25678"/>
    <cellStyle name="40% - Accent3 3 11 2 2 2 3" xfId="25679"/>
    <cellStyle name="40% - Accent3 3 11 2 2 2 3 2" xfId="25680"/>
    <cellStyle name="40% - Accent3 3 11 2 2 3" xfId="25681"/>
    <cellStyle name="40% - Accent3 3 11 2 2 3 2" xfId="25682"/>
    <cellStyle name="40% - Accent3 3 11 2 2 3 2 2" xfId="25683"/>
    <cellStyle name="40% - Accent3 3 11 2 2 4" xfId="25684"/>
    <cellStyle name="40% - Accent3 3 11 2 2 4 2" xfId="25685"/>
    <cellStyle name="40% - Accent3 3 11 2 3" xfId="25686"/>
    <cellStyle name="40% - Accent3 3 11 2 3 2" xfId="25687"/>
    <cellStyle name="40% - Accent3 3 11 2 3 2 2" xfId="25688"/>
    <cellStyle name="40% - Accent3 3 11 2 3 2 2 2" xfId="25689"/>
    <cellStyle name="40% - Accent3 3 11 2 3 3" xfId="25690"/>
    <cellStyle name="40% - Accent3 3 11 2 3 3 2" xfId="25691"/>
    <cellStyle name="40% - Accent3 3 11 2 4" xfId="25692"/>
    <cellStyle name="40% - Accent3 3 11 2 4 2" xfId="25693"/>
    <cellStyle name="40% - Accent3 3 11 2 4 2 2" xfId="25694"/>
    <cellStyle name="40% - Accent3 3 11 2 5" xfId="25695"/>
    <cellStyle name="40% - Accent3 3 11 2 5 2" xfId="25696"/>
    <cellStyle name="40% - Accent3 3 11 3" xfId="25697"/>
    <cellStyle name="40% - Accent3 3 11 3 2" xfId="25698"/>
    <cellStyle name="40% - Accent3 3 11 3 2 2" xfId="25699"/>
    <cellStyle name="40% - Accent3 3 11 3 2 2 2" xfId="25700"/>
    <cellStyle name="40% - Accent3 3 11 3 2 2 2 2" xfId="25701"/>
    <cellStyle name="40% - Accent3 3 11 3 2 3" xfId="25702"/>
    <cellStyle name="40% - Accent3 3 11 3 2 3 2" xfId="25703"/>
    <cellStyle name="40% - Accent3 3 11 3 3" xfId="25704"/>
    <cellStyle name="40% - Accent3 3 11 3 3 2" xfId="25705"/>
    <cellStyle name="40% - Accent3 3 11 3 3 2 2" xfId="25706"/>
    <cellStyle name="40% - Accent3 3 11 3 4" xfId="25707"/>
    <cellStyle name="40% - Accent3 3 11 3 4 2" xfId="25708"/>
    <cellStyle name="40% - Accent3 3 11 4" xfId="25709"/>
    <cellStyle name="40% - Accent3 3 11 4 2" xfId="25710"/>
    <cellStyle name="40% - Accent3 3 11 4 2 2" xfId="25711"/>
    <cellStyle name="40% - Accent3 3 11 4 2 2 2" xfId="25712"/>
    <cellStyle name="40% - Accent3 3 11 4 3" xfId="25713"/>
    <cellStyle name="40% - Accent3 3 11 4 3 2" xfId="25714"/>
    <cellStyle name="40% - Accent3 3 11 5" xfId="25715"/>
    <cellStyle name="40% - Accent3 3 11 5 2" xfId="25716"/>
    <cellStyle name="40% - Accent3 3 11 5 2 2" xfId="25717"/>
    <cellStyle name="40% - Accent3 3 11 6" xfId="25718"/>
    <cellStyle name="40% - Accent3 3 11 6 2" xfId="25719"/>
    <cellStyle name="40% - Accent3 3 11 7" xfId="25720"/>
    <cellStyle name="40% - Accent3 3 12" xfId="25721"/>
    <cellStyle name="40% - Accent3 3 12 2" xfId="25722"/>
    <cellStyle name="40% - Accent3 3 12 2 2" xfId="25723"/>
    <cellStyle name="40% - Accent3 3 12 2 2 2" xfId="25724"/>
    <cellStyle name="40% - Accent3 3 12 2 2 2 2" xfId="25725"/>
    <cellStyle name="40% - Accent3 3 12 2 2 2 2 2" xfId="25726"/>
    <cellStyle name="40% - Accent3 3 12 2 2 2 2 2 2" xfId="25727"/>
    <cellStyle name="40% - Accent3 3 12 2 2 2 3" xfId="25728"/>
    <cellStyle name="40% - Accent3 3 12 2 2 2 3 2" xfId="25729"/>
    <cellStyle name="40% - Accent3 3 12 2 2 3" xfId="25730"/>
    <cellStyle name="40% - Accent3 3 12 2 2 3 2" xfId="25731"/>
    <cellStyle name="40% - Accent3 3 12 2 2 3 2 2" xfId="25732"/>
    <cellStyle name="40% - Accent3 3 12 2 2 4" xfId="25733"/>
    <cellStyle name="40% - Accent3 3 12 2 2 4 2" xfId="25734"/>
    <cellStyle name="40% - Accent3 3 12 2 3" xfId="25735"/>
    <cellStyle name="40% - Accent3 3 12 2 3 2" xfId="25736"/>
    <cellStyle name="40% - Accent3 3 12 2 3 2 2" xfId="25737"/>
    <cellStyle name="40% - Accent3 3 12 2 3 2 2 2" xfId="25738"/>
    <cellStyle name="40% - Accent3 3 12 2 3 3" xfId="25739"/>
    <cellStyle name="40% - Accent3 3 12 2 3 3 2" xfId="25740"/>
    <cellStyle name="40% - Accent3 3 12 2 4" xfId="25741"/>
    <cellStyle name="40% - Accent3 3 12 2 4 2" xfId="25742"/>
    <cellStyle name="40% - Accent3 3 12 2 4 2 2" xfId="25743"/>
    <cellStyle name="40% - Accent3 3 12 2 5" xfId="25744"/>
    <cellStyle name="40% - Accent3 3 12 2 5 2" xfId="25745"/>
    <cellStyle name="40% - Accent3 3 12 3" xfId="25746"/>
    <cellStyle name="40% - Accent3 3 12 3 2" xfId="25747"/>
    <cellStyle name="40% - Accent3 3 12 3 2 2" xfId="25748"/>
    <cellStyle name="40% - Accent3 3 12 3 2 2 2" xfId="25749"/>
    <cellStyle name="40% - Accent3 3 12 3 2 2 2 2" xfId="25750"/>
    <cellStyle name="40% - Accent3 3 12 3 2 3" xfId="25751"/>
    <cellStyle name="40% - Accent3 3 12 3 2 3 2" xfId="25752"/>
    <cellStyle name="40% - Accent3 3 12 3 3" xfId="25753"/>
    <cellStyle name="40% - Accent3 3 12 3 3 2" xfId="25754"/>
    <cellStyle name="40% - Accent3 3 12 3 3 2 2" xfId="25755"/>
    <cellStyle name="40% - Accent3 3 12 3 4" xfId="25756"/>
    <cellStyle name="40% - Accent3 3 12 3 4 2" xfId="25757"/>
    <cellStyle name="40% - Accent3 3 12 4" xfId="25758"/>
    <cellStyle name="40% - Accent3 3 12 4 2" xfId="25759"/>
    <cellStyle name="40% - Accent3 3 12 4 2 2" xfId="25760"/>
    <cellStyle name="40% - Accent3 3 12 4 2 2 2" xfId="25761"/>
    <cellStyle name="40% - Accent3 3 12 4 3" xfId="25762"/>
    <cellStyle name="40% - Accent3 3 12 4 3 2" xfId="25763"/>
    <cellStyle name="40% - Accent3 3 12 5" xfId="25764"/>
    <cellStyle name="40% - Accent3 3 12 5 2" xfId="25765"/>
    <cellStyle name="40% - Accent3 3 12 5 2 2" xfId="25766"/>
    <cellStyle name="40% - Accent3 3 12 6" xfId="25767"/>
    <cellStyle name="40% - Accent3 3 12 6 2" xfId="25768"/>
    <cellStyle name="40% - Accent3 3 13" xfId="25769"/>
    <cellStyle name="40% - Accent3 3 13 2" xfId="25770"/>
    <cellStyle name="40% - Accent3 3 13 2 2" xfId="25771"/>
    <cellStyle name="40% - Accent3 3 13 2 2 2" xfId="25772"/>
    <cellStyle name="40% - Accent3 3 13 2 2 2 2" xfId="25773"/>
    <cellStyle name="40% - Accent3 3 13 2 2 2 2 2" xfId="25774"/>
    <cellStyle name="40% - Accent3 3 13 2 2 2 2 2 2" xfId="25775"/>
    <cellStyle name="40% - Accent3 3 13 2 2 2 3" xfId="25776"/>
    <cellStyle name="40% - Accent3 3 13 2 2 2 3 2" xfId="25777"/>
    <cellStyle name="40% - Accent3 3 13 2 2 3" xfId="25778"/>
    <cellStyle name="40% - Accent3 3 13 2 2 3 2" xfId="25779"/>
    <cellStyle name="40% - Accent3 3 13 2 2 3 2 2" xfId="25780"/>
    <cellStyle name="40% - Accent3 3 13 2 2 4" xfId="25781"/>
    <cellStyle name="40% - Accent3 3 13 2 2 4 2" xfId="25782"/>
    <cellStyle name="40% - Accent3 3 13 2 3" xfId="25783"/>
    <cellStyle name="40% - Accent3 3 13 2 3 2" xfId="25784"/>
    <cellStyle name="40% - Accent3 3 13 2 3 2 2" xfId="25785"/>
    <cellStyle name="40% - Accent3 3 13 2 3 2 2 2" xfId="25786"/>
    <cellStyle name="40% - Accent3 3 13 2 3 3" xfId="25787"/>
    <cellStyle name="40% - Accent3 3 13 2 3 3 2" xfId="25788"/>
    <cellStyle name="40% - Accent3 3 13 2 4" xfId="25789"/>
    <cellStyle name="40% - Accent3 3 13 2 4 2" xfId="25790"/>
    <cellStyle name="40% - Accent3 3 13 2 4 2 2" xfId="25791"/>
    <cellStyle name="40% - Accent3 3 13 2 5" xfId="25792"/>
    <cellStyle name="40% - Accent3 3 13 2 5 2" xfId="25793"/>
    <cellStyle name="40% - Accent3 3 13 3" xfId="25794"/>
    <cellStyle name="40% - Accent3 3 13 3 2" xfId="25795"/>
    <cellStyle name="40% - Accent3 3 13 3 2 2" xfId="25796"/>
    <cellStyle name="40% - Accent3 3 13 3 2 2 2" xfId="25797"/>
    <cellStyle name="40% - Accent3 3 13 3 2 2 2 2" xfId="25798"/>
    <cellStyle name="40% - Accent3 3 13 3 2 3" xfId="25799"/>
    <cellStyle name="40% - Accent3 3 13 3 2 3 2" xfId="25800"/>
    <cellStyle name="40% - Accent3 3 13 3 3" xfId="25801"/>
    <cellStyle name="40% - Accent3 3 13 3 3 2" xfId="25802"/>
    <cellStyle name="40% - Accent3 3 13 3 3 2 2" xfId="25803"/>
    <cellStyle name="40% - Accent3 3 13 3 4" xfId="25804"/>
    <cellStyle name="40% - Accent3 3 13 3 4 2" xfId="25805"/>
    <cellStyle name="40% - Accent3 3 13 4" xfId="25806"/>
    <cellStyle name="40% - Accent3 3 13 4 2" xfId="25807"/>
    <cellStyle name="40% - Accent3 3 13 4 2 2" xfId="25808"/>
    <cellStyle name="40% - Accent3 3 13 4 2 2 2" xfId="25809"/>
    <cellStyle name="40% - Accent3 3 13 4 3" xfId="25810"/>
    <cellStyle name="40% - Accent3 3 13 4 3 2" xfId="25811"/>
    <cellStyle name="40% - Accent3 3 13 5" xfId="25812"/>
    <cellStyle name="40% - Accent3 3 13 5 2" xfId="25813"/>
    <cellStyle name="40% - Accent3 3 13 5 2 2" xfId="25814"/>
    <cellStyle name="40% - Accent3 3 13 6" xfId="25815"/>
    <cellStyle name="40% - Accent3 3 13 6 2" xfId="25816"/>
    <cellStyle name="40% - Accent3 3 14" xfId="25817"/>
    <cellStyle name="40% - Accent3 3 14 2" xfId="25818"/>
    <cellStyle name="40% - Accent3 3 14 2 2" xfId="25819"/>
    <cellStyle name="40% - Accent3 3 14 2 2 2" xfId="25820"/>
    <cellStyle name="40% - Accent3 3 14 2 2 2 2" xfId="25821"/>
    <cellStyle name="40% - Accent3 3 14 2 2 2 2 2" xfId="25822"/>
    <cellStyle name="40% - Accent3 3 14 2 2 3" xfId="25823"/>
    <cellStyle name="40% - Accent3 3 14 2 2 3 2" xfId="25824"/>
    <cellStyle name="40% - Accent3 3 14 2 3" xfId="25825"/>
    <cellStyle name="40% - Accent3 3 14 2 3 2" xfId="25826"/>
    <cellStyle name="40% - Accent3 3 14 2 3 2 2" xfId="25827"/>
    <cellStyle name="40% - Accent3 3 14 2 4" xfId="25828"/>
    <cellStyle name="40% - Accent3 3 14 2 4 2" xfId="25829"/>
    <cellStyle name="40% - Accent3 3 14 3" xfId="25830"/>
    <cellStyle name="40% - Accent3 3 14 3 2" xfId="25831"/>
    <cellStyle name="40% - Accent3 3 14 3 2 2" xfId="25832"/>
    <cellStyle name="40% - Accent3 3 14 3 2 2 2" xfId="25833"/>
    <cellStyle name="40% - Accent3 3 14 3 3" xfId="25834"/>
    <cellStyle name="40% - Accent3 3 14 3 3 2" xfId="25835"/>
    <cellStyle name="40% - Accent3 3 14 4" xfId="25836"/>
    <cellStyle name="40% - Accent3 3 14 4 2" xfId="25837"/>
    <cellStyle name="40% - Accent3 3 14 4 2 2" xfId="25838"/>
    <cellStyle name="40% - Accent3 3 14 5" xfId="25839"/>
    <cellStyle name="40% - Accent3 3 14 5 2" xfId="25840"/>
    <cellStyle name="40% - Accent3 3 15" xfId="25841"/>
    <cellStyle name="40% - Accent3 3 15 2" xfId="25842"/>
    <cellStyle name="40% - Accent3 3 15 2 2" xfId="25843"/>
    <cellStyle name="40% - Accent3 3 15 2 2 2" xfId="25844"/>
    <cellStyle name="40% - Accent3 3 15 2 2 2 2" xfId="25845"/>
    <cellStyle name="40% - Accent3 3 15 2 3" xfId="25846"/>
    <cellStyle name="40% - Accent3 3 15 2 3 2" xfId="25847"/>
    <cellStyle name="40% - Accent3 3 15 3" xfId="25848"/>
    <cellStyle name="40% - Accent3 3 15 3 2" xfId="25849"/>
    <cellStyle name="40% - Accent3 3 15 3 2 2" xfId="25850"/>
    <cellStyle name="40% - Accent3 3 15 4" xfId="25851"/>
    <cellStyle name="40% - Accent3 3 15 4 2" xfId="25852"/>
    <cellStyle name="40% - Accent3 3 16" xfId="25853"/>
    <cellStyle name="40% - Accent3 3 16 2" xfId="25854"/>
    <cellStyle name="40% - Accent3 3 16 2 2" xfId="25855"/>
    <cellStyle name="40% - Accent3 3 16 2 2 2" xfId="25856"/>
    <cellStyle name="40% - Accent3 3 16 3" xfId="25857"/>
    <cellStyle name="40% - Accent3 3 16 3 2" xfId="25858"/>
    <cellStyle name="40% - Accent3 3 17" xfId="25859"/>
    <cellStyle name="40% - Accent3 3 17 2" xfId="25860"/>
    <cellStyle name="40% - Accent3 3 17 2 2" xfId="25861"/>
    <cellStyle name="40% - Accent3 3 18" xfId="25862"/>
    <cellStyle name="40% - Accent3 3 18 2" xfId="25863"/>
    <cellStyle name="40% - Accent3 3 19" xfId="25864"/>
    <cellStyle name="40% - Accent3 3 2" xfId="25865"/>
    <cellStyle name="40% - Accent3 3 2 10" xfId="25866"/>
    <cellStyle name="40% - Accent3 3 2 11" xfId="25867"/>
    <cellStyle name="40% - Accent3 3 2 2" xfId="25868"/>
    <cellStyle name="40% - Accent3 3 2 2 2" xfId="25869"/>
    <cellStyle name="40% - Accent3 3 2 2 2 2" xfId="25870"/>
    <cellStyle name="40% - Accent3 3 2 2 2 2 2" xfId="25871"/>
    <cellStyle name="40% - Accent3 3 2 2 2 2 2 2" xfId="25872"/>
    <cellStyle name="40% - Accent3 3 2 2 2 2 2 2 2" xfId="25873"/>
    <cellStyle name="40% - Accent3 3 2 2 2 2 3" xfId="25874"/>
    <cellStyle name="40% - Accent3 3 2 2 2 2 3 2" xfId="25875"/>
    <cellStyle name="40% - Accent3 3 2 2 2 3" xfId="25876"/>
    <cellStyle name="40% - Accent3 3 2 2 2 3 2" xfId="25877"/>
    <cellStyle name="40% - Accent3 3 2 2 2 3 2 2" xfId="25878"/>
    <cellStyle name="40% - Accent3 3 2 2 2 4" xfId="25879"/>
    <cellStyle name="40% - Accent3 3 2 2 2 4 2" xfId="25880"/>
    <cellStyle name="40% - Accent3 3 2 2 3" xfId="25881"/>
    <cellStyle name="40% - Accent3 3 2 2 3 2" xfId="25882"/>
    <cellStyle name="40% - Accent3 3 2 2 3 2 2" xfId="25883"/>
    <cellStyle name="40% - Accent3 3 2 2 3 2 2 2" xfId="25884"/>
    <cellStyle name="40% - Accent3 3 2 2 3 3" xfId="25885"/>
    <cellStyle name="40% - Accent3 3 2 2 3 3 2" xfId="25886"/>
    <cellStyle name="40% - Accent3 3 2 2 4" xfId="25887"/>
    <cellStyle name="40% - Accent3 3 2 2 4 2" xfId="25888"/>
    <cellStyle name="40% - Accent3 3 2 2 4 2 2" xfId="25889"/>
    <cellStyle name="40% - Accent3 3 2 2 5" xfId="25890"/>
    <cellStyle name="40% - Accent3 3 2 2 5 2" xfId="25891"/>
    <cellStyle name="40% - Accent3 3 2 2 6" xfId="25892"/>
    <cellStyle name="40% - Accent3 3 2 2 7" xfId="25893"/>
    <cellStyle name="40% - Accent3 3 2 2 8" xfId="25894"/>
    <cellStyle name="40% - Accent3 3 2 3" xfId="25895"/>
    <cellStyle name="40% - Accent3 3 2 3 2" xfId="25896"/>
    <cellStyle name="40% - Accent3 3 2 3 2 2" xfId="25897"/>
    <cellStyle name="40% - Accent3 3 2 3 2 2 2" xfId="25898"/>
    <cellStyle name="40% - Accent3 3 2 3 2 2 2 2" xfId="25899"/>
    <cellStyle name="40% - Accent3 3 2 3 2 3" xfId="25900"/>
    <cellStyle name="40% - Accent3 3 2 3 2 3 2" xfId="25901"/>
    <cellStyle name="40% - Accent3 3 2 3 3" xfId="25902"/>
    <cellStyle name="40% - Accent3 3 2 3 3 2" xfId="25903"/>
    <cellStyle name="40% - Accent3 3 2 3 3 2 2" xfId="25904"/>
    <cellStyle name="40% - Accent3 3 2 3 4" xfId="25905"/>
    <cellStyle name="40% - Accent3 3 2 3 4 2" xfId="25906"/>
    <cellStyle name="40% - Accent3 3 2 3 5" xfId="25907"/>
    <cellStyle name="40% - Accent3 3 2 3 6" xfId="25908"/>
    <cellStyle name="40% - Accent3 3 2 3 7" xfId="25909"/>
    <cellStyle name="40% - Accent3 3 2 4" xfId="25910"/>
    <cellStyle name="40% - Accent3 3 2 4 2" xfId="25911"/>
    <cellStyle name="40% - Accent3 3 2 4 2 2" xfId="25912"/>
    <cellStyle name="40% - Accent3 3 2 4 2 2 2" xfId="25913"/>
    <cellStyle name="40% - Accent3 3 2 4 3" xfId="25914"/>
    <cellStyle name="40% - Accent3 3 2 4 3 2" xfId="25915"/>
    <cellStyle name="40% - Accent3 3 2 4 4" xfId="25916"/>
    <cellStyle name="40% - Accent3 3 2 5" xfId="25917"/>
    <cellStyle name="40% - Accent3 3 2 5 2" xfId="25918"/>
    <cellStyle name="40% - Accent3 3 2 5 2 2" xfId="25919"/>
    <cellStyle name="40% - Accent3 3 2 6" xfId="25920"/>
    <cellStyle name="40% - Accent3 3 2 6 2" xfId="25921"/>
    <cellStyle name="40% - Accent3 3 2 7" xfId="25922"/>
    <cellStyle name="40% - Accent3 3 2 8" xfId="25923"/>
    <cellStyle name="40% - Accent3 3 2 9" xfId="25924"/>
    <cellStyle name="40% - Accent3 3 20" xfId="25925"/>
    <cellStyle name="40% - Accent3 3 21" xfId="25926"/>
    <cellStyle name="40% - Accent3 3 22" xfId="25927"/>
    <cellStyle name="40% - Accent3 3 3" xfId="25928"/>
    <cellStyle name="40% - Accent3 3 3 10" xfId="25929"/>
    <cellStyle name="40% - Accent3 3 3 11" xfId="25930"/>
    <cellStyle name="40% - Accent3 3 3 2" xfId="25931"/>
    <cellStyle name="40% - Accent3 3 3 2 2" xfId="25932"/>
    <cellStyle name="40% - Accent3 3 3 2 2 2" xfId="25933"/>
    <cellStyle name="40% - Accent3 3 3 2 2 2 2" xfId="25934"/>
    <cellStyle name="40% - Accent3 3 3 2 2 2 2 2" xfId="25935"/>
    <cellStyle name="40% - Accent3 3 3 2 2 2 2 2 2" xfId="25936"/>
    <cellStyle name="40% - Accent3 3 3 2 2 2 3" xfId="25937"/>
    <cellStyle name="40% - Accent3 3 3 2 2 2 3 2" xfId="25938"/>
    <cellStyle name="40% - Accent3 3 3 2 2 3" xfId="25939"/>
    <cellStyle name="40% - Accent3 3 3 2 2 3 2" xfId="25940"/>
    <cellStyle name="40% - Accent3 3 3 2 2 3 2 2" xfId="25941"/>
    <cellStyle name="40% - Accent3 3 3 2 2 4" xfId="25942"/>
    <cellStyle name="40% - Accent3 3 3 2 2 4 2" xfId="25943"/>
    <cellStyle name="40% - Accent3 3 3 2 3" xfId="25944"/>
    <cellStyle name="40% - Accent3 3 3 2 3 2" xfId="25945"/>
    <cellStyle name="40% - Accent3 3 3 2 3 2 2" xfId="25946"/>
    <cellStyle name="40% - Accent3 3 3 2 3 2 2 2" xfId="25947"/>
    <cellStyle name="40% - Accent3 3 3 2 3 3" xfId="25948"/>
    <cellStyle name="40% - Accent3 3 3 2 3 3 2" xfId="25949"/>
    <cellStyle name="40% - Accent3 3 3 2 4" xfId="25950"/>
    <cellStyle name="40% - Accent3 3 3 2 4 2" xfId="25951"/>
    <cellStyle name="40% - Accent3 3 3 2 4 2 2" xfId="25952"/>
    <cellStyle name="40% - Accent3 3 3 2 5" xfId="25953"/>
    <cellStyle name="40% - Accent3 3 3 2 5 2" xfId="25954"/>
    <cellStyle name="40% - Accent3 3 3 2 6" xfId="25955"/>
    <cellStyle name="40% - Accent3 3 3 2 7" xfId="25956"/>
    <cellStyle name="40% - Accent3 3 3 2 8" xfId="25957"/>
    <cellStyle name="40% - Accent3 3 3 3" xfId="25958"/>
    <cellStyle name="40% - Accent3 3 3 3 2" xfId="25959"/>
    <cellStyle name="40% - Accent3 3 3 3 2 2" xfId="25960"/>
    <cellStyle name="40% - Accent3 3 3 3 2 2 2" xfId="25961"/>
    <cellStyle name="40% - Accent3 3 3 3 2 2 2 2" xfId="25962"/>
    <cellStyle name="40% - Accent3 3 3 3 2 3" xfId="25963"/>
    <cellStyle name="40% - Accent3 3 3 3 2 3 2" xfId="25964"/>
    <cellStyle name="40% - Accent3 3 3 3 3" xfId="25965"/>
    <cellStyle name="40% - Accent3 3 3 3 3 2" xfId="25966"/>
    <cellStyle name="40% - Accent3 3 3 3 3 2 2" xfId="25967"/>
    <cellStyle name="40% - Accent3 3 3 3 4" xfId="25968"/>
    <cellStyle name="40% - Accent3 3 3 3 4 2" xfId="25969"/>
    <cellStyle name="40% - Accent3 3 3 3 5" xfId="25970"/>
    <cellStyle name="40% - Accent3 3 3 3 6" xfId="25971"/>
    <cellStyle name="40% - Accent3 3 3 3 7" xfId="25972"/>
    <cellStyle name="40% - Accent3 3 3 4" xfId="25973"/>
    <cellStyle name="40% - Accent3 3 3 4 2" xfId="25974"/>
    <cellStyle name="40% - Accent3 3 3 4 2 2" xfId="25975"/>
    <cellStyle name="40% - Accent3 3 3 4 2 2 2" xfId="25976"/>
    <cellStyle name="40% - Accent3 3 3 4 3" xfId="25977"/>
    <cellStyle name="40% - Accent3 3 3 4 3 2" xfId="25978"/>
    <cellStyle name="40% - Accent3 3 3 4 4" xfId="25979"/>
    <cellStyle name="40% - Accent3 3 3 5" xfId="25980"/>
    <cellStyle name="40% - Accent3 3 3 5 2" xfId="25981"/>
    <cellStyle name="40% - Accent3 3 3 5 2 2" xfId="25982"/>
    <cellStyle name="40% - Accent3 3 3 6" xfId="25983"/>
    <cellStyle name="40% - Accent3 3 3 6 2" xfId="25984"/>
    <cellStyle name="40% - Accent3 3 3 7" xfId="25985"/>
    <cellStyle name="40% - Accent3 3 3 8" xfId="25986"/>
    <cellStyle name="40% - Accent3 3 3 9" xfId="25987"/>
    <cellStyle name="40% - Accent3 3 4" xfId="25988"/>
    <cellStyle name="40% - Accent3 3 4 2" xfId="25989"/>
    <cellStyle name="40% - Accent3 3 4 2 2" xfId="25990"/>
    <cellStyle name="40% - Accent3 3 4 2 2 2" xfId="25991"/>
    <cellStyle name="40% - Accent3 3 4 2 2 2 2" xfId="25992"/>
    <cellStyle name="40% - Accent3 3 4 2 2 2 2 2" xfId="25993"/>
    <cellStyle name="40% - Accent3 3 4 2 2 2 2 2 2" xfId="25994"/>
    <cellStyle name="40% - Accent3 3 4 2 2 2 3" xfId="25995"/>
    <cellStyle name="40% - Accent3 3 4 2 2 2 3 2" xfId="25996"/>
    <cellStyle name="40% - Accent3 3 4 2 2 3" xfId="25997"/>
    <cellStyle name="40% - Accent3 3 4 2 2 3 2" xfId="25998"/>
    <cellStyle name="40% - Accent3 3 4 2 2 3 2 2" xfId="25999"/>
    <cellStyle name="40% - Accent3 3 4 2 2 4" xfId="26000"/>
    <cellStyle name="40% - Accent3 3 4 2 2 4 2" xfId="26001"/>
    <cellStyle name="40% - Accent3 3 4 2 3" xfId="26002"/>
    <cellStyle name="40% - Accent3 3 4 2 3 2" xfId="26003"/>
    <cellStyle name="40% - Accent3 3 4 2 3 2 2" xfId="26004"/>
    <cellStyle name="40% - Accent3 3 4 2 3 2 2 2" xfId="26005"/>
    <cellStyle name="40% - Accent3 3 4 2 3 3" xfId="26006"/>
    <cellStyle name="40% - Accent3 3 4 2 3 3 2" xfId="26007"/>
    <cellStyle name="40% - Accent3 3 4 2 4" xfId="26008"/>
    <cellStyle name="40% - Accent3 3 4 2 4 2" xfId="26009"/>
    <cellStyle name="40% - Accent3 3 4 2 4 2 2" xfId="26010"/>
    <cellStyle name="40% - Accent3 3 4 2 5" xfId="26011"/>
    <cellStyle name="40% - Accent3 3 4 2 5 2" xfId="26012"/>
    <cellStyle name="40% - Accent3 3 4 3" xfId="26013"/>
    <cellStyle name="40% - Accent3 3 4 3 2" xfId="26014"/>
    <cellStyle name="40% - Accent3 3 4 3 2 2" xfId="26015"/>
    <cellStyle name="40% - Accent3 3 4 3 2 2 2" xfId="26016"/>
    <cellStyle name="40% - Accent3 3 4 3 2 2 2 2" xfId="26017"/>
    <cellStyle name="40% - Accent3 3 4 3 2 3" xfId="26018"/>
    <cellStyle name="40% - Accent3 3 4 3 2 3 2" xfId="26019"/>
    <cellStyle name="40% - Accent3 3 4 3 3" xfId="26020"/>
    <cellStyle name="40% - Accent3 3 4 3 3 2" xfId="26021"/>
    <cellStyle name="40% - Accent3 3 4 3 3 2 2" xfId="26022"/>
    <cellStyle name="40% - Accent3 3 4 3 4" xfId="26023"/>
    <cellStyle name="40% - Accent3 3 4 3 4 2" xfId="26024"/>
    <cellStyle name="40% - Accent3 3 4 4" xfId="26025"/>
    <cellStyle name="40% - Accent3 3 4 4 2" xfId="26026"/>
    <cellStyle name="40% - Accent3 3 4 4 2 2" xfId="26027"/>
    <cellStyle name="40% - Accent3 3 4 4 2 2 2" xfId="26028"/>
    <cellStyle name="40% - Accent3 3 4 4 3" xfId="26029"/>
    <cellStyle name="40% - Accent3 3 4 4 3 2" xfId="26030"/>
    <cellStyle name="40% - Accent3 3 4 5" xfId="26031"/>
    <cellStyle name="40% - Accent3 3 4 5 2" xfId="26032"/>
    <cellStyle name="40% - Accent3 3 4 5 2 2" xfId="26033"/>
    <cellStyle name="40% - Accent3 3 4 6" xfId="26034"/>
    <cellStyle name="40% - Accent3 3 4 6 2" xfId="26035"/>
    <cellStyle name="40% - Accent3 3 4 7" xfId="26036"/>
    <cellStyle name="40% - Accent3 3 5" xfId="26037"/>
    <cellStyle name="40% - Accent3 3 5 2" xfId="26038"/>
    <cellStyle name="40% - Accent3 3 5 2 2" xfId="26039"/>
    <cellStyle name="40% - Accent3 3 5 2 2 2" xfId="26040"/>
    <cellStyle name="40% - Accent3 3 5 2 2 2 2" xfId="26041"/>
    <cellStyle name="40% - Accent3 3 5 2 2 2 2 2" xfId="26042"/>
    <cellStyle name="40% - Accent3 3 5 2 2 2 2 2 2" xfId="26043"/>
    <cellStyle name="40% - Accent3 3 5 2 2 2 3" xfId="26044"/>
    <cellStyle name="40% - Accent3 3 5 2 2 2 3 2" xfId="26045"/>
    <cellStyle name="40% - Accent3 3 5 2 2 3" xfId="26046"/>
    <cellStyle name="40% - Accent3 3 5 2 2 3 2" xfId="26047"/>
    <cellStyle name="40% - Accent3 3 5 2 2 3 2 2" xfId="26048"/>
    <cellStyle name="40% - Accent3 3 5 2 2 4" xfId="26049"/>
    <cellStyle name="40% - Accent3 3 5 2 2 4 2" xfId="26050"/>
    <cellStyle name="40% - Accent3 3 5 2 3" xfId="26051"/>
    <cellStyle name="40% - Accent3 3 5 2 3 2" xfId="26052"/>
    <cellStyle name="40% - Accent3 3 5 2 3 2 2" xfId="26053"/>
    <cellStyle name="40% - Accent3 3 5 2 3 2 2 2" xfId="26054"/>
    <cellStyle name="40% - Accent3 3 5 2 3 3" xfId="26055"/>
    <cellStyle name="40% - Accent3 3 5 2 3 3 2" xfId="26056"/>
    <cellStyle name="40% - Accent3 3 5 2 4" xfId="26057"/>
    <cellStyle name="40% - Accent3 3 5 2 4 2" xfId="26058"/>
    <cellStyle name="40% - Accent3 3 5 2 4 2 2" xfId="26059"/>
    <cellStyle name="40% - Accent3 3 5 2 5" xfId="26060"/>
    <cellStyle name="40% - Accent3 3 5 2 5 2" xfId="26061"/>
    <cellStyle name="40% - Accent3 3 5 3" xfId="26062"/>
    <cellStyle name="40% - Accent3 3 5 3 2" xfId="26063"/>
    <cellStyle name="40% - Accent3 3 5 3 2 2" xfId="26064"/>
    <cellStyle name="40% - Accent3 3 5 3 2 2 2" xfId="26065"/>
    <cellStyle name="40% - Accent3 3 5 3 2 2 2 2" xfId="26066"/>
    <cellStyle name="40% - Accent3 3 5 3 2 3" xfId="26067"/>
    <cellStyle name="40% - Accent3 3 5 3 2 3 2" xfId="26068"/>
    <cellStyle name="40% - Accent3 3 5 3 3" xfId="26069"/>
    <cellStyle name="40% - Accent3 3 5 3 3 2" xfId="26070"/>
    <cellStyle name="40% - Accent3 3 5 3 3 2 2" xfId="26071"/>
    <cellStyle name="40% - Accent3 3 5 3 4" xfId="26072"/>
    <cellStyle name="40% - Accent3 3 5 3 4 2" xfId="26073"/>
    <cellStyle name="40% - Accent3 3 5 4" xfId="26074"/>
    <cellStyle name="40% - Accent3 3 5 4 2" xfId="26075"/>
    <cellStyle name="40% - Accent3 3 5 4 2 2" xfId="26076"/>
    <cellStyle name="40% - Accent3 3 5 4 2 2 2" xfId="26077"/>
    <cellStyle name="40% - Accent3 3 5 4 3" xfId="26078"/>
    <cellStyle name="40% - Accent3 3 5 4 3 2" xfId="26079"/>
    <cellStyle name="40% - Accent3 3 5 5" xfId="26080"/>
    <cellStyle name="40% - Accent3 3 5 5 2" xfId="26081"/>
    <cellStyle name="40% - Accent3 3 5 5 2 2" xfId="26082"/>
    <cellStyle name="40% - Accent3 3 5 6" xfId="26083"/>
    <cellStyle name="40% - Accent3 3 5 6 2" xfId="26084"/>
    <cellStyle name="40% - Accent3 3 5 7" xfId="26085"/>
    <cellStyle name="40% - Accent3 3 6" xfId="26086"/>
    <cellStyle name="40% - Accent3 3 6 2" xfId="26087"/>
    <cellStyle name="40% - Accent3 3 6 2 2" xfId="26088"/>
    <cellStyle name="40% - Accent3 3 6 2 2 2" xfId="26089"/>
    <cellStyle name="40% - Accent3 3 6 2 2 2 2" xfId="26090"/>
    <cellStyle name="40% - Accent3 3 6 2 2 2 2 2" xfId="26091"/>
    <cellStyle name="40% - Accent3 3 6 2 2 2 2 2 2" xfId="26092"/>
    <cellStyle name="40% - Accent3 3 6 2 2 2 3" xfId="26093"/>
    <cellStyle name="40% - Accent3 3 6 2 2 2 3 2" xfId="26094"/>
    <cellStyle name="40% - Accent3 3 6 2 2 3" xfId="26095"/>
    <cellStyle name="40% - Accent3 3 6 2 2 3 2" xfId="26096"/>
    <cellStyle name="40% - Accent3 3 6 2 2 3 2 2" xfId="26097"/>
    <cellStyle name="40% - Accent3 3 6 2 2 4" xfId="26098"/>
    <cellStyle name="40% - Accent3 3 6 2 2 4 2" xfId="26099"/>
    <cellStyle name="40% - Accent3 3 6 2 3" xfId="26100"/>
    <cellStyle name="40% - Accent3 3 6 2 3 2" xfId="26101"/>
    <cellStyle name="40% - Accent3 3 6 2 3 2 2" xfId="26102"/>
    <cellStyle name="40% - Accent3 3 6 2 3 2 2 2" xfId="26103"/>
    <cellStyle name="40% - Accent3 3 6 2 3 3" xfId="26104"/>
    <cellStyle name="40% - Accent3 3 6 2 3 3 2" xfId="26105"/>
    <cellStyle name="40% - Accent3 3 6 2 4" xfId="26106"/>
    <cellStyle name="40% - Accent3 3 6 2 4 2" xfId="26107"/>
    <cellStyle name="40% - Accent3 3 6 2 4 2 2" xfId="26108"/>
    <cellStyle name="40% - Accent3 3 6 2 5" xfId="26109"/>
    <cellStyle name="40% - Accent3 3 6 2 5 2" xfId="26110"/>
    <cellStyle name="40% - Accent3 3 6 3" xfId="26111"/>
    <cellStyle name="40% - Accent3 3 6 3 2" xfId="26112"/>
    <cellStyle name="40% - Accent3 3 6 3 2 2" xfId="26113"/>
    <cellStyle name="40% - Accent3 3 6 3 2 2 2" xfId="26114"/>
    <cellStyle name="40% - Accent3 3 6 3 2 2 2 2" xfId="26115"/>
    <cellStyle name="40% - Accent3 3 6 3 2 3" xfId="26116"/>
    <cellStyle name="40% - Accent3 3 6 3 2 3 2" xfId="26117"/>
    <cellStyle name="40% - Accent3 3 6 3 3" xfId="26118"/>
    <cellStyle name="40% - Accent3 3 6 3 3 2" xfId="26119"/>
    <cellStyle name="40% - Accent3 3 6 3 3 2 2" xfId="26120"/>
    <cellStyle name="40% - Accent3 3 6 3 4" xfId="26121"/>
    <cellStyle name="40% - Accent3 3 6 3 4 2" xfId="26122"/>
    <cellStyle name="40% - Accent3 3 6 4" xfId="26123"/>
    <cellStyle name="40% - Accent3 3 6 4 2" xfId="26124"/>
    <cellStyle name="40% - Accent3 3 6 4 2 2" xfId="26125"/>
    <cellStyle name="40% - Accent3 3 6 4 2 2 2" xfId="26126"/>
    <cellStyle name="40% - Accent3 3 6 4 3" xfId="26127"/>
    <cellStyle name="40% - Accent3 3 6 4 3 2" xfId="26128"/>
    <cellStyle name="40% - Accent3 3 6 5" xfId="26129"/>
    <cellStyle name="40% - Accent3 3 6 5 2" xfId="26130"/>
    <cellStyle name="40% - Accent3 3 6 5 2 2" xfId="26131"/>
    <cellStyle name="40% - Accent3 3 6 6" xfId="26132"/>
    <cellStyle name="40% - Accent3 3 6 6 2" xfId="26133"/>
    <cellStyle name="40% - Accent3 3 6 7" xfId="26134"/>
    <cellStyle name="40% - Accent3 3 7" xfId="26135"/>
    <cellStyle name="40% - Accent3 3 7 2" xfId="26136"/>
    <cellStyle name="40% - Accent3 3 7 2 2" xfId="26137"/>
    <cellStyle name="40% - Accent3 3 7 2 2 2" xfId="26138"/>
    <cellStyle name="40% - Accent3 3 7 2 2 2 2" xfId="26139"/>
    <cellStyle name="40% - Accent3 3 7 2 2 2 2 2" xfId="26140"/>
    <cellStyle name="40% - Accent3 3 7 2 2 2 2 2 2" xfId="26141"/>
    <cellStyle name="40% - Accent3 3 7 2 2 2 3" xfId="26142"/>
    <cellStyle name="40% - Accent3 3 7 2 2 2 3 2" xfId="26143"/>
    <cellStyle name="40% - Accent3 3 7 2 2 3" xfId="26144"/>
    <cellStyle name="40% - Accent3 3 7 2 2 3 2" xfId="26145"/>
    <cellStyle name="40% - Accent3 3 7 2 2 3 2 2" xfId="26146"/>
    <cellStyle name="40% - Accent3 3 7 2 2 4" xfId="26147"/>
    <cellStyle name="40% - Accent3 3 7 2 2 4 2" xfId="26148"/>
    <cellStyle name="40% - Accent3 3 7 2 3" xfId="26149"/>
    <cellStyle name="40% - Accent3 3 7 2 3 2" xfId="26150"/>
    <cellStyle name="40% - Accent3 3 7 2 3 2 2" xfId="26151"/>
    <cellStyle name="40% - Accent3 3 7 2 3 2 2 2" xfId="26152"/>
    <cellStyle name="40% - Accent3 3 7 2 3 3" xfId="26153"/>
    <cellStyle name="40% - Accent3 3 7 2 3 3 2" xfId="26154"/>
    <cellStyle name="40% - Accent3 3 7 2 4" xfId="26155"/>
    <cellStyle name="40% - Accent3 3 7 2 4 2" xfId="26156"/>
    <cellStyle name="40% - Accent3 3 7 2 4 2 2" xfId="26157"/>
    <cellStyle name="40% - Accent3 3 7 2 5" xfId="26158"/>
    <cellStyle name="40% - Accent3 3 7 2 5 2" xfId="26159"/>
    <cellStyle name="40% - Accent3 3 7 3" xfId="26160"/>
    <cellStyle name="40% - Accent3 3 7 3 2" xfId="26161"/>
    <cellStyle name="40% - Accent3 3 7 3 2 2" xfId="26162"/>
    <cellStyle name="40% - Accent3 3 7 3 2 2 2" xfId="26163"/>
    <cellStyle name="40% - Accent3 3 7 3 2 2 2 2" xfId="26164"/>
    <cellStyle name="40% - Accent3 3 7 3 2 3" xfId="26165"/>
    <cellStyle name="40% - Accent3 3 7 3 2 3 2" xfId="26166"/>
    <cellStyle name="40% - Accent3 3 7 3 3" xfId="26167"/>
    <cellStyle name="40% - Accent3 3 7 3 3 2" xfId="26168"/>
    <cellStyle name="40% - Accent3 3 7 3 3 2 2" xfId="26169"/>
    <cellStyle name="40% - Accent3 3 7 3 4" xfId="26170"/>
    <cellStyle name="40% - Accent3 3 7 3 4 2" xfId="26171"/>
    <cellStyle name="40% - Accent3 3 7 4" xfId="26172"/>
    <cellStyle name="40% - Accent3 3 7 4 2" xfId="26173"/>
    <cellStyle name="40% - Accent3 3 7 4 2 2" xfId="26174"/>
    <cellStyle name="40% - Accent3 3 7 4 2 2 2" xfId="26175"/>
    <cellStyle name="40% - Accent3 3 7 4 3" xfId="26176"/>
    <cellStyle name="40% - Accent3 3 7 4 3 2" xfId="26177"/>
    <cellStyle name="40% - Accent3 3 7 5" xfId="26178"/>
    <cellStyle name="40% - Accent3 3 7 5 2" xfId="26179"/>
    <cellStyle name="40% - Accent3 3 7 5 2 2" xfId="26180"/>
    <cellStyle name="40% - Accent3 3 7 6" xfId="26181"/>
    <cellStyle name="40% - Accent3 3 7 6 2" xfId="26182"/>
    <cellStyle name="40% - Accent3 3 7 7" xfId="26183"/>
    <cellStyle name="40% - Accent3 3 8" xfId="26184"/>
    <cellStyle name="40% - Accent3 3 8 2" xfId="26185"/>
    <cellStyle name="40% - Accent3 3 8 2 2" xfId="26186"/>
    <cellStyle name="40% - Accent3 3 8 2 2 2" xfId="26187"/>
    <cellStyle name="40% - Accent3 3 8 2 2 2 2" xfId="26188"/>
    <cellStyle name="40% - Accent3 3 8 2 2 2 2 2" xfId="26189"/>
    <cellStyle name="40% - Accent3 3 8 2 2 2 2 2 2" xfId="26190"/>
    <cellStyle name="40% - Accent3 3 8 2 2 2 3" xfId="26191"/>
    <cellStyle name="40% - Accent3 3 8 2 2 2 3 2" xfId="26192"/>
    <cellStyle name="40% - Accent3 3 8 2 2 3" xfId="26193"/>
    <cellStyle name="40% - Accent3 3 8 2 2 3 2" xfId="26194"/>
    <cellStyle name="40% - Accent3 3 8 2 2 3 2 2" xfId="26195"/>
    <cellStyle name="40% - Accent3 3 8 2 2 4" xfId="26196"/>
    <cellStyle name="40% - Accent3 3 8 2 2 4 2" xfId="26197"/>
    <cellStyle name="40% - Accent3 3 8 2 3" xfId="26198"/>
    <cellStyle name="40% - Accent3 3 8 2 3 2" xfId="26199"/>
    <cellStyle name="40% - Accent3 3 8 2 3 2 2" xfId="26200"/>
    <cellStyle name="40% - Accent3 3 8 2 3 2 2 2" xfId="26201"/>
    <cellStyle name="40% - Accent3 3 8 2 3 3" xfId="26202"/>
    <cellStyle name="40% - Accent3 3 8 2 3 3 2" xfId="26203"/>
    <cellStyle name="40% - Accent3 3 8 2 4" xfId="26204"/>
    <cellStyle name="40% - Accent3 3 8 2 4 2" xfId="26205"/>
    <cellStyle name="40% - Accent3 3 8 2 4 2 2" xfId="26206"/>
    <cellStyle name="40% - Accent3 3 8 2 5" xfId="26207"/>
    <cellStyle name="40% - Accent3 3 8 2 5 2" xfId="26208"/>
    <cellStyle name="40% - Accent3 3 8 3" xfId="26209"/>
    <cellStyle name="40% - Accent3 3 8 3 2" xfId="26210"/>
    <cellStyle name="40% - Accent3 3 8 3 2 2" xfId="26211"/>
    <cellStyle name="40% - Accent3 3 8 3 2 2 2" xfId="26212"/>
    <cellStyle name="40% - Accent3 3 8 3 2 2 2 2" xfId="26213"/>
    <cellStyle name="40% - Accent3 3 8 3 2 3" xfId="26214"/>
    <cellStyle name="40% - Accent3 3 8 3 2 3 2" xfId="26215"/>
    <cellStyle name="40% - Accent3 3 8 3 3" xfId="26216"/>
    <cellStyle name="40% - Accent3 3 8 3 3 2" xfId="26217"/>
    <cellStyle name="40% - Accent3 3 8 3 3 2 2" xfId="26218"/>
    <cellStyle name="40% - Accent3 3 8 3 4" xfId="26219"/>
    <cellStyle name="40% - Accent3 3 8 3 4 2" xfId="26220"/>
    <cellStyle name="40% - Accent3 3 8 4" xfId="26221"/>
    <cellStyle name="40% - Accent3 3 8 4 2" xfId="26222"/>
    <cellStyle name="40% - Accent3 3 8 4 2 2" xfId="26223"/>
    <cellStyle name="40% - Accent3 3 8 4 2 2 2" xfId="26224"/>
    <cellStyle name="40% - Accent3 3 8 4 3" xfId="26225"/>
    <cellStyle name="40% - Accent3 3 8 4 3 2" xfId="26226"/>
    <cellStyle name="40% - Accent3 3 8 5" xfId="26227"/>
    <cellStyle name="40% - Accent3 3 8 5 2" xfId="26228"/>
    <cellStyle name="40% - Accent3 3 8 5 2 2" xfId="26229"/>
    <cellStyle name="40% - Accent3 3 8 6" xfId="26230"/>
    <cellStyle name="40% - Accent3 3 8 6 2" xfId="26231"/>
    <cellStyle name="40% - Accent3 3 8 7" xfId="26232"/>
    <cellStyle name="40% - Accent3 3 9" xfId="26233"/>
    <cellStyle name="40% - Accent3 3 9 2" xfId="26234"/>
    <cellStyle name="40% - Accent3 3 9 2 2" xfId="26235"/>
    <cellStyle name="40% - Accent3 3 9 2 2 2" xfId="26236"/>
    <cellStyle name="40% - Accent3 3 9 2 2 2 2" xfId="26237"/>
    <cellStyle name="40% - Accent3 3 9 2 2 2 2 2" xfId="26238"/>
    <cellStyle name="40% - Accent3 3 9 2 2 2 2 2 2" xfId="26239"/>
    <cellStyle name="40% - Accent3 3 9 2 2 2 3" xfId="26240"/>
    <cellStyle name="40% - Accent3 3 9 2 2 2 3 2" xfId="26241"/>
    <cellStyle name="40% - Accent3 3 9 2 2 3" xfId="26242"/>
    <cellStyle name="40% - Accent3 3 9 2 2 3 2" xfId="26243"/>
    <cellStyle name="40% - Accent3 3 9 2 2 3 2 2" xfId="26244"/>
    <cellStyle name="40% - Accent3 3 9 2 2 4" xfId="26245"/>
    <cellStyle name="40% - Accent3 3 9 2 2 4 2" xfId="26246"/>
    <cellStyle name="40% - Accent3 3 9 2 3" xfId="26247"/>
    <cellStyle name="40% - Accent3 3 9 2 3 2" xfId="26248"/>
    <cellStyle name="40% - Accent3 3 9 2 3 2 2" xfId="26249"/>
    <cellStyle name="40% - Accent3 3 9 2 3 2 2 2" xfId="26250"/>
    <cellStyle name="40% - Accent3 3 9 2 3 3" xfId="26251"/>
    <cellStyle name="40% - Accent3 3 9 2 3 3 2" xfId="26252"/>
    <cellStyle name="40% - Accent3 3 9 2 4" xfId="26253"/>
    <cellStyle name="40% - Accent3 3 9 2 4 2" xfId="26254"/>
    <cellStyle name="40% - Accent3 3 9 2 4 2 2" xfId="26255"/>
    <cellStyle name="40% - Accent3 3 9 2 5" xfId="26256"/>
    <cellStyle name="40% - Accent3 3 9 2 5 2" xfId="26257"/>
    <cellStyle name="40% - Accent3 3 9 3" xfId="26258"/>
    <cellStyle name="40% - Accent3 3 9 3 2" xfId="26259"/>
    <cellStyle name="40% - Accent3 3 9 3 2 2" xfId="26260"/>
    <cellStyle name="40% - Accent3 3 9 3 2 2 2" xfId="26261"/>
    <cellStyle name="40% - Accent3 3 9 3 2 2 2 2" xfId="26262"/>
    <cellStyle name="40% - Accent3 3 9 3 2 3" xfId="26263"/>
    <cellStyle name="40% - Accent3 3 9 3 2 3 2" xfId="26264"/>
    <cellStyle name="40% - Accent3 3 9 3 3" xfId="26265"/>
    <cellStyle name="40% - Accent3 3 9 3 3 2" xfId="26266"/>
    <cellStyle name="40% - Accent3 3 9 3 3 2 2" xfId="26267"/>
    <cellStyle name="40% - Accent3 3 9 3 4" xfId="26268"/>
    <cellStyle name="40% - Accent3 3 9 3 4 2" xfId="26269"/>
    <cellStyle name="40% - Accent3 3 9 4" xfId="26270"/>
    <cellStyle name="40% - Accent3 3 9 4 2" xfId="26271"/>
    <cellStyle name="40% - Accent3 3 9 4 2 2" xfId="26272"/>
    <cellStyle name="40% - Accent3 3 9 4 2 2 2" xfId="26273"/>
    <cellStyle name="40% - Accent3 3 9 4 3" xfId="26274"/>
    <cellStyle name="40% - Accent3 3 9 4 3 2" xfId="26275"/>
    <cellStyle name="40% - Accent3 3 9 5" xfId="26276"/>
    <cellStyle name="40% - Accent3 3 9 5 2" xfId="26277"/>
    <cellStyle name="40% - Accent3 3 9 5 2 2" xfId="26278"/>
    <cellStyle name="40% - Accent3 3 9 6" xfId="26279"/>
    <cellStyle name="40% - Accent3 3 9 6 2" xfId="26280"/>
    <cellStyle name="40% - Accent3 3 9 7" xfId="26281"/>
    <cellStyle name="40% - Accent3 3 9 8" xfId="26282"/>
    <cellStyle name="40% - Accent3 3 9 9" xfId="26283"/>
    <cellStyle name="40% - Accent3 30" xfId="26284"/>
    <cellStyle name="40% - Accent3 30 2" xfId="26285"/>
    <cellStyle name="40% - Accent3 30 2 2" xfId="26286"/>
    <cellStyle name="40% - Accent3 30 2 2 2" xfId="26287"/>
    <cellStyle name="40% - Accent3 30 3" xfId="26288"/>
    <cellStyle name="40% - Accent3 30 3 2" xfId="26289"/>
    <cellStyle name="40% - Accent3 30 4" xfId="26290"/>
    <cellStyle name="40% - Accent3 31" xfId="26291"/>
    <cellStyle name="40% - Accent3 31 2" xfId="26292"/>
    <cellStyle name="40% - Accent3 31 2 2" xfId="26293"/>
    <cellStyle name="40% - Accent3 31 2 2 2" xfId="26294"/>
    <cellStyle name="40% - Accent3 31 3" xfId="26295"/>
    <cellStyle name="40% - Accent3 31 3 2" xfId="26296"/>
    <cellStyle name="40% - Accent3 31 4" xfId="26297"/>
    <cellStyle name="40% - Accent3 32" xfId="26298"/>
    <cellStyle name="40% - Accent3 32 2" xfId="26299"/>
    <cellStyle name="40% - Accent3 32 2 2" xfId="26300"/>
    <cellStyle name="40% - Accent3 32 3" xfId="26301"/>
    <cellStyle name="40% - Accent3 33" xfId="26302"/>
    <cellStyle name="40% - Accent3 33 2" xfId="26303"/>
    <cellStyle name="40% - Accent3 33 2 2" xfId="26304"/>
    <cellStyle name="40% - Accent3 33 3" xfId="26305"/>
    <cellStyle name="40% - Accent3 34" xfId="26306"/>
    <cellStyle name="40% - Accent3 34 2" xfId="26307"/>
    <cellStyle name="40% - Accent3 34 2 2" xfId="26308"/>
    <cellStyle name="40% - Accent3 34 3" xfId="26309"/>
    <cellStyle name="40% - Accent3 35" xfId="26310"/>
    <cellStyle name="40% - Accent3 35 2" xfId="26311"/>
    <cellStyle name="40% - Accent3 35 3" xfId="26312"/>
    <cellStyle name="40% - Accent3 36" xfId="26313"/>
    <cellStyle name="40% - Accent3 36 2" xfId="26314"/>
    <cellStyle name="40% - Accent3 36 2 2" xfId="26315"/>
    <cellStyle name="40% - Accent3 36 2 3" xfId="26316"/>
    <cellStyle name="40% - Accent3 36 2 4" xfId="26317"/>
    <cellStyle name="40% - Accent3 36 3" xfId="26318"/>
    <cellStyle name="40% - Accent3 36 3 2" xfId="26319"/>
    <cellStyle name="40% - Accent3 36 3 3" xfId="26320"/>
    <cellStyle name="40% - Accent3 36 4" xfId="26321"/>
    <cellStyle name="40% - Accent3 36 4 2" xfId="26322"/>
    <cellStyle name="40% - Accent3 36 5" xfId="26323"/>
    <cellStyle name="40% - Accent3 36 6" xfId="26324"/>
    <cellStyle name="40% - Accent3 36 7" xfId="26325"/>
    <cellStyle name="40% - Accent3 37" xfId="26326"/>
    <cellStyle name="40% - Accent3 38" xfId="26327"/>
    <cellStyle name="40% - Accent3 39" xfId="26328"/>
    <cellStyle name="40% - Accent3 4" xfId="26329"/>
    <cellStyle name="40% - Accent3 4 10" xfId="26330"/>
    <cellStyle name="40% - Accent3 4 10 2" xfId="26331"/>
    <cellStyle name="40% - Accent3 4 10 2 2" xfId="26332"/>
    <cellStyle name="40% - Accent3 4 10 2 2 2" xfId="26333"/>
    <cellStyle name="40% - Accent3 4 10 2 2 2 2" xfId="26334"/>
    <cellStyle name="40% - Accent3 4 10 2 2 2 2 2" xfId="26335"/>
    <cellStyle name="40% - Accent3 4 10 2 2 2 2 2 2" xfId="26336"/>
    <cellStyle name="40% - Accent3 4 10 2 2 2 3" xfId="26337"/>
    <cellStyle name="40% - Accent3 4 10 2 2 2 3 2" xfId="26338"/>
    <cellStyle name="40% - Accent3 4 10 2 2 3" xfId="26339"/>
    <cellStyle name="40% - Accent3 4 10 2 2 3 2" xfId="26340"/>
    <cellStyle name="40% - Accent3 4 10 2 2 3 2 2" xfId="26341"/>
    <cellStyle name="40% - Accent3 4 10 2 2 4" xfId="26342"/>
    <cellStyle name="40% - Accent3 4 10 2 2 4 2" xfId="26343"/>
    <cellStyle name="40% - Accent3 4 10 2 3" xfId="26344"/>
    <cellStyle name="40% - Accent3 4 10 2 3 2" xfId="26345"/>
    <cellStyle name="40% - Accent3 4 10 2 3 2 2" xfId="26346"/>
    <cellStyle name="40% - Accent3 4 10 2 3 2 2 2" xfId="26347"/>
    <cellStyle name="40% - Accent3 4 10 2 3 3" xfId="26348"/>
    <cellStyle name="40% - Accent3 4 10 2 3 3 2" xfId="26349"/>
    <cellStyle name="40% - Accent3 4 10 2 4" xfId="26350"/>
    <cellStyle name="40% - Accent3 4 10 2 4 2" xfId="26351"/>
    <cellStyle name="40% - Accent3 4 10 2 4 2 2" xfId="26352"/>
    <cellStyle name="40% - Accent3 4 10 2 5" xfId="26353"/>
    <cellStyle name="40% - Accent3 4 10 2 5 2" xfId="26354"/>
    <cellStyle name="40% - Accent3 4 10 3" xfId="26355"/>
    <cellStyle name="40% - Accent3 4 10 3 2" xfId="26356"/>
    <cellStyle name="40% - Accent3 4 10 3 2 2" xfId="26357"/>
    <cellStyle name="40% - Accent3 4 10 3 2 2 2" xfId="26358"/>
    <cellStyle name="40% - Accent3 4 10 3 2 2 2 2" xfId="26359"/>
    <cellStyle name="40% - Accent3 4 10 3 2 3" xfId="26360"/>
    <cellStyle name="40% - Accent3 4 10 3 2 3 2" xfId="26361"/>
    <cellStyle name="40% - Accent3 4 10 3 3" xfId="26362"/>
    <cellStyle name="40% - Accent3 4 10 3 3 2" xfId="26363"/>
    <cellStyle name="40% - Accent3 4 10 3 3 2 2" xfId="26364"/>
    <cellStyle name="40% - Accent3 4 10 3 4" xfId="26365"/>
    <cellStyle name="40% - Accent3 4 10 3 4 2" xfId="26366"/>
    <cellStyle name="40% - Accent3 4 10 4" xfId="26367"/>
    <cellStyle name="40% - Accent3 4 10 4 2" xfId="26368"/>
    <cellStyle name="40% - Accent3 4 10 4 2 2" xfId="26369"/>
    <cellStyle name="40% - Accent3 4 10 4 2 2 2" xfId="26370"/>
    <cellStyle name="40% - Accent3 4 10 4 3" xfId="26371"/>
    <cellStyle name="40% - Accent3 4 10 4 3 2" xfId="26372"/>
    <cellStyle name="40% - Accent3 4 10 5" xfId="26373"/>
    <cellStyle name="40% - Accent3 4 10 5 2" xfId="26374"/>
    <cellStyle name="40% - Accent3 4 10 5 2 2" xfId="26375"/>
    <cellStyle name="40% - Accent3 4 10 6" xfId="26376"/>
    <cellStyle name="40% - Accent3 4 10 6 2" xfId="26377"/>
    <cellStyle name="40% - Accent3 4 10 7" xfId="26378"/>
    <cellStyle name="40% - Accent3 4 10 8" xfId="26379"/>
    <cellStyle name="40% - Accent3 4 10 9" xfId="26380"/>
    <cellStyle name="40% - Accent3 4 11" xfId="26381"/>
    <cellStyle name="40% - Accent3 4 11 2" xfId="26382"/>
    <cellStyle name="40% - Accent3 4 11 2 2" xfId="26383"/>
    <cellStyle name="40% - Accent3 4 11 2 2 2" xfId="26384"/>
    <cellStyle name="40% - Accent3 4 11 2 2 2 2" xfId="26385"/>
    <cellStyle name="40% - Accent3 4 11 2 2 2 2 2" xfId="26386"/>
    <cellStyle name="40% - Accent3 4 11 2 2 2 2 2 2" xfId="26387"/>
    <cellStyle name="40% - Accent3 4 11 2 2 2 3" xfId="26388"/>
    <cellStyle name="40% - Accent3 4 11 2 2 2 3 2" xfId="26389"/>
    <cellStyle name="40% - Accent3 4 11 2 2 3" xfId="26390"/>
    <cellStyle name="40% - Accent3 4 11 2 2 3 2" xfId="26391"/>
    <cellStyle name="40% - Accent3 4 11 2 2 3 2 2" xfId="26392"/>
    <cellStyle name="40% - Accent3 4 11 2 2 4" xfId="26393"/>
    <cellStyle name="40% - Accent3 4 11 2 2 4 2" xfId="26394"/>
    <cellStyle name="40% - Accent3 4 11 2 3" xfId="26395"/>
    <cellStyle name="40% - Accent3 4 11 2 3 2" xfId="26396"/>
    <cellStyle name="40% - Accent3 4 11 2 3 2 2" xfId="26397"/>
    <cellStyle name="40% - Accent3 4 11 2 3 2 2 2" xfId="26398"/>
    <cellStyle name="40% - Accent3 4 11 2 3 3" xfId="26399"/>
    <cellStyle name="40% - Accent3 4 11 2 3 3 2" xfId="26400"/>
    <cellStyle name="40% - Accent3 4 11 2 4" xfId="26401"/>
    <cellStyle name="40% - Accent3 4 11 2 4 2" xfId="26402"/>
    <cellStyle name="40% - Accent3 4 11 2 4 2 2" xfId="26403"/>
    <cellStyle name="40% - Accent3 4 11 2 5" xfId="26404"/>
    <cellStyle name="40% - Accent3 4 11 2 5 2" xfId="26405"/>
    <cellStyle name="40% - Accent3 4 11 3" xfId="26406"/>
    <cellStyle name="40% - Accent3 4 11 3 2" xfId="26407"/>
    <cellStyle name="40% - Accent3 4 11 3 2 2" xfId="26408"/>
    <cellStyle name="40% - Accent3 4 11 3 2 2 2" xfId="26409"/>
    <cellStyle name="40% - Accent3 4 11 3 2 2 2 2" xfId="26410"/>
    <cellStyle name="40% - Accent3 4 11 3 2 3" xfId="26411"/>
    <cellStyle name="40% - Accent3 4 11 3 2 3 2" xfId="26412"/>
    <cellStyle name="40% - Accent3 4 11 3 3" xfId="26413"/>
    <cellStyle name="40% - Accent3 4 11 3 3 2" xfId="26414"/>
    <cellStyle name="40% - Accent3 4 11 3 3 2 2" xfId="26415"/>
    <cellStyle name="40% - Accent3 4 11 3 4" xfId="26416"/>
    <cellStyle name="40% - Accent3 4 11 3 4 2" xfId="26417"/>
    <cellStyle name="40% - Accent3 4 11 4" xfId="26418"/>
    <cellStyle name="40% - Accent3 4 11 4 2" xfId="26419"/>
    <cellStyle name="40% - Accent3 4 11 4 2 2" xfId="26420"/>
    <cellStyle name="40% - Accent3 4 11 4 2 2 2" xfId="26421"/>
    <cellStyle name="40% - Accent3 4 11 4 3" xfId="26422"/>
    <cellStyle name="40% - Accent3 4 11 4 3 2" xfId="26423"/>
    <cellStyle name="40% - Accent3 4 11 5" xfId="26424"/>
    <cellStyle name="40% - Accent3 4 11 5 2" xfId="26425"/>
    <cellStyle name="40% - Accent3 4 11 5 2 2" xfId="26426"/>
    <cellStyle name="40% - Accent3 4 11 6" xfId="26427"/>
    <cellStyle name="40% - Accent3 4 11 6 2" xfId="26428"/>
    <cellStyle name="40% - Accent3 4 11 7" xfId="26429"/>
    <cellStyle name="40% - Accent3 4 12" xfId="26430"/>
    <cellStyle name="40% - Accent3 4 12 2" xfId="26431"/>
    <cellStyle name="40% - Accent3 4 12 2 2" xfId="26432"/>
    <cellStyle name="40% - Accent3 4 12 2 2 2" xfId="26433"/>
    <cellStyle name="40% - Accent3 4 12 2 2 2 2" xfId="26434"/>
    <cellStyle name="40% - Accent3 4 12 2 2 2 2 2" xfId="26435"/>
    <cellStyle name="40% - Accent3 4 12 2 2 2 2 2 2" xfId="26436"/>
    <cellStyle name="40% - Accent3 4 12 2 2 2 3" xfId="26437"/>
    <cellStyle name="40% - Accent3 4 12 2 2 2 3 2" xfId="26438"/>
    <cellStyle name="40% - Accent3 4 12 2 2 3" xfId="26439"/>
    <cellStyle name="40% - Accent3 4 12 2 2 3 2" xfId="26440"/>
    <cellStyle name="40% - Accent3 4 12 2 2 3 2 2" xfId="26441"/>
    <cellStyle name="40% - Accent3 4 12 2 2 4" xfId="26442"/>
    <cellStyle name="40% - Accent3 4 12 2 2 4 2" xfId="26443"/>
    <cellStyle name="40% - Accent3 4 12 2 3" xfId="26444"/>
    <cellStyle name="40% - Accent3 4 12 2 3 2" xfId="26445"/>
    <cellStyle name="40% - Accent3 4 12 2 3 2 2" xfId="26446"/>
    <cellStyle name="40% - Accent3 4 12 2 3 2 2 2" xfId="26447"/>
    <cellStyle name="40% - Accent3 4 12 2 3 3" xfId="26448"/>
    <cellStyle name="40% - Accent3 4 12 2 3 3 2" xfId="26449"/>
    <cellStyle name="40% - Accent3 4 12 2 4" xfId="26450"/>
    <cellStyle name="40% - Accent3 4 12 2 4 2" xfId="26451"/>
    <cellStyle name="40% - Accent3 4 12 2 4 2 2" xfId="26452"/>
    <cellStyle name="40% - Accent3 4 12 2 5" xfId="26453"/>
    <cellStyle name="40% - Accent3 4 12 2 5 2" xfId="26454"/>
    <cellStyle name="40% - Accent3 4 12 3" xfId="26455"/>
    <cellStyle name="40% - Accent3 4 12 3 2" xfId="26456"/>
    <cellStyle name="40% - Accent3 4 12 3 2 2" xfId="26457"/>
    <cellStyle name="40% - Accent3 4 12 3 2 2 2" xfId="26458"/>
    <cellStyle name="40% - Accent3 4 12 3 2 2 2 2" xfId="26459"/>
    <cellStyle name="40% - Accent3 4 12 3 2 3" xfId="26460"/>
    <cellStyle name="40% - Accent3 4 12 3 2 3 2" xfId="26461"/>
    <cellStyle name="40% - Accent3 4 12 3 3" xfId="26462"/>
    <cellStyle name="40% - Accent3 4 12 3 3 2" xfId="26463"/>
    <cellStyle name="40% - Accent3 4 12 3 3 2 2" xfId="26464"/>
    <cellStyle name="40% - Accent3 4 12 3 4" xfId="26465"/>
    <cellStyle name="40% - Accent3 4 12 3 4 2" xfId="26466"/>
    <cellStyle name="40% - Accent3 4 12 4" xfId="26467"/>
    <cellStyle name="40% - Accent3 4 12 4 2" xfId="26468"/>
    <cellStyle name="40% - Accent3 4 12 4 2 2" xfId="26469"/>
    <cellStyle name="40% - Accent3 4 12 4 2 2 2" xfId="26470"/>
    <cellStyle name="40% - Accent3 4 12 4 3" xfId="26471"/>
    <cellStyle name="40% - Accent3 4 12 4 3 2" xfId="26472"/>
    <cellStyle name="40% - Accent3 4 12 5" xfId="26473"/>
    <cellStyle name="40% - Accent3 4 12 5 2" xfId="26474"/>
    <cellStyle name="40% - Accent3 4 12 5 2 2" xfId="26475"/>
    <cellStyle name="40% - Accent3 4 12 6" xfId="26476"/>
    <cellStyle name="40% - Accent3 4 12 6 2" xfId="26477"/>
    <cellStyle name="40% - Accent3 4 13" xfId="26478"/>
    <cellStyle name="40% - Accent3 4 13 2" xfId="26479"/>
    <cellStyle name="40% - Accent3 4 13 2 2" xfId="26480"/>
    <cellStyle name="40% - Accent3 4 13 2 2 2" xfId="26481"/>
    <cellStyle name="40% - Accent3 4 13 2 2 2 2" xfId="26482"/>
    <cellStyle name="40% - Accent3 4 13 2 2 2 2 2" xfId="26483"/>
    <cellStyle name="40% - Accent3 4 13 2 2 2 2 2 2" xfId="26484"/>
    <cellStyle name="40% - Accent3 4 13 2 2 2 3" xfId="26485"/>
    <cellStyle name="40% - Accent3 4 13 2 2 2 3 2" xfId="26486"/>
    <cellStyle name="40% - Accent3 4 13 2 2 3" xfId="26487"/>
    <cellStyle name="40% - Accent3 4 13 2 2 3 2" xfId="26488"/>
    <cellStyle name="40% - Accent3 4 13 2 2 3 2 2" xfId="26489"/>
    <cellStyle name="40% - Accent3 4 13 2 2 4" xfId="26490"/>
    <cellStyle name="40% - Accent3 4 13 2 2 4 2" xfId="26491"/>
    <cellStyle name="40% - Accent3 4 13 2 3" xfId="26492"/>
    <cellStyle name="40% - Accent3 4 13 2 3 2" xfId="26493"/>
    <cellStyle name="40% - Accent3 4 13 2 3 2 2" xfId="26494"/>
    <cellStyle name="40% - Accent3 4 13 2 3 2 2 2" xfId="26495"/>
    <cellStyle name="40% - Accent3 4 13 2 3 3" xfId="26496"/>
    <cellStyle name="40% - Accent3 4 13 2 3 3 2" xfId="26497"/>
    <cellStyle name="40% - Accent3 4 13 2 4" xfId="26498"/>
    <cellStyle name="40% - Accent3 4 13 2 4 2" xfId="26499"/>
    <cellStyle name="40% - Accent3 4 13 2 4 2 2" xfId="26500"/>
    <cellStyle name="40% - Accent3 4 13 2 5" xfId="26501"/>
    <cellStyle name="40% - Accent3 4 13 2 5 2" xfId="26502"/>
    <cellStyle name="40% - Accent3 4 13 3" xfId="26503"/>
    <cellStyle name="40% - Accent3 4 13 3 2" xfId="26504"/>
    <cellStyle name="40% - Accent3 4 13 3 2 2" xfId="26505"/>
    <cellStyle name="40% - Accent3 4 13 3 2 2 2" xfId="26506"/>
    <cellStyle name="40% - Accent3 4 13 3 2 2 2 2" xfId="26507"/>
    <cellStyle name="40% - Accent3 4 13 3 2 3" xfId="26508"/>
    <cellStyle name="40% - Accent3 4 13 3 2 3 2" xfId="26509"/>
    <cellStyle name="40% - Accent3 4 13 3 3" xfId="26510"/>
    <cellStyle name="40% - Accent3 4 13 3 3 2" xfId="26511"/>
    <cellStyle name="40% - Accent3 4 13 3 3 2 2" xfId="26512"/>
    <cellStyle name="40% - Accent3 4 13 3 4" xfId="26513"/>
    <cellStyle name="40% - Accent3 4 13 3 4 2" xfId="26514"/>
    <cellStyle name="40% - Accent3 4 13 4" xfId="26515"/>
    <cellStyle name="40% - Accent3 4 13 4 2" xfId="26516"/>
    <cellStyle name="40% - Accent3 4 13 4 2 2" xfId="26517"/>
    <cellStyle name="40% - Accent3 4 13 4 2 2 2" xfId="26518"/>
    <cellStyle name="40% - Accent3 4 13 4 3" xfId="26519"/>
    <cellStyle name="40% - Accent3 4 13 4 3 2" xfId="26520"/>
    <cellStyle name="40% - Accent3 4 13 5" xfId="26521"/>
    <cellStyle name="40% - Accent3 4 13 5 2" xfId="26522"/>
    <cellStyle name="40% - Accent3 4 13 5 2 2" xfId="26523"/>
    <cellStyle name="40% - Accent3 4 13 6" xfId="26524"/>
    <cellStyle name="40% - Accent3 4 13 6 2" xfId="26525"/>
    <cellStyle name="40% - Accent3 4 14" xfId="26526"/>
    <cellStyle name="40% - Accent3 4 15" xfId="26527"/>
    <cellStyle name="40% - Accent3 4 16" xfId="26528"/>
    <cellStyle name="40% - Accent3 4 17" xfId="26529"/>
    <cellStyle name="40% - Accent3 4 18" xfId="26530"/>
    <cellStyle name="40% - Accent3 4 2" xfId="26531"/>
    <cellStyle name="40% - Accent3 4 2 10" xfId="26532"/>
    <cellStyle name="40% - Accent3 4 2 11" xfId="26533"/>
    <cellStyle name="40% - Accent3 4 2 2" xfId="26534"/>
    <cellStyle name="40% - Accent3 4 2 2 2" xfId="26535"/>
    <cellStyle name="40% - Accent3 4 2 2 2 2" xfId="26536"/>
    <cellStyle name="40% - Accent3 4 2 2 2 2 2" xfId="26537"/>
    <cellStyle name="40% - Accent3 4 2 2 2 2 2 2" xfId="26538"/>
    <cellStyle name="40% - Accent3 4 2 2 2 2 2 2 2" xfId="26539"/>
    <cellStyle name="40% - Accent3 4 2 2 2 2 3" xfId="26540"/>
    <cellStyle name="40% - Accent3 4 2 2 2 2 3 2" xfId="26541"/>
    <cellStyle name="40% - Accent3 4 2 2 2 3" xfId="26542"/>
    <cellStyle name="40% - Accent3 4 2 2 2 3 2" xfId="26543"/>
    <cellStyle name="40% - Accent3 4 2 2 2 3 2 2" xfId="26544"/>
    <cellStyle name="40% - Accent3 4 2 2 2 4" xfId="26545"/>
    <cellStyle name="40% - Accent3 4 2 2 2 4 2" xfId="26546"/>
    <cellStyle name="40% - Accent3 4 2 2 3" xfId="26547"/>
    <cellStyle name="40% - Accent3 4 2 2 3 2" xfId="26548"/>
    <cellStyle name="40% - Accent3 4 2 2 3 2 2" xfId="26549"/>
    <cellStyle name="40% - Accent3 4 2 2 3 2 2 2" xfId="26550"/>
    <cellStyle name="40% - Accent3 4 2 2 3 3" xfId="26551"/>
    <cellStyle name="40% - Accent3 4 2 2 3 3 2" xfId="26552"/>
    <cellStyle name="40% - Accent3 4 2 2 4" xfId="26553"/>
    <cellStyle name="40% - Accent3 4 2 2 4 2" xfId="26554"/>
    <cellStyle name="40% - Accent3 4 2 2 4 2 2" xfId="26555"/>
    <cellStyle name="40% - Accent3 4 2 2 5" xfId="26556"/>
    <cellStyle name="40% - Accent3 4 2 2 5 2" xfId="26557"/>
    <cellStyle name="40% - Accent3 4 2 2 6" xfId="26558"/>
    <cellStyle name="40% - Accent3 4 2 2 7" xfId="26559"/>
    <cellStyle name="40% - Accent3 4 2 2 8" xfId="26560"/>
    <cellStyle name="40% - Accent3 4 2 3" xfId="26561"/>
    <cellStyle name="40% - Accent3 4 2 3 2" xfId="26562"/>
    <cellStyle name="40% - Accent3 4 2 3 2 2" xfId="26563"/>
    <cellStyle name="40% - Accent3 4 2 3 2 2 2" xfId="26564"/>
    <cellStyle name="40% - Accent3 4 2 3 2 2 2 2" xfId="26565"/>
    <cellStyle name="40% - Accent3 4 2 3 2 3" xfId="26566"/>
    <cellStyle name="40% - Accent3 4 2 3 2 3 2" xfId="26567"/>
    <cellStyle name="40% - Accent3 4 2 3 3" xfId="26568"/>
    <cellStyle name="40% - Accent3 4 2 3 3 2" xfId="26569"/>
    <cellStyle name="40% - Accent3 4 2 3 3 2 2" xfId="26570"/>
    <cellStyle name="40% - Accent3 4 2 3 4" xfId="26571"/>
    <cellStyle name="40% - Accent3 4 2 3 4 2" xfId="26572"/>
    <cellStyle name="40% - Accent3 4 2 3 5" xfId="26573"/>
    <cellStyle name="40% - Accent3 4 2 3 6" xfId="26574"/>
    <cellStyle name="40% - Accent3 4 2 3 7" xfId="26575"/>
    <cellStyle name="40% - Accent3 4 2 4" xfId="26576"/>
    <cellStyle name="40% - Accent3 4 2 4 2" xfId="26577"/>
    <cellStyle name="40% - Accent3 4 2 4 2 2" xfId="26578"/>
    <cellStyle name="40% - Accent3 4 2 4 2 2 2" xfId="26579"/>
    <cellStyle name="40% - Accent3 4 2 4 3" xfId="26580"/>
    <cellStyle name="40% - Accent3 4 2 4 3 2" xfId="26581"/>
    <cellStyle name="40% - Accent3 4 2 4 4" xfId="26582"/>
    <cellStyle name="40% - Accent3 4 2 5" xfId="26583"/>
    <cellStyle name="40% - Accent3 4 2 5 2" xfId="26584"/>
    <cellStyle name="40% - Accent3 4 2 5 2 2" xfId="26585"/>
    <cellStyle name="40% - Accent3 4 2 6" xfId="26586"/>
    <cellStyle name="40% - Accent3 4 2 6 2" xfId="26587"/>
    <cellStyle name="40% - Accent3 4 2 7" xfId="26588"/>
    <cellStyle name="40% - Accent3 4 2 8" xfId="26589"/>
    <cellStyle name="40% - Accent3 4 2 9" xfId="26590"/>
    <cellStyle name="40% - Accent3 4 3" xfId="26591"/>
    <cellStyle name="40% - Accent3 4 3 10" xfId="26592"/>
    <cellStyle name="40% - Accent3 4 3 11" xfId="26593"/>
    <cellStyle name="40% - Accent3 4 3 2" xfId="26594"/>
    <cellStyle name="40% - Accent3 4 3 2 2" xfId="26595"/>
    <cellStyle name="40% - Accent3 4 3 2 2 2" xfId="26596"/>
    <cellStyle name="40% - Accent3 4 3 2 2 2 2" xfId="26597"/>
    <cellStyle name="40% - Accent3 4 3 2 2 2 2 2" xfId="26598"/>
    <cellStyle name="40% - Accent3 4 3 2 2 2 2 2 2" xfId="26599"/>
    <cellStyle name="40% - Accent3 4 3 2 2 2 3" xfId="26600"/>
    <cellStyle name="40% - Accent3 4 3 2 2 2 3 2" xfId="26601"/>
    <cellStyle name="40% - Accent3 4 3 2 2 3" xfId="26602"/>
    <cellStyle name="40% - Accent3 4 3 2 2 3 2" xfId="26603"/>
    <cellStyle name="40% - Accent3 4 3 2 2 3 2 2" xfId="26604"/>
    <cellStyle name="40% - Accent3 4 3 2 2 4" xfId="26605"/>
    <cellStyle name="40% - Accent3 4 3 2 2 4 2" xfId="26606"/>
    <cellStyle name="40% - Accent3 4 3 2 3" xfId="26607"/>
    <cellStyle name="40% - Accent3 4 3 2 3 2" xfId="26608"/>
    <cellStyle name="40% - Accent3 4 3 2 3 2 2" xfId="26609"/>
    <cellStyle name="40% - Accent3 4 3 2 3 2 2 2" xfId="26610"/>
    <cellStyle name="40% - Accent3 4 3 2 3 3" xfId="26611"/>
    <cellStyle name="40% - Accent3 4 3 2 3 3 2" xfId="26612"/>
    <cellStyle name="40% - Accent3 4 3 2 4" xfId="26613"/>
    <cellStyle name="40% - Accent3 4 3 2 4 2" xfId="26614"/>
    <cellStyle name="40% - Accent3 4 3 2 4 2 2" xfId="26615"/>
    <cellStyle name="40% - Accent3 4 3 2 5" xfId="26616"/>
    <cellStyle name="40% - Accent3 4 3 2 5 2" xfId="26617"/>
    <cellStyle name="40% - Accent3 4 3 2 6" xfId="26618"/>
    <cellStyle name="40% - Accent3 4 3 2 7" xfId="26619"/>
    <cellStyle name="40% - Accent3 4 3 2 8" xfId="26620"/>
    <cellStyle name="40% - Accent3 4 3 3" xfId="26621"/>
    <cellStyle name="40% - Accent3 4 3 3 2" xfId="26622"/>
    <cellStyle name="40% - Accent3 4 3 3 2 2" xfId="26623"/>
    <cellStyle name="40% - Accent3 4 3 3 2 2 2" xfId="26624"/>
    <cellStyle name="40% - Accent3 4 3 3 2 2 2 2" xfId="26625"/>
    <cellStyle name="40% - Accent3 4 3 3 2 3" xfId="26626"/>
    <cellStyle name="40% - Accent3 4 3 3 2 3 2" xfId="26627"/>
    <cellStyle name="40% - Accent3 4 3 3 3" xfId="26628"/>
    <cellStyle name="40% - Accent3 4 3 3 3 2" xfId="26629"/>
    <cellStyle name="40% - Accent3 4 3 3 3 2 2" xfId="26630"/>
    <cellStyle name="40% - Accent3 4 3 3 4" xfId="26631"/>
    <cellStyle name="40% - Accent3 4 3 3 4 2" xfId="26632"/>
    <cellStyle name="40% - Accent3 4 3 3 5" xfId="26633"/>
    <cellStyle name="40% - Accent3 4 3 3 6" xfId="26634"/>
    <cellStyle name="40% - Accent3 4 3 3 7" xfId="26635"/>
    <cellStyle name="40% - Accent3 4 3 4" xfId="26636"/>
    <cellStyle name="40% - Accent3 4 3 4 2" xfId="26637"/>
    <cellStyle name="40% - Accent3 4 3 4 2 2" xfId="26638"/>
    <cellStyle name="40% - Accent3 4 3 4 2 2 2" xfId="26639"/>
    <cellStyle name="40% - Accent3 4 3 4 3" xfId="26640"/>
    <cellStyle name="40% - Accent3 4 3 4 3 2" xfId="26641"/>
    <cellStyle name="40% - Accent3 4 3 4 4" xfId="26642"/>
    <cellStyle name="40% - Accent3 4 3 5" xfId="26643"/>
    <cellStyle name="40% - Accent3 4 3 5 2" xfId="26644"/>
    <cellStyle name="40% - Accent3 4 3 5 2 2" xfId="26645"/>
    <cellStyle name="40% - Accent3 4 3 6" xfId="26646"/>
    <cellStyle name="40% - Accent3 4 3 6 2" xfId="26647"/>
    <cellStyle name="40% - Accent3 4 3 7" xfId="26648"/>
    <cellStyle name="40% - Accent3 4 3 8" xfId="26649"/>
    <cellStyle name="40% - Accent3 4 3 9" xfId="26650"/>
    <cellStyle name="40% - Accent3 4 4" xfId="26651"/>
    <cellStyle name="40% - Accent3 4 4 2" xfId="26652"/>
    <cellStyle name="40% - Accent3 4 4 2 2" xfId="26653"/>
    <cellStyle name="40% - Accent3 4 4 2 2 2" xfId="26654"/>
    <cellStyle name="40% - Accent3 4 4 2 2 2 2" xfId="26655"/>
    <cellStyle name="40% - Accent3 4 4 2 2 2 2 2" xfId="26656"/>
    <cellStyle name="40% - Accent3 4 4 2 2 2 2 2 2" xfId="26657"/>
    <cellStyle name="40% - Accent3 4 4 2 2 2 3" xfId="26658"/>
    <cellStyle name="40% - Accent3 4 4 2 2 2 3 2" xfId="26659"/>
    <cellStyle name="40% - Accent3 4 4 2 2 3" xfId="26660"/>
    <cellStyle name="40% - Accent3 4 4 2 2 3 2" xfId="26661"/>
    <cellStyle name="40% - Accent3 4 4 2 2 3 2 2" xfId="26662"/>
    <cellStyle name="40% - Accent3 4 4 2 2 4" xfId="26663"/>
    <cellStyle name="40% - Accent3 4 4 2 2 4 2" xfId="26664"/>
    <cellStyle name="40% - Accent3 4 4 2 3" xfId="26665"/>
    <cellStyle name="40% - Accent3 4 4 2 3 2" xfId="26666"/>
    <cellStyle name="40% - Accent3 4 4 2 3 2 2" xfId="26667"/>
    <cellStyle name="40% - Accent3 4 4 2 3 2 2 2" xfId="26668"/>
    <cellStyle name="40% - Accent3 4 4 2 3 3" xfId="26669"/>
    <cellStyle name="40% - Accent3 4 4 2 3 3 2" xfId="26670"/>
    <cellStyle name="40% - Accent3 4 4 2 4" xfId="26671"/>
    <cellStyle name="40% - Accent3 4 4 2 4 2" xfId="26672"/>
    <cellStyle name="40% - Accent3 4 4 2 4 2 2" xfId="26673"/>
    <cellStyle name="40% - Accent3 4 4 2 5" xfId="26674"/>
    <cellStyle name="40% - Accent3 4 4 2 5 2" xfId="26675"/>
    <cellStyle name="40% - Accent3 4 4 3" xfId="26676"/>
    <cellStyle name="40% - Accent3 4 4 3 2" xfId="26677"/>
    <cellStyle name="40% - Accent3 4 4 3 2 2" xfId="26678"/>
    <cellStyle name="40% - Accent3 4 4 3 2 2 2" xfId="26679"/>
    <cellStyle name="40% - Accent3 4 4 3 2 2 2 2" xfId="26680"/>
    <cellStyle name="40% - Accent3 4 4 3 2 3" xfId="26681"/>
    <cellStyle name="40% - Accent3 4 4 3 2 3 2" xfId="26682"/>
    <cellStyle name="40% - Accent3 4 4 3 3" xfId="26683"/>
    <cellStyle name="40% - Accent3 4 4 3 3 2" xfId="26684"/>
    <cellStyle name="40% - Accent3 4 4 3 3 2 2" xfId="26685"/>
    <cellStyle name="40% - Accent3 4 4 3 4" xfId="26686"/>
    <cellStyle name="40% - Accent3 4 4 3 4 2" xfId="26687"/>
    <cellStyle name="40% - Accent3 4 4 4" xfId="26688"/>
    <cellStyle name="40% - Accent3 4 4 4 2" xfId="26689"/>
    <cellStyle name="40% - Accent3 4 4 4 2 2" xfId="26690"/>
    <cellStyle name="40% - Accent3 4 4 4 2 2 2" xfId="26691"/>
    <cellStyle name="40% - Accent3 4 4 4 3" xfId="26692"/>
    <cellStyle name="40% - Accent3 4 4 4 3 2" xfId="26693"/>
    <cellStyle name="40% - Accent3 4 4 5" xfId="26694"/>
    <cellStyle name="40% - Accent3 4 4 5 2" xfId="26695"/>
    <cellStyle name="40% - Accent3 4 4 5 2 2" xfId="26696"/>
    <cellStyle name="40% - Accent3 4 4 6" xfId="26697"/>
    <cellStyle name="40% - Accent3 4 4 6 2" xfId="26698"/>
    <cellStyle name="40% - Accent3 4 4 7" xfId="26699"/>
    <cellStyle name="40% - Accent3 4 5" xfId="26700"/>
    <cellStyle name="40% - Accent3 4 5 2" xfId="26701"/>
    <cellStyle name="40% - Accent3 4 5 2 2" xfId="26702"/>
    <cellStyle name="40% - Accent3 4 5 2 2 2" xfId="26703"/>
    <cellStyle name="40% - Accent3 4 5 2 2 2 2" xfId="26704"/>
    <cellStyle name="40% - Accent3 4 5 2 2 2 2 2" xfId="26705"/>
    <cellStyle name="40% - Accent3 4 5 2 2 2 2 2 2" xfId="26706"/>
    <cellStyle name="40% - Accent3 4 5 2 2 2 3" xfId="26707"/>
    <cellStyle name="40% - Accent3 4 5 2 2 2 3 2" xfId="26708"/>
    <cellStyle name="40% - Accent3 4 5 2 2 3" xfId="26709"/>
    <cellStyle name="40% - Accent3 4 5 2 2 3 2" xfId="26710"/>
    <cellStyle name="40% - Accent3 4 5 2 2 3 2 2" xfId="26711"/>
    <cellStyle name="40% - Accent3 4 5 2 2 4" xfId="26712"/>
    <cellStyle name="40% - Accent3 4 5 2 2 4 2" xfId="26713"/>
    <cellStyle name="40% - Accent3 4 5 2 3" xfId="26714"/>
    <cellStyle name="40% - Accent3 4 5 2 3 2" xfId="26715"/>
    <cellStyle name="40% - Accent3 4 5 2 3 2 2" xfId="26716"/>
    <cellStyle name="40% - Accent3 4 5 2 3 2 2 2" xfId="26717"/>
    <cellStyle name="40% - Accent3 4 5 2 3 3" xfId="26718"/>
    <cellStyle name="40% - Accent3 4 5 2 3 3 2" xfId="26719"/>
    <cellStyle name="40% - Accent3 4 5 2 4" xfId="26720"/>
    <cellStyle name="40% - Accent3 4 5 2 4 2" xfId="26721"/>
    <cellStyle name="40% - Accent3 4 5 2 4 2 2" xfId="26722"/>
    <cellStyle name="40% - Accent3 4 5 2 5" xfId="26723"/>
    <cellStyle name="40% - Accent3 4 5 2 5 2" xfId="26724"/>
    <cellStyle name="40% - Accent3 4 5 3" xfId="26725"/>
    <cellStyle name="40% - Accent3 4 5 3 2" xfId="26726"/>
    <cellStyle name="40% - Accent3 4 5 3 2 2" xfId="26727"/>
    <cellStyle name="40% - Accent3 4 5 3 2 2 2" xfId="26728"/>
    <cellStyle name="40% - Accent3 4 5 3 2 2 2 2" xfId="26729"/>
    <cellStyle name="40% - Accent3 4 5 3 2 3" xfId="26730"/>
    <cellStyle name="40% - Accent3 4 5 3 2 3 2" xfId="26731"/>
    <cellStyle name="40% - Accent3 4 5 3 3" xfId="26732"/>
    <cellStyle name="40% - Accent3 4 5 3 3 2" xfId="26733"/>
    <cellStyle name="40% - Accent3 4 5 3 3 2 2" xfId="26734"/>
    <cellStyle name="40% - Accent3 4 5 3 4" xfId="26735"/>
    <cellStyle name="40% - Accent3 4 5 3 4 2" xfId="26736"/>
    <cellStyle name="40% - Accent3 4 5 4" xfId="26737"/>
    <cellStyle name="40% - Accent3 4 5 4 2" xfId="26738"/>
    <cellStyle name="40% - Accent3 4 5 4 2 2" xfId="26739"/>
    <cellStyle name="40% - Accent3 4 5 4 2 2 2" xfId="26740"/>
    <cellStyle name="40% - Accent3 4 5 4 3" xfId="26741"/>
    <cellStyle name="40% - Accent3 4 5 4 3 2" xfId="26742"/>
    <cellStyle name="40% - Accent3 4 5 5" xfId="26743"/>
    <cellStyle name="40% - Accent3 4 5 5 2" xfId="26744"/>
    <cellStyle name="40% - Accent3 4 5 5 2 2" xfId="26745"/>
    <cellStyle name="40% - Accent3 4 5 6" xfId="26746"/>
    <cellStyle name="40% - Accent3 4 5 6 2" xfId="26747"/>
    <cellStyle name="40% - Accent3 4 5 7" xfId="26748"/>
    <cellStyle name="40% - Accent3 4 6" xfId="26749"/>
    <cellStyle name="40% - Accent3 4 6 2" xfId="26750"/>
    <cellStyle name="40% - Accent3 4 6 2 2" xfId="26751"/>
    <cellStyle name="40% - Accent3 4 6 2 2 2" xfId="26752"/>
    <cellStyle name="40% - Accent3 4 6 2 2 2 2" xfId="26753"/>
    <cellStyle name="40% - Accent3 4 6 2 2 2 2 2" xfId="26754"/>
    <cellStyle name="40% - Accent3 4 6 2 2 2 2 2 2" xfId="26755"/>
    <cellStyle name="40% - Accent3 4 6 2 2 2 3" xfId="26756"/>
    <cellStyle name="40% - Accent3 4 6 2 2 2 3 2" xfId="26757"/>
    <cellStyle name="40% - Accent3 4 6 2 2 3" xfId="26758"/>
    <cellStyle name="40% - Accent3 4 6 2 2 3 2" xfId="26759"/>
    <cellStyle name="40% - Accent3 4 6 2 2 3 2 2" xfId="26760"/>
    <cellStyle name="40% - Accent3 4 6 2 2 4" xfId="26761"/>
    <cellStyle name="40% - Accent3 4 6 2 2 4 2" xfId="26762"/>
    <cellStyle name="40% - Accent3 4 6 2 3" xfId="26763"/>
    <cellStyle name="40% - Accent3 4 6 2 3 2" xfId="26764"/>
    <cellStyle name="40% - Accent3 4 6 2 3 2 2" xfId="26765"/>
    <cellStyle name="40% - Accent3 4 6 2 3 2 2 2" xfId="26766"/>
    <cellStyle name="40% - Accent3 4 6 2 3 3" xfId="26767"/>
    <cellStyle name="40% - Accent3 4 6 2 3 3 2" xfId="26768"/>
    <cellStyle name="40% - Accent3 4 6 2 4" xfId="26769"/>
    <cellStyle name="40% - Accent3 4 6 2 4 2" xfId="26770"/>
    <cellStyle name="40% - Accent3 4 6 2 4 2 2" xfId="26771"/>
    <cellStyle name="40% - Accent3 4 6 2 5" xfId="26772"/>
    <cellStyle name="40% - Accent3 4 6 2 5 2" xfId="26773"/>
    <cellStyle name="40% - Accent3 4 6 3" xfId="26774"/>
    <cellStyle name="40% - Accent3 4 6 3 2" xfId="26775"/>
    <cellStyle name="40% - Accent3 4 6 3 2 2" xfId="26776"/>
    <cellStyle name="40% - Accent3 4 6 3 2 2 2" xfId="26777"/>
    <cellStyle name="40% - Accent3 4 6 3 2 2 2 2" xfId="26778"/>
    <cellStyle name="40% - Accent3 4 6 3 2 3" xfId="26779"/>
    <cellStyle name="40% - Accent3 4 6 3 2 3 2" xfId="26780"/>
    <cellStyle name="40% - Accent3 4 6 3 3" xfId="26781"/>
    <cellStyle name="40% - Accent3 4 6 3 3 2" xfId="26782"/>
    <cellStyle name="40% - Accent3 4 6 3 3 2 2" xfId="26783"/>
    <cellStyle name="40% - Accent3 4 6 3 4" xfId="26784"/>
    <cellStyle name="40% - Accent3 4 6 3 4 2" xfId="26785"/>
    <cellStyle name="40% - Accent3 4 6 4" xfId="26786"/>
    <cellStyle name="40% - Accent3 4 6 4 2" xfId="26787"/>
    <cellStyle name="40% - Accent3 4 6 4 2 2" xfId="26788"/>
    <cellStyle name="40% - Accent3 4 6 4 2 2 2" xfId="26789"/>
    <cellStyle name="40% - Accent3 4 6 4 3" xfId="26790"/>
    <cellStyle name="40% - Accent3 4 6 4 3 2" xfId="26791"/>
    <cellStyle name="40% - Accent3 4 6 5" xfId="26792"/>
    <cellStyle name="40% - Accent3 4 6 5 2" xfId="26793"/>
    <cellStyle name="40% - Accent3 4 6 5 2 2" xfId="26794"/>
    <cellStyle name="40% - Accent3 4 6 6" xfId="26795"/>
    <cellStyle name="40% - Accent3 4 6 6 2" xfId="26796"/>
    <cellStyle name="40% - Accent3 4 6 7" xfId="26797"/>
    <cellStyle name="40% - Accent3 4 7" xfId="26798"/>
    <cellStyle name="40% - Accent3 4 7 2" xfId="26799"/>
    <cellStyle name="40% - Accent3 4 7 2 2" xfId="26800"/>
    <cellStyle name="40% - Accent3 4 7 2 2 2" xfId="26801"/>
    <cellStyle name="40% - Accent3 4 7 2 2 2 2" xfId="26802"/>
    <cellStyle name="40% - Accent3 4 7 2 2 2 2 2" xfId="26803"/>
    <cellStyle name="40% - Accent3 4 7 2 2 2 2 2 2" xfId="26804"/>
    <cellStyle name="40% - Accent3 4 7 2 2 2 3" xfId="26805"/>
    <cellStyle name="40% - Accent3 4 7 2 2 2 3 2" xfId="26806"/>
    <cellStyle name="40% - Accent3 4 7 2 2 3" xfId="26807"/>
    <cellStyle name="40% - Accent3 4 7 2 2 3 2" xfId="26808"/>
    <cellStyle name="40% - Accent3 4 7 2 2 3 2 2" xfId="26809"/>
    <cellStyle name="40% - Accent3 4 7 2 2 4" xfId="26810"/>
    <cellStyle name="40% - Accent3 4 7 2 2 4 2" xfId="26811"/>
    <cellStyle name="40% - Accent3 4 7 2 3" xfId="26812"/>
    <cellStyle name="40% - Accent3 4 7 2 3 2" xfId="26813"/>
    <cellStyle name="40% - Accent3 4 7 2 3 2 2" xfId="26814"/>
    <cellStyle name="40% - Accent3 4 7 2 3 2 2 2" xfId="26815"/>
    <cellStyle name="40% - Accent3 4 7 2 3 3" xfId="26816"/>
    <cellStyle name="40% - Accent3 4 7 2 3 3 2" xfId="26817"/>
    <cellStyle name="40% - Accent3 4 7 2 4" xfId="26818"/>
    <cellStyle name="40% - Accent3 4 7 2 4 2" xfId="26819"/>
    <cellStyle name="40% - Accent3 4 7 2 4 2 2" xfId="26820"/>
    <cellStyle name="40% - Accent3 4 7 2 5" xfId="26821"/>
    <cellStyle name="40% - Accent3 4 7 2 5 2" xfId="26822"/>
    <cellStyle name="40% - Accent3 4 7 3" xfId="26823"/>
    <cellStyle name="40% - Accent3 4 7 3 2" xfId="26824"/>
    <cellStyle name="40% - Accent3 4 7 3 2 2" xfId="26825"/>
    <cellStyle name="40% - Accent3 4 7 3 2 2 2" xfId="26826"/>
    <cellStyle name="40% - Accent3 4 7 3 2 2 2 2" xfId="26827"/>
    <cellStyle name="40% - Accent3 4 7 3 2 3" xfId="26828"/>
    <cellStyle name="40% - Accent3 4 7 3 2 3 2" xfId="26829"/>
    <cellStyle name="40% - Accent3 4 7 3 3" xfId="26830"/>
    <cellStyle name="40% - Accent3 4 7 3 3 2" xfId="26831"/>
    <cellStyle name="40% - Accent3 4 7 3 3 2 2" xfId="26832"/>
    <cellStyle name="40% - Accent3 4 7 3 4" xfId="26833"/>
    <cellStyle name="40% - Accent3 4 7 3 4 2" xfId="26834"/>
    <cellStyle name="40% - Accent3 4 7 4" xfId="26835"/>
    <cellStyle name="40% - Accent3 4 7 4 2" xfId="26836"/>
    <cellStyle name="40% - Accent3 4 7 4 2 2" xfId="26837"/>
    <cellStyle name="40% - Accent3 4 7 4 2 2 2" xfId="26838"/>
    <cellStyle name="40% - Accent3 4 7 4 3" xfId="26839"/>
    <cellStyle name="40% - Accent3 4 7 4 3 2" xfId="26840"/>
    <cellStyle name="40% - Accent3 4 7 5" xfId="26841"/>
    <cellStyle name="40% - Accent3 4 7 5 2" xfId="26842"/>
    <cellStyle name="40% - Accent3 4 7 5 2 2" xfId="26843"/>
    <cellStyle name="40% - Accent3 4 7 6" xfId="26844"/>
    <cellStyle name="40% - Accent3 4 7 6 2" xfId="26845"/>
    <cellStyle name="40% - Accent3 4 7 7" xfId="26846"/>
    <cellStyle name="40% - Accent3 4 8" xfId="26847"/>
    <cellStyle name="40% - Accent3 4 8 2" xfId="26848"/>
    <cellStyle name="40% - Accent3 4 8 2 2" xfId="26849"/>
    <cellStyle name="40% - Accent3 4 8 2 2 2" xfId="26850"/>
    <cellStyle name="40% - Accent3 4 8 2 2 2 2" xfId="26851"/>
    <cellStyle name="40% - Accent3 4 8 2 2 2 2 2" xfId="26852"/>
    <cellStyle name="40% - Accent3 4 8 2 2 2 2 2 2" xfId="26853"/>
    <cellStyle name="40% - Accent3 4 8 2 2 2 3" xfId="26854"/>
    <cellStyle name="40% - Accent3 4 8 2 2 2 3 2" xfId="26855"/>
    <cellStyle name="40% - Accent3 4 8 2 2 3" xfId="26856"/>
    <cellStyle name="40% - Accent3 4 8 2 2 3 2" xfId="26857"/>
    <cellStyle name="40% - Accent3 4 8 2 2 3 2 2" xfId="26858"/>
    <cellStyle name="40% - Accent3 4 8 2 2 4" xfId="26859"/>
    <cellStyle name="40% - Accent3 4 8 2 2 4 2" xfId="26860"/>
    <cellStyle name="40% - Accent3 4 8 2 3" xfId="26861"/>
    <cellStyle name="40% - Accent3 4 8 2 3 2" xfId="26862"/>
    <cellStyle name="40% - Accent3 4 8 2 3 2 2" xfId="26863"/>
    <cellStyle name="40% - Accent3 4 8 2 3 2 2 2" xfId="26864"/>
    <cellStyle name="40% - Accent3 4 8 2 3 3" xfId="26865"/>
    <cellStyle name="40% - Accent3 4 8 2 3 3 2" xfId="26866"/>
    <cellStyle name="40% - Accent3 4 8 2 4" xfId="26867"/>
    <cellStyle name="40% - Accent3 4 8 2 4 2" xfId="26868"/>
    <cellStyle name="40% - Accent3 4 8 2 4 2 2" xfId="26869"/>
    <cellStyle name="40% - Accent3 4 8 2 5" xfId="26870"/>
    <cellStyle name="40% - Accent3 4 8 2 5 2" xfId="26871"/>
    <cellStyle name="40% - Accent3 4 8 3" xfId="26872"/>
    <cellStyle name="40% - Accent3 4 8 3 2" xfId="26873"/>
    <cellStyle name="40% - Accent3 4 8 3 2 2" xfId="26874"/>
    <cellStyle name="40% - Accent3 4 8 3 2 2 2" xfId="26875"/>
    <cellStyle name="40% - Accent3 4 8 3 2 2 2 2" xfId="26876"/>
    <cellStyle name="40% - Accent3 4 8 3 2 3" xfId="26877"/>
    <cellStyle name="40% - Accent3 4 8 3 2 3 2" xfId="26878"/>
    <cellStyle name="40% - Accent3 4 8 3 3" xfId="26879"/>
    <cellStyle name="40% - Accent3 4 8 3 3 2" xfId="26880"/>
    <cellStyle name="40% - Accent3 4 8 3 3 2 2" xfId="26881"/>
    <cellStyle name="40% - Accent3 4 8 3 4" xfId="26882"/>
    <cellStyle name="40% - Accent3 4 8 3 4 2" xfId="26883"/>
    <cellStyle name="40% - Accent3 4 8 4" xfId="26884"/>
    <cellStyle name="40% - Accent3 4 8 4 2" xfId="26885"/>
    <cellStyle name="40% - Accent3 4 8 4 2 2" xfId="26886"/>
    <cellStyle name="40% - Accent3 4 8 4 2 2 2" xfId="26887"/>
    <cellStyle name="40% - Accent3 4 8 4 3" xfId="26888"/>
    <cellStyle name="40% - Accent3 4 8 4 3 2" xfId="26889"/>
    <cellStyle name="40% - Accent3 4 8 5" xfId="26890"/>
    <cellStyle name="40% - Accent3 4 8 5 2" xfId="26891"/>
    <cellStyle name="40% - Accent3 4 8 5 2 2" xfId="26892"/>
    <cellStyle name="40% - Accent3 4 8 6" xfId="26893"/>
    <cellStyle name="40% - Accent3 4 8 6 2" xfId="26894"/>
    <cellStyle name="40% - Accent3 4 8 7" xfId="26895"/>
    <cellStyle name="40% - Accent3 4 9" xfId="26896"/>
    <cellStyle name="40% - Accent3 4 9 2" xfId="26897"/>
    <cellStyle name="40% - Accent3 4 9 2 2" xfId="26898"/>
    <cellStyle name="40% - Accent3 4 9 2 2 2" xfId="26899"/>
    <cellStyle name="40% - Accent3 4 9 2 2 2 2" xfId="26900"/>
    <cellStyle name="40% - Accent3 4 9 2 2 2 2 2" xfId="26901"/>
    <cellStyle name="40% - Accent3 4 9 2 2 2 2 2 2" xfId="26902"/>
    <cellStyle name="40% - Accent3 4 9 2 2 2 3" xfId="26903"/>
    <cellStyle name="40% - Accent3 4 9 2 2 2 3 2" xfId="26904"/>
    <cellStyle name="40% - Accent3 4 9 2 2 3" xfId="26905"/>
    <cellStyle name="40% - Accent3 4 9 2 2 3 2" xfId="26906"/>
    <cellStyle name="40% - Accent3 4 9 2 2 3 2 2" xfId="26907"/>
    <cellStyle name="40% - Accent3 4 9 2 2 4" xfId="26908"/>
    <cellStyle name="40% - Accent3 4 9 2 2 4 2" xfId="26909"/>
    <cellStyle name="40% - Accent3 4 9 2 3" xfId="26910"/>
    <cellStyle name="40% - Accent3 4 9 2 3 2" xfId="26911"/>
    <cellStyle name="40% - Accent3 4 9 2 3 2 2" xfId="26912"/>
    <cellStyle name="40% - Accent3 4 9 2 3 2 2 2" xfId="26913"/>
    <cellStyle name="40% - Accent3 4 9 2 3 3" xfId="26914"/>
    <cellStyle name="40% - Accent3 4 9 2 3 3 2" xfId="26915"/>
    <cellStyle name="40% - Accent3 4 9 2 4" xfId="26916"/>
    <cellStyle name="40% - Accent3 4 9 2 4 2" xfId="26917"/>
    <cellStyle name="40% - Accent3 4 9 2 4 2 2" xfId="26918"/>
    <cellStyle name="40% - Accent3 4 9 2 5" xfId="26919"/>
    <cellStyle name="40% - Accent3 4 9 2 5 2" xfId="26920"/>
    <cellStyle name="40% - Accent3 4 9 3" xfId="26921"/>
    <cellStyle name="40% - Accent3 4 9 3 2" xfId="26922"/>
    <cellStyle name="40% - Accent3 4 9 3 2 2" xfId="26923"/>
    <cellStyle name="40% - Accent3 4 9 3 2 2 2" xfId="26924"/>
    <cellStyle name="40% - Accent3 4 9 3 2 2 2 2" xfId="26925"/>
    <cellStyle name="40% - Accent3 4 9 3 2 3" xfId="26926"/>
    <cellStyle name="40% - Accent3 4 9 3 2 3 2" xfId="26927"/>
    <cellStyle name="40% - Accent3 4 9 3 3" xfId="26928"/>
    <cellStyle name="40% - Accent3 4 9 3 3 2" xfId="26929"/>
    <cellStyle name="40% - Accent3 4 9 3 3 2 2" xfId="26930"/>
    <cellStyle name="40% - Accent3 4 9 3 4" xfId="26931"/>
    <cellStyle name="40% - Accent3 4 9 3 4 2" xfId="26932"/>
    <cellStyle name="40% - Accent3 4 9 4" xfId="26933"/>
    <cellStyle name="40% - Accent3 4 9 4 2" xfId="26934"/>
    <cellStyle name="40% - Accent3 4 9 4 2 2" xfId="26935"/>
    <cellStyle name="40% - Accent3 4 9 4 2 2 2" xfId="26936"/>
    <cellStyle name="40% - Accent3 4 9 4 3" xfId="26937"/>
    <cellStyle name="40% - Accent3 4 9 4 3 2" xfId="26938"/>
    <cellStyle name="40% - Accent3 4 9 5" xfId="26939"/>
    <cellStyle name="40% - Accent3 4 9 5 2" xfId="26940"/>
    <cellStyle name="40% - Accent3 4 9 5 2 2" xfId="26941"/>
    <cellStyle name="40% - Accent3 4 9 6" xfId="26942"/>
    <cellStyle name="40% - Accent3 4 9 6 2" xfId="26943"/>
    <cellStyle name="40% - Accent3 4 9 7" xfId="26944"/>
    <cellStyle name="40% - Accent3 4 9 8" xfId="26945"/>
    <cellStyle name="40% - Accent3 4 9 9" xfId="26946"/>
    <cellStyle name="40% - Accent3 40" xfId="26947"/>
    <cellStyle name="40% - Accent3 40 2" xfId="26948"/>
    <cellStyle name="40% - Accent3 40 2 2" xfId="26949"/>
    <cellStyle name="40% - Accent3 40 2 3" xfId="26950"/>
    <cellStyle name="40% - Accent3 40 2 4" xfId="26951"/>
    <cellStyle name="40% - Accent3 40 3" xfId="26952"/>
    <cellStyle name="40% - Accent3 40 3 2" xfId="26953"/>
    <cellStyle name="40% - Accent3 40 3 3" xfId="26954"/>
    <cellStyle name="40% - Accent3 40 4" xfId="26955"/>
    <cellStyle name="40% - Accent3 40 4 2" xfId="26956"/>
    <cellStyle name="40% - Accent3 40 5" xfId="26957"/>
    <cellStyle name="40% - Accent3 40 6" xfId="26958"/>
    <cellStyle name="40% - Accent3 40 7" xfId="26959"/>
    <cellStyle name="40% - Accent3 41" xfId="26960"/>
    <cellStyle name="40% - Accent3 41 2" xfId="26961"/>
    <cellStyle name="40% - Accent3 41 2 2" xfId="26962"/>
    <cellStyle name="40% - Accent3 41 2 3" xfId="26963"/>
    <cellStyle name="40% - Accent3 41 2 4" xfId="26964"/>
    <cellStyle name="40% - Accent3 41 3" xfId="26965"/>
    <cellStyle name="40% - Accent3 41 3 2" xfId="26966"/>
    <cellStyle name="40% - Accent3 41 3 3" xfId="26967"/>
    <cellStyle name="40% - Accent3 41 4" xfId="26968"/>
    <cellStyle name="40% - Accent3 41 4 2" xfId="26969"/>
    <cellStyle name="40% - Accent3 41 5" xfId="26970"/>
    <cellStyle name="40% - Accent3 41 6" xfId="26971"/>
    <cellStyle name="40% - Accent3 41 7" xfId="26972"/>
    <cellStyle name="40% - Accent3 42" xfId="26973"/>
    <cellStyle name="40% - Accent3 42 2" xfId="26974"/>
    <cellStyle name="40% - Accent3 42 2 2" xfId="26975"/>
    <cellStyle name="40% - Accent3 42 2 3" xfId="26976"/>
    <cellStyle name="40% - Accent3 42 2 4" xfId="26977"/>
    <cellStyle name="40% - Accent3 42 3" xfId="26978"/>
    <cellStyle name="40% - Accent3 42 3 2" xfId="26979"/>
    <cellStyle name="40% - Accent3 42 3 3" xfId="26980"/>
    <cellStyle name="40% - Accent3 42 4" xfId="26981"/>
    <cellStyle name="40% - Accent3 42 4 2" xfId="26982"/>
    <cellStyle name="40% - Accent3 42 5" xfId="26983"/>
    <cellStyle name="40% - Accent3 42 6" xfId="26984"/>
    <cellStyle name="40% - Accent3 42 7" xfId="26985"/>
    <cellStyle name="40% - Accent3 43" xfId="26986"/>
    <cellStyle name="40% - Accent3 43 2" xfId="26987"/>
    <cellStyle name="40% - Accent3 43 2 2" xfId="26988"/>
    <cellStyle name="40% - Accent3 43 2 3" xfId="26989"/>
    <cellStyle name="40% - Accent3 43 2 4" xfId="26990"/>
    <cellStyle name="40% - Accent3 43 3" xfId="26991"/>
    <cellStyle name="40% - Accent3 43 3 2" xfId="26992"/>
    <cellStyle name="40% - Accent3 43 3 3" xfId="26993"/>
    <cellStyle name="40% - Accent3 43 4" xfId="26994"/>
    <cellStyle name="40% - Accent3 43 4 2" xfId="26995"/>
    <cellStyle name="40% - Accent3 43 5" xfId="26996"/>
    <cellStyle name="40% - Accent3 43 6" xfId="26997"/>
    <cellStyle name="40% - Accent3 43 7" xfId="26998"/>
    <cellStyle name="40% - Accent3 44" xfId="26999"/>
    <cellStyle name="40% - Accent3 44 2" xfId="27000"/>
    <cellStyle name="40% - Accent3 44 2 2" xfId="27001"/>
    <cellStyle name="40% - Accent3 44 2 3" xfId="27002"/>
    <cellStyle name="40% - Accent3 44 2 4" xfId="27003"/>
    <cellStyle name="40% - Accent3 44 3" xfId="27004"/>
    <cellStyle name="40% - Accent3 44 3 2" xfId="27005"/>
    <cellStyle name="40% - Accent3 44 3 3" xfId="27006"/>
    <cellStyle name="40% - Accent3 44 4" xfId="27007"/>
    <cellStyle name="40% - Accent3 44 4 2" xfId="27008"/>
    <cellStyle name="40% - Accent3 44 5" xfId="27009"/>
    <cellStyle name="40% - Accent3 44 6" xfId="27010"/>
    <cellStyle name="40% - Accent3 44 7" xfId="27011"/>
    <cellStyle name="40% - Accent3 45" xfId="27012"/>
    <cellStyle name="40% - Accent3 45 2" xfId="27013"/>
    <cellStyle name="40% - Accent3 45 2 2" xfId="27014"/>
    <cellStyle name="40% - Accent3 45 2 3" xfId="27015"/>
    <cellStyle name="40% - Accent3 45 2 4" xfId="27016"/>
    <cellStyle name="40% - Accent3 45 3" xfId="27017"/>
    <cellStyle name="40% - Accent3 45 3 2" xfId="27018"/>
    <cellStyle name="40% - Accent3 45 3 3" xfId="27019"/>
    <cellStyle name="40% - Accent3 45 4" xfId="27020"/>
    <cellStyle name="40% - Accent3 45 4 2" xfId="27021"/>
    <cellStyle name="40% - Accent3 45 5" xfId="27022"/>
    <cellStyle name="40% - Accent3 45 6" xfId="27023"/>
    <cellStyle name="40% - Accent3 45 7" xfId="27024"/>
    <cellStyle name="40% - Accent3 46" xfId="27025"/>
    <cellStyle name="40% - Accent3 46 2" xfId="27026"/>
    <cellStyle name="40% - Accent3 46 2 2" xfId="27027"/>
    <cellStyle name="40% - Accent3 46 2 3" xfId="27028"/>
    <cellStyle name="40% - Accent3 46 2 4" xfId="27029"/>
    <cellStyle name="40% - Accent3 46 3" xfId="27030"/>
    <cellStyle name="40% - Accent3 46 3 2" xfId="27031"/>
    <cellStyle name="40% - Accent3 46 3 3" xfId="27032"/>
    <cellStyle name="40% - Accent3 46 4" xfId="27033"/>
    <cellStyle name="40% - Accent3 46 4 2" xfId="27034"/>
    <cellStyle name="40% - Accent3 46 5" xfId="27035"/>
    <cellStyle name="40% - Accent3 46 6" xfId="27036"/>
    <cellStyle name="40% - Accent3 46 7" xfId="27037"/>
    <cellStyle name="40% - Accent3 47" xfId="27038"/>
    <cellStyle name="40% - Accent3 47 2" xfId="27039"/>
    <cellStyle name="40% - Accent3 47 2 2" xfId="27040"/>
    <cellStyle name="40% - Accent3 47 2 3" xfId="27041"/>
    <cellStyle name="40% - Accent3 47 2 4" xfId="27042"/>
    <cellStyle name="40% - Accent3 47 3" xfId="27043"/>
    <cellStyle name="40% - Accent3 47 3 2" xfId="27044"/>
    <cellStyle name="40% - Accent3 47 3 3" xfId="27045"/>
    <cellStyle name="40% - Accent3 47 4" xfId="27046"/>
    <cellStyle name="40% - Accent3 47 4 2" xfId="27047"/>
    <cellStyle name="40% - Accent3 47 5" xfId="27048"/>
    <cellStyle name="40% - Accent3 47 6" xfId="27049"/>
    <cellStyle name="40% - Accent3 47 7" xfId="27050"/>
    <cellStyle name="40% - Accent3 48" xfId="27051"/>
    <cellStyle name="40% - Accent3 48 2" xfId="27052"/>
    <cellStyle name="40% - Accent3 48 2 2" xfId="27053"/>
    <cellStyle name="40% - Accent3 48 2 3" xfId="27054"/>
    <cellStyle name="40% - Accent3 48 2 4" xfId="27055"/>
    <cellStyle name="40% - Accent3 48 3" xfId="27056"/>
    <cellStyle name="40% - Accent3 48 3 2" xfId="27057"/>
    <cellStyle name="40% - Accent3 48 3 3" xfId="27058"/>
    <cellStyle name="40% - Accent3 48 4" xfId="27059"/>
    <cellStyle name="40% - Accent3 48 4 2" xfId="27060"/>
    <cellStyle name="40% - Accent3 48 5" xfId="27061"/>
    <cellStyle name="40% - Accent3 48 6" xfId="27062"/>
    <cellStyle name="40% - Accent3 48 7" xfId="27063"/>
    <cellStyle name="40% - Accent3 49" xfId="27064"/>
    <cellStyle name="40% - Accent3 49 2" xfId="27065"/>
    <cellStyle name="40% - Accent3 49 2 2" xfId="27066"/>
    <cellStyle name="40% - Accent3 49 2 3" xfId="27067"/>
    <cellStyle name="40% - Accent3 49 2 4" xfId="27068"/>
    <cellStyle name="40% - Accent3 49 3" xfId="27069"/>
    <cellStyle name="40% - Accent3 49 3 2" xfId="27070"/>
    <cellStyle name="40% - Accent3 49 3 3" xfId="27071"/>
    <cellStyle name="40% - Accent3 49 4" xfId="27072"/>
    <cellStyle name="40% - Accent3 49 4 2" xfId="27073"/>
    <cellStyle name="40% - Accent3 49 5" xfId="27074"/>
    <cellStyle name="40% - Accent3 49 6" xfId="27075"/>
    <cellStyle name="40% - Accent3 49 7" xfId="27076"/>
    <cellStyle name="40% - Accent3 5" xfId="27077"/>
    <cellStyle name="40% - Accent3 5 2" xfId="27078"/>
    <cellStyle name="40% - Accent3 5 3" xfId="27079"/>
    <cellStyle name="40% - Accent3 5 4" xfId="27080"/>
    <cellStyle name="40% - Accent3 5 5" xfId="27081"/>
    <cellStyle name="40% - Accent3 5 6" xfId="27082"/>
    <cellStyle name="40% - Accent3 5 7" xfId="27083"/>
    <cellStyle name="40% - Accent3 5 8" xfId="27084"/>
    <cellStyle name="40% - Accent3 50" xfId="27085"/>
    <cellStyle name="40% - Accent3 50 2" xfId="27086"/>
    <cellStyle name="40% - Accent3 50 2 2" xfId="27087"/>
    <cellStyle name="40% - Accent3 50 2 3" xfId="27088"/>
    <cellStyle name="40% - Accent3 50 2 4" xfId="27089"/>
    <cellStyle name="40% - Accent3 50 3" xfId="27090"/>
    <cellStyle name="40% - Accent3 50 3 2" xfId="27091"/>
    <cellStyle name="40% - Accent3 50 3 3" xfId="27092"/>
    <cellStyle name="40% - Accent3 50 4" xfId="27093"/>
    <cellStyle name="40% - Accent3 50 4 2" xfId="27094"/>
    <cellStyle name="40% - Accent3 50 5" xfId="27095"/>
    <cellStyle name="40% - Accent3 50 6" xfId="27096"/>
    <cellStyle name="40% - Accent3 50 7" xfId="27097"/>
    <cellStyle name="40% - Accent3 51" xfId="27098"/>
    <cellStyle name="40% - Accent3 51 2" xfId="27099"/>
    <cellStyle name="40% - Accent3 51 2 2" xfId="27100"/>
    <cellStyle name="40% - Accent3 51 2 3" xfId="27101"/>
    <cellStyle name="40% - Accent3 51 2 4" xfId="27102"/>
    <cellStyle name="40% - Accent3 51 3" xfId="27103"/>
    <cellStyle name="40% - Accent3 51 3 2" xfId="27104"/>
    <cellStyle name="40% - Accent3 51 3 3" xfId="27105"/>
    <cellStyle name="40% - Accent3 51 4" xfId="27106"/>
    <cellStyle name="40% - Accent3 51 4 2" xfId="27107"/>
    <cellStyle name="40% - Accent3 51 5" xfId="27108"/>
    <cellStyle name="40% - Accent3 51 6" xfId="27109"/>
    <cellStyle name="40% - Accent3 51 7" xfId="27110"/>
    <cellStyle name="40% - Accent3 52" xfId="27111"/>
    <cellStyle name="40% - Accent3 52 2" xfId="27112"/>
    <cellStyle name="40% - Accent3 52 2 2" xfId="27113"/>
    <cellStyle name="40% - Accent3 52 2 3" xfId="27114"/>
    <cellStyle name="40% - Accent3 52 2 4" xfId="27115"/>
    <cellStyle name="40% - Accent3 52 3" xfId="27116"/>
    <cellStyle name="40% - Accent3 52 3 2" xfId="27117"/>
    <cellStyle name="40% - Accent3 52 3 3" xfId="27118"/>
    <cellStyle name="40% - Accent3 52 4" xfId="27119"/>
    <cellStyle name="40% - Accent3 52 4 2" xfId="27120"/>
    <cellStyle name="40% - Accent3 52 5" xfId="27121"/>
    <cellStyle name="40% - Accent3 52 6" xfId="27122"/>
    <cellStyle name="40% - Accent3 52 7" xfId="27123"/>
    <cellStyle name="40% - Accent3 53" xfId="27124"/>
    <cellStyle name="40% - Accent3 53 2" xfId="27125"/>
    <cellStyle name="40% - Accent3 53 2 2" xfId="27126"/>
    <cellStyle name="40% - Accent3 53 2 3" xfId="27127"/>
    <cellStyle name="40% - Accent3 53 2 4" xfId="27128"/>
    <cellStyle name="40% - Accent3 53 3" xfId="27129"/>
    <cellStyle name="40% - Accent3 53 3 2" xfId="27130"/>
    <cellStyle name="40% - Accent3 53 3 3" xfId="27131"/>
    <cellStyle name="40% - Accent3 53 4" xfId="27132"/>
    <cellStyle name="40% - Accent3 53 4 2" xfId="27133"/>
    <cellStyle name="40% - Accent3 53 5" xfId="27134"/>
    <cellStyle name="40% - Accent3 53 6" xfId="27135"/>
    <cellStyle name="40% - Accent3 53 7" xfId="27136"/>
    <cellStyle name="40% - Accent3 54" xfId="27137"/>
    <cellStyle name="40% - Accent3 54 2" xfId="27138"/>
    <cellStyle name="40% - Accent3 54 2 2" xfId="27139"/>
    <cellStyle name="40% - Accent3 54 2 3" xfId="27140"/>
    <cellStyle name="40% - Accent3 54 2 4" xfId="27141"/>
    <cellStyle name="40% - Accent3 54 3" xfId="27142"/>
    <cellStyle name="40% - Accent3 54 3 2" xfId="27143"/>
    <cellStyle name="40% - Accent3 54 3 3" xfId="27144"/>
    <cellStyle name="40% - Accent3 54 4" xfId="27145"/>
    <cellStyle name="40% - Accent3 54 4 2" xfId="27146"/>
    <cellStyle name="40% - Accent3 54 5" xfId="27147"/>
    <cellStyle name="40% - Accent3 54 6" xfId="27148"/>
    <cellStyle name="40% - Accent3 54 7" xfId="27149"/>
    <cellStyle name="40% - Accent3 55" xfId="27150"/>
    <cellStyle name="40% - Accent3 55 2" xfId="27151"/>
    <cellStyle name="40% - Accent3 55 2 2" xfId="27152"/>
    <cellStyle name="40% - Accent3 55 2 3" xfId="27153"/>
    <cellStyle name="40% - Accent3 55 2 4" xfId="27154"/>
    <cellStyle name="40% - Accent3 55 3" xfId="27155"/>
    <cellStyle name="40% - Accent3 55 3 2" xfId="27156"/>
    <cellStyle name="40% - Accent3 55 3 3" xfId="27157"/>
    <cellStyle name="40% - Accent3 55 4" xfId="27158"/>
    <cellStyle name="40% - Accent3 55 4 2" xfId="27159"/>
    <cellStyle name="40% - Accent3 55 5" xfId="27160"/>
    <cellStyle name="40% - Accent3 55 6" xfId="27161"/>
    <cellStyle name="40% - Accent3 55 7" xfId="27162"/>
    <cellStyle name="40% - Accent3 56" xfId="27163"/>
    <cellStyle name="40% - Accent3 56 2" xfId="27164"/>
    <cellStyle name="40% - Accent3 56 2 2" xfId="27165"/>
    <cellStyle name="40% - Accent3 56 2 3" xfId="27166"/>
    <cellStyle name="40% - Accent3 56 2 4" xfId="27167"/>
    <cellStyle name="40% - Accent3 56 3" xfId="27168"/>
    <cellStyle name="40% - Accent3 56 3 2" xfId="27169"/>
    <cellStyle name="40% - Accent3 56 3 3" xfId="27170"/>
    <cellStyle name="40% - Accent3 56 4" xfId="27171"/>
    <cellStyle name="40% - Accent3 56 4 2" xfId="27172"/>
    <cellStyle name="40% - Accent3 56 5" xfId="27173"/>
    <cellStyle name="40% - Accent3 56 6" xfId="27174"/>
    <cellStyle name="40% - Accent3 56 7" xfId="27175"/>
    <cellStyle name="40% - Accent3 57" xfId="27176"/>
    <cellStyle name="40% - Accent3 57 2" xfId="27177"/>
    <cellStyle name="40% - Accent3 57 2 2" xfId="27178"/>
    <cellStyle name="40% - Accent3 57 2 3" xfId="27179"/>
    <cellStyle name="40% - Accent3 57 2 4" xfId="27180"/>
    <cellStyle name="40% - Accent3 57 3" xfId="27181"/>
    <cellStyle name="40% - Accent3 57 3 2" xfId="27182"/>
    <cellStyle name="40% - Accent3 57 3 3" xfId="27183"/>
    <cellStyle name="40% - Accent3 57 4" xfId="27184"/>
    <cellStyle name="40% - Accent3 57 4 2" xfId="27185"/>
    <cellStyle name="40% - Accent3 57 5" xfId="27186"/>
    <cellStyle name="40% - Accent3 57 6" xfId="27187"/>
    <cellStyle name="40% - Accent3 57 7" xfId="27188"/>
    <cellStyle name="40% - Accent3 58" xfId="27189"/>
    <cellStyle name="40% - Accent3 59" xfId="27190"/>
    <cellStyle name="40% - Accent3 6" xfId="27191"/>
    <cellStyle name="40% - Accent3 6 10" xfId="27192"/>
    <cellStyle name="40% - Accent3 6 10 2" xfId="27193"/>
    <cellStyle name="40% - Accent3 6 10 3" xfId="27194"/>
    <cellStyle name="40% - Accent3 6 11" xfId="27195"/>
    <cellStyle name="40% - Accent3 6 11 2" xfId="27196"/>
    <cellStyle name="40% - Accent3 6 12" xfId="27197"/>
    <cellStyle name="40% - Accent3 6 13" xfId="27198"/>
    <cellStyle name="40% - Accent3 6 14" xfId="27199"/>
    <cellStyle name="40% - Accent3 6 2" xfId="27200"/>
    <cellStyle name="40% - Accent3 6 3" xfId="27201"/>
    <cellStyle name="40% - Accent3 6 4" xfId="27202"/>
    <cellStyle name="40% - Accent3 6 5" xfId="27203"/>
    <cellStyle name="40% - Accent3 6 6" xfId="27204"/>
    <cellStyle name="40% - Accent3 6 7" xfId="27205"/>
    <cellStyle name="40% - Accent3 6 8" xfId="27206"/>
    <cellStyle name="40% - Accent3 6 9" xfId="27207"/>
    <cellStyle name="40% - Accent3 6 9 2" xfId="27208"/>
    <cellStyle name="40% - Accent3 6 9 3" xfId="27209"/>
    <cellStyle name="40% - Accent3 6 9 4" xfId="27210"/>
    <cellStyle name="40% - Accent3 60" xfId="27211"/>
    <cellStyle name="40% - Accent3 61" xfId="27212"/>
    <cellStyle name="40% - Accent3 62" xfId="27213"/>
    <cellStyle name="40% - Accent3 63" xfId="27214"/>
    <cellStyle name="40% - Accent3 64" xfId="27215"/>
    <cellStyle name="40% - Accent3 65" xfId="27216"/>
    <cellStyle name="40% - Accent3 65 2" xfId="27217"/>
    <cellStyle name="40% - Accent3 65 2 2" xfId="27218"/>
    <cellStyle name="40% - Accent3 65 2 3" xfId="27219"/>
    <cellStyle name="40% - Accent3 65 2 4" xfId="27220"/>
    <cellStyle name="40% - Accent3 65 3" xfId="27221"/>
    <cellStyle name="40% - Accent3 65 3 2" xfId="27222"/>
    <cellStyle name="40% - Accent3 65 3 3" xfId="27223"/>
    <cellStyle name="40% - Accent3 65 4" xfId="27224"/>
    <cellStyle name="40% - Accent3 65 4 2" xfId="27225"/>
    <cellStyle name="40% - Accent3 65 5" xfId="27226"/>
    <cellStyle name="40% - Accent3 65 6" xfId="27227"/>
    <cellStyle name="40% - Accent3 65 7" xfId="27228"/>
    <cellStyle name="40% - Accent3 66" xfId="27229"/>
    <cellStyle name="40% - Accent3 66 2" xfId="27230"/>
    <cellStyle name="40% - Accent3 66 2 2" xfId="27231"/>
    <cellStyle name="40% - Accent3 66 2 3" xfId="27232"/>
    <cellStyle name="40% - Accent3 66 2 4" xfId="27233"/>
    <cellStyle name="40% - Accent3 66 3" xfId="27234"/>
    <cellStyle name="40% - Accent3 66 3 2" xfId="27235"/>
    <cellStyle name="40% - Accent3 66 3 3" xfId="27236"/>
    <cellStyle name="40% - Accent3 66 4" xfId="27237"/>
    <cellStyle name="40% - Accent3 66 4 2" xfId="27238"/>
    <cellStyle name="40% - Accent3 66 5" xfId="27239"/>
    <cellStyle name="40% - Accent3 66 6" xfId="27240"/>
    <cellStyle name="40% - Accent3 66 7" xfId="27241"/>
    <cellStyle name="40% - Accent3 67" xfId="27242"/>
    <cellStyle name="40% - Accent3 67 2" xfId="27243"/>
    <cellStyle name="40% - Accent3 67 2 2" xfId="27244"/>
    <cellStyle name="40% - Accent3 67 2 3" xfId="27245"/>
    <cellStyle name="40% - Accent3 67 2 4" xfId="27246"/>
    <cellStyle name="40% - Accent3 67 3" xfId="27247"/>
    <cellStyle name="40% - Accent3 67 3 2" xfId="27248"/>
    <cellStyle name="40% - Accent3 67 3 3" xfId="27249"/>
    <cellStyle name="40% - Accent3 67 4" xfId="27250"/>
    <cellStyle name="40% - Accent3 67 4 2" xfId="27251"/>
    <cellStyle name="40% - Accent3 67 5" xfId="27252"/>
    <cellStyle name="40% - Accent3 67 6" xfId="27253"/>
    <cellStyle name="40% - Accent3 67 7" xfId="27254"/>
    <cellStyle name="40% - Accent3 68" xfId="27255"/>
    <cellStyle name="40% - Accent3 68 2" xfId="27256"/>
    <cellStyle name="40% - Accent3 68 2 2" xfId="27257"/>
    <cellStyle name="40% - Accent3 68 2 3" xfId="27258"/>
    <cellStyle name="40% - Accent3 68 2 4" xfId="27259"/>
    <cellStyle name="40% - Accent3 68 3" xfId="27260"/>
    <cellStyle name="40% - Accent3 68 3 2" xfId="27261"/>
    <cellStyle name="40% - Accent3 68 3 3" xfId="27262"/>
    <cellStyle name="40% - Accent3 68 4" xfId="27263"/>
    <cellStyle name="40% - Accent3 68 4 2" xfId="27264"/>
    <cellStyle name="40% - Accent3 68 5" xfId="27265"/>
    <cellStyle name="40% - Accent3 68 6" xfId="27266"/>
    <cellStyle name="40% - Accent3 68 7" xfId="27267"/>
    <cellStyle name="40% - Accent3 69" xfId="27268"/>
    <cellStyle name="40% - Accent3 69 2" xfId="27269"/>
    <cellStyle name="40% - Accent3 69 2 2" xfId="27270"/>
    <cellStyle name="40% - Accent3 69 2 3" xfId="27271"/>
    <cellStyle name="40% - Accent3 69 2 4" xfId="27272"/>
    <cellStyle name="40% - Accent3 69 3" xfId="27273"/>
    <cellStyle name="40% - Accent3 69 3 2" xfId="27274"/>
    <cellStyle name="40% - Accent3 69 3 3" xfId="27275"/>
    <cellStyle name="40% - Accent3 69 4" xfId="27276"/>
    <cellStyle name="40% - Accent3 69 4 2" xfId="27277"/>
    <cellStyle name="40% - Accent3 69 5" xfId="27278"/>
    <cellStyle name="40% - Accent3 69 6" xfId="27279"/>
    <cellStyle name="40% - Accent3 69 7" xfId="27280"/>
    <cellStyle name="40% - Accent3 7" xfId="27281"/>
    <cellStyle name="40% - Accent3 7 2" xfId="27282"/>
    <cellStyle name="40% - Accent3 7 3" xfId="27283"/>
    <cellStyle name="40% - Accent3 7 3 2" xfId="27284"/>
    <cellStyle name="40% - Accent3 7 3 3" xfId="27285"/>
    <cellStyle name="40% - Accent3 7 3 4" xfId="27286"/>
    <cellStyle name="40% - Accent3 7 4" xfId="27287"/>
    <cellStyle name="40% - Accent3 7 4 2" xfId="27288"/>
    <cellStyle name="40% - Accent3 7 4 3" xfId="27289"/>
    <cellStyle name="40% - Accent3 7 5" xfId="27290"/>
    <cellStyle name="40% - Accent3 7 5 2" xfId="27291"/>
    <cellStyle name="40% - Accent3 7 6" xfId="27292"/>
    <cellStyle name="40% - Accent3 7 7" xfId="27293"/>
    <cellStyle name="40% - Accent3 7 8" xfId="27294"/>
    <cellStyle name="40% - Accent3 70" xfId="27295"/>
    <cellStyle name="40% - Accent3 70 2" xfId="27296"/>
    <cellStyle name="40% - Accent3 70 2 2" xfId="27297"/>
    <cellStyle name="40% - Accent3 70 2 3" xfId="27298"/>
    <cellStyle name="40% - Accent3 70 2 4" xfId="27299"/>
    <cellStyle name="40% - Accent3 70 3" xfId="27300"/>
    <cellStyle name="40% - Accent3 70 3 2" xfId="27301"/>
    <cellStyle name="40% - Accent3 70 3 3" xfId="27302"/>
    <cellStyle name="40% - Accent3 70 4" xfId="27303"/>
    <cellStyle name="40% - Accent3 70 4 2" xfId="27304"/>
    <cellStyle name="40% - Accent3 70 5" xfId="27305"/>
    <cellStyle name="40% - Accent3 70 6" xfId="27306"/>
    <cellStyle name="40% - Accent3 70 7" xfId="27307"/>
    <cellStyle name="40% - Accent3 71" xfId="27308"/>
    <cellStyle name="40% - Accent3 71 2" xfId="27309"/>
    <cellStyle name="40% - Accent3 71 2 2" xfId="27310"/>
    <cellStyle name="40% - Accent3 71 2 3" xfId="27311"/>
    <cellStyle name="40% - Accent3 71 2 4" xfId="27312"/>
    <cellStyle name="40% - Accent3 71 3" xfId="27313"/>
    <cellStyle name="40% - Accent3 71 3 2" xfId="27314"/>
    <cellStyle name="40% - Accent3 71 3 3" xfId="27315"/>
    <cellStyle name="40% - Accent3 71 4" xfId="27316"/>
    <cellStyle name="40% - Accent3 71 4 2" xfId="27317"/>
    <cellStyle name="40% - Accent3 71 5" xfId="27318"/>
    <cellStyle name="40% - Accent3 71 6" xfId="27319"/>
    <cellStyle name="40% - Accent3 71 7" xfId="27320"/>
    <cellStyle name="40% - Accent3 72" xfId="27321"/>
    <cellStyle name="40% - Accent3 72 2" xfId="27322"/>
    <cellStyle name="40% - Accent3 72 2 2" xfId="27323"/>
    <cellStyle name="40% - Accent3 72 2 3" xfId="27324"/>
    <cellStyle name="40% - Accent3 72 2 4" xfId="27325"/>
    <cellStyle name="40% - Accent3 72 3" xfId="27326"/>
    <cellStyle name="40% - Accent3 72 3 2" xfId="27327"/>
    <cellStyle name="40% - Accent3 72 3 3" xfId="27328"/>
    <cellStyle name="40% - Accent3 72 4" xfId="27329"/>
    <cellStyle name="40% - Accent3 72 4 2" xfId="27330"/>
    <cellStyle name="40% - Accent3 72 5" xfId="27331"/>
    <cellStyle name="40% - Accent3 72 6" xfId="27332"/>
    <cellStyle name="40% - Accent3 72 7" xfId="27333"/>
    <cellStyle name="40% - Accent3 73" xfId="27334"/>
    <cellStyle name="40% - Accent3 73 2" xfId="27335"/>
    <cellStyle name="40% - Accent3 73 2 2" xfId="27336"/>
    <cellStyle name="40% - Accent3 73 2 3" xfId="27337"/>
    <cellStyle name="40% - Accent3 73 2 4" xfId="27338"/>
    <cellStyle name="40% - Accent3 73 3" xfId="27339"/>
    <cellStyle name="40% - Accent3 73 3 2" xfId="27340"/>
    <cellStyle name="40% - Accent3 73 3 3" xfId="27341"/>
    <cellStyle name="40% - Accent3 73 4" xfId="27342"/>
    <cellStyle name="40% - Accent3 73 4 2" xfId="27343"/>
    <cellStyle name="40% - Accent3 73 5" xfId="27344"/>
    <cellStyle name="40% - Accent3 73 6" xfId="27345"/>
    <cellStyle name="40% - Accent3 73 7" xfId="27346"/>
    <cellStyle name="40% - Accent3 74" xfId="27347"/>
    <cellStyle name="40% - Accent3 74 2" xfId="27348"/>
    <cellStyle name="40% - Accent3 74 2 2" xfId="27349"/>
    <cellStyle name="40% - Accent3 74 2 3" xfId="27350"/>
    <cellStyle name="40% - Accent3 74 2 4" xfId="27351"/>
    <cellStyle name="40% - Accent3 74 3" xfId="27352"/>
    <cellStyle name="40% - Accent3 74 3 2" xfId="27353"/>
    <cellStyle name="40% - Accent3 74 3 3" xfId="27354"/>
    <cellStyle name="40% - Accent3 74 4" xfId="27355"/>
    <cellStyle name="40% - Accent3 74 4 2" xfId="27356"/>
    <cellStyle name="40% - Accent3 74 5" xfId="27357"/>
    <cellStyle name="40% - Accent3 74 6" xfId="27358"/>
    <cellStyle name="40% - Accent3 74 7" xfId="27359"/>
    <cellStyle name="40% - Accent3 75" xfId="27360"/>
    <cellStyle name="40% - Accent3 75 2" xfId="27361"/>
    <cellStyle name="40% - Accent3 75 2 2" xfId="27362"/>
    <cellStyle name="40% - Accent3 75 2 3" xfId="27363"/>
    <cellStyle name="40% - Accent3 75 2 4" xfId="27364"/>
    <cellStyle name="40% - Accent3 75 3" xfId="27365"/>
    <cellStyle name="40% - Accent3 75 3 2" xfId="27366"/>
    <cellStyle name="40% - Accent3 75 3 3" xfId="27367"/>
    <cellStyle name="40% - Accent3 75 4" xfId="27368"/>
    <cellStyle name="40% - Accent3 75 4 2" xfId="27369"/>
    <cellStyle name="40% - Accent3 75 5" xfId="27370"/>
    <cellStyle name="40% - Accent3 75 6" xfId="27371"/>
    <cellStyle name="40% - Accent3 75 7" xfId="27372"/>
    <cellStyle name="40% - Accent3 76" xfId="27373"/>
    <cellStyle name="40% - Accent3 76 2" xfId="27374"/>
    <cellStyle name="40% - Accent3 76 2 2" xfId="27375"/>
    <cellStyle name="40% - Accent3 76 2 3" xfId="27376"/>
    <cellStyle name="40% - Accent3 76 2 4" xfId="27377"/>
    <cellStyle name="40% - Accent3 76 3" xfId="27378"/>
    <cellStyle name="40% - Accent3 76 3 2" xfId="27379"/>
    <cellStyle name="40% - Accent3 76 3 3" xfId="27380"/>
    <cellStyle name="40% - Accent3 76 4" xfId="27381"/>
    <cellStyle name="40% - Accent3 76 4 2" xfId="27382"/>
    <cellStyle name="40% - Accent3 76 5" xfId="27383"/>
    <cellStyle name="40% - Accent3 76 6" xfId="27384"/>
    <cellStyle name="40% - Accent3 76 7" xfId="27385"/>
    <cellStyle name="40% - Accent3 77" xfId="27386"/>
    <cellStyle name="40% - Accent3 77 2" xfId="27387"/>
    <cellStyle name="40% - Accent3 77 2 2" xfId="27388"/>
    <cellStyle name="40% - Accent3 77 2 3" xfId="27389"/>
    <cellStyle name="40% - Accent3 77 2 4" xfId="27390"/>
    <cellStyle name="40% - Accent3 77 3" xfId="27391"/>
    <cellStyle name="40% - Accent3 77 3 2" xfId="27392"/>
    <cellStyle name="40% - Accent3 77 3 3" xfId="27393"/>
    <cellStyle name="40% - Accent3 77 4" xfId="27394"/>
    <cellStyle name="40% - Accent3 77 4 2" xfId="27395"/>
    <cellStyle name="40% - Accent3 77 5" xfId="27396"/>
    <cellStyle name="40% - Accent3 77 6" xfId="27397"/>
    <cellStyle name="40% - Accent3 77 7" xfId="27398"/>
    <cellStyle name="40% - Accent3 78" xfId="27399"/>
    <cellStyle name="40% - Accent3 79" xfId="27400"/>
    <cellStyle name="40% - Accent3 79 2" xfId="27401"/>
    <cellStyle name="40% - Accent3 79 3" xfId="27402"/>
    <cellStyle name="40% - Accent3 8" xfId="27403"/>
    <cellStyle name="40% - Accent3 8 10" xfId="27404"/>
    <cellStyle name="40% - Accent3 8 11" xfId="27405"/>
    <cellStyle name="40% - Accent3 8 2" xfId="27406"/>
    <cellStyle name="40% - Accent3 8 2 10" xfId="27407"/>
    <cellStyle name="40% - Accent3 8 2 2" xfId="27408"/>
    <cellStyle name="40% - Accent3 8 2 2 2" xfId="27409"/>
    <cellStyle name="40% - Accent3 8 2 2 2 2" xfId="27410"/>
    <cellStyle name="40% - Accent3 8 2 2 2 3" xfId="27411"/>
    <cellStyle name="40% - Accent3 8 2 2 2 4" xfId="27412"/>
    <cellStyle name="40% - Accent3 8 2 2 3" xfId="27413"/>
    <cellStyle name="40% - Accent3 8 2 2 3 2" xfId="27414"/>
    <cellStyle name="40% - Accent3 8 2 2 3 3" xfId="27415"/>
    <cellStyle name="40% - Accent3 8 2 2 4" xfId="27416"/>
    <cellStyle name="40% - Accent3 8 2 2 4 2" xfId="27417"/>
    <cellStyle name="40% - Accent3 8 2 2 5" xfId="27418"/>
    <cellStyle name="40% - Accent3 8 2 2 6" xfId="27419"/>
    <cellStyle name="40% - Accent3 8 2 2 7" xfId="27420"/>
    <cellStyle name="40% - Accent3 8 2 3" xfId="27421"/>
    <cellStyle name="40% - Accent3 8 2 3 2" xfId="27422"/>
    <cellStyle name="40% - Accent3 8 2 3 2 2" xfId="27423"/>
    <cellStyle name="40% - Accent3 8 2 3 2 3" xfId="27424"/>
    <cellStyle name="40% - Accent3 8 2 3 2 4" xfId="27425"/>
    <cellStyle name="40% - Accent3 8 2 3 3" xfId="27426"/>
    <cellStyle name="40% - Accent3 8 2 3 3 2" xfId="27427"/>
    <cellStyle name="40% - Accent3 8 2 3 3 3" xfId="27428"/>
    <cellStyle name="40% - Accent3 8 2 3 4" xfId="27429"/>
    <cellStyle name="40% - Accent3 8 2 3 4 2" xfId="27430"/>
    <cellStyle name="40% - Accent3 8 2 3 5" xfId="27431"/>
    <cellStyle name="40% - Accent3 8 2 3 6" xfId="27432"/>
    <cellStyle name="40% - Accent3 8 2 3 7" xfId="27433"/>
    <cellStyle name="40% - Accent3 8 2 4" xfId="27434"/>
    <cellStyle name="40% - Accent3 8 2 4 2" xfId="27435"/>
    <cellStyle name="40% - Accent3 8 2 4 2 2" xfId="27436"/>
    <cellStyle name="40% - Accent3 8 2 4 2 3" xfId="27437"/>
    <cellStyle name="40% - Accent3 8 2 4 2 4" xfId="27438"/>
    <cellStyle name="40% - Accent3 8 2 4 3" xfId="27439"/>
    <cellStyle name="40% - Accent3 8 2 4 3 2" xfId="27440"/>
    <cellStyle name="40% - Accent3 8 2 4 3 3" xfId="27441"/>
    <cellStyle name="40% - Accent3 8 2 4 4" xfId="27442"/>
    <cellStyle name="40% - Accent3 8 2 4 4 2" xfId="27443"/>
    <cellStyle name="40% - Accent3 8 2 4 5" xfId="27444"/>
    <cellStyle name="40% - Accent3 8 2 4 6" xfId="27445"/>
    <cellStyle name="40% - Accent3 8 2 4 7" xfId="27446"/>
    <cellStyle name="40% - Accent3 8 2 5" xfId="27447"/>
    <cellStyle name="40% - Accent3 8 2 5 2" xfId="27448"/>
    <cellStyle name="40% - Accent3 8 2 5 3" xfId="27449"/>
    <cellStyle name="40% - Accent3 8 2 5 4" xfId="27450"/>
    <cellStyle name="40% - Accent3 8 2 6" xfId="27451"/>
    <cellStyle name="40% - Accent3 8 2 6 2" xfId="27452"/>
    <cellStyle name="40% - Accent3 8 2 6 3" xfId="27453"/>
    <cellStyle name="40% - Accent3 8 2 7" xfId="27454"/>
    <cellStyle name="40% - Accent3 8 2 7 2" xfId="27455"/>
    <cellStyle name="40% - Accent3 8 2 8" xfId="27456"/>
    <cellStyle name="40% - Accent3 8 2 9" xfId="27457"/>
    <cellStyle name="40% - Accent3 8 3" xfId="27458"/>
    <cellStyle name="40% - Accent3 8 3 2" xfId="27459"/>
    <cellStyle name="40% - Accent3 8 3 2 2" xfId="27460"/>
    <cellStyle name="40% - Accent3 8 3 2 3" xfId="27461"/>
    <cellStyle name="40% - Accent3 8 3 2 4" xfId="27462"/>
    <cellStyle name="40% - Accent3 8 3 3" xfId="27463"/>
    <cellStyle name="40% - Accent3 8 3 3 2" xfId="27464"/>
    <cellStyle name="40% - Accent3 8 3 3 3" xfId="27465"/>
    <cellStyle name="40% - Accent3 8 3 4" xfId="27466"/>
    <cellStyle name="40% - Accent3 8 3 4 2" xfId="27467"/>
    <cellStyle name="40% - Accent3 8 3 5" xfId="27468"/>
    <cellStyle name="40% - Accent3 8 3 6" xfId="27469"/>
    <cellStyle name="40% - Accent3 8 3 7" xfId="27470"/>
    <cellStyle name="40% - Accent3 8 4" xfId="27471"/>
    <cellStyle name="40% - Accent3 8 4 2" xfId="27472"/>
    <cellStyle name="40% - Accent3 8 4 2 2" xfId="27473"/>
    <cellStyle name="40% - Accent3 8 4 2 3" xfId="27474"/>
    <cellStyle name="40% - Accent3 8 4 2 4" xfId="27475"/>
    <cellStyle name="40% - Accent3 8 4 3" xfId="27476"/>
    <cellStyle name="40% - Accent3 8 4 3 2" xfId="27477"/>
    <cellStyle name="40% - Accent3 8 4 3 3" xfId="27478"/>
    <cellStyle name="40% - Accent3 8 4 4" xfId="27479"/>
    <cellStyle name="40% - Accent3 8 4 4 2" xfId="27480"/>
    <cellStyle name="40% - Accent3 8 4 5" xfId="27481"/>
    <cellStyle name="40% - Accent3 8 4 6" xfId="27482"/>
    <cellStyle name="40% - Accent3 8 4 7" xfId="27483"/>
    <cellStyle name="40% - Accent3 8 5" xfId="27484"/>
    <cellStyle name="40% - Accent3 8 5 2" xfId="27485"/>
    <cellStyle name="40% - Accent3 8 5 2 2" xfId="27486"/>
    <cellStyle name="40% - Accent3 8 5 2 3" xfId="27487"/>
    <cellStyle name="40% - Accent3 8 5 2 4" xfId="27488"/>
    <cellStyle name="40% - Accent3 8 5 3" xfId="27489"/>
    <cellStyle name="40% - Accent3 8 5 3 2" xfId="27490"/>
    <cellStyle name="40% - Accent3 8 5 3 3" xfId="27491"/>
    <cellStyle name="40% - Accent3 8 5 4" xfId="27492"/>
    <cellStyle name="40% - Accent3 8 5 4 2" xfId="27493"/>
    <cellStyle name="40% - Accent3 8 5 5" xfId="27494"/>
    <cellStyle name="40% - Accent3 8 5 6" xfId="27495"/>
    <cellStyle name="40% - Accent3 8 5 7" xfId="27496"/>
    <cellStyle name="40% - Accent3 8 6" xfId="27497"/>
    <cellStyle name="40% - Accent3 8 6 2" xfId="27498"/>
    <cellStyle name="40% - Accent3 8 6 3" xfId="27499"/>
    <cellStyle name="40% - Accent3 8 6 4" xfId="27500"/>
    <cellStyle name="40% - Accent3 8 7" xfId="27501"/>
    <cellStyle name="40% - Accent3 8 7 2" xfId="27502"/>
    <cellStyle name="40% - Accent3 8 7 3" xfId="27503"/>
    <cellStyle name="40% - Accent3 8 8" xfId="27504"/>
    <cellStyle name="40% - Accent3 8 8 2" xfId="27505"/>
    <cellStyle name="40% - Accent3 8 9" xfId="27506"/>
    <cellStyle name="40% - Accent3 80" xfId="27507"/>
    <cellStyle name="40% - Accent3 80 2" xfId="27508"/>
    <cellStyle name="40% - Accent3 80 3" xfId="27509"/>
    <cellStyle name="40% - Accent3 81" xfId="27510"/>
    <cellStyle name="40% - Accent3 81 2" xfId="27511"/>
    <cellStyle name="40% - Accent3 82" xfId="27512"/>
    <cellStyle name="40% - Accent3 83" xfId="27513"/>
    <cellStyle name="40% - Accent3 9" xfId="27514"/>
    <cellStyle name="40% - Accent3 9 10" xfId="27515"/>
    <cellStyle name="40% - Accent3 9 2" xfId="27516"/>
    <cellStyle name="40% - Accent3 9 2 2" xfId="27517"/>
    <cellStyle name="40% - Accent3 9 2 2 2" xfId="27518"/>
    <cellStyle name="40% - Accent3 9 2 2 3" xfId="27519"/>
    <cellStyle name="40% - Accent3 9 2 2 4" xfId="27520"/>
    <cellStyle name="40% - Accent3 9 2 3" xfId="27521"/>
    <cellStyle name="40% - Accent3 9 2 3 2" xfId="27522"/>
    <cellStyle name="40% - Accent3 9 2 3 3" xfId="27523"/>
    <cellStyle name="40% - Accent3 9 2 4" xfId="27524"/>
    <cellStyle name="40% - Accent3 9 2 4 2" xfId="27525"/>
    <cellStyle name="40% - Accent3 9 2 5" xfId="27526"/>
    <cellStyle name="40% - Accent3 9 2 6" xfId="27527"/>
    <cellStyle name="40% - Accent3 9 2 7" xfId="27528"/>
    <cellStyle name="40% - Accent3 9 3" xfId="27529"/>
    <cellStyle name="40% - Accent3 9 3 2" xfId="27530"/>
    <cellStyle name="40% - Accent3 9 3 2 2" xfId="27531"/>
    <cellStyle name="40% - Accent3 9 3 2 3" xfId="27532"/>
    <cellStyle name="40% - Accent3 9 3 2 4" xfId="27533"/>
    <cellStyle name="40% - Accent3 9 3 3" xfId="27534"/>
    <cellStyle name="40% - Accent3 9 3 3 2" xfId="27535"/>
    <cellStyle name="40% - Accent3 9 3 3 3" xfId="27536"/>
    <cellStyle name="40% - Accent3 9 3 4" xfId="27537"/>
    <cellStyle name="40% - Accent3 9 3 4 2" xfId="27538"/>
    <cellStyle name="40% - Accent3 9 3 5" xfId="27539"/>
    <cellStyle name="40% - Accent3 9 3 6" xfId="27540"/>
    <cellStyle name="40% - Accent3 9 3 7" xfId="27541"/>
    <cellStyle name="40% - Accent3 9 4" xfId="27542"/>
    <cellStyle name="40% - Accent3 9 4 2" xfId="27543"/>
    <cellStyle name="40% - Accent3 9 4 2 2" xfId="27544"/>
    <cellStyle name="40% - Accent3 9 4 2 3" xfId="27545"/>
    <cellStyle name="40% - Accent3 9 4 2 4" xfId="27546"/>
    <cellStyle name="40% - Accent3 9 4 3" xfId="27547"/>
    <cellStyle name="40% - Accent3 9 4 3 2" xfId="27548"/>
    <cellStyle name="40% - Accent3 9 4 3 3" xfId="27549"/>
    <cellStyle name="40% - Accent3 9 4 4" xfId="27550"/>
    <cellStyle name="40% - Accent3 9 4 4 2" xfId="27551"/>
    <cellStyle name="40% - Accent3 9 4 5" xfId="27552"/>
    <cellStyle name="40% - Accent3 9 4 6" xfId="27553"/>
    <cellStyle name="40% - Accent3 9 4 7" xfId="27554"/>
    <cellStyle name="40% - Accent3 9 5" xfId="27555"/>
    <cellStyle name="40% - Accent3 9 5 2" xfId="27556"/>
    <cellStyle name="40% - Accent3 9 5 3" xfId="27557"/>
    <cellStyle name="40% - Accent3 9 6" xfId="27558"/>
    <cellStyle name="40% - Accent3 9 6 2" xfId="27559"/>
    <cellStyle name="40% - Accent3 9 6 3" xfId="27560"/>
    <cellStyle name="40% - Accent3 9 7" xfId="27561"/>
    <cellStyle name="40% - Accent3 9 7 2" xfId="27562"/>
    <cellStyle name="40% - Accent3 9 8" xfId="27563"/>
    <cellStyle name="40% - Accent3 9 9" xfId="27564"/>
    <cellStyle name="40% - Accent4 10" xfId="27565"/>
    <cellStyle name="40% - Accent4 10 2" xfId="27566"/>
    <cellStyle name="40% - Accent4 10 2 2" xfId="27567"/>
    <cellStyle name="40% - Accent4 10 2 3" xfId="27568"/>
    <cellStyle name="40% - Accent4 10 2 4" xfId="27569"/>
    <cellStyle name="40% - Accent4 10 3" xfId="27570"/>
    <cellStyle name="40% - Accent4 10 3 2" xfId="27571"/>
    <cellStyle name="40% - Accent4 10 3 3" xfId="27572"/>
    <cellStyle name="40% - Accent4 10 4" xfId="27573"/>
    <cellStyle name="40% - Accent4 10 4 2" xfId="27574"/>
    <cellStyle name="40% - Accent4 10 5" xfId="27575"/>
    <cellStyle name="40% - Accent4 10 6" xfId="27576"/>
    <cellStyle name="40% - Accent4 10 7" xfId="27577"/>
    <cellStyle name="40% - Accent4 11" xfId="27578"/>
    <cellStyle name="40% - Accent4 11 2" xfId="27579"/>
    <cellStyle name="40% - Accent4 11 2 2" xfId="27580"/>
    <cellStyle name="40% - Accent4 11 2 3" xfId="27581"/>
    <cellStyle name="40% - Accent4 11 2 4" xfId="27582"/>
    <cellStyle name="40% - Accent4 11 3" xfId="27583"/>
    <cellStyle name="40% - Accent4 11 3 2" xfId="27584"/>
    <cellStyle name="40% - Accent4 11 3 3" xfId="27585"/>
    <cellStyle name="40% - Accent4 11 4" xfId="27586"/>
    <cellStyle name="40% - Accent4 11 4 2" xfId="27587"/>
    <cellStyle name="40% - Accent4 11 5" xfId="27588"/>
    <cellStyle name="40% - Accent4 11 6" xfId="27589"/>
    <cellStyle name="40% - Accent4 11 7" xfId="27590"/>
    <cellStyle name="40% - Accent4 12" xfId="27591"/>
    <cellStyle name="40% - Accent4 12 2" xfId="27592"/>
    <cellStyle name="40% - Accent4 12 2 2" xfId="27593"/>
    <cellStyle name="40% - Accent4 12 2 3" xfId="27594"/>
    <cellStyle name="40% - Accent4 12 2 4" xfId="27595"/>
    <cellStyle name="40% - Accent4 12 3" xfId="27596"/>
    <cellStyle name="40% - Accent4 12 3 2" xfId="27597"/>
    <cellStyle name="40% - Accent4 12 3 3" xfId="27598"/>
    <cellStyle name="40% - Accent4 12 4" xfId="27599"/>
    <cellStyle name="40% - Accent4 12 4 2" xfId="27600"/>
    <cellStyle name="40% - Accent4 12 5" xfId="27601"/>
    <cellStyle name="40% - Accent4 12 6" xfId="27602"/>
    <cellStyle name="40% - Accent4 12 7" xfId="27603"/>
    <cellStyle name="40% - Accent4 13" xfId="27604"/>
    <cellStyle name="40% - Accent4 13 2" xfId="27605"/>
    <cellStyle name="40% - Accent4 13 3" xfId="27606"/>
    <cellStyle name="40% - Accent4 13 4" xfId="27607"/>
    <cellStyle name="40% - Accent4 14" xfId="27608"/>
    <cellStyle name="40% - Accent4 14 10" xfId="27609"/>
    <cellStyle name="40% - Accent4 14 2" xfId="27610"/>
    <cellStyle name="40% - Accent4 14 2 2" xfId="27611"/>
    <cellStyle name="40% - Accent4 14 2 2 2" xfId="27612"/>
    <cellStyle name="40% - Accent4 14 2 2 2 2" xfId="27613"/>
    <cellStyle name="40% - Accent4 14 2 2 2 2 2" xfId="27614"/>
    <cellStyle name="40% - Accent4 14 2 2 2 2 2 2" xfId="27615"/>
    <cellStyle name="40% - Accent4 14 2 2 2 3" xfId="27616"/>
    <cellStyle name="40% - Accent4 14 2 2 2 3 2" xfId="27617"/>
    <cellStyle name="40% - Accent4 14 2 2 3" xfId="27618"/>
    <cellStyle name="40% - Accent4 14 2 2 3 2" xfId="27619"/>
    <cellStyle name="40% - Accent4 14 2 2 3 2 2" xfId="27620"/>
    <cellStyle name="40% - Accent4 14 2 2 4" xfId="27621"/>
    <cellStyle name="40% - Accent4 14 2 2 4 2" xfId="27622"/>
    <cellStyle name="40% - Accent4 14 2 2 5" xfId="27623"/>
    <cellStyle name="40% - Accent4 14 2 2 6" xfId="27624"/>
    <cellStyle name="40% - Accent4 14 2 2 7" xfId="27625"/>
    <cellStyle name="40% - Accent4 14 2 3" xfId="27626"/>
    <cellStyle name="40% - Accent4 14 2 3 2" xfId="27627"/>
    <cellStyle name="40% - Accent4 14 2 3 2 2" xfId="27628"/>
    <cellStyle name="40% - Accent4 14 2 3 2 2 2" xfId="27629"/>
    <cellStyle name="40% - Accent4 14 2 3 3" xfId="27630"/>
    <cellStyle name="40% - Accent4 14 2 3 3 2" xfId="27631"/>
    <cellStyle name="40% - Accent4 14 2 3 4" xfId="27632"/>
    <cellStyle name="40% - Accent4 14 2 3 5" xfId="27633"/>
    <cellStyle name="40% - Accent4 14 2 3 6" xfId="27634"/>
    <cellStyle name="40% - Accent4 14 2 4" xfId="27635"/>
    <cellStyle name="40% - Accent4 14 2 4 2" xfId="27636"/>
    <cellStyle name="40% - Accent4 14 2 4 2 2" xfId="27637"/>
    <cellStyle name="40% - Accent4 14 2 4 3" xfId="27638"/>
    <cellStyle name="40% - Accent4 14 2 5" xfId="27639"/>
    <cellStyle name="40% - Accent4 14 2 5 2" xfId="27640"/>
    <cellStyle name="40% - Accent4 14 2 6" xfId="27641"/>
    <cellStyle name="40% - Accent4 14 2 7" xfId="27642"/>
    <cellStyle name="40% - Accent4 14 2 8" xfId="27643"/>
    <cellStyle name="40% - Accent4 14 2 9" xfId="27644"/>
    <cellStyle name="40% - Accent4 14 3" xfId="27645"/>
    <cellStyle name="40% - Accent4 14 3 2" xfId="27646"/>
    <cellStyle name="40% - Accent4 14 3 2 2" xfId="27647"/>
    <cellStyle name="40% - Accent4 14 3 2 2 2" xfId="27648"/>
    <cellStyle name="40% - Accent4 14 3 2 2 2 2" xfId="27649"/>
    <cellStyle name="40% - Accent4 14 3 2 3" xfId="27650"/>
    <cellStyle name="40% - Accent4 14 3 2 3 2" xfId="27651"/>
    <cellStyle name="40% - Accent4 14 3 2 4" xfId="27652"/>
    <cellStyle name="40% - Accent4 14 3 2 5" xfId="27653"/>
    <cellStyle name="40% - Accent4 14 3 2 6" xfId="27654"/>
    <cellStyle name="40% - Accent4 14 3 3" xfId="27655"/>
    <cellStyle name="40% - Accent4 14 3 3 2" xfId="27656"/>
    <cellStyle name="40% - Accent4 14 3 3 2 2" xfId="27657"/>
    <cellStyle name="40% - Accent4 14 3 3 3" xfId="27658"/>
    <cellStyle name="40% - Accent4 14 3 3 4" xfId="27659"/>
    <cellStyle name="40% - Accent4 14 3 3 5" xfId="27660"/>
    <cellStyle name="40% - Accent4 14 3 4" xfId="27661"/>
    <cellStyle name="40% - Accent4 14 3 4 2" xfId="27662"/>
    <cellStyle name="40% - Accent4 14 3 4 3" xfId="27663"/>
    <cellStyle name="40% - Accent4 14 3 5" xfId="27664"/>
    <cellStyle name="40% - Accent4 14 3 6" xfId="27665"/>
    <cellStyle name="40% - Accent4 14 3 7" xfId="27666"/>
    <cellStyle name="40% - Accent4 14 3 8" xfId="27667"/>
    <cellStyle name="40% - Accent4 14 4" xfId="27668"/>
    <cellStyle name="40% - Accent4 14 4 2" xfId="27669"/>
    <cellStyle name="40% - Accent4 14 4 2 2" xfId="27670"/>
    <cellStyle name="40% - Accent4 14 4 2 2 2" xfId="27671"/>
    <cellStyle name="40% - Accent4 14 4 3" xfId="27672"/>
    <cellStyle name="40% - Accent4 14 4 3 2" xfId="27673"/>
    <cellStyle name="40% - Accent4 14 4 4" xfId="27674"/>
    <cellStyle name="40% - Accent4 14 4 5" xfId="27675"/>
    <cellStyle name="40% - Accent4 14 4 6" xfId="27676"/>
    <cellStyle name="40% - Accent4 14 5" xfId="27677"/>
    <cellStyle name="40% - Accent4 14 5 2" xfId="27678"/>
    <cellStyle name="40% - Accent4 14 5 2 2" xfId="27679"/>
    <cellStyle name="40% - Accent4 14 5 3" xfId="27680"/>
    <cellStyle name="40% - Accent4 14 5 4" xfId="27681"/>
    <cellStyle name="40% - Accent4 14 5 5" xfId="27682"/>
    <cellStyle name="40% - Accent4 14 6" xfId="27683"/>
    <cellStyle name="40% - Accent4 14 6 2" xfId="27684"/>
    <cellStyle name="40% - Accent4 14 6 3" xfId="27685"/>
    <cellStyle name="40% - Accent4 14 7" xfId="27686"/>
    <cellStyle name="40% - Accent4 14 8" xfId="27687"/>
    <cellStyle name="40% - Accent4 14 9" xfId="27688"/>
    <cellStyle name="40% - Accent4 15" xfId="27689"/>
    <cellStyle name="40% - Accent4 15 2" xfId="27690"/>
    <cellStyle name="40% - Accent4 15 2 2" xfId="27691"/>
    <cellStyle name="40% - Accent4 15 2 3" xfId="27692"/>
    <cellStyle name="40% - Accent4 15 2 4" xfId="27693"/>
    <cellStyle name="40% - Accent4 15 3" xfId="27694"/>
    <cellStyle name="40% - Accent4 15 3 2" xfId="27695"/>
    <cellStyle name="40% - Accent4 15 3 3" xfId="27696"/>
    <cellStyle name="40% - Accent4 15 4" xfId="27697"/>
    <cellStyle name="40% - Accent4 15 4 2" xfId="27698"/>
    <cellStyle name="40% - Accent4 15 5" xfId="27699"/>
    <cellStyle name="40% - Accent4 15 6" xfId="27700"/>
    <cellStyle name="40% - Accent4 15 7" xfId="27701"/>
    <cellStyle name="40% - Accent4 16" xfId="27702"/>
    <cellStyle name="40% - Accent4 16 2" xfId="27703"/>
    <cellStyle name="40% - Accent4 16 2 2" xfId="27704"/>
    <cellStyle name="40% - Accent4 16 2 3" xfId="27705"/>
    <cellStyle name="40% - Accent4 16 2 4" xfId="27706"/>
    <cellStyle name="40% - Accent4 16 3" xfId="27707"/>
    <cellStyle name="40% - Accent4 16 3 2" xfId="27708"/>
    <cellStyle name="40% - Accent4 16 3 3" xfId="27709"/>
    <cellStyle name="40% - Accent4 16 4" xfId="27710"/>
    <cellStyle name="40% - Accent4 16 4 2" xfId="27711"/>
    <cellStyle name="40% - Accent4 16 5" xfId="27712"/>
    <cellStyle name="40% - Accent4 16 6" xfId="27713"/>
    <cellStyle name="40% - Accent4 16 7" xfId="27714"/>
    <cellStyle name="40% - Accent4 17" xfId="27715"/>
    <cellStyle name="40% - Accent4 17 2" xfId="27716"/>
    <cellStyle name="40% - Accent4 17 2 2" xfId="27717"/>
    <cellStyle name="40% - Accent4 17 2 3" xfId="27718"/>
    <cellStyle name="40% - Accent4 17 2 4" xfId="27719"/>
    <cellStyle name="40% - Accent4 17 3" xfId="27720"/>
    <cellStyle name="40% - Accent4 17 3 2" xfId="27721"/>
    <cellStyle name="40% - Accent4 17 3 3" xfId="27722"/>
    <cellStyle name="40% - Accent4 17 4" xfId="27723"/>
    <cellStyle name="40% - Accent4 17 4 2" xfId="27724"/>
    <cellStyle name="40% - Accent4 17 5" xfId="27725"/>
    <cellStyle name="40% - Accent4 17 6" xfId="27726"/>
    <cellStyle name="40% - Accent4 17 7" xfId="27727"/>
    <cellStyle name="40% - Accent4 18" xfId="27728"/>
    <cellStyle name="40% - Accent4 18 2" xfId="27729"/>
    <cellStyle name="40% - Accent4 18 2 2" xfId="27730"/>
    <cellStyle name="40% - Accent4 18 2 3" xfId="27731"/>
    <cellStyle name="40% - Accent4 18 2 4" xfId="27732"/>
    <cellStyle name="40% - Accent4 18 3" xfId="27733"/>
    <cellStyle name="40% - Accent4 18 3 2" xfId="27734"/>
    <cellStyle name="40% - Accent4 18 3 3" xfId="27735"/>
    <cellStyle name="40% - Accent4 18 4" xfId="27736"/>
    <cellStyle name="40% - Accent4 18 4 2" xfId="27737"/>
    <cellStyle name="40% - Accent4 18 5" xfId="27738"/>
    <cellStyle name="40% - Accent4 18 6" xfId="27739"/>
    <cellStyle name="40% - Accent4 18 7" xfId="27740"/>
    <cellStyle name="40% - Accent4 19" xfId="27741"/>
    <cellStyle name="40% - Accent4 19 2" xfId="27742"/>
    <cellStyle name="40% - Accent4 19 2 2" xfId="27743"/>
    <cellStyle name="40% - Accent4 19 2 3" xfId="27744"/>
    <cellStyle name="40% - Accent4 19 2 4" xfId="27745"/>
    <cellStyle name="40% - Accent4 19 3" xfId="27746"/>
    <cellStyle name="40% - Accent4 19 3 2" xfId="27747"/>
    <cellStyle name="40% - Accent4 19 3 3" xfId="27748"/>
    <cellStyle name="40% - Accent4 19 4" xfId="27749"/>
    <cellStyle name="40% - Accent4 19 4 2" xfId="27750"/>
    <cellStyle name="40% - Accent4 19 5" xfId="27751"/>
    <cellStyle name="40% - Accent4 19 6" xfId="27752"/>
    <cellStyle name="40% - Accent4 19 7" xfId="27753"/>
    <cellStyle name="40% - Accent4 2" xfId="27754"/>
    <cellStyle name="40% - Accent4 2 10" xfId="27755"/>
    <cellStyle name="40% - Accent4 2 10 2" xfId="27756"/>
    <cellStyle name="40% - Accent4 2 10 2 2" xfId="27757"/>
    <cellStyle name="40% - Accent4 2 10 2 2 2" xfId="27758"/>
    <cellStyle name="40% - Accent4 2 10 2 2 2 2" xfId="27759"/>
    <cellStyle name="40% - Accent4 2 10 2 2 2 2 2" xfId="27760"/>
    <cellStyle name="40% - Accent4 2 10 2 2 2 2 2 2" xfId="27761"/>
    <cellStyle name="40% - Accent4 2 10 2 2 2 3" xfId="27762"/>
    <cellStyle name="40% - Accent4 2 10 2 2 2 3 2" xfId="27763"/>
    <cellStyle name="40% - Accent4 2 10 2 2 3" xfId="27764"/>
    <cellStyle name="40% - Accent4 2 10 2 2 3 2" xfId="27765"/>
    <cellStyle name="40% - Accent4 2 10 2 2 3 2 2" xfId="27766"/>
    <cellStyle name="40% - Accent4 2 10 2 2 4" xfId="27767"/>
    <cellStyle name="40% - Accent4 2 10 2 2 4 2" xfId="27768"/>
    <cellStyle name="40% - Accent4 2 10 2 3" xfId="27769"/>
    <cellStyle name="40% - Accent4 2 10 2 3 2" xfId="27770"/>
    <cellStyle name="40% - Accent4 2 10 2 3 2 2" xfId="27771"/>
    <cellStyle name="40% - Accent4 2 10 2 3 2 2 2" xfId="27772"/>
    <cellStyle name="40% - Accent4 2 10 2 3 3" xfId="27773"/>
    <cellStyle name="40% - Accent4 2 10 2 3 3 2" xfId="27774"/>
    <cellStyle name="40% - Accent4 2 10 2 4" xfId="27775"/>
    <cellStyle name="40% - Accent4 2 10 2 4 2" xfId="27776"/>
    <cellStyle name="40% - Accent4 2 10 2 4 2 2" xfId="27777"/>
    <cellStyle name="40% - Accent4 2 10 2 5" xfId="27778"/>
    <cellStyle name="40% - Accent4 2 10 2 5 2" xfId="27779"/>
    <cellStyle name="40% - Accent4 2 10 3" xfId="27780"/>
    <cellStyle name="40% - Accent4 2 10 3 2" xfId="27781"/>
    <cellStyle name="40% - Accent4 2 10 3 2 2" xfId="27782"/>
    <cellStyle name="40% - Accent4 2 10 3 2 2 2" xfId="27783"/>
    <cellStyle name="40% - Accent4 2 10 3 2 2 2 2" xfId="27784"/>
    <cellStyle name="40% - Accent4 2 10 3 2 3" xfId="27785"/>
    <cellStyle name="40% - Accent4 2 10 3 2 3 2" xfId="27786"/>
    <cellStyle name="40% - Accent4 2 10 3 3" xfId="27787"/>
    <cellStyle name="40% - Accent4 2 10 3 3 2" xfId="27788"/>
    <cellStyle name="40% - Accent4 2 10 3 3 2 2" xfId="27789"/>
    <cellStyle name="40% - Accent4 2 10 3 4" xfId="27790"/>
    <cellStyle name="40% - Accent4 2 10 3 4 2" xfId="27791"/>
    <cellStyle name="40% - Accent4 2 10 4" xfId="27792"/>
    <cellStyle name="40% - Accent4 2 10 4 2" xfId="27793"/>
    <cellStyle name="40% - Accent4 2 10 4 2 2" xfId="27794"/>
    <cellStyle name="40% - Accent4 2 10 4 2 2 2" xfId="27795"/>
    <cellStyle name="40% - Accent4 2 10 4 3" xfId="27796"/>
    <cellStyle name="40% - Accent4 2 10 4 3 2" xfId="27797"/>
    <cellStyle name="40% - Accent4 2 10 5" xfId="27798"/>
    <cellStyle name="40% - Accent4 2 10 5 2" xfId="27799"/>
    <cellStyle name="40% - Accent4 2 10 5 2 2" xfId="27800"/>
    <cellStyle name="40% - Accent4 2 10 6" xfId="27801"/>
    <cellStyle name="40% - Accent4 2 10 6 2" xfId="27802"/>
    <cellStyle name="40% - Accent4 2 11" xfId="27803"/>
    <cellStyle name="40% - Accent4 2 11 2" xfId="27804"/>
    <cellStyle name="40% - Accent4 2 11 2 2" xfId="27805"/>
    <cellStyle name="40% - Accent4 2 11 2 2 2" xfId="27806"/>
    <cellStyle name="40% - Accent4 2 11 2 2 2 2" xfId="27807"/>
    <cellStyle name="40% - Accent4 2 11 2 2 2 2 2" xfId="27808"/>
    <cellStyle name="40% - Accent4 2 11 2 2 2 2 2 2" xfId="27809"/>
    <cellStyle name="40% - Accent4 2 11 2 2 2 3" xfId="27810"/>
    <cellStyle name="40% - Accent4 2 11 2 2 2 3 2" xfId="27811"/>
    <cellStyle name="40% - Accent4 2 11 2 2 3" xfId="27812"/>
    <cellStyle name="40% - Accent4 2 11 2 2 3 2" xfId="27813"/>
    <cellStyle name="40% - Accent4 2 11 2 2 3 2 2" xfId="27814"/>
    <cellStyle name="40% - Accent4 2 11 2 2 4" xfId="27815"/>
    <cellStyle name="40% - Accent4 2 11 2 2 4 2" xfId="27816"/>
    <cellStyle name="40% - Accent4 2 11 2 3" xfId="27817"/>
    <cellStyle name="40% - Accent4 2 11 2 3 2" xfId="27818"/>
    <cellStyle name="40% - Accent4 2 11 2 3 2 2" xfId="27819"/>
    <cellStyle name="40% - Accent4 2 11 2 3 2 2 2" xfId="27820"/>
    <cellStyle name="40% - Accent4 2 11 2 3 3" xfId="27821"/>
    <cellStyle name="40% - Accent4 2 11 2 3 3 2" xfId="27822"/>
    <cellStyle name="40% - Accent4 2 11 2 4" xfId="27823"/>
    <cellStyle name="40% - Accent4 2 11 2 4 2" xfId="27824"/>
    <cellStyle name="40% - Accent4 2 11 2 4 2 2" xfId="27825"/>
    <cellStyle name="40% - Accent4 2 11 2 5" xfId="27826"/>
    <cellStyle name="40% - Accent4 2 11 2 5 2" xfId="27827"/>
    <cellStyle name="40% - Accent4 2 11 3" xfId="27828"/>
    <cellStyle name="40% - Accent4 2 11 3 2" xfId="27829"/>
    <cellStyle name="40% - Accent4 2 11 3 2 2" xfId="27830"/>
    <cellStyle name="40% - Accent4 2 11 3 2 2 2" xfId="27831"/>
    <cellStyle name="40% - Accent4 2 11 3 2 2 2 2" xfId="27832"/>
    <cellStyle name="40% - Accent4 2 11 3 2 3" xfId="27833"/>
    <cellStyle name="40% - Accent4 2 11 3 2 3 2" xfId="27834"/>
    <cellStyle name="40% - Accent4 2 11 3 3" xfId="27835"/>
    <cellStyle name="40% - Accent4 2 11 3 3 2" xfId="27836"/>
    <cellStyle name="40% - Accent4 2 11 3 3 2 2" xfId="27837"/>
    <cellStyle name="40% - Accent4 2 11 3 4" xfId="27838"/>
    <cellStyle name="40% - Accent4 2 11 3 4 2" xfId="27839"/>
    <cellStyle name="40% - Accent4 2 11 4" xfId="27840"/>
    <cellStyle name="40% - Accent4 2 11 4 2" xfId="27841"/>
    <cellStyle name="40% - Accent4 2 11 4 2 2" xfId="27842"/>
    <cellStyle name="40% - Accent4 2 11 4 2 2 2" xfId="27843"/>
    <cellStyle name="40% - Accent4 2 11 4 3" xfId="27844"/>
    <cellStyle name="40% - Accent4 2 11 4 3 2" xfId="27845"/>
    <cellStyle name="40% - Accent4 2 11 5" xfId="27846"/>
    <cellStyle name="40% - Accent4 2 11 5 2" xfId="27847"/>
    <cellStyle name="40% - Accent4 2 11 5 2 2" xfId="27848"/>
    <cellStyle name="40% - Accent4 2 11 6" xfId="27849"/>
    <cellStyle name="40% - Accent4 2 11 6 2" xfId="27850"/>
    <cellStyle name="40% - Accent4 2 12" xfId="27851"/>
    <cellStyle name="40% - Accent4 2 12 2" xfId="27852"/>
    <cellStyle name="40% - Accent4 2 12 2 2" xfId="27853"/>
    <cellStyle name="40% - Accent4 2 12 2 2 2" xfId="27854"/>
    <cellStyle name="40% - Accent4 2 12 2 2 2 2" xfId="27855"/>
    <cellStyle name="40% - Accent4 2 12 2 2 2 2 2" xfId="27856"/>
    <cellStyle name="40% - Accent4 2 12 2 2 2 2 2 2" xfId="27857"/>
    <cellStyle name="40% - Accent4 2 12 2 2 2 3" xfId="27858"/>
    <cellStyle name="40% - Accent4 2 12 2 2 2 3 2" xfId="27859"/>
    <cellStyle name="40% - Accent4 2 12 2 2 3" xfId="27860"/>
    <cellStyle name="40% - Accent4 2 12 2 2 3 2" xfId="27861"/>
    <cellStyle name="40% - Accent4 2 12 2 2 3 2 2" xfId="27862"/>
    <cellStyle name="40% - Accent4 2 12 2 2 4" xfId="27863"/>
    <cellStyle name="40% - Accent4 2 12 2 2 4 2" xfId="27864"/>
    <cellStyle name="40% - Accent4 2 12 2 3" xfId="27865"/>
    <cellStyle name="40% - Accent4 2 12 2 3 2" xfId="27866"/>
    <cellStyle name="40% - Accent4 2 12 2 3 2 2" xfId="27867"/>
    <cellStyle name="40% - Accent4 2 12 2 3 2 2 2" xfId="27868"/>
    <cellStyle name="40% - Accent4 2 12 2 3 3" xfId="27869"/>
    <cellStyle name="40% - Accent4 2 12 2 3 3 2" xfId="27870"/>
    <cellStyle name="40% - Accent4 2 12 2 4" xfId="27871"/>
    <cellStyle name="40% - Accent4 2 12 2 4 2" xfId="27872"/>
    <cellStyle name="40% - Accent4 2 12 2 4 2 2" xfId="27873"/>
    <cellStyle name="40% - Accent4 2 12 2 5" xfId="27874"/>
    <cellStyle name="40% - Accent4 2 12 2 5 2" xfId="27875"/>
    <cellStyle name="40% - Accent4 2 12 3" xfId="27876"/>
    <cellStyle name="40% - Accent4 2 12 3 2" xfId="27877"/>
    <cellStyle name="40% - Accent4 2 12 3 2 2" xfId="27878"/>
    <cellStyle name="40% - Accent4 2 12 3 2 2 2" xfId="27879"/>
    <cellStyle name="40% - Accent4 2 12 3 2 2 2 2" xfId="27880"/>
    <cellStyle name="40% - Accent4 2 12 3 2 3" xfId="27881"/>
    <cellStyle name="40% - Accent4 2 12 3 2 3 2" xfId="27882"/>
    <cellStyle name="40% - Accent4 2 12 3 3" xfId="27883"/>
    <cellStyle name="40% - Accent4 2 12 3 3 2" xfId="27884"/>
    <cellStyle name="40% - Accent4 2 12 3 3 2 2" xfId="27885"/>
    <cellStyle name="40% - Accent4 2 12 3 4" xfId="27886"/>
    <cellStyle name="40% - Accent4 2 12 3 4 2" xfId="27887"/>
    <cellStyle name="40% - Accent4 2 12 4" xfId="27888"/>
    <cellStyle name="40% - Accent4 2 12 4 2" xfId="27889"/>
    <cellStyle name="40% - Accent4 2 12 4 2 2" xfId="27890"/>
    <cellStyle name="40% - Accent4 2 12 4 2 2 2" xfId="27891"/>
    <cellStyle name="40% - Accent4 2 12 4 3" xfId="27892"/>
    <cellStyle name="40% - Accent4 2 12 4 3 2" xfId="27893"/>
    <cellStyle name="40% - Accent4 2 12 5" xfId="27894"/>
    <cellStyle name="40% - Accent4 2 12 5 2" xfId="27895"/>
    <cellStyle name="40% - Accent4 2 12 5 2 2" xfId="27896"/>
    <cellStyle name="40% - Accent4 2 12 6" xfId="27897"/>
    <cellStyle name="40% - Accent4 2 12 6 2" xfId="27898"/>
    <cellStyle name="40% - Accent4 2 13" xfId="27899"/>
    <cellStyle name="40% - Accent4 2 13 2" xfId="27900"/>
    <cellStyle name="40% - Accent4 2 13 2 2" xfId="27901"/>
    <cellStyle name="40% - Accent4 2 13 2 2 2" xfId="27902"/>
    <cellStyle name="40% - Accent4 2 13 2 2 2 2" xfId="27903"/>
    <cellStyle name="40% - Accent4 2 13 2 2 2 2 2" xfId="27904"/>
    <cellStyle name="40% - Accent4 2 13 2 2 2 2 2 2" xfId="27905"/>
    <cellStyle name="40% - Accent4 2 13 2 2 2 3" xfId="27906"/>
    <cellStyle name="40% - Accent4 2 13 2 2 2 3 2" xfId="27907"/>
    <cellStyle name="40% - Accent4 2 13 2 2 3" xfId="27908"/>
    <cellStyle name="40% - Accent4 2 13 2 2 3 2" xfId="27909"/>
    <cellStyle name="40% - Accent4 2 13 2 2 3 2 2" xfId="27910"/>
    <cellStyle name="40% - Accent4 2 13 2 2 4" xfId="27911"/>
    <cellStyle name="40% - Accent4 2 13 2 2 4 2" xfId="27912"/>
    <cellStyle name="40% - Accent4 2 13 2 3" xfId="27913"/>
    <cellStyle name="40% - Accent4 2 13 2 3 2" xfId="27914"/>
    <cellStyle name="40% - Accent4 2 13 2 3 2 2" xfId="27915"/>
    <cellStyle name="40% - Accent4 2 13 2 3 2 2 2" xfId="27916"/>
    <cellStyle name="40% - Accent4 2 13 2 3 3" xfId="27917"/>
    <cellStyle name="40% - Accent4 2 13 2 3 3 2" xfId="27918"/>
    <cellStyle name="40% - Accent4 2 13 2 4" xfId="27919"/>
    <cellStyle name="40% - Accent4 2 13 2 4 2" xfId="27920"/>
    <cellStyle name="40% - Accent4 2 13 2 4 2 2" xfId="27921"/>
    <cellStyle name="40% - Accent4 2 13 2 5" xfId="27922"/>
    <cellStyle name="40% - Accent4 2 13 2 5 2" xfId="27923"/>
    <cellStyle name="40% - Accent4 2 13 3" xfId="27924"/>
    <cellStyle name="40% - Accent4 2 13 3 2" xfId="27925"/>
    <cellStyle name="40% - Accent4 2 13 3 2 2" xfId="27926"/>
    <cellStyle name="40% - Accent4 2 13 3 2 2 2" xfId="27927"/>
    <cellStyle name="40% - Accent4 2 13 3 2 2 2 2" xfId="27928"/>
    <cellStyle name="40% - Accent4 2 13 3 2 3" xfId="27929"/>
    <cellStyle name="40% - Accent4 2 13 3 2 3 2" xfId="27930"/>
    <cellStyle name="40% - Accent4 2 13 3 3" xfId="27931"/>
    <cellStyle name="40% - Accent4 2 13 3 3 2" xfId="27932"/>
    <cellStyle name="40% - Accent4 2 13 3 3 2 2" xfId="27933"/>
    <cellStyle name="40% - Accent4 2 13 3 4" xfId="27934"/>
    <cellStyle name="40% - Accent4 2 13 3 4 2" xfId="27935"/>
    <cellStyle name="40% - Accent4 2 13 4" xfId="27936"/>
    <cellStyle name="40% - Accent4 2 13 4 2" xfId="27937"/>
    <cellStyle name="40% - Accent4 2 13 4 2 2" xfId="27938"/>
    <cellStyle name="40% - Accent4 2 13 4 2 2 2" xfId="27939"/>
    <cellStyle name="40% - Accent4 2 13 4 3" xfId="27940"/>
    <cellStyle name="40% - Accent4 2 13 4 3 2" xfId="27941"/>
    <cellStyle name="40% - Accent4 2 13 5" xfId="27942"/>
    <cellStyle name="40% - Accent4 2 13 5 2" xfId="27943"/>
    <cellStyle name="40% - Accent4 2 13 5 2 2" xfId="27944"/>
    <cellStyle name="40% - Accent4 2 13 6" xfId="27945"/>
    <cellStyle name="40% - Accent4 2 13 6 2" xfId="27946"/>
    <cellStyle name="40% - Accent4 2 14" xfId="27947"/>
    <cellStyle name="40% - Accent4 2 14 2" xfId="27948"/>
    <cellStyle name="40% - Accent4 2 14 2 2" xfId="27949"/>
    <cellStyle name="40% - Accent4 2 14 2 2 2" xfId="27950"/>
    <cellStyle name="40% - Accent4 2 14 2 2 2 2" xfId="27951"/>
    <cellStyle name="40% - Accent4 2 14 2 2 2 2 2" xfId="27952"/>
    <cellStyle name="40% - Accent4 2 14 2 2 3" xfId="27953"/>
    <cellStyle name="40% - Accent4 2 14 2 2 3 2" xfId="27954"/>
    <cellStyle name="40% - Accent4 2 14 2 3" xfId="27955"/>
    <cellStyle name="40% - Accent4 2 14 2 3 2" xfId="27956"/>
    <cellStyle name="40% - Accent4 2 14 2 3 2 2" xfId="27957"/>
    <cellStyle name="40% - Accent4 2 14 2 4" xfId="27958"/>
    <cellStyle name="40% - Accent4 2 14 2 4 2" xfId="27959"/>
    <cellStyle name="40% - Accent4 2 14 3" xfId="27960"/>
    <cellStyle name="40% - Accent4 2 14 3 2" xfId="27961"/>
    <cellStyle name="40% - Accent4 2 14 3 2 2" xfId="27962"/>
    <cellStyle name="40% - Accent4 2 14 3 2 2 2" xfId="27963"/>
    <cellStyle name="40% - Accent4 2 14 3 3" xfId="27964"/>
    <cellStyle name="40% - Accent4 2 14 3 3 2" xfId="27965"/>
    <cellStyle name="40% - Accent4 2 14 4" xfId="27966"/>
    <cellStyle name="40% - Accent4 2 14 4 2" xfId="27967"/>
    <cellStyle name="40% - Accent4 2 14 4 2 2" xfId="27968"/>
    <cellStyle name="40% - Accent4 2 14 5" xfId="27969"/>
    <cellStyle name="40% - Accent4 2 14 5 2" xfId="27970"/>
    <cellStyle name="40% - Accent4 2 15" xfId="27971"/>
    <cellStyle name="40% - Accent4 2 15 2" xfId="27972"/>
    <cellStyle name="40% - Accent4 2 15 2 2" xfId="27973"/>
    <cellStyle name="40% - Accent4 2 15 2 2 2" xfId="27974"/>
    <cellStyle name="40% - Accent4 2 15 2 2 2 2" xfId="27975"/>
    <cellStyle name="40% - Accent4 2 15 2 3" xfId="27976"/>
    <cellStyle name="40% - Accent4 2 15 2 3 2" xfId="27977"/>
    <cellStyle name="40% - Accent4 2 15 3" xfId="27978"/>
    <cellStyle name="40% - Accent4 2 15 3 2" xfId="27979"/>
    <cellStyle name="40% - Accent4 2 15 3 2 2" xfId="27980"/>
    <cellStyle name="40% - Accent4 2 15 4" xfId="27981"/>
    <cellStyle name="40% - Accent4 2 15 4 2" xfId="27982"/>
    <cellStyle name="40% - Accent4 2 16" xfId="27983"/>
    <cellStyle name="40% - Accent4 2 16 2" xfId="27984"/>
    <cellStyle name="40% - Accent4 2 16 2 2" xfId="27985"/>
    <cellStyle name="40% - Accent4 2 16 2 2 2" xfId="27986"/>
    <cellStyle name="40% - Accent4 2 16 3" xfId="27987"/>
    <cellStyle name="40% - Accent4 2 16 3 2" xfId="27988"/>
    <cellStyle name="40% - Accent4 2 17" xfId="27989"/>
    <cellStyle name="40% - Accent4 2 17 2" xfId="27990"/>
    <cellStyle name="40% - Accent4 2 17 2 2" xfId="27991"/>
    <cellStyle name="40% - Accent4 2 18" xfId="27992"/>
    <cellStyle name="40% - Accent4 2 19" xfId="27993"/>
    <cellStyle name="40% - Accent4 2 19 2" xfId="27994"/>
    <cellStyle name="40% - Accent4 2 2" xfId="27995"/>
    <cellStyle name="40% - Accent4 2 2 2" xfId="27996"/>
    <cellStyle name="40% - Accent4 2 2 2 2" xfId="27997"/>
    <cellStyle name="40% - Accent4 2 2 2 2 2" xfId="27998"/>
    <cellStyle name="40% - Accent4 2 2 2 2 2 2" xfId="27999"/>
    <cellStyle name="40% - Accent4 2 2 2 2 2 2 2" xfId="28000"/>
    <cellStyle name="40% - Accent4 2 2 2 2 2 2 2 2" xfId="28001"/>
    <cellStyle name="40% - Accent4 2 2 2 2 2 3" xfId="28002"/>
    <cellStyle name="40% - Accent4 2 2 2 2 2 3 2" xfId="28003"/>
    <cellStyle name="40% - Accent4 2 2 2 2 3" xfId="28004"/>
    <cellStyle name="40% - Accent4 2 2 2 2 3 2" xfId="28005"/>
    <cellStyle name="40% - Accent4 2 2 2 2 3 2 2" xfId="28006"/>
    <cellStyle name="40% - Accent4 2 2 2 2 4" xfId="28007"/>
    <cellStyle name="40% - Accent4 2 2 2 2 4 2" xfId="28008"/>
    <cellStyle name="40% - Accent4 2 2 2 3" xfId="28009"/>
    <cellStyle name="40% - Accent4 2 2 2 3 2" xfId="28010"/>
    <cellStyle name="40% - Accent4 2 2 2 3 2 2" xfId="28011"/>
    <cellStyle name="40% - Accent4 2 2 2 3 2 2 2" xfId="28012"/>
    <cellStyle name="40% - Accent4 2 2 2 3 3" xfId="28013"/>
    <cellStyle name="40% - Accent4 2 2 2 3 3 2" xfId="28014"/>
    <cellStyle name="40% - Accent4 2 2 2 4" xfId="28015"/>
    <cellStyle name="40% - Accent4 2 2 2 4 2" xfId="28016"/>
    <cellStyle name="40% - Accent4 2 2 2 4 2 2" xfId="28017"/>
    <cellStyle name="40% - Accent4 2 2 2 5" xfId="28018"/>
    <cellStyle name="40% - Accent4 2 2 2 5 2" xfId="28019"/>
    <cellStyle name="40% - Accent4 2 2 3" xfId="28020"/>
    <cellStyle name="40% - Accent4 2 2 3 2" xfId="28021"/>
    <cellStyle name="40% - Accent4 2 2 3 2 2" xfId="28022"/>
    <cellStyle name="40% - Accent4 2 2 3 2 2 2" xfId="28023"/>
    <cellStyle name="40% - Accent4 2 2 3 2 2 2 2" xfId="28024"/>
    <cellStyle name="40% - Accent4 2 2 3 2 3" xfId="28025"/>
    <cellStyle name="40% - Accent4 2 2 3 2 3 2" xfId="28026"/>
    <cellStyle name="40% - Accent4 2 2 3 3" xfId="28027"/>
    <cellStyle name="40% - Accent4 2 2 3 3 2" xfId="28028"/>
    <cellStyle name="40% - Accent4 2 2 3 3 2 2" xfId="28029"/>
    <cellStyle name="40% - Accent4 2 2 3 4" xfId="28030"/>
    <cellStyle name="40% - Accent4 2 2 3 4 2" xfId="28031"/>
    <cellStyle name="40% - Accent4 2 2 4" xfId="28032"/>
    <cellStyle name="40% - Accent4 2 2 4 2" xfId="28033"/>
    <cellStyle name="40% - Accent4 2 2 4 2 2" xfId="28034"/>
    <cellStyle name="40% - Accent4 2 2 4 2 2 2" xfId="28035"/>
    <cellStyle name="40% - Accent4 2 2 4 3" xfId="28036"/>
    <cellStyle name="40% - Accent4 2 2 4 3 2" xfId="28037"/>
    <cellStyle name="40% - Accent4 2 2 5" xfId="28038"/>
    <cellStyle name="40% - Accent4 2 2 5 2" xfId="28039"/>
    <cellStyle name="40% - Accent4 2 2 5 2 2" xfId="28040"/>
    <cellStyle name="40% - Accent4 2 2 6" xfId="28041"/>
    <cellStyle name="40% - Accent4 2 2 6 2" xfId="28042"/>
    <cellStyle name="40% - Accent4 2 2 7" xfId="28043"/>
    <cellStyle name="40% - Accent4 2 3" xfId="28044"/>
    <cellStyle name="40% - Accent4 2 3 2" xfId="28045"/>
    <cellStyle name="40% - Accent4 2 3 2 2" xfId="28046"/>
    <cellStyle name="40% - Accent4 2 3 2 2 2" xfId="28047"/>
    <cellStyle name="40% - Accent4 2 3 2 2 2 2" xfId="28048"/>
    <cellStyle name="40% - Accent4 2 3 2 2 2 2 2" xfId="28049"/>
    <cellStyle name="40% - Accent4 2 3 2 2 2 2 2 2" xfId="28050"/>
    <cellStyle name="40% - Accent4 2 3 2 2 2 3" xfId="28051"/>
    <cellStyle name="40% - Accent4 2 3 2 2 2 3 2" xfId="28052"/>
    <cellStyle name="40% - Accent4 2 3 2 2 3" xfId="28053"/>
    <cellStyle name="40% - Accent4 2 3 2 2 3 2" xfId="28054"/>
    <cellStyle name="40% - Accent4 2 3 2 2 3 2 2" xfId="28055"/>
    <cellStyle name="40% - Accent4 2 3 2 2 4" xfId="28056"/>
    <cellStyle name="40% - Accent4 2 3 2 2 4 2" xfId="28057"/>
    <cellStyle name="40% - Accent4 2 3 2 3" xfId="28058"/>
    <cellStyle name="40% - Accent4 2 3 2 3 2" xfId="28059"/>
    <cellStyle name="40% - Accent4 2 3 2 3 2 2" xfId="28060"/>
    <cellStyle name="40% - Accent4 2 3 2 3 2 2 2" xfId="28061"/>
    <cellStyle name="40% - Accent4 2 3 2 3 3" xfId="28062"/>
    <cellStyle name="40% - Accent4 2 3 2 3 3 2" xfId="28063"/>
    <cellStyle name="40% - Accent4 2 3 2 4" xfId="28064"/>
    <cellStyle name="40% - Accent4 2 3 2 4 2" xfId="28065"/>
    <cellStyle name="40% - Accent4 2 3 2 4 2 2" xfId="28066"/>
    <cellStyle name="40% - Accent4 2 3 2 5" xfId="28067"/>
    <cellStyle name="40% - Accent4 2 3 2 5 2" xfId="28068"/>
    <cellStyle name="40% - Accent4 2 3 3" xfId="28069"/>
    <cellStyle name="40% - Accent4 2 3 3 2" xfId="28070"/>
    <cellStyle name="40% - Accent4 2 3 3 2 2" xfId="28071"/>
    <cellStyle name="40% - Accent4 2 3 3 2 2 2" xfId="28072"/>
    <cellStyle name="40% - Accent4 2 3 3 2 2 2 2" xfId="28073"/>
    <cellStyle name="40% - Accent4 2 3 3 2 3" xfId="28074"/>
    <cellStyle name="40% - Accent4 2 3 3 2 3 2" xfId="28075"/>
    <cellStyle name="40% - Accent4 2 3 3 3" xfId="28076"/>
    <cellStyle name="40% - Accent4 2 3 3 3 2" xfId="28077"/>
    <cellStyle name="40% - Accent4 2 3 3 3 2 2" xfId="28078"/>
    <cellStyle name="40% - Accent4 2 3 3 4" xfId="28079"/>
    <cellStyle name="40% - Accent4 2 3 3 4 2" xfId="28080"/>
    <cellStyle name="40% - Accent4 2 3 4" xfId="28081"/>
    <cellStyle name="40% - Accent4 2 3 4 2" xfId="28082"/>
    <cellStyle name="40% - Accent4 2 3 4 2 2" xfId="28083"/>
    <cellStyle name="40% - Accent4 2 3 4 2 2 2" xfId="28084"/>
    <cellStyle name="40% - Accent4 2 3 4 3" xfId="28085"/>
    <cellStyle name="40% - Accent4 2 3 4 3 2" xfId="28086"/>
    <cellStyle name="40% - Accent4 2 3 5" xfId="28087"/>
    <cellStyle name="40% - Accent4 2 3 5 2" xfId="28088"/>
    <cellStyle name="40% - Accent4 2 3 5 2 2" xfId="28089"/>
    <cellStyle name="40% - Accent4 2 3 6" xfId="28090"/>
    <cellStyle name="40% - Accent4 2 3 6 2" xfId="28091"/>
    <cellStyle name="40% - Accent4 2 3 7" xfId="28092"/>
    <cellStyle name="40% - Accent4 2 4" xfId="28093"/>
    <cellStyle name="40% - Accent4 2 4 2" xfId="28094"/>
    <cellStyle name="40% - Accent4 2 4 2 2" xfId="28095"/>
    <cellStyle name="40% - Accent4 2 4 2 2 2" xfId="28096"/>
    <cellStyle name="40% - Accent4 2 4 2 2 2 2" xfId="28097"/>
    <cellStyle name="40% - Accent4 2 4 2 2 2 2 2" xfId="28098"/>
    <cellStyle name="40% - Accent4 2 4 2 2 2 2 2 2" xfId="28099"/>
    <cellStyle name="40% - Accent4 2 4 2 2 2 3" xfId="28100"/>
    <cellStyle name="40% - Accent4 2 4 2 2 2 3 2" xfId="28101"/>
    <cellStyle name="40% - Accent4 2 4 2 2 3" xfId="28102"/>
    <cellStyle name="40% - Accent4 2 4 2 2 3 2" xfId="28103"/>
    <cellStyle name="40% - Accent4 2 4 2 2 3 2 2" xfId="28104"/>
    <cellStyle name="40% - Accent4 2 4 2 2 4" xfId="28105"/>
    <cellStyle name="40% - Accent4 2 4 2 2 4 2" xfId="28106"/>
    <cellStyle name="40% - Accent4 2 4 2 3" xfId="28107"/>
    <cellStyle name="40% - Accent4 2 4 2 3 2" xfId="28108"/>
    <cellStyle name="40% - Accent4 2 4 2 3 2 2" xfId="28109"/>
    <cellStyle name="40% - Accent4 2 4 2 3 2 2 2" xfId="28110"/>
    <cellStyle name="40% - Accent4 2 4 2 3 3" xfId="28111"/>
    <cellStyle name="40% - Accent4 2 4 2 3 3 2" xfId="28112"/>
    <cellStyle name="40% - Accent4 2 4 2 4" xfId="28113"/>
    <cellStyle name="40% - Accent4 2 4 2 4 2" xfId="28114"/>
    <cellStyle name="40% - Accent4 2 4 2 4 2 2" xfId="28115"/>
    <cellStyle name="40% - Accent4 2 4 2 5" xfId="28116"/>
    <cellStyle name="40% - Accent4 2 4 2 5 2" xfId="28117"/>
    <cellStyle name="40% - Accent4 2 4 3" xfId="28118"/>
    <cellStyle name="40% - Accent4 2 4 3 2" xfId="28119"/>
    <cellStyle name="40% - Accent4 2 4 3 2 2" xfId="28120"/>
    <cellStyle name="40% - Accent4 2 4 3 2 2 2" xfId="28121"/>
    <cellStyle name="40% - Accent4 2 4 3 2 2 2 2" xfId="28122"/>
    <cellStyle name="40% - Accent4 2 4 3 2 3" xfId="28123"/>
    <cellStyle name="40% - Accent4 2 4 3 2 3 2" xfId="28124"/>
    <cellStyle name="40% - Accent4 2 4 3 3" xfId="28125"/>
    <cellStyle name="40% - Accent4 2 4 3 3 2" xfId="28126"/>
    <cellStyle name="40% - Accent4 2 4 3 3 2 2" xfId="28127"/>
    <cellStyle name="40% - Accent4 2 4 3 4" xfId="28128"/>
    <cellStyle name="40% - Accent4 2 4 3 4 2" xfId="28129"/>
    <cellStyle name="40% - Accent4 2 4 4" xfId="28130"/>
    <cellStyle name="40% - Accent4 2 4 4 2" xfId="28131"/>
    <cellStyle name="40% - Accent4 2 4 4 2 2" xfId="28132"/>
    <cellStyle name="40% - Accent4 2 4 4 2 2 2" xfId="28133"/>
    <cellStyle name="40% - Accent4 2 4 4 3" xfId="28134"/>
    <cellStyle name="40% - Accent4 2 4 4 3 2" xfId="28135"/>
    <cellStyle name="40% - Accent4 2 4 5" xfId="28136"/>
    <cellStyle name="40% - Accent4 2 4 5 2" xfId="28137"/>
    <cellStyle name="40% - Accent4 2 4 5 2 2" xfId="28138"/>
    <cellStyle name="40% - Accent4 2 4 6" xfId="28139"/>
    <cellStyle name="40% - Accent4 2 4 6 2" xfId="28140"/>
    <cellStyle name="40% - Accent4 2 4 7" xfId="28141"/>
    <cellStyle name="40% - Accent4 2 5" xfId="28142"/>
    <cellStyle name="40% - Accent4 2 5 2" xfId="28143"/>
    <cellStyle name="40% - Accent4 2 5 2 2" xfId="28144"/>
    <cellStyle name="40% - Accent4 2 5 2 2 2" xfId="28145"/>
    <cellStyle name="40% - Accent4 2 5 2 2 2 2" xfId="28146"/>
    <cellStyle name="40% - Accent4 2 5 2 2 2 2 2" xfId="28147"/>
    <cellStyle name="40% - Accent4 2 5 2 2 2 2 2 2" xfId="28148"/>
    <cellStyle name="40% - Accent4 2 5 2 2 2 3" xfId="28149"/>
    <cellStyle name="40% - Accent4 2 5 2 2 2 3 2" xfId="28150"/>
    <cellStyle name="40% - Accent4 2 5 2 2 3" xfId="28151"/>
    <cellStyle name="40% - Accent4 2 5 2 2 3 2" xfId="28152"/>
    <cellStyle name="40% - Accent4 2 5 2 2 3 2 2" xfId="28153"/>
    <cellStyle name="40% - Accent4 2 5 2 2 4" xfId="28154"/>
    <cellStyle name="40% - Accent4 2 5 2 2 4 2" xfId="28155"/>
    <cellStyle name="40% - Accent4 2 5 2 3" xfId="28156"/>
    <cellStyle name="40% - Accent4 2 5 2 3 2" xfId="28157"/>
    <cellStyle name="40% - Accent4 2 5 2 3 2 2" xfId="28158"/>
    <cellStyle name="40% - Accent4 2 5 2 3 2 2 2" xfId="28159"/>
    <cellStyle name="40% - Accent4 2 5 2 3 3" xfId="28160"/>
    <cellStyle name="40% - Accent4 2 5 2 3 3 2" xfId="28161"/>
    <cellStyle name="40% - Accent4 2 5 2 4" xfId="28162"/>
    <cellStyle name="40% - Accent4 2 5 2 4 2" xfId="28163"/>
    <cellStyle name="40% - Accent4 2 5 2 4 2 2" xfId="28164"/>
    <cellStyle name="40% - Accent4 2 5 2 5" xfId="28165"/>
    <cellStyle name="40% - Accent4 2 5 2 5 2" xfId="28166"/>
    <cellStyle name="40% - Accent4 2 5 3" xfId="28167"/>
    <cellStyle name="40% - Accent4 2 5 3 2" xfId="28168"/>
    <cellStyle name="40% - Accent4 2 5 3 2 2" xfId="28169"/>
    <cellStyle name="40% - Accent4 2 5 3 2 2 2" xfId="28170"/>
    <cellStyle name="40% - Accent4 2 5 3 2 2 2 2" xfId="28171"/>
    <cellStyle name="40% - Accent4 2 5 3 2 3" xfId="28172"/>
    <cellStyle name="40% - Accent4 2 5 3 2 3 2" xfId="28173"/>
    <cellStyle name="40% - Accent4 2 5 3 3" xfId="28174"/>
    <cellStyle name="40% - Accent4 2 5 3 3 2" xfId="28175"/>
    <cellStyle name="40% - Accent4 2 5 3 3 2 2" xfId="28176"/>
    <cellStyle name="40% - Accent4 2 5 3 4" xfId="28177"/>
    <cellStyle name="40% - Accent4 2 5 3 4 2" xfId="28178"/>
    <cellStyle name="40% - Accent4 2 5 4" xfId="28179"/>
    <cellStyle name="40% - Accent4 2 5 4 2" xfId="28180"/>
    <cellStyle name="40% - Accent4 2 5 4 2 2" xfId="28181"/>
    <cellStyle name="40% - Accent4 2 5 4 2 2 2" xfId="28182"/>
    <cellStyle name="40% - Accent4 2 5 4 3" xfId="28183"/>
    <cellStyle name="40% - Accent4 2 5 4 3 2" xfId="28184"/>
    <cellStyle name="40% - Accent4 2 5 5" xfId="28185"/>
    <cellStyle name="40% - Accent4 2 5 5 2" xfId="28186"/>
    <cellStyle name="40% - Accent4 2 5 5 2 2" xfId="28187"/>
    <cellStyle name="40% - Accent4 2 5 6" xfId="28188"/>
    <cellStyle name="40% - Accent4 2 5 6 2" xfId="28189"/>
    <cellStyle name="40% - Accent4 2 5 7" xfId="28190"/>
    <cellStyle name="40% - Accent4 2 6" xfId="28191"/>
    <cellStyle name="40% - Accent4 2 6 2" xfId="28192"/>
    <cellStyle name="40% - Accent4 2 6 2 2" xfId="28193"/>
    <cellStyle name="40% - Accent4 2 6 2 2 2" xfId="28194"/>
    <cellStyle name="40% - Accent4 2 6 2 2 2 2" xfId="28195"/>
    <cellStyle name="40% - Accent4 2 6 2 2 2 2 2" xfId="28196"/>
    <cellStyle name="40% - Accent4 2 6 2 2 2 2 2 2" xfId="28197"/>
    <cellStyle name="40% - Accent4 2 6 2 2 2 3" xfId="28198"/>
    <cellStyle name="40% - Accent4 2 6 2 2 2 3 2" xfId="28199"/>
    <cellStyle name="40% - Accent4 2 6 2 2 3" xfId="28200"/>
    <cellStyle name="40% - Accent4 2 6 2 2 3 2" xfId="28201"/>
    <cellStyle name="40% - Accent4 2 6 2 2 3 2 2" xfId="28202"/>
    <cellStyle name="40% - Accent4 2 6 2 2 4" xfId="28203"/>
    <cellStyle name="40% - Accent4 2 6 2 2 4 2" xfId="28204"/>
    <cellStyle name="40% - Accent4 2 6 2 3" xfId="28205"/>
    <cellStyle name="40% - Accent4 2 6 2 3 2" xfId="28206"/>
    <cellStyle name="40% - Accent4 2 6 2 3 2 2" xfId="28207"/>
    <cellStyle name="40% - Accent4 2 6 2 3 2 2 2" xfId="28208"/>
    <cellStyle name="40% - Accent4 2 6 2 3 3" xfId="28209"/>
    <cellStyle name="40% - Accent4 2 6 2 3 3 2" xfId="28210"/>
    <cellStyle name="40% - Accent4 2 6 2 4" xfId="28211"/>
    <cellStyle name="40% - Accent4 2 6 2 4 2" xfId="28212"/>
    <cellStyle name="40% - Accent4 2 6 2 4 2 2" xfId="28213"/>
    <cellStyle name="40% - Accent4 2 6 2 5" xfId="28214"/>
    <cellStyle name="40% - Accent4 2 6 2 5 2" xfId="28215"/>
    <cellStyle name="40% - Accent4 2 6 3" xfId="28216"/>
    <cellStyle name="40% - Accent4 2 6 3 2" xfId="28217"/>
    <cellStyle name="40% - Accent4 2 6 3 2 2" xfId="28218"/>
    <cellStyle name="40% - Accent4 2 6 3 2 2 2" xfId="28219"/>
    <cellStyle name="40% - Accent4 2 6 3 2 2 2 2" xfId="28220"/>
    <cellStyle name="40% - Accent4 2 6 3 2 3" xfId="28221"/>
    <cellStyle name="40% - Accent4 2 6 3 2 3 2" xfId="28222"/>
    <cellStyle name="40% - Accent4 2 6 3 3" xfId="28223"/>
    <cellStyle name="40% - Accent4 2 6 3 3 2" xfId="28224"/>
    <cellStyle name="40% - Accent4 2 6 3 3 2 2" xfId="28225"/>
    <cellStyle name="40% - Accent4 2 6 3 4" xfId="28226"/>
    <cellStyle name="40% - Accent4 2 6 3 4 2" xfId="28227"/>
    <cellStyle name="40% - Accent4 2 6 4" xfId="28228"/>
    <cellStyle name="40% - Accent4 2 6 4 2" xfId="28229"/>
    <cellStyle name="40% - Accent4 2 6 4 2 2" xfId="28230"/>
    <cellStyle name="40% - Accent4 2 6 4 2 2 2" xfId="28231"/>
    <cellStyle name="40% - Accent4 2 6 4 3" xfId="28232"/>
    <cellStyle name="40% - Accent4 2 6 4 3 2" xfId="28233"/>
    <cellStyle name="40% - Accent4 2 6 5" xfId="28234"/>
    <cellStyle name="40% - Accent4 2 6 5 2" xfId="28235"/>
    <cellStyle name="40% - Accent4 2 6 5 2 2" xfId="28236"/>
    <cellStyle name="40% - Accent4 2 6 6" xfId="28237"/>
    <cellStyle name="40% - Accent4 2 6 6 2" xfId="28238"/>
    <cellStyle name="40% - Accent4 2 6 7" xfId="28239"/>
    <cellStyle name="40% - Accent4 2 7" xfId="28240"/>
    <cellStyle name="40% - Accent4 2 7 2" xfId="28241"/>
    <cellStyle name="40% - Accent4 2 7 2 2" xfId="28242"/>
    <cellStyle name="40% - Accent4 2 7 2 2 2" xfId="28243"/>
    <cellStyle name="40% - Accent4 2 7 2 2 2 2" xfId="28244"/>
    <cellStyle name="40% - Accent4 2 7 2 2 2 2 2" xfId="28245"/>
    <cellStyle name="40% - Accent4 2 7 2 2 2 2 2 2" xfId="28246"/>
    <cellStyle name="40% - Accent4 2 7 2 2 2 3" xfId="28247"/>
    <cellStyle name="40% - Accent4 2 7 2 2 2 3 2" xfId="28248"/>
    <cellStyle name="40% - Accent4 2 7 2 2 3" xfId="28249"/>
    <cellStyle name="40% - Accent4 2 7 2 2 3 2" xfId="28250"/>
    <cellStyle name="40% - Accent4 2 7 2 2 3 2 2" xfId="28251"/>
    <cellStyle name="40% - Accent4 2 7 2 2 4" xfId="28252"/>
    <cellStyle name="40% - Accent4 2 7 2 2 4 2" xfId="28253"/>
    <cellStyle name="40% - Accent4 2 7 2 3" xfId="28254"/>
    <cellStyle name="40% - Accent4 2 7 2 3 2" xfId="28255"/>
    <cellStyle name="40% - Accent4 2 7 2 3 2 2" xfId="28256"/>
    <cellStyle name="40% - Accent4 2 7 2 3 2 2 2" xfId="28257"/>
    <cellStyle name="40% - Accent4 2 7 2 3 3" xfId="28258"/>
    <cellStyle name="40% - Accent4 2 7 2 3 3 2" xfId="28259"/>
    <cellStyle name="40% - Accent4 2 7 2 4" xfId="28260"/>
    <cellStyle name="40% - Accent4 2 7 2 4 2" xfId="28261"/>
    <cellStyle name="40% - Accent4 2 7 2 4 2 2" xfId="28262"/>
    <cellStyle name="40% - Accent4 2 7 2 5" xfId="28263"/>
    <cellStyle name="40% - Accent4 2 7 2 5 2" xfId="28264"/>
    <cellStyle name="40% - Accent4 2 7 3" xfId="28265"/>
    <cellStyle name="40% - Accent4 2 7 3 2" xfId="28266"/>
    <cellStyle name="40% - Accent4 2 7 3 2 2" xfId="28267"/>
    <cellStyle name="40% - Accent4 2 7 3 2 2 2" xfId="28268"/>
    <cellStyle name="40% - Accent4 2 7 3 2 2 2 2" xfId="28269"/>
    <cellStyle name="40% - Accent4 2 7 3 2 3" xfId="28270"/>
    <cellStyle name="40% - Accent4 2 7 3 2 3 2" xfId="28271"/>
    <cellStyle name="40% - Accent4 2 7 3 3" xfId="28272"/>
    <cellStyle name="40% - Accent4 2 7 3 3 2" xfId="28273"/>
    <cellStyle name="40% - Accent4 2 7 3 3 2 2" xfId="28274"/>
    <cellStyle name="40% - Accent4 2 7 3 4" xfId="28275"/>
    <cellStyle name="40% - Accent4 2 7 3 4 2" xfId="28276"/>
    <cellStyle name="40% - Accent4 2 7 4" xfId="28277"/>
    <cellStyle name="40% - Accent4 2 7 4 2" xfId="28278"/>
    <cellStyle name="40% - Accent4 2 7 4 2 2" xfId="28279"/>
    <cellStyle name="40% - Accent4 2 7 4 2 2 2" xfId="28280"/>
    <cellStyle name="40% - Accent4 2 7 4 3" xfId="28281"/>
    <cellStyle name="40% - Accent4 2 7 4 3 2" xfId="28282"/>
    <cellStyle name="40% - Accent4 2 7 5" xfId="28283"/>
    <cellStyle name="40% - Accent4 2 7 5 2" xfId="28284"/>
    <cellStyle name="40% - Accent4 2 7 5 2 2" xfId="28285"/>
    <cellStyle name="40% - Accent4 2 7 6" xfId="28286"/>
    <cellStyle name="40% - Accent4 2 7 6 2" xfId="28287"/>
    <cellStyle name="40% - Accent4 2 7 7" xfId="28288"/>
    <cellStyle name="40% - Accent4 2 8" xfId="28289"/>
    <cellStyle name="40% - Accent4 2 8 2" xfId="28290"/>
    <cellStyle name="40% - Accent4 2 8 2 2" xfId="28291"/>
    <cellStyle name="40% - Accent4 2 8 2 2 2" xfId="28292"/>
    <cellStyle name="40% - Accent4 2 8 2 2 2 2" xfId="28293"/>
    <cellStyle name="40% - Accent4 2 8 2 2 2 2 2" xfId="28294"/>
    <cellStyle name="40% - Accent4 2 8 2 2 2 2 2 2" xfId="28295"/>
    <cellStyle name="40% - Accent4 2 8 2 2 2 3" xfId="28296"/>
    <cellStyle name="40% - Accent4 2 8 2 2 2 3 2" xfId="28297"/>
    <cellStyle name="40% - Accent4 2 8 2 2 3" xfId="28298"/>
    <cellStyle name="40% - Accent4 2 8 2 2 3 2" xfId="28299"/>
    <cellStyle name="40% - Accent4 2 8 2 2 3 2 2" xfId="28300"/>
    <cellStyle name="40% - Accent4 2 8 2 2 4" xfId="28301"/>
    <cellStyle name="40% - Accent4 2 8 2 2 4 2" xfId="28302"/>
    <cellStyle name="40% - Accent4 2 8 2 3" xfId="28303"/>
    <cellStyle name="40% - Accent4 2 8 2 3 2" xfId="28304"/>
    <cellStyle name="40% - Accent4 2 8 2 3 2 2" xfId="28305"/>
    <cellStyle name="40% - Accent4 2 8 2 3 2 2 2" xfId="28306"/>
    <cellStyle name="40% - Accent4 2 8 2 3 3" xfId="28307"/>
    <cellStyle name="40% - Accent4 2 8 2 3 3 2" xfId="28308"/>
    <cellStyle name="40% - Accent4 2 8 2 4" xfId="28309"/>
    <cellStyle name="40% - Accent4 2 8 2 4 2" xfId="28310"/>
    <cellStyle name="40% - Accent4 2 8 2 4 2 2" xfId="28311"/>
    <cellStyle name="40% - Accent4 2 8 2 5" xfId="28312"/>
    <cellStyle name="40% - Accent4 2 8 2 5 2" xfId="28313"/>
    <cellStyle name="40% - Accent4 2 8 3" xfId="28314"/>
    <cellStyle name="40% - Accent4 2 8 3 2" xfId="28315"/>
    <cellStyle name="40% - Accent4 2 8 3 2 2" xfId="28316"/>
    <cellStyle name="40% - Accent4 2 8 3 2 2 2" xfId="28317"/>
    <cellStyle name="40% - Accent4 2 8 3 2 2 2 2" xfId="28318"/>
    <cellStyle name="40% - Accent4 2 8 3 2 3" xfId="28319"/>
    <cellStyle name="40% - Accent4 2 8 3 2 3 2" xfId="28320"/>
    <cellStyle name="40% - Accent4 2 8 3 3" xfId="28321"/>
    <cellStyle name="40% - Accent4 2 8 3 3 2" xfId="28322"/>
    <cellStyle name="40% - Accent4 2 8 3 3 2 2" xfId="28323"/>
    <cellStyle name="40% - Accent4 2 8 3 4" xfId="28324"/>
    <cellStyle name="40% - Accent4 2 8 3 4 2" xfId="28325"/>
    <cellStyle name="40% - Accent4 2 8 4" xfId="28326"/>
    <cellStyle name="40% - Accent4 2 8 4 2" xfId="28327"/>
    <cellStyle name="40% - Accent4 2 8 4 2 2" xfId="28328"/>
    <cellStyle name="40% - Accent4 2 8 4 2 2 2" xfId="28329"/>
    <cellStyle name="40% - Accent4 2 8 4 3" xfId="28330"/>
    <cellStyle name="40% - Accent4 2 8 4 3 2" xfId="28331"/>
    <cellStyle name="40% - Accent4 2 8 5" xfId="28332"/>
    <cellStyle name="40% - Accent4 2 8 5 2" xfId="28333"/>
    <cellStyle name="40% - Accent4 2 8 5 2 2" xfId="28334"/>
    <cellStyle name="40% - Accent4 2 8 6" xfId="28335"/>
    <cellStyle name="40% - Accent4 2 8 6 2" xfId="28336"/>
    <cellStyle name="40% - Accent4 2 8 7" xfId="28337"/>
    <cellStyle name="40% - Accent4 2 9" xfId="28338"/>
    <cellStyle name="40% - Accent4 2 9 2" xfId="28339"/>
    <cellStyle name="40% - Accent4 2 9 2 2" xfId="28340"/>
    <cellStyle name="40% - Accent4 2 9 2 2 2" xfId="28341"/>
    <cellStyle name="40% - Accent4 2 9 2 2 2 2" xfId="28342"/>
    <cellStyle name="40% - Accent4 2 9 2 2 2 2 2" xfId="28343"/>
    <cellStyle name="40% - Accent4 2 9 2 2 2 2 2 2" xfId="28344"/>
    <cellStyle name="40% - Accent4 2 9 2 2 2 3" xfId="28345"/>
    <cellStyle name="40% - Accent4 2 9 2 2 2 3 2" xfId="28346"/>
    <cellStyle name="40% - Accent4 2 9 2 2 3" xfId="28347"/>
    <cellStyle name="40% - Accent4 2 9 2 2 3 2" xfId="28348"/>
    <cellStyle name="40% - Accent4 2 9 2 2 3 2 2" xfId="28349"/>
    <cellStyle name="40% - Accent4 2 9 2 2 4" xfId="28350"/>
    <cellStyle name="40% - Accent4 2 9 2 2 4 2" xfId="28351"/>
    <cellStyle name="40% - Accent4 2 9 2 3" xfId="28352"/>
    <cellStyle name="40% - Accent4 2 9 2 3 2" xfId="28353"/>
    <cellStyle name="40% - Accent4 2 9 2 3 2 2" xfId="28354"/>
    <cellStyle name="40% - Accent4 2 9 2 3 2 2 2" xfId="28355"/>
    <cellStyle name="40% - Accent4 2 9 2 3 3" xfId="28356"/>
    <cellStyle name="40% - Accent4 2 9 2 3 3 2" xfId="28357"/>
    <cellStyle name="40% - Accent4 2 9 2 4" xfId="28358"/>
    <cellStyle name="40% - Accent4 2 9 2 4 2" xfId="28359"/>
    <cellStyle name="40% - Accent4 2 9 2 4 2 2" xfId="28360"/>
    <cellStyle name="40% - Accent4 2 9 2 5" xfId="28361"/>
    <cellStyle name="40% - Accent4 2 9 2 5 2" xfId="28362"/>
    <cellStyle name="40% - Accent4 2 9 3" xfId="28363"/>
    <cellStyle name="40% - Accent4 2 9 3 2" xfId="28364"/>
    <cellStyle name="40% - Accent4 2 9 3 2 2" xfId="28365"/>
    <cellStyle name="40% - Accent4 2 9 3 2 2 2" xfId="28366"/>
    <cellStyle name="40% - Accent4 2 9 3 2 2 2 2" xfId="28367"/>
    <cellStyle name="40% - Accent4 2 9 3 2 3" xfId="28368"/>
    <cellStyle name="40% - Accent4 2 9 3 2 3 2" xfId="28369"/>
    <cellStyle name="40% - Accent4 2 9 3 3" xfId="28370"/>
    <cellStyle name="40% - Accent4 2 9 3 3 2" xfId="28371"/>
    <cellStyle name="40% - Accent4 2 9 3 3 2 2" xfId="28372"/>
    <cellStyle name="40% - Accent4 2 9 3 4" xfId="28373"/>
    <cellStyle name="40% - Accent4 2 9 3 4 2" xfId="28374"/>
    <cellStyle name="40% - Accent4 2 9 4" xfId="28375"/>
    <cellStyle name="40% - Accent4 2 9 4 2" xfId="28376"/>
    <cellStyle name="40% - Accent4 2 9 4 2 2" xfId="28377"/>
    <cellStyle name="40% - Accent4 2 9 4 2 2 2" xfId="28378"/>
    <cellStyle name="40% - Accent4 2 9 4 3" xfId="28379"/>
    <cellStyle name="40% - Accent4 2 9 4 3 2" xfId="28380"/>
    <cellStyle name="40% - Accent4 2 9 5" xfId="28381"/>
    <cellStyle name="40% - Accent4 2 9 5 2" xfId="28382"/>
    <cellStyle name="40% - Accent4 2 9 5 2 2" xfId="28383"/>
    <cellStyle name="40% - Accent4 2 9 6" xfId="28384"/>
    <cellStyle name="40% - Accent4 2 9 6 2" xfId="28385"/>
    <cellStyle name="40% - Accent4 20" xfId="28386"/>
    <cellStyle name="40% - Accent4 20 2" xfId="28387"/>
    <cellStyle name="40% - Accent4 21" xfId="28388"/>
    <cellStyle name="40% - Accent4 21 2" xfId="28389"/>
    <cellStyle name="40% - Accent4 21 2 2" xfId="28390"/>
    <cellStyle name="40% - Accent4 21 2 2 2" xfId="28391"/>
    <cellStyle name="40% - Accent4 21 2 2 2 2" xfId="28392"/>
    <cellStyle name="40% - Accent4 21 2 2 2 2 2" xfId="28393"/>
    <cellStyle name="40% - Accent4 21 2 2 2 2 2 2" xfId="28394"/>
    <cellStyle name="40% - Accent4 21 2 2 2 3" xfId="28395"/>
    <cellStyle name="40% - Accent4 21 2 2 2 3 2" xfId="28396"/>
    <cellStyle name="40% - Accent4 21 2 2 3" xfId="28397"/>
    <cellStyle name="40% - Accent4 21 2 2 3 2" xfId="28398"/>
    <cellStyle name="40% - Accent4 21 2 2 3 2 2" xfId="28399"/>
    <cellStyle name="40% - Accent4 21 2 2 4" xfId="28400"/>
    <cellStyle name="40% - Accent4 21 2 2 4 2" xfId="28401"/>
    <cellStyle name="40% - Accent4 21 2 3" xfId="28402"/>
    <cellStyle name="40% - Accent4 21 2 3 2" xfId="28403"/>
    <cellStyle name="40% - Accent4 21 2 3 2 2" xfId="28404"/>
    <cellStyle name="40% - Accent4 21 2 3 2 2 2" xfId="28405"/>
    <cellStyle name="40% - Accent4 21 2 3 3" xfId="28406"/>
    <cellStyle name="40% - Accent4 21 2 3 3 2" xfId="28407"/>
    <cellStyle name="40% - Accent4 21 2 4" xfId="28408"/>
    <cellStyle name="40% - Accent4 21 2 4 2" xfId="28409"/>
    <cellStyle name="40% - Accent4 21 2 4 2 2" xfId="28410"/>
    <cellStyle name="40% - Accent4 21 2 5" xfId="28411"/>
    <cellStyle name="40% - Accent4 21 2 5 2" xfId="28412"/>
    <cellStyle name="40% - Accent4 21 3" xfId="28413"/>
    <cellStyle name="40% - Accent4 21 3 2" xfId="28414"/>
    <cellStyle name="40% - Accent4 21 3 2 2" xfId="28415"/>
    <cellStyle name="40% - Accent4 21 3 2 2 2" xfId="28416"/>
    <cellStyle name="40% - Accent4 21 3 2 2 2 2" xfId="28417"/>
    <cellStyle name="40% - Accent4 21 3 2 3" xfId="28418"/>
    <cellStyle name="40% - Accent4 21 3 2 3 2" xfId="28419"/>
    <cellStyle name="40% - Accent4 21 3 3" xfId="28420"/>
    <cellStyle name="40% - Accent4 21 3 3 2" xfId="28421"/>
    <cellStyle name="40% - Accent4 21 3 3 2 2" xfId="28422"/>
    <cellStyle name="40% - Accent4 21 3 4" xfId="28423"/>
    <cellStyle name="40% - Accent4 21 3 4 2" xfId="28424"/>
    <cellStyle name="40% - Accent4 21 4" xfId="28425"/>
    <cellStyle name="40% - Accent4 21 4 2" xfId="28426"/>
    <cellStyle name="40% - Accent4 21 4 2 2" xfId="28427"/>
    <cellStyle name="40% - Accent4 21 4 2 2 2" xfId="28428"/>
    <cellStyle name="40% - Accent4 21 4 3" xfId="28429"/>
    <cellStyle name="40% - Accent4 21 4 3 2" xfId="28430"/>
    <cellStyle name="40% - Accent4 21 5" xfId="28431"/>
    <cellStyle name="40% - Accent4 21 5 2" xfId="28432"/>
    <cellStyle name="40% - Accent4 21 5 2 2" xfId="28433"/>
    <cellStyle name="40% - Accent4 21 6" xfId="28434"/>
    <cellStyle name="40% - Accent4 21 6 2" xfId="28435"/>
    <cellStyle name="40% - Accent4 21 7" xfId="28436"/>
    <cellStyle name="40% - Accent4 22" xfId="28437"/>
    <cellStyle name="40% - Accent4 22 10" xfId="28438"/>
    <cellStyle name="40% - Accent4 22 2" xfId="28439"/>
    <cellStyle name="40% - Accent4 22 2 2" xfId="28440"/>
    <cellStyle name="40% - Accent4 22 2 2 2" xfId="28441"/>
    <cellStyle name="40% - Accent4 22 2 2 2 2" xfId="28442"/>
    <cellStyle name="40% - Accent4 22 2 2 2 2 2" xfId="28443"/>
    <cellStyle name="40% - Accent4 22 2 2 2 2 2 2" xfId="28444"/>
    <cellStyle name="40% - Accent4 22 2 2 2 3" xfId="28445"/>
    <cellStyle name="40% - Accent4 22 2 2 2 3 2" xfId="28446"/>
    <cellStyle name="40% - Accent4 22 2 2 3" xfId="28447"/>
    <cellStyle name="40% - Accent4 22 2 2 3 2" xfId="28448"/>
    <cellStyle name="40% - Accent4 22 2 2 3 2 2" xfId="28449"/>
    <cellStyle name="40% - Accent4 22 2 2 4" xfId="28450"/>
    <cellStyle name="40% - Accent4 22 2 2 4 2" xfId="28451"/>
    <cellStyle name="40% - Accent4 22 2 3" xfId="28452"/>
    <cellStyle name="40% - Accent4 22 2 3 2" xfId="28453"/>
    <cellStyle name="40% - Accent4 22 2 3 2 2" xfId="28454"/>
    <cellStyle name="40% - Accent4 22 2 3 2 2 2" xfId="28455"/>
    <cellStyle name="40% - Accent4 22 2 3 3" xfId="28456"/>
    <cellStyle name="40% - Accent4 22 2 3 3 2" xfId="28457"/>
    <cellStyle name="40% - Accent4 22 2 4" xfId="28458"/>
    <cellStyle name="40% - Accent4 22 2 4 2" xfId="28459"/>
    <cellStyle name="40% - Accent4 22 2 4 2 2" xfId="28460"/>
    <cellStyle name="40% - Accent4 22 2 5" xfId="28461"/>
    <cellStyle name="40% - Accent4 22 2 5 2" xfId="28462"/>
    <cellStyle name="40% - Accent4 22 2 6" xfId="28463"/>
    <cellStyle name="40% - Accent4 22 2 7" xfId="28464"/>
    <cellStyle name="40% - Accent4 22 2 8" xfId="28465"/>
    <cellStyle name="40% - Accent4 22 3" xfId="28466"/>
    <cellStyle name="40% - Accent4 22 3 2" xfId="28467"/>
    <cellStyle name="40% - Accent4 22 3 2 2" xfId="28468"/>
    <cellStyle name="40% - Accent4 22 3 2 2 2" xfId="28469"/>
    <cellStyle name="40% - Accent4 22 3 2 2 2 2" xfId="28470"/>
    <cellStyle name="40% - Accent4 22 3 2 3" xfId="28471"/>
    <cellStyle name="40% - Accent4 22 3 2 3 2" xfId="28472"/>
    <cellStyle name="40% - Accent4 22 3 3" xfId="28473"/>
    <cellStyle name="40% - Accent4 22 3 3 2" xfId="28474"/>
    <cellStyle name="40% - Accent4 22 3 3 2 2" xfId="28475"/>
    <cellStyle name="40% - Accent4 22 3 4" xfId="28476"/>
    <cellStyle name="40% - Accent4 22 3 4 2" xfId="28477"/>
    <cellStyle name="40% - Accent4 22 3 5" xfId="28478"/>
    <cellStyle name="40% - Accent4 22 3 6" xfId="28479"/>
    <cellStyle name="40% - Accent4 22 3 7" xfId="28480"/>
    <cellStyle name="40% - Accent4 22 4" xfId="28481"/>
    <cellStyle name="40% - Accent4 22 4 2" xfId="28482"/>
    <cellStyle name="40% - Accent4 22 4 2 2" xfId="28483"/>
    <cellStyle name="40% - Accent4 22 4 2 2 2" xfId="28484"/>
    <cellStyle name="40% - Accent4 22 4 3" xfId="28485"/>
    <cellStyle name="40% - Accent4 22 4 3 2" xfId="28486"/>
    <cellStyle name="40% - Accent4 22 4 4" xfId="28487"/>
    <cellStyle name="40% - Accent4 22 5" xfId="28488"/>
    <cellStyle name="40% - Accent4 22 5 2" xfId="28489"/>
    <cellStyle name="40% - Accent4 22 5 2 2" xfId="28490"/>
    <cellStyle name="40% - Accent4 22 6" xfId="28491"/>
    <cellStyle name="40% - Accent4 22 6 2" xfId="28492"/>
    <cellStyle name="40% - Accent4 22 7" xfId="28493"/>
    <cellStyle name="40% - Accent4 22 8" xfId="28494"/>
    <cellStyle name="40% - Accent4 22 9" xfId="28495"/>
    <cellStyle name="40% - Accent4 23" xfId="28496"/>
    <cellStyle name="40% - Accent4 23 2" xfId="28497"/>
    <cellStyle name="40% - Accent4 23 2 2" xfId="28498"/>
    <cellStyle name="40% - Accent4 23 2 2 2" xfId="28499"/>
    <cellStyle name="40% - Accent4 23 2 2 2 2" xfId="28500"/>
    <cellStyle name="40% - Accent4 23 2 2 2 2 2" xfId="28501"/>
    <cellStyle name="40% - Accent4 23 2 2 2 2 2 2" xfId="28502"/>
    <cellStyle name="40% - Accent4 23 2 2 2 3" xfId="28503"/>
    <cellStyle name="40% - Accent4 23 2 2 2 3 2" xfId="28504"/>
    <cellStyle name="40% - Accent4 23 2 2 3" xfId="28505"/>
    <cellStyle name="40% - Accent4 23 2 2 3 2" xfId="28506"/>
    <cellStyle name="40% - Accent4 23 2 2 3 2 2" xfId="28507"/>
    <cellStyle name="40% - Accent4 23 2 2 4" xfId="28508"/>
    <cellStyle name="40% - Accent4 23 2 2 4 2" xfId="28509"/>
    <cellStyle name="40% - Accent4 23 2 3" xfId="28510"/>
    <cellStyle name="40% - Accent4 23 2 3 2" xfId="28511"/>
    <cellStyle name="40% - Accent4 23 2 3 2 2" xfId="28512"/>
    <cellStyle name="40% - Accent4 23 2 3 2 2 2" xfId="28513"/>
    <cellStyle name="40% - Accent4 23 2 3 3" xfId="28514"/>
    <cellStyle name="40% - Accent4 23 2 3 3 2" xfId="28515"/>
    <cellStyle name="40% - Accent4 23 2 4" xfId="28516"/>
    <cellStyle name="40% - Accent4 23 2 4 2" xfId="28517"/>
    <cellStyle name="40% - Accent4 23 2 4 2 2" xfId="28518"/>
    <cellStyle name="40% - Accent4 23 2 5" xfId="28519"/>
    <cellStyle name="40% - Accent4 23 2 5 2" xfId="28520"/>
    <cellStyle name="40% - Accent4 23 3" xfId="28521"/>
    <cellStyle name="40% - Accent4 23 3 2" xfId="28522"/>
    <cellStyle name="40% - Accent4 23 3 2 2" xfId="28523"/>
    <cellStyle name="40% - Accent4 23 3 2 2 2" xfId="28524"/>
    <cellStyle name="40% - Accent4 23 3 2 2 2 2" xfId="28525"/>
    <cellStyle name="40% - Accent4 23 3 2 3" xfId="28526"/>
    <cellStyle name="40% - Accent4 23 3 2 3 2" xfId="28527"/>
    <cellStyle name="40% - Accent4 23 3 3" xfId="28528"/>
    <cellStyle name="40% - Accent4 23 3 3 2" xfId="28529"/>
    <cellStyle name="40% - Accent4 23 3 3 2 2" xfId="28530"/>
    <cellStyle name="40% - Accent4 23 3 4" xfId="28531"/>
    <cellStyle name="40% - Accent4 23 3 4 2" xfId="28532"/>
    <cellStyle name="40% - Accent4 23 4" xfId="28533"/>
    <cellStyle name="40% - Accent4 23 4 2" xfId="28534"/>
    <cellStyle name="40% - Accent4 23 4 2 2" xfId="28535"/>
    <cellStyle name="40% - Accent4 23 4 2 2 2" xfId="28536"/>
    <cellStyle name="40% - Accent4 23 4 3" xfId="28537"/>
    <cellStyle name="40% - Accent4 23 4 3 2" xfId="28538"/>
    <cellStyle name="40% - Accent4 23 5" xfId="28539"/>
    <cellStyle name="40% - Accent4 23 5 2" xfId="28540"/>
    <cellStyle name="40% - Accent4 23 5 2 2" xfId="28541"/>
    <cellStyle name="40% - Accent4 23 6" xfId="28542"/>
    <cellStyle name="40% - Accent4 23 6 2" xfId="28543"/>
    <cellStyle name="40% - Accent4 23 7" xfId="28544"/>
    <cellStyle name="40% - Accent4 24" xfId="28545"/>
    <cellStyle name="40% - Accent4 24 2" xfId="28546"/>
    <cellStyle name="40% - Accent4 24 2 2" xfId="28547"/>
    <cellStyle name="40% - Accent4 24 2 2 2" xfId="28548"/>
    <cellStyle name="40% - Accent4 24 2 2 2 2" xfId="28549"/>
    <cellStyle name="40% - Accent4 24 2 2 2 2 2" xfId="28550"/>
    <cellStyle name="40% - Accent4 24 2 2 3" xfId="28551"/>
    <cellStyle name="40% - Accent4 24 2 2 3 2" xfId="28552"/>
    <cellStyle name="40% - Accent4 24 2 3" xfId="28553"/>
    <cellStyle name="40% - Accent4 24 2 3 2" xfId="28554"/>
    <cellStyle name="40% - Accent4 24 2 3 2 2" xfId="28555"/>
    <cellStyle name="40% - Accent4 24 2 4" xfId="28556"/>
    <cellStyle name="40% - Accent4 24 2 4 2" xfId="28557"/>
    <cellStyle name="40% - Accent4 24 3" xfId="28558"/>
    <cellStyle name="40% - Accent4 24 3 2" xfId="28559"/>
    <cellStyle name="40% - Accent4 24 3 2 2" xfId="28560"/>
    <cellStyle name="40% - Accent4 24 3 2 2 2" xfId="28561"/>
    <cellStyle name="40% - Accent4 24 3 3" xfId="28562"/>
    <cellStyle name="40% - Accent4 24 3 3 2" xfId="28563"/>
    <cellStyle name="40% - Accent4 24 4" xfId="28564"/>
    <cellStyle name="40% - Accent4 24 4 2" xfId="28565"/>
    <cellStyle name="40% - Accent4 24 4 2 2" xfId="28566"/>
    <cellStyle name="40% - Accent4 24 5" xfId="28567"/>
    <cellStyle name="40% - Accent4 24 5 2" xfId="28568"/>
    <cellStyle name="40% - Accent4 24 6" xfId="28569"/>
    <cellStyle name="40% - Accent4 25" xfId="28570"/>
    <cellStyle name="40% - Accent4 25 2" xfId="28571"/>
    <cellStyle name="40% - Accent4 25 2 2" xfId="28572"/>
    <cellStyle name="40% - Accent4 25 2 2 2" xfId="28573"/>
    <cellStyle name="40% - Accent4 25 2 2 2 2" xfId="28574"/>
    <cellStyle name="40% - Accent4 25 2 2 2 2 2" xfId="28575"/>
    <cellStyle name="40% - Accent4 25 2 2 3" xfId="28576"/>
    <cellStyle name="40% - Accent4 25 2 2 3 2" xfId="28577"/>
    <cellStyle name="40% - Accent4 25 2 3" xfId="28578"/>
    <cellStyle name="40% - Accent4 25 2 3 2" xfId="28579"/>
    <cellStyle name="40% - Accent4 25 2 3 2 2" xfId="28580"/>
    <cellStyle name="40% - Accent4 25 2 4" xfId="28581"/>
    <cellStyle name="40% - Accent4 25 2 4 2" xfId="28582"/>
    <cellStyle name="40% - Accent4 25 3" xfId="28583"/>
    <cellStyle name="40% - Accent4 25 3 2" xfId="28584"/>
    <cellStyle name="40% - Accent4 25 3 2 2" xfId="28585"/>
    <cellStyle name="40% - Accent4 25 3 2 2 2" xfId="28586"/>
    <cellStyle name="40% - Accent4 25 3 3" xfId="28587"/>
    <cellStyle name="40% - Accent4 25 3 3 2" xfId="28588"/>
    <cellStyle name="40% - Accent4 25 4" xfId="28589"/>
    <cellStyle name="40% - Accent4 25 4 2" xfId="28590"/>
    <cellStyle name="40% - Accent4 25 4 2 2" xfId="28591"/>
    <cellStyle name="40% - Accent4 25 5" xfId="28592"/>
    <cellStyle name="40% - Accent4 25 5 2" xfId="28593"/>
    <cellStyle name="40% - Accent4 25 6" xfId="28594"/>
    <cellStyle name="40% - Accent4 26" xfId="28595"/>
    <cellStyle name="40% - Accent4 26 2" xfId="28596"/>
    <cellStyle name="40% - Accent4 26 2 2" xfId="28597"/>
    <cellStyle name="40% - Accent4 26 2 2 2" xfId="28598"/>
    <cellStyle name="40% - Accent4 26 2 2 2 2" xfId="28599"/>
    <cellStyle name="40% - Accent4 26 2 2 2 2 2" xfId="28600"/>
    <cellStyle name="40% - Accent4 26 2 2 3" xfId="28601"/>
    <cellStyle name="40% - Accent4 26 2 2 3 2" xfId="28602"/>
    <cellStyle name="40% - Accent4 26 2 3" xfId="28603"/>
    <cellStyle name="40% - Accent4 26 2 3 2" xfId="28604"/>
    <cellStyle name="40% - Accent4 26 2 3 2 2" xfId="28605"/>
    <cellStyle name="40% - Accent4 26 2 4" xfId="28606"/>
    <cellStyle name="40% - Accent4 26 2 4 2" xfId="28607"/>
    <cellStyle name="40% - Accent4 26 3" xfId="28608"/>
    <cellStyle name="40% - Accent4 26 3 2" xfId="28609"/>
    <cellStyle name="40% - Accent4 26 3 2 2" xfId="28610"/>
    <cellStyle name="40% - Accent4 26 3 2 2 2" xfId="28611"/>
    <cellStyle name="40% - Accent4 26 3 3" xfId="28612"/>
    <cellStyle name="40% - Accent4 26 3 3 2" xfId="28613"/>
    <cellStyle name="40% - Accent4 26 4" xfId="28614"/>
    <cellStyle name="40% - Accent4 26 4 2" xfId="28615"/>
    <cellStyle name="40% - Accent4 26 4 2 2" xfId="28616"/>
    <cellStyle name="40% - Accent4 26 5" xfId="28617"/>
    <cellStyle name="40% - Accent4 26 5 2" xfId="28618"/>
    <cellStyle name="40% - Accent4 26 6" xfId="28619"/>
    <cellStyle name="40% - Accent4 27" xfId="28620"/>
    <cellStyle name="40% - Accent4 27 2" xfId="28621"/>
    <cellStyle name="40% - Accent4 27 2 2" xfId="28622"/>
    <cellStyle name="40% - Accent4 27 2 2 2" xfId="28623"/>
    <cellStyle name="40% - Accent4 27 2 2 2 2" xfId="28624"/>
    <cellStyle name="40% - Accent4 27 2 2 2 2 2" xfId="28625"/>
    <cellStyle name="40% - Accent4 27 2 2 3" xfId="28626"/>
    <cellStyle name="40% - Accent4 27 2 2 3 2" xfId="28627"/>
    <cellStyle name="40% - Accent4 27 2 3" xfId="28628"/>
    <cellStyle name="40% - Accent4 27 2 3 2" xfId="28629"/>
    <cellStyle name="40% - Accent4 27 2 3 2 2" xfId="28630"/>
    <cellStyle name="40% - Accent4 27 2 4" xfId="28631"/>
    <cellStyle name="40% - Accent4 27 2 4 2" xfId="28632"/>
    <cellStyle name="40% - Accent4 27 3" xfId="28633"/>
    <cellStyle name="40% - Accent4 27 3 2" xfId="28634"/>
    <cellStyle name="40% - Accent4 27 3 2 2" xfId="28635"/>
    <cellStyle name="40% - Accent4 27 3 2 2 2" xfId="28636"/>
    <cellStyle name="40% - Accent4 27 3 3" xfId="28637"/>
    <cellStyle name="40% - Accent4 27 3 3 2" xfId="28638"/>
    <cellStyle name="40% - Accent4 27 4" xfId="28639"/>
    <cellStyle name="40% - Accent4 27 4 2" xfId="28640"/>
    <cellStyle name="40% - Accent4 27 4 2 2" xfId="28641"/>
    <cellStyle name="40% - Accent4 27 5" xfId="28642"/>
    <cellStyle name="40% - Accent4 27 5 2" xfId="28643"/>
    <cellStyle name="40% - Accent4 27 6" xfId="28644"/>
    <cellStyle name="40% - Accent4 28" xfId="28645"/>
    <cellStyle name="40% - Accent4 28 2" xfId="28646"/>
    <cellStyle name="40% - Accent4 28 2 2" xfId="28647"/>
    <cellStyle name="40% - Accent4 28 2 2 2" xfId="28648"/>
    <cellStyle name="40% - Accent4 28 2 2 2 2" xfId="28649"/>
    <cellStyle name="40% - Accent4 28 2 3" xfId="28650"/>
    <cellStyle name="40% - Accent4 28 2 3 2" xfId="28651"/>
    <cellStyle name="40% - Accent4 28 3" xfId="28652"/>
    <cellStyle name="40% - Accent4 28 3 2" xfId="28653"/>
    <cellStyle name="40% - Accent4 28 3 2 2" xfId="28654"/>
    <cellStyle name="40% - Accent4 28 4" xfId="28655"/>
    <cellStyle name="40% - Accent4 28 4 2" xfId="28656"/>
    <cellStyle name="40% - Accent4 28 5" xfId="28657"/>
    <cellStyle name="40% - Accent4 29" xfId="28658"/>
    <cellStyle name="40% - Accent4 29 2" xfId="28659"/>
    <cellStyle name="40% - Accent4 29 2 2" xfId="28660"/>
    <cellStyle name="40% - Accent4 29 2 2 2" xfId="28661"/>
    <cellStyle name="40% - Accent4 29 3" xfId="28662"/>
    <cellStyle name="40% - Accent4 29 3 2" xfId="28663"/>
    <cellStyle name="40% - Accent4 29 4" xfId="28664"/>
    <cellStyle name="40% - Accent4 3" xfId="28665"/>
    <cellStyle name="40% - Accent4 3 10" xfId="28666"/>
    <cellStyle name="40% - Accent4 3 10 2" xfId="28667"/>
    <cellStyle name="40% - Accent4 3 10 2 2" xfId="28668"/>
    <cellStyle name="40% - Accent4 3 10 2 2 2" xfId="28669"/>
    <cellStyle name="40% - Accent4 3 10 2 2 2 2" xfId="28670"/>
    <cellStyle name="40% - Accent4 3 10 2 2 2 2 2" xfId="28671"/>
    <cellStyle name="40% - Accent4 3 10 2 2 2 2 2 2" xfId="28672"/>
    <cellStyle name="40% - Accent4 3 10 2 2 2 3" xfId="28673"/>
    <cellStyle name="40% - Accent4 3 10 2 2 2 3 2" xfId="28674"/>
    <cellStyle name="40% - Accent4 3 10 2 2 3" xfId="28675"/>
    <cellStyle name="40% - Accent4 3 10 2 2 3 2" xfId="28676"/>
    <cellStyle name="40% - Accent4 3 10 2 2 3 2 2" xfId="28677"/>
    <cellStyle name="40% - Accent4 3 10 2 2 4" xfId="28678"/>
    <cellStyle name="40% - Accent4 3 10 2 2 4 2" xfId="28679"/>
    <cellStyle name="40% - Accent4 3 10 2 3" xfId="28680"/>
    <cellStyle name="40% - Accent4 3 10 2 3 2" xfId="28681"/>
    <cellStyle name="40% - Accent4 3 10 2 3 2 2" xfId="28682"/>
    <cellStyle name="40% - Accent4 3 10 2 3 2 2 2" xfId="28683"/>
    <cellStyle name="40% - Accent4 3 10 2 3 3" xfId="28684"/>
    <cellStyle name="40% - Accent4 3 10 2 3 3 2" xfId="28685"/>
    <cellStyle name="40% - Accent4 3 10 2 4" xfId="28686"/>
    <cellStyle name="40% - Accent4 3 10 2 4 2" xfId="28687"/>
    <cellStyle name="40% - Accent4 3 10 2 4 2 2" xfId="28688"/>
    <cellStyle name="40% - Accent4 3 10 2 5" xfId="28689"/>
    <cellStyle name="40% - Accent4 3 10 2 5 2" xfId="28690"/>
    <cellStyle name="40% - Accent4 3 10 3" xfId="28691"/>
    <cellStyle name="40% - Accent4 3 10 3 2" xfId="28692"/>
    <cellStyle name="40% - Accent4 3 10 3 2 2" xfId="28693"/>
    <cellStyle name="40% - Accent4 3 10 3 2 2 2" xfId="28694"/>
    <cellStyle name="40% - Accent4 3 10 3 2 2 2 2" xfId="28695"/>
    <cellStyle name="40% - Accent4 3 10 3 2 3" xfId="28696"/>
    <cellStyle name="40% - Accent4 3 10 3 2 3 2" xfId="28697"/>
    <cellStyle name="40% - Accent4 3 10 3 3" xfId="28698"/>
    <cellStyle name="40% - Accent4 3 10 3 3 2" xfId="28699"/>
    <cellStyle name="40% - Accent4 3 10 3 3 2 2" xfId="28700"/>
    <cellStyle name="40% - Accent4 3 10 3 4" xfId="28701"/>
    <cellStyle name="40% - Accent4 3 10 3 4 2" xfId="28702"/>
    <cellStyle name="40% - Accent4 3 10 4" xfId="28703"/>
    <cellStyle name="40% - Accent4 3 10 4 2" xfId="28704"/>
    <cellStyle name="40% - Accent4 3 10 4 2 2" xfId="28705"/>
    <cellStyle name="40% - Accent4 3 10 4 2 2 2" xfId="28706"/>
    <cellStyle name="40% - Accent4 3 10 4 3" xfId="28707"/>
    <cellStyle name="40% - Accent4 3 10 4 3 2" xfId="28708"/>
    <cellStyle name="40% - Accent4 3 10 5" xfId="28709"/>
    <cellStyle name="40% - Accent4 3 10 5 2" xfId="28710"/>
    <cellStyle name="40% - Accent4 3 10 5 2 2" xfId="28711"/>
    <cellStyle name="40% - Accent4 3 10 6" xfId="28712"/>
    <cellStyle name="40% - Accent4 3 10 6 2" xfId="28713"/>
    <cellStyle name="40% - Accent4 3 10 7" xfId="28714"/>
    <cellStyle name="40% - Accent4 3 10 8" xfId="28715"/>
    <cellStyle name="40% - Accent4 3 10 9" xfId="28716"/>
    <cellStyle name="40% - Accent4 3 11" xfId="28717"/>
    <cellStyle name="40% - Accent4 3 11 2" xfId="28718"/>
    <cellStyle name="40% - Accent4 3 11 2 2" xfId="28719"/>
    <cellStyle name="40% - Accent4 3 11 2 2 2" xfId="28720"/>
    <cellStyle name="40% - Accent4 3 11 2 2 2 2" xfId="28721"/>
    <cellStyle name="40% - Accent4 3 11 2 2 2 2 2" xfId="28722"/>
    <cellStyle name="40% - Accent4 3 11 2 2 2 2 2 2" xfId="28723"/>
    <cellStyle name="40% - Accent4 3 11 2 2 2 3" xfId="28724"/>
    <cellStyle name="40% - Accent4 3 11 2 2 2 3 2" xfId="28725"/>
    <cellStyle name="40% - Accent4 3 11 2 2 3" xfId="28726"/>
    <cellStyle name="40% - Accent4 3 11 2 2 3 2" xfId="28727"/>
    <cellStyle name="40% - Accent4 3 11 2 2 3 2 2" xfId="28728"/>
    <cellStyle name="40% - Accent4 3 11 2 2 4" xfId="28729"/>
    <cellStyle name="40% - Accent4 3 11 2 2 4 2" xfId="28730"/>
    <cellStyle name="40% - Accent4 3 11 2 3" xfId="28731"/>
    <cellStyle name="40% - Accent4 3 11 2 3 2" xfId="28732"/>
    <cellStyle name="40% - Accent4 3 11 2 3 2 2" xfId="28733"/>
    <cellStyle name="40% - Accent4 3 11 2 3 2 2 2" xfId="28734"/>
    <cellStyle name="40% - Accent4 3 11 2 3 3" xfId="28735"/>
    <cellStyle name="40% - Accent4 3 11 2 3 3 2" xfId="28736"/>
    <cellStyle name="40% - Accent4 3 11 2 4" xfId="28737"/>
    <cellStyle name="40% - Accent4 3 11 2 4 2" xfId="28738"/>
    <cellStyle name="40% - Accent4 3 11 2 4 2 2" xfId="28739"/>
    <cellStyle name="40% - Accent4 3 11 2 5" xfId="28740"/>
    <cellStyle name="40% - Accent4 3 11 2 5 2" xfId="28741"/>
    <cellStyle name="40% - Accent4 3 11 3" xfId="28742"/>
    <cellStyle name="40% - Accent4 3 11 3 2" xfId="28743"/>
    <cellStyle name="40% - Accent4 3 11 3 2 2" xfId="28744"/>
    <cellStyle name="40% - Accent4 3 11 3 2 2 2" xfId="28745"/>
    <cellStyle name="40% - Accent4 3 11 3 2 2 2 2" xfId="28746"/>
    <cellStyle name="40% - Accent4 3 11 3 2 3" xfId="28747"/>
    <cellStyle name="40% - Accent4 3 11 3 2 3 2" xfId="28748"/>
    <cellStyle name="40% - Accent4 3 11 3 3" xfId="28749"/>
    <cellStyle name="40% - Accent4 3 11 3 3 2" xfId="28750"/>
    <cellStyle name="40% - Accent4 3 11 3 3 2 2" xfId="28751"/>
    <cellStyle name="40% - Accent4 3 11 3 4" xfId="28752"/>
    <cellStyle name="40% - Accent4 3 11 3 4 2" xfId="28753"/>
    <cellStyle name="40% - Accent4 3 11 4" xfId="28754"/>
    <cellStyle name="40% - Accent4 3 11 4 2" xfId="28755"/>
    <cellStyle name="40% - Accent4 3 11 4 2 2" xfId="28756"/>
    <cellStyle name="40% - Accent4 3 11 4 2 2 2" xfId="28757"/>
    <cellStyle name="40% - Accent4 3 11 4 3" xfId="28758"/>
    <cellStyle name="40% - Accent4 3 11 4 3 2" xfId="28759"/>
    <cellStyle name="40% - Accent4 3 11 5" xfId="28760"/>
    <cellStyle name="40% - Accent4 3 11 5 2" xfId="28761"/>
    <cellStyle name="40% - Accent4 3 11 5 2 2" xfId="28762"/>
    <cellStyle name="40% - Accent4 3 11 6" xfId="28763"/>
    <cellStyle name="40% - Accent4 3 11 6 2" xfId="28764"/>
    <cellStyle name="40% - Accent4 3 11 7" xfId="28765"/>
    <cellStyle name="40% - Accent4 3 12" xfId="28766"/>
    <cellStyle name="40% - Accent4 3 12 2" xfId="28767"/>
    <cellStyle name="40% - Accent4 3 12 2 2" xfId="28768"/>
    <cellStyle name="40% - Accent4 3 12 2 2 2" xfId="28769"/>
    <cellStyle name="40% - Accent4 3 12 2 2 2 2" xfId="28770"/>
    <cellStyle name="40% - Accent4 3 12 2 2 2 2 2" xfId="28771"/>
    <cellStyle name="40% - Accent4 3 12 2 2 2 2 2 2" xfId="28772"/>
    <cellStyle name="40% - Accent4 3 12 2 2 2 3" xfId="28773"/>
    <cellStyle name="40% - Accent4 3 12 2 2 2 3 2" xfId="28774"/>
    <cellStyle name="40% - Accent4 3 12 2 2 3" xfId="28775"/>
    <cellStyle name="40% - Accent4 3 12 2 2 3 2" xfId="28776"/>
    <cellStyle name="40% - Accent4 3 12 2 2 3 2 2" xfId="28777"/>
    <cellStyle name="40% - Accent4 3 12 2 2 4" xfId="28778"/>
    <cellStyle name="40% - Accent4 3 12 2 2 4 2" xfId="28779"/>
    <cellStyle name="40% - Accent4 3 12 2 3" xfId="28780"/>
    <cellStyle name="40% - Accent4 3 12 2 3 2" xfId="28781"/>
    <cellStyle name="40% - Accent4 3 12 2 3 2 2" xfId="28782"/>
    <cellStyle name="40% - Accent4 3 12 2 3 2 2 2" xfId="28783"/>
    <cellStyle name="40% - Accent4 3 12 2 3 3" xfId="28784"/>
    <cellStyle name="40% - Accent4 3 12 2 3 3 2" xfId="28785"/>
    <cellStyle name="40% - Accent4 3 12 2 4" xfId="28786"/>
    <cellStyle name="40% - Accent4 3 12 2 4 2" xfId="28787"/>
    <cellStyle name="40% - Accent4 3 12 2 4 2 2" xfId="28788"/>
    <cellStyle name="40% - Accent4 3 12 2 5" xfId="28789"/>
    <cellStyle name="40% - Accent4 3 12 2 5 2" xfId="28790"/>
    <cellStyle name="40% - Accent4 3 12 3" xfId="28791"/>
    <cellStyle name="40% - Accent4 3 12 3 2" xfId="28792"/>
    <cellStyle name="40% - Accent4 3 12 3 2 2" xfId="28793"/>
    <cellStyle name="40% - Accent4 3 12 3 2 2 2" xfId="28794"/>
    <cellStyle name="40% - Accent4 3 12 3 2 2 2 2" xfId="28795"/>
    <cellStyle name="40% - Accent4 3 12 3 2 3" xfId="28796"/>
    <cellStyle name="40% - Accent4 3 12 3 2 3 2" xfId="28797"/>
    <cellStyle name="40% - Accent4 3 12 3 3" xfId="28798"/>
    <cellStyle name="40% - Accent4 3 12 3 3 2" xfId="28799"/>
    <cellStyle name="40% - Accent4 3 12 3 3 2 2" xfId="28800"/>
    <cellStyle name="40% - Accent4 3 12 3 4" xfId="28801"/>
    <cellStyle name="40% - Accent4 3 12 3 4 2" xfId="28802"/>
    <cellStyle name="40% - Accent4 3 12 4" xfId="28803"/>
    <cellStyle name="40% - Accent4 3 12 4 2" xfId="28804"/>
    <cellStyle name="40% - Accent4 3 12 4 2 2" xfId="28805"/>
    <cellStyle name="40% - Accent4 3 12 4 2 2 2" xfId="28806"/>
    <cellStyle name="40% - Accent4 3 12 4 3" xfId="28807"/>
    <cellStyle name="40% - Accent4 3 12 4 3 2" xfId="28808"/>
    <cellStyle name="40% - Accent4 3 12 5" xfId="28809"/>
    <cellStyle name="40% - Accent4 3 12 5 2" xfId="28810"/>
    <cellStyle name="40% - Accent4 3 12 5 2 2" xfId="28811"/>
    <cellStyle name="40% - Accent4 3 12 6" xfId="28812"/>
    <cellStyle name="40% - Accent4 3 12 6 2" xfId="28813"/>
    <cellStyle name="40% - Accent4 3 13" xfId="28814"/>
    <cellStyle name="40% - Accent4 3 13 2" xfId="28815"/>
    <cellStyle name="40% - Accent4 3 13 2 2" xfId="28816"/>
    <cellStyle name="40% - Accent4 3 13 2 2 2" xfId="28817"/>
    <cellStyle name="40% - Accent4 3 13 2 2 2 2" xfId="28818"/>
    <cellStyle name="40% - Accent4 3 13 2 2 2 2 2" xfId="28819"/>
    <cellStyle name="40% - Accent4 3 13 2 2 2 2 2 2" xfId="28820"/>
    <cellStyle name="40% - Accent4 3 13 2 2 2 3" xfId="28821"/>
    <cellStyle name="40% - Accent4 3 13 2 2 2 3 2" xfId="28822"/>
    <cellStyle name="40% - Accent4 3 13 2 2 3" xfId="28823"/>
    <cellStyle name="40% - Accent4 3 13 2 2 3 2" xfId="28824"/>
    <cellStyle name="40% - Accent4 3 13 2 2 3 2 2" xfId="28825"/>
    <cellStyle name="40% - Accent4 3 13 2 2 4" xfId="28826"/>
    <cellStyle name="40% - Accent4 3 13 2 2 4 2" xfId="28827"/>
    <cellStyle name="40% - Accent4 3 13 2 3" xfId="28828"/>
    <cellStyle name="40% - Accent4 3 13 2 3 2" xfId="28829"/>
    <cellStyle name="40% - Accent4 3 13 2 3 2 2" xfId="28830"/>
    <cellStyle name="40% - Accent4 3 13 2 3 2 2 2" xfId="28831"/>
    <cellStyle name="40% - Accent4 3 13 2 3 3" xfId="28832"/>
    <cellStyle name="40% - Accent4 3 13 2 3 3 2" xfId="28833"/>
    <cellStyle name="40% - Accent4 3 13 2 4" xfId="28834"/>
    <cellStyle name="40% - Accent4 3 13 2 4 2" xfId="28835"/>
    <cellStyle name="40% - Accent4 3 13 2 4 2 2" xfId="28836"/>
    <cellStyle name="40% - Accent4 3 13 2 5" xfId="28837"/>
    <cellStyle name="40% - Accent4 3 13 2 5 2" xfId="28838"/>
    <cellStyle name="40% - Accent4 3 13 3" xfId="28839"/>
    <cellStyle name="40% - Accent4 3 13 3 2" xfId="28840"/>
    <cellStyle name="40% - Accent4 3 13 3 2 2" xfId="28841"/>
    <cellStyle name="40% - Accent4 3 13 3 2 2 2" xfId="28842"/>
    <cellStyle name="40% - Accent4 3 13 3 2 2 2 2" xfId="28843"/>
    <cellStyle name="40% - Accent4 3 13 3 2 3" xfId="28844"/>
    <cellStyle name="40% - Accent4 3 13 3 2 3 2" xfId="28845"/>
    <cellStyle name="40% - Accent4 3 13 3 3" xfId="28846"/>
    <cellStyle name="40% - Accent4 3 13 3 3 2" xfId="28847"/>
    <cellStyle name="40% - Accent4 3 13 3 3 2 2" xfId="28848"/>
    <cellStyle name="40% - Accent4 3 13 3 4" xfId="28849"/>
    <cellStyle name="40% - Accent4 3 13 3 4 2" xfId="28850"/>
    <cellStyle name="40% - Accent4 3 13 4" xfId="28851"/>
    <cellStyle name="40% - Accent4 3 13 4 2" xfId="28852"/>
    <cellStyle name="40% - Accent4 3 13 4 2 2" xfId="28853"/>
    <cellStyle name="40% - Accent4 3 13 4 2 2 2" xfId="28854"/>
    <cellStyle name="40% - Accent4 3 13 4 3" xfId="28855"/>
    <cellStyle name="40% - Accent4 3 13 4 3 2" xfId="28856"/>
    <cellStyle name="40% - Accent4 3 13 5" xfId="28857"/>
    <cellStyle name="40% - Accent4 3 13 5 2" xfId="28858"/>
    <cellStyle name="40% - Accent4 3 13 5 2 2" xfId="28859"/>
    <cellStyle name="40% - Accent4 3 13 6" xfId="28860"/>
    <cellStyle name="40% - Accent4 3 13 6 2" xfId="28861"/>
    <cellStyle name="40% - Accent4 3 14" xfId="28862"/>
    <cellStyle name="40% - Accent4 3 14 2" xfId="28863"/>
    <cellStyle name="40% - Accent4 3 14 2 2" xfId="28864"/>
    <cellStyle name="40% - Accent4 3 14 2 2 2" xfId="28865"/>
    <cellStyle name="40% - Accent4 3 14 2 2 2 2" xfId="28866"/>
    <cellStyle name="40% - Accent4 3 14 2 2 2 2 2" xfId="28867"/>
    <cellStyle name="40% - Accent4 3 14 2 2 3" xfId="28868"/>
    <cellStyle name="40% - Accent4 3 14 2 2 3 2" xfId="28869"/>
    <cellStyle name="40% - Accent4 3 14 2 3" xfId="28870"/>
    <cellStyle name="40% - Accent4 3 14 2 3 2" xfId="28871"/>
    <cellStyle name="40% - Accent4 3 14 2 3 2 2" xfId="28872"/>
    <cellStyle name="40% - Accent4 3 14 2 4" xfId="28873"/>
    <cellStyle name="40% - Accent4 3 14 2 4 2" xfId="28874"/>
    <cellStyle name="40% - Accent4 3 14 3" xfId="28875"/>
    <cellStyle name="40% - Accent4 3 14 3 2" xfId="28876"/>
    <cellStyle name="40% - Accent4 3 14 3 2 2" xfId="28877"/>
    <cellStyle name="40% - Accent4 3 14 3 2 2 2" xfId="28878"/>
    <cellStyle name="40% - Accent4 3 14 3 3" xfId="28879"/>
    <cellStyle name="40% - Accent4 3 14 3 3 2" xfId="28880"/>
    <cellStyle name="40% - Accent4 3 14 4" xfId="28881"/>
    <cellStyle name="40% - Accent4 3 14 4 2" xfId="28882"/>
    <cellStyle name="40% - Accent4 3 14 4 2 2" xfId="28883"/>
    <cellStyle name="40% - Accent4 3 14 5" xfId="28884"/>
    <cellStyle name="40% - Accent4 3 14 5 2" xfId="28885"/>
    <cellStyle name="40% - Accent4 3 15" xfId="28886"/>
    <cellStyle name="40% - Accent4 3 15 2" xfId="28887"/>
    <cellStyle name="40% - Accent4 3 15 2 2" xfId="28888"/>
    <cellStyle name="40% - Accent4 3 15 2 2 2" xfId="28889"/>
    <cellStyle name="40% - Accent4 3 15 2 2 2 2" xfId="28890"/>
    <cellStyle name="40% - Accent4 3 15 2 3" xfId="28891"/>
    <cellStyle name="40% - Accent4 3 15 2 3 2" xfId="28892"/>
    <cellStyle name="40% - Accent4 3 15 3" xfId="28893"/>
    <cellStyle name="40% - Accent4 3 15 3 2" xfId="28894"/>
    <cellStyle name="40% - Accent4 3 15 3 2 2" xfId="28895"/>
    <cellStyle name="40% - Accent4 3 15 4" xfId="28896"/>
    <cellStyle name="40% - Accent4 3 15 4 2" xfId="28897"/>
    <cellStyle name="40% - Accent4 3 16" xfId="28898"/>
    <cellStyle name="40% - Accent4 3 16 2" xfId="28899"/>
    <cellStyle name="40% - Accent4 3 16 2 2" xfId="28900"/>
    <cellStyle name="40% - Accent4 3 16 2 2 2" xfId="28901"/>
    <cellStyle name="40% - Accent4 3 16 3" xfId="28902"/>
    <cellStyle name="40% - Accent4 3 16 3 2" xfId="28903"/>
    <cellStyle name="40% - Accent4 3 17" xfId="28904"/>
    <cellStyle name="40% - Accent4 3 17 2" xfId="28905"/>
    <cellStyle name="40% - Accent4 3 17 2 2" xfId="28906"/>
    <cellStyle name="40% - Accent4 3 18" xfId="28907"/>
    <cellStyle name="40% - Accent4 3 18 2" xfId="28908"/>
    <cellStyle name="40% - Accent4 3 19" xfId="28909"/>
    <cellStyle name="40% - Accent4 3 2" xfId="28910"/>
    <cellStyle name="40% - Accent4 3 2 10" xfId="28911"/>
    <cellStyle name="40% - Accent4 3 2 11" xfId="28912"/>
    <cellStyle name="40% - Accent4 3 2 2" xfId="28913"/>
    <cellStyle name="40% - Accent4 3 2 2 2" xfId="28914"/>
    <cellStyle name="40% - Accent4 3 2 2 2 2" xfId="28915"/>
    <cellStyle name="40% - Accent4 3 2 2 2 2 2" xfId="28916"/>
    <cellStyle name="40% - Accent4 3 2 2 2 2 2 2" xfId="28917"/>
    <cellStyle name="40% - Accent4 3 2 2 2 2 2 2 2" xfId="28918"/>
    <cellStyle name="40% - Accent4 3 2 2 2 2 3" xfId="28919"/>
    <cellStyle name="40% - Accent4 3 2 2 2 2 3 2" xfId="28920"/>
    <cellStyle name="40% - Accent4 3 2 2 2 3" xfId="28921"/>
    <cellStyle name="40% - Accent4 3 2 2 2 3 2" xfId="28922"/>
    <cellStyle name="40% - Accent4 3 2 2 2 3 2 2" xfId="28923"/>
    <cellStyle name="40% - Accent4 3 2 2 2 4" xfId="28924"/>
    <cellStyle name="40% - Accent4 3 2 2 2 4 2" xfId="28925"/>
    <cellStyle name="40% - Accent4 3 2 2 3" xfId="28926"/>
    <cellStyle name="40% - Accent4 3 2 2 3 2" xfId="28927"/>
    <cellStyle name="40% - Accent4 3 2 2 3 2 2" xfId="28928"/>
    <cellStyle name="40% - Accent4 3 2 2 3 2 2 2" xfId="28929"/>
    <cellStyle name="40% - Accent4 3 2 2 3 3" xfId="28930"/>
    <cellStyle name="40% - Accent4 3 2 2 3 3 2" xfId="28931"/>
    <cellStyle name="40% - Accent4 3 2 2 4" xfId="28932"/>
    <cellStyle name="40% - Accent4 3 2 2 4 2" xfId="28933"/>
    <cellStyle name="40% - Accent4 3 2 2 4 2 2" xfId="28934"/>
    <cellStyle name="40% - Accent4 3 2 2 5" xfId="28935"/>
    <cellStyle name="40% - Accent4 3 2 2 5 2" xfId="28936"/>
    <cellStyle name="40% - Accent4 3 2 2 6" xfId="28937"/>
    <cellStyle name="40% - Accent4 3 2 2 7" xfId="28938"/>
    <cellStyle name="40% - Accent4 3 2 2 8" xfId="28939"/>
    <cellStyle name="40% - Accent4 3 2 3" xfId="28940"/>
    <cellStyle name="40% - Accent4 3 2 3 2" xfId="28941"/>
    <cellStyle name="40% - Accent4 3 2 3 2 2" xfId="28942"/>
    <cellStyle name="40% - Accent4 3 2 3 2 2 2" xfId="28943"/>
    <cellStyle name="40% - Accent4 3 2 3 2 2 2 2" xfId="28944"/>
    <cellStyle name="40% - Accent4 3 2 3 2 3" xfId="28945"/>
    <cellStyle name="40% - Accent4 3 2 3 2 3 2" xfId="28946"/>
    <cellStyle name="40% - Accent4 3 2 3 3" xfId="28947"/>
    <cellStyle name="40% - Accent4 3 2 3 3 2" xfId="28948"/>
    <cellStyle name="40% - Accent4 3 2 3 3 2 2" xfId="28949"/>
    <cellStyle name="40% - Accent4 3 2 3 4" xfId="28950"/>
    <cellStyle name="40% - Accent4 3 2 3 4 2" xfId="28951"/>
    <cellStyle name="40% - Accent4 3 2 3 5" xfId="28952"/>
    <cellStyle name="40% - Accent4 3 2 3 6" xfId="28953"/>
    <cellStyle name="40% - Accent4 3 2 3 7" xfId="28954"/>
    <cellStyle name="40% - Accent4 3 2 4" xfId="28955"/>
    <cellStyle name="40% - Accent4 3 2 4 2" xfId="28956"/>
    <cellStyle name="40% - Accent4 3 2 4 2 2" xfId="28957"/>
    <cellStyle name="40% - Accent4 3 2 4 2 2 2" xfId="28958"/>
    <cellStyle name="40% - Accent4 3 2 4 3" xfId="28959"/>
    <cellStyle name="40% - Accent4 3 2 4 3 2" xfId="28960"/>
    <cellStyle name="40% - Accent4 3 2 4 4" xfId="28961"/>
    <cellStyle name="40% - Accent4 3 2 5" xfId="28962"/>
    <cellStyle name="40% - Accent4 3 2 5 2" xfId="28963"/>
    <cellStyle name="40% - Accent4 3 2 5 2 2" xfId="28964"/>
    <cellStyle name="40% - Accent4 3 2 6" xfId="28965"/>
    <cellStyle name="40% - Accent4 3 2 6 2" xfId="28966"/>
    <cellStyle name="40% - Accent4 3 2 7" xfId="28967"/>
    <cellStyle name="40% - Accent4 3 2 8" xfId="28968"/>
    <cellStyle name="40% - Accent4 3 2 9" xfId="28969"/>
    <cellStyle name="40% - Accent4 3 20" xfId="28970"/>
    <cellStyle name="40% - Accent4 3 21" xfId="28971"/>
    <cellStyle name="40% - Accent4 3 22" xfId="28972"/>
    <cellStyle name="40% - Accent4 3 3" xfId="28973"/>
    <cellStyle name="40% - Accent4 3 3 10" xfId="28974"/>
    <cellStyle name="40% - Accent4 3 3 11" xfId="28975"/>
    <cellStyle name="40% - Accent4 3 3 2" xfId="28976"/>
    <cellStyle name="40% - Accent4 3 3 2 2" xfId="28977"/>
    <cellStyle name="40% - Accent4 3 3 2 2 2" xfId="28978"/>
    <cellStyle name="40% - Accent4 3 3 2 2 2 2" xfId="28979"/>
    <cellStyle name="40% - Accent4 3 3 2 2 2 2 2" xfId="28980"/>
    <cellStyle name="40% - Accent4 3 3 2 2 2 2 2 2" xfId="28981"/>
    <cellStyle name="40% - Accent4 3 3 2 2 2 3" xfId="28982"/>
    <cellStyle name="40% - Accent4 3 3 2 2 2 3 2" xfId="28983"/>
    <cellStyle name="40% - Accent4 3 3 2 2 3" xfId="28984"/>
    <cellStyle name="40% - Accent4 3 3 2 2 3 2" xfId="28985"/>
    <cellStyle name="40% - Accent4 3 3 2 2 3 2 2" xfId="28986"/>
    <cellStyle name="40% - Accent4 3 3 2 2 4" xfId="28987"/>
    <cellStyle name="40% - Accent4 3 3 2 2 4 2" xfId="28988"/>
    <cellStyle name="40% - Accent4 3 3 2 3" xfId="28989"/>
    <cellStyle name="40% - Accent4 3 3 2 3 2" xfId="28990"/>
    <cellStyle name="40% - Accent4 3 3 2 3 2 2" xfId="28991"/>
    <cellStyle name="40% - Accent4 3 3 2 3 2 2 2" xfId="28992"/>
    <cellStyle name="40% - Accent4 3 3 2 3 3" xfId="28993"/>
    <cellStyle name="40% - Accent4 3 3 2 3 3 2" xfId="28994"/>
    <cellStyle name="40% - Accent4 3 3 2 4" xfId="28995"/>
    <cellStyle name="40% - Accent4 3 3 2 4 2" xfId="28996"/>
    <cellStyle name="40% - Accent4 3 3 2 4 2 2" xfId="28997"/>
    <cellStyle name="40% - Accent4 3 3 2 5" xfId="28998"/>
    <cellStyle name="40% - Accent4 3 3 2 5 2" xfId="28999"/>
    <cellStyle name="40% - Accent4 3 3 2 6" xfId="29000"/>
    <cellStyle name="40% - Accent4 3 3 2 7" xfId="29001"/>
    <cellStyle name="40% - Accent4 3 3 2 8" xfId="29002"/>
    <cellStyle name="40% - Accent4 3 3 3" xfId="29003"/>
    <cellStyle name="40% - Accent4 3 3 3 2" xfId="29004"/>
    <cellStyle name="40% - Accent4 3 3 3 2 2" xfId="29005"/>
    <cellStyle name="40% - Accent4 3 3 3 2 2 2" xfId="29006"/>
    <cellStyle name="40% - Accent4 3 3 3 2 2 2 2" xfId="29007"/>
    <cellStyle name="40% - Accent4 3 3 3 2 3" xfId="29008"/>
    <cellStyle name="40% - Accent4 3 3 3 2 3 2" xfId="29009"/>
    <cellStyle name="40% - Accent4 3 3 3 3" xfId="29010"/>
    <cellStyle name="40% - Accent4 3 3 3 3 2" xfId="29011"/>
    <cellStyle name="40% - Accent4 3 3 3 3 2 2" xfId="29012"/>
    <cellStyle name="40% - Accent4 3 3 3 4" xfId="29013"/>
    <cellStyle name="40% - Accent4 3 3 3 4 2" xfId="29014"/>
    <cellStyle name="40% - Accent4 3 3 3 5" xfId="29015"/>
    <cellStyle name="40% - Accent4 3 3 3 6" xfId="29016"/>
    <cellStyle name="40% - Accent4 3 3 3 7" xfId="29017"/>
    <cellStyle name="40% - Accent4 3 3 4" xfId="29018"/>
    <cellStyle name="40% - Accent4 3 3 4 2" xfId="29019"/>
    <cellStyle name="40% - Accent4 3 3 4 2 2" xfId="29020"/>
    <cellStyle name="40% - Accent4 3 3 4 2 2 2" xfId="29021"/>
    <cellStyle name="40% - Accent4 3 3 4 3" xfId="29022"/>
    <cellStyle name="40% - Accent4 3 3 4 3 2" xfId="29023"/>
    <cellStyle name="40% - Accent4 3 3 4 4" xfId="29024"/>
    <cellStyle name="40% - Accent4 3 3 5" xfId="29025"/>
    <cellStyle name="40% - Accent4 3 3 5 2" xfId="29026"/>
    <cellStyle name="40% - Accent4 3 3 5 2 2" xfId="29027"/>
    <cellStyle name="40% - Accent4 3 3 6" xfId="29028"/>
    <cellStyle name="40% - Accent4 3 3 6 2" xfId="29029"/>
    <cellStyle name="40% - Accent4 3 3 7" xfId="29030"/>
    <cellStyle name="40% - Accent4 3 3 8" xfId="29031"/>
    <cellStyle name="40% - Accent4 3 3 9" xfId="29032"/>
    <cellStyle name="40% - Accent4 3 4" xfId="29033"/>
    <cellStyle name="40% - Accent4 3 4 2" xfId="29034"/>
    <cellStyle name="40% - Accent4 3 4 2 2" xfId="29035"/>
    <cellStyle name="40% - Accent4 3 4 2 2 2" xfId="29036"/>
    <cellStyle name="40% - Accent4 3 4 2 2 2 2" xfId="29037"/>
    <cellStyle name="40% - Accent4 3 4 2 2 2 2 2" xfId="29038"/>
    <cellStyle name="40% - Accent4 3 4 2 2 2 2 2 2" xfId="29039"/>
    <cellStyle name="40% - Accent4 3 4 2 2 2 3" xfId="29040"/>
    <cellStyle name="40% - Accent4 3 4 2 2 2 3 2" xfId="29041"/>
    <cellStyle name="40% - Accent4 3 4 2 2 3" xfId="29042"/>
    <cellStyle name="40% - Accent4 3 4 2 2 3 2" xfId="29043"/>
    <cellStyle name="40% - Accent4 3 4 2 2 3 2 2" xfId="29044"/>
    <cellStyle name="40% - Accent4 3 4 2 2 4" xfId="29045"/>
    <cellStyle name="40% - Accent4 3 4 2 2 4 2" xfId="29046"/>
    <cellStyle name="40% - Accent4 3 4 2 3" xfId="29047"/>
    <cellStyle name="40% - Accent4 3 4 2 3 2" xfId="29048"/>
    <cellStyle name="40% - Accent4 3 4 2 3 2 2" xfId="29049"/>
    <cellStyle name="40% - Accent4 3 4 2 3 2 2 2" xfId="29050"/>
    <cellStyle name="40% - Accent4 3 4 2 3 3" xfId="29051"/>
    <cellStyle name="40% - Accent4 3 4 2 3 3 2" xfId="29052"/>
    <cellStyle name="40% - Accent4 3 4 2 4" xfId="29053"/>
    <cellStyle name="40% - Accent4 3 4 2 4 2" xfId="29054"/>
    <cellStyle name="40% - Accent4 3 4 2 4 2 2" xfId="29055"/>
    <cellStyle name="40% - Accent4 3 4 2 5" xfId="29056"/>
    <cellStyle name="40% - Accent4 3 4 2 5 2" xfId="29057"/>
    <cellStyle name="40% - Accent4 3 4 3" xfId="29058"/>
    <cellStyle name="40% - Accent4 3 4 3 2" xfId="29059"/>
    <cellStyle name="40% - Accent4 3 4 3 2 2" xfId="29060"/>
    <cellStyle name="40% - Accent4 3 4 3 2 2 2" xfId="29061"/>
    <cellStyle name="40% - Accent4 3 4 3 2 2 2 2" xfId="29062"/>
    <cellStyle name="40% - Accent4 3 4 3 2 3" xfId="29063"/>
    <cellStyle name="40% - Accent4 3 4 3 2 3 2" xfId="29064"/>
    <cellStyle name="40% - Accent4 3 4 3 3" xfId="29065"/>
    <cellStyle name="40% - Accent4 3 4 3 3 2" xfId="29066"/>
    <cellStyle name="40% - Accent4 3 4 3 3 2 2" xfId="29067"/>
    <cellStyle name="40% - Accent4 3 4 3 4" xfId="29068"/>
    <cellStyle name="40% - Accent4 3 4 3 4 2" xfId="29069"/>
    <cellStyle name="40% - Accent4 3 4 4" xfId="29070"/>
    <cellStyle name="40% - Accent4 3 4 4 2" xfId="29071"/>
    <cellStyle name="40% - Accent4 3 4 4 2 2" xfId="29072"/>
    <cellStyle name="40% - Accent4 3 4 4 2 2 2" xfId="29073"/>
    <cellStyle name="40% - Accent4 3 4 4 3" xfId="29074"/>
    <cellStyle name="40% - Accent4 3 4 4 3 2" xfId="29075"/>
    <cellStyle name="40% - Accent4 3 4 5" xfId="29076"/>
    <cellStyle name="40% - Accent4 3 4 5 2" xfId="29077"/>
    <cellStyle name="40% - Accent4 3 4 5 2 2" xfId="29078"/>
    <cellStyle name="40% - Accent4 3 4 6" xfId="29079"/>
    <cellStyle name="40% - Accent4 3 4 6 2" xfId="29080"/>
    <cellStyle name="40% - Accent4 3 4 7" xfId="29081"/>
    <cellStyle name="40% - Accent4 3 5" xfId="29082"/>
    <cellStyle name="40% - Accent4 3 5 2" xfId="29083"/>
    <cellStyle name="40% - Accent4 3 5 2 2" xfId="29084"/>
    <cellStyle name="40% - Accent4 3 5 2 2 2" xfId="29085"/>
    <cellStyle name="40% - Accent4 3 5 2 2 2 2" xfId="29086"/>
    <cellStyle name="40% - Accent4 3 5 2 2 2 2 2" xfId="29087"/>
    <cellStyle name="40% - Accent4 3 5 2 2 2 2 2 2" xfId="29088"/>
    <cellStyle name="40% - Accent4 3 5 2 2 2 3" xfId="29089"/>
    <cellStyle name="40% - Accent4 3 5 2 2 2 3 2" xfId="29090"/>
    <cellStyle name="40% - Accent4 3 5 2 2 3" xfId="29091"/>
    <cellStyle name="40% - Accent4 3 5 2 2 3 2" xfId="29092"/>
    <cellStyle name="40% - Accent4 3 5 2 2 3 2 2" xfId="29093"/>
    <cellStyle name="40% - Accent4 3 5 2 2 4" xfId="29094"/>
    <cellStyle name="40% - Accent4 3 5 2 2 4 2" xfId="29095"/>
    <cellStyle name="40% - Accent4 3 5 2 3" xfId="29096"/>
    <cellStyle name="40% - Accent4 3 5 2 3 2" xfId="29097"/>
    <cellStyle name="40% - Accent4 3 5 2 3 2 2" xfId="29098"/>
    <cellStyle name="40% - Accent4 3 5 2 3 2 2 2" xfId="29099"/>
    <cellStyle name="40% - Accent4 3 5 2 3 3" xfId="29100"/>
    <cellStyle name="40% - Accent4 3 5 2 3 3 2" xfId="29101"/>
    <cellStyle name="40% - Accent4 3 5 2 4" xfId="29102"/>
    <cellStyle name="40% - Accent4 3 5 2 4 2" xfId="29103"/>
    <cellStyle name="40% - Accent4 3 5 2 4 2 2" xfId="29104"/>
    <cellStyle name="40% - Accent4 3 5 2 5" xfId="29105"/>
    <cellStyle name="40% - Accent4 3 5 2 5 2" xfId="29106"/>
    <cellStyle name="40% - Accent4 3 5 3" xfId="29107"/>
    <cellStyle name="40% - Accent4 3 5 3 2" xfId="29108"/>
    <cellStyle name="40% - Accent4 3 5 3 2 2" xfId="29109"/>
    <cellStyle name="40% - Accent4 3 5 3 2 2 2" xfId="29110"/>
    <cellStyle name="40% - Accent4 3 5 3 2 2 2 2" xfId="29111"/>
    <cellStyle name="40% - Accent4 3 5 3 2 3" xfId="29112"/>
    <cellStyle name="40% - Accent4 3 5 3 2 3 2" xfId="29113"/>
    <cellStyle name="40% - Accent4 3 5 3 3" xfId="29114"/>
    <cellStyle name="40% - Accent4 3 5 3 3 2" xfId="29115"/>
    <cellStyle name="40% - Accent4 3 5 3 3 2 2" xfId="29116"/>
    <cellStyle name="40% - Accent4 3 5 3 4" xfId="29117"/>
    <cellStyle name="40% - Accent4 3 5 3 4 2" xfId="29118"/>
    <cellStyle name="40% - Accent4 3 5 4" xfId="29119"/>
    <cellStyle name="40% - Accent4 3 5 4 2" xfId="29120"/>
    <cellStyle name="40% - Accent4 3 5 4 2 2" xfId="29121"/>
    <cellStyle name="40% - Accent4 3 5 4 2 2 2" xfId="29122"/>
    <cellStyle name="40% - Accent4 3 5 4 3" xfId="29123"/>
    <cellStyle name="40% - Accent4 3 5 4 3 2" xfId="29124"/>
    <cellStyle name="40% - Accent4 3 5 5" xfId="29125"/>
    <cellStyle name="40% - Accent4 3 5 5 2" xfId="29126"/>
    <cellStyle name="40% - Accent4 3 5 5 2 2" xfId="29127"/>
    <cellStyle name="40% - Accent4 3 5 6" xfId="29128"/>
    <cellStyle name="40% - Accent4 3 5 6 2" xfId="29129"/>
    <cellStyle name="40% - Accent4 3 5 7" xfId="29130"/>
    <cellStyle name="40% - Accent4 3 6" xfId="29131"/>
    <cellStyle name="40% - Accent4 3 6 2" xfId="29132"/>
    <cellStyle name="40% - Accent4 3 6 2 2" xfId="29133"/>
    <cellStyle name="40% - Accent4 3 6 2 2 2" xfId="29134"/>
    <cellStyle name="40% - Accent4 3 6 2 2 2 2" xfId="29135"/>
    <cellStyle name="40% - Accent4 3 6 2 2 2 2 2" xfId="29136"/>
    <cellStyle name="40% - Accent4 3 6 2 2 2 2 2 2" xfId="29137"/>
    <cellStyle name="40% - Accent4 3 6 2 2 2 3" xfId="29138"/>
    <cellStyle name="40% - Accent4 3 6 2 2 2 3 2" xfId="29139"/>
    <cellStyle name="40% - Accent4 3 6 2 2 3" xfId="29140"/>
    <cellStyle name="40% - Accent4 3 6 2 2 3 2" xfId="29141"/>
    <cellStyle name="40% - Accent4 3 6 2 2 3 2 2" xfId="29142"/>
    <cellStyle name="40% - Accent4 3 6 2 2 4" xfId="29143"/>
    <cellStyle name="40% - Accent4 3 6 2 2 4 2" xfId="29144"/>
    <cellStyle name="40% - Accent4 3 6 2 3" xfId="29145"/>
    <cellStyle name="40% - Accent4 3 6 2 3 2" xfId="29146"/>
    <cellStyle name="40% - Accent4 3 6 2 3 2 2" xfId="29147"/>
    <cellStyle name="40% - Accent4 3 6 2 3 2 2 2" xfId="29148"/>
    <cellStyle name="40% - Accent4 3 6 2 3 3" xfId="29149"/>
    <cellStyle name="40% - Accent4 3 6 2 3 3 2" xfId="29150"/>
    <cellStyle name="40% - Accent4 3 6 2 4" xfId="29151"/>
    <cellStyle name="40% - Accent4 3 6 2 4 2" xfId="29152"/>
    <cellStyle name="40% - Accent4 3 6 2 4 2 2" xfId="29153"/>
    <cellStyle name="40% - Accent4 3 6 2 5" xfId="29154"/>
    <cellStyle name="40% - Accent4 3 6 2 5 2" xfId="29155"/>
    <cellStyle name="40% - Accent4 3 6 3" xfId="29156"/>
    <cellStyle name="40% - Accent4 3 6 3 2" xfId="29157"/>
    <cellStyle name="40% - Accent4 3 6 3 2 2" xfId="29158"/>
    <cellStyle name="40% - Accent4 3 6 3 2 2 2" xfId="29159"/>
    <cellStyle name="40% - Accent4 3 6 3 2 2 2 2" xfId="29160"/>
    <cellStyle name="40% - Accent4 3 6 3 2 3" xfId="29161"/>
    <cellStyle name="40% - Accent4 3 6 3 2 3 2" xfId="29162"/>
    <cellStyle name="40% - Accent4 3 6 3 3" xfId="29163"/>
    <cellStyle name="40% - Accent4 3 6 3 3 2" xfId="29164"/>
    <cellStyle name="40% - Accent4 3 6 3 3 2 2" xfId="29165"/>
    <cellStyle name="40% - Accent4 3 6 3 4" xfId="29166"/>
    <cellStyle name="40% - Accent4 3 6 3 4 2" xfId="29167"/>
    <cellStyle name="40% - Accent4 3 6 4" xfId="29168"/>
    <cellStyle name="40% - Accent4 3 6 4 2" xfId="29169"/>
    <cellStyle name="40% - Accent4 3 6 4 2 2" xfId="29170"/>
    <cellStyle name="40% - Accent4 3 6 4 2 2 2" xfId="29171"/>
    <cellStyle name="40% - Accent4 3 6 4 3" xfId="29172"/>
    <cellStyle name="40% - Accent4 3 6 4 3 2" xfId="29173"/>
    <cellStyle name="40% - Accent4 3 6 5" xfId="29174"/>
    <cellStyle name="40% - Accent4 3 6 5 2" xfId="29175"/>
    <cellStyle name="40% - Accent4 3 6 5 2 2" xfId="29176"/>
    <cellStyle name="40% - Accent4 3 6 6" xfId="29177"/>
    <cellStyle name="40% - Accent4 3 6 6 2" xfId="29178"/>
    <cellStyle name="40% - Accent4 3 6 7" xfId="29179"/>
    <cellStyle name="40% - Accent4 3 7" xfId="29180"/>
    <cellStyle name="40% - Accent4 3 7 2" xfId="29181"/>
    <cellStyle name="40% - Accent4 3 7 2 2" xfId="29182"/>
    <cellStyle name="40% - Accent4 3 7 2 2 2" xfId="29183"/>
    <cellStyle name="40% - Accent4 3 7 2 2 2 2" xfId="29184"/>
    <cellStyle name="40% - Accent4 3 7 2 2 2 2 2" xfId="29185"/>
    <cellStyle name="40% - Accent4 3 7 2 2 2 2 2 2" xfId="29186"/>
    <cellStyle name="40% - Accent4 3 7 2 2 2 3" xfId="29187"/>
    <cellStyle name="40% - Accent4 3 7 2 2 2 3 2" xfId="29188"/>
    <cellStyle name="40% - Accent4 3 7 2 2 3" xfId="29189"/>
    <cellStyle name="40% - Accent4 3 7 2 2 3 2" xfId="29190"/>
    <cellStyle name="40% - Accent4 3 7 2 2 3 2 2" xfId="29191"/>
    <cellStyle name="40% - Accent4 3 7 2 2 4" xfId="29192"/>
    <cellStyle name="40% - Accent4 3 7 2 2 4 2" xfId="29193"/>
    <cellStyle name="40% - Accent4 3 7 2 3" xfId="29194"/>
    <cellStyle name="40% - Accent4 3 7 2 3 2" xfId="29195"/>
    <cellStyle name="40% - Accent4 3 7 2 3 2 2" xfId="29196"/>
    <cellStyle name="40% - Accent4 3 7 2 3 2 2 2" xfId="29197"/>
    <cellStyle name="40% - Accent4 3 7 2 3 3" xfId="29198"/>
    <cellStyle name="40% - Accent4 3 7 2 3 3 2" xfId="29199"/>
    <cellStyle name="40% - Accent4 3 7 2 4" xfId="29200"/>
    <cellStyle name="40% - Accent4 3 7 2 4 2" xfId="29201"/>
    <cellStyle name="40% - Accent4 3 7 2 4 2 2" xfId="29202"/>
    <cellStyle name="40% - Accent4 3 7 2 5" xfId="29203"/>
    <cellStyle name="40% - Accent4 3 7 2 5 2" xfId="29204"/>
    <cellStyle name="40% - Accent4 3 7 3" xfId="29205"/>
    <cellStyle name="40% - Accent4 3 7 3 2" xfId="29206"/>
    <cellStyle name="40% - Accent4 3 7 3 2 2" xfId="29207"/>
    <cellStyle name="40% - Accent4 3 7 3 2 2 2" xfId="29208"/>
    <cellStyle name="40% - Accent4 3 7 3 2 2 2 2" xfId="29209"/>
    <cellStyle name="40% - Accent4 3 7 3 2 3" xfId="29210"/>
    <cellStyle name="40% - Accent4 3 7 3 2 3 2" xfId="29211"/>
    <cellStyle name="40% - Accent4 3 7 3 3" xfId="29212"/>
    <cellStyle name="40% - Accent4 3 7 3 3 2" xfId="29213"/>
    <cellStyle name="40% - Accent4 3 7 3 3 2 2" xfId="29214"/>
    <cellStyle name="40% - Accent4 3 7 3 4" xfId="29215"/>
    <cellStyle name="40% - Accent4 3 7 3 4 2" xfId="29216"/>
    <cellStyle name="40% - Accent4 3 7 4" xfId="29217"/>
    <cellStyle name="40% - Accent4 3 7 4 2" xfId="29218"/>
    <cellStyle name="40% - Accent4 3 7 4 2 2" xfId="29219"/>
    <cellStyle name="40% - Accent4 3 7 4 2 2 2" xfId="29220"/>
    <cellStyle name="40% - Accent4 3 7 4 3" xfId="29221"/>
    <cellStyle name="40% - Accent4 3 7 4 3 2" xfId="29222"/>
    <cellStyle name="40% - Accent4 3 7 5" xfId="29223"/>
    <cellStyle name="40% - Accent4 3 7 5 2" xfId="29224"/>
    <cellStyle name="40% - Accent4 3 7 5 2 2" xfId="29225"/>
    <cellStyle name="40% - Accent4 3 7 6" xfId="29226"/>
    <cellStyle name="40% - Accent4 3 7 6 2" xfId="29227"/>
    <cellStyle name="40% - Accent4 3 7 7" xfId="29228"/>
    <cellStyle name="40% - Accent4 3 8" xfId="29229"/>
    <cellStyle name="40% - Accent4 3 8 2" xfId="29230"/>
    <cellStyle name="40% - Accent4 3 8 2 2" xfId="29231"/>
    <cellStyle name="40% - Accent4 3 8 2 2 2" xfId="29232"/>
    <cellStyle name="40% - Accent4 3 8 2 2 2 2" xfId="29233"/>
    <cellStyle name="40% - Accent4 3 8 2 2 2 2 2" xfId="29234"/>
    <cellStyle name="40% - Accent4 3 8 2 2 2 2 2 2" xfId="29235"/>
    <cellStyle name="40% - Accent4 3 8 2 2 2 3" xfId="29236"/>
    <cellStyle name="40% - Accent4 3 8 2 2 2 3 2" xfId="29237"/>
    <cellStyle name="40% - Accent4 3 8 2 2 3" xfId="29238"/>
    <cellStyle name="40% - Accent4 3 8 2 2 3 2" xfId="29239"/>
    <cellStyle name="40% - Accent4 3 8 2 2 3 2 2" xfId="29240"/>
    <cellStyle name="40% - Accent4 3 8 2 2 4" xfId="29241"/>
    <cellStyle name="40% - Accent4 3 8 2 2 4 2" xfId="29242"/>
    <cellStyle name="40% - Accent4 3 8 2 3" xfId="29243"/>
    <cellStyle name="40% - Accent4 3 8 2 3 2" xfId="29244"/>
    <cellStyle name="40% - Accent4 3 8 2 3 2 2" xfId="29245"/>
    <cellStyle name="40% - Accent4 3 8 2 3 2 2 2" xfId="29246"/>
    <cellStyle name="40% - Accent4 3 8 2 3 3" xfId="29247"/>
    <cellStyle name="40% - Accent4 3 8 2 3 3 2" xfId="29248"/>
    <cellStyle name="40% - Accent4 3 8 2 4" xfId="29249"/>
    <cellStyle name="40% - Accent4 3 8 2 4 2" xfId="29250"/>
    <cellStyle name="40% - Accent4 3 8 2 4 2 2" xfId="29251"/>
    <cellStyle name="40% - Accent4 3 8 2 5" xfId="29252"/>
    <cellStyle name="40% - Accent4 3 8 2 5 2" xfId="29253"/>
    <cellStyle name="40% - Accent4 3 8 3" xfId="29254"/>
    <cellStyle name="40% - Accent4 3 8 3 2" xfId="29255"/>
    <cellStyle name="40% - Accent4 3 8 3 2 2" xfId="29256"/>
    <cellStyle name="40% - Accent4 3 8 3 2 2 2" xfId="29257"/>
    <cellStyle name="40% - Accent4 3 8 3 2 2 2 2" xfId="29258"/>
    <cellStyle name="40% - Accent4 3 8 3 2 3" xfId="29259"/>
    <cellStyle name="40% - Accent4 3 8 3 2 3 2" xfId="29260"/>
    <cellStyle name="40% - Accent4 3 8 3 3" xfId="29261"/>
    <cellStyle name="40% - Accent4 3 8 3 3 2" xfId="29262"/>
    <cellStyle name="40% - Accent4 3 8 3 3 2 2" xfId="29263"/>
    <cellStyle name="40% - Accent4 3 8 3 4" xfId="29264"/>
    <cellStyle name="40% - Accent4 3 8 3 4 2" xfId="29265"/>
    <cellStyle name="40% - Accent4 3 8 4" xfId="29266"/>
    <cellStyle name="40% - Accent4 3 8 4 2" xfId="29267"/>
    <cellStyle name="40% - Accent4 3 8 4 2 2" xfId="29268"/>
    <cellStyle name="40% - Accent4 3 8 4 2 2 2" xfId="29269"/>
    <cellStyle name="40% - Accent4 3 8 4 3" xfId="29270"/>
    <cellStyle name="40% - Accent4 3 8 4 3 2" xfId="29271"/>
    <cellStyle name="40% - Accent4 3 8 5" xfId="29272"/>
    <cellStyle name="40% - Accent4 3 8 5 2" xfId="29273"/>
    <cellStyle name="40% - Accent4 3 8 5 2 2" xfId="29274"/>
    <cellStyle name="40% - Accent4 3 8 6" xfId="29275"/>
    <cellStyle name="40% - Accent4 3 8 6 2" xfId="29276"/>
    <cellStyle name="40% - Accent4 3 8 7" xfId="29277"/>
    <cellStyle name="40% - Accent4 3 9" xfId="29278"/>
    <cellStyle name="40% - Accent4 3 9 2" xfId="29279"/>
    <cellStyle name="40% - Accent4 3 9 2 2" xfId="29280"/>
    <cellStyle name="40% - Accent4 3 9 2 2 2" xfId="29281"/>
    <cellStyle name="40% - Accent4 3 9 2 2 2 2" xfId="29282"/>
    <cellStyle name="40% - Accent4 3 9 2 2 2 2 2" xfId="29283"/>
    <cellStyle name="40% - Accent4 3 9 2 2 2 2 2 2" xfId="29284"/>
    <cellStyle name="40% - Accent4 3 9 2 2 2 3" xfId="29285"/>
    <cellStyle name="40% - Accent4 3 9 2 2 2 3 2" xfId="29286"/>
    <cellStyle name="40% - Accent4 3 9 2 2 3" xfId="29287"/>
    <cellStyle name="40% - Accent4 3 9 2 2 3 2" xfId="29288"/>
    <cellStyle name="40% - Accent4 3 9 2 2 3 2 2" xfId="29289"/>
    <cellStyle name="40% - Accent4 3 9 2 2 4" xfId="29290"/>
    <cellStyle name="40% - Accent4 3 9 2 2 4 2" xfId="29291"/>
    <cellStyle name="40% - Accent4 3 9 2 3" xfId="29292"/>
    <cellStyle name="40% - Accent4 3 9 2 3 2" xfId="29293"/>
    <cellStyle name="40% - Accent4 3 9 2 3 2 2" xfId="29294"/>
    <cellStyle name="40% - Accent4 3 9 2 3 2 2 2" xfId="29295"/>
    <cellStyle name="40% - Accent4 3 9 2 3 3" xfId="29296"/>
    <cellStyle name="40% - Accent4 3 9 2 3 3 2" xfId="29297"/>
    <cellStyle name="40% - Accent4 3 9 2 4" xfId="29298"/>
    <cellStyle name="40% - Accent4 3 9 2 4 2" xfId="29299"/>
    <cellStyle name="40% - Accent4 3 9 2 4 2 2" xfId="29300"/>
    <cellStyle name="40% - Accent4 3 9 2 5" xfId="29301"/>
    <cellStyle name="40% - Accent4 3 9 2 5 2" xfId="29302"/>
    <cellStyle name="40% - Accent4 3 9 3" xfId="29303"/>
    <cellStyle name="40% - Accent4 3 9 3 2" xfId="29304"/>
    <cellStyle name="40% - Accent4 3 9 3 2 2" xfId="29305"/>
    <cellStyle name="40% - Accent4 3 9 3 2 2 2" xfId="29306"/>
    <cellStyle name="40% - Accent4 3 9 3 2 2 2 2" xfId="29307"/>
    <cellStyle name="40% - Accent4 3 9 3 2 3" xfId="29308"/>
    <cellStyle name="40% - Accent4 3 9 3 2 3 2" xfId="29309"/>
    <cellStyle name="40% - Accent4 3 9 3 3" xfId="29310"/>
    <cellStyle name="40% - Accent4 3 9 3 3 2" xfId="29311"/>
    <cellStyle name="40% - Accent4 3 9 3 3 2 2" xfId="29312"/>
    <cellStyle name="40% - Accent4 3 9 3 4" xfId="29313"/>
    <cellStyle name="40% - Accent4 3 9 3 4 2" xfId="29314"/>
    <cellStyle name="40% - Accent4 3 9 4" xfId="29315"/>
    <cellStyle name="40% - Accent4 3 9 4 2" xfId="29316"/>
    <cellStyle name="40% - Accent4 3 9 4 2 2" xfId="29317"/>
    <cellStyle name="40% - Accent4 3 9 4 2 2 2" xfId="29318"/>
    <cellStyle name="40% - Accent4 3 9 4 3" xfId="29319"/>
    <cellStyle name="40% - Accent4 3 9 4 3 2" xfId="29320"/>
    <cellStyle name="40% - Accent4 3 9 5" xfId="29321"/>
    <cellStyle name="40% - Accent4 3 9 5 2" xfId="29322"/>
    <cellStyle name="40% - Accent4 3 9 5 2 2" xfId="29323"/>
    <cellStyle name="40% - Accent4 3 9 6" xfId="29324"/>
    <cellStyle name="40% - Accent4 3 9 6 2" xfId="29325"/>
    <cellStyle name="40% - Accent4 3 9 7" xfId="29326"/>
    <cellStyle name="40% - Accent4 3 9 8" xfId="29327"/>
    <cellStyle name="40% - Accent4 3 9 9" xfId="29328"/>
    <cellStyle name="40% - Accent4 30" xfId="29329"/>
    <cellStyle name="40% - Accent4 30 2" xfId="29330"/>
    <cellStyle name="40% - Accent4 30 2 2" xfId="29331"/>
    <cellStyle name="40% - Accent4 30 2 2 2" xfId="29332"/>
    <cellStyle name="40% - Accent4 30 3" xfId="29333"/>
    <cellStyle name="40% - Accent4 30 3 2" xfId="29334"/>
    <cellStyle name="40% - Accent4 30 4" xfId="29335"/>
    <cellStyle name="40% - Accent4 31" xfId="29336"/>
    <cellStyle name="40% - Accent4 31 2" xfId="29337"/>
    <cellStyle name="40% - Accent4 31 2 2" xfId="29338"/>
    <cellStyle name="40% - Accent4 31 2 2 2" xfId="29339"/>
    <cellStyle name="40% - Accent4 31 3" xfId="29340"/>
    <cellStyle name="40% - Accent4 31 3 2" xfId="29341"/>
    <cellStyle name="40% - Accent4 31 4" xfId="29342"/>
    <cellStyle name="40% - Accent4 32" xfId="29343"/>
    <cellStyle name="40% - Accent4 32 2" xfId="29344"/>
    <cellStyle name="40% - Accent4 32 2 2" xfId="29345"/>
    <cellStyle name="40% - Accent4 32 3" xfId="29346"/>
    <cellStyle name="40% - Accent4 33" xfId="29347"/>
    <cellStyle name="40% - Accent4 33 2" xfId="29348"/>
    <cellStyle name="40% - Accent4 33 2 2" xfId="29349"/>
    <cellStyle name="40% - Accent4 33 3" xfId="29350"/>
    <cellStyle name="40% - Accent4 34" xfId="29351"/>
    <cellStyle name="40% - Accent4 34 2" xfId="29352"/>
    <cellStyle name="40% - Accent4 34 2 2" xfId="29353"/>
    <cellStyle name="40% - Accent4 34 3" xfId="29354"/>
    <cellStyle name="40% - Accent4 35" xfId="29355"/>
    <cellStyle name="40% - Accent4 35 2" xfId="29356"/>
    <cellStyle name="40% - Accent4 35 3" xfId="29357"/>
    <cellStyle name="40% - Accent4 36" xfId="29358"/>
    <cellStyle name="40% - Accent4 36 2" xfId="29359"/>
    <cellStyle name="40% - Accent4 36 2 2" xfId="29360"/>
    <cellStyle name="40% - Accent4 36 2 3" xfId="29361"/>
    <cellStyle name="40% - Accent4 36 2 4" xfId="29362"/>
    <cellStyle name="40% - Accent4 36 3" xfId="29363"/>
    <cellStyle name="40% - Accent4 36 3 2" xfId="29364"/>
    <cellStyle name="40% - Accent4 36 3 3" xfId="29365"/>
    <cellStyle name="40% - Accent4 36 4" xfId="29366"/>
    <cellStyle name="40% - Accent4 36 4 2" xfId="29367"/>
    <cellStyle name="40% - Accent4 36 5" xfId="29368"/>
    <cellStyle name="40% - Accent4 36 6" xfId="29369"/>
    <cellStyle name="40% - Accent4 36 7" xfId="29370"/>
    <cellStyle name="40% - Accent4 37" xfId="29371"/>
    <cellStyle name="40% - Accent4 38" xfId="29372"/>
    <cellStyle name="40% - Accent4 39" xfId="29373"/>
    <cellStyle name="40% - Accent4 4" xfId="29374"/>
    <cellStyle name="40% - Accent4 4 10" xfId="29375"/>
    <cellStyle name="40% - Accent4 4 10 2" xfId="29376"/>
    <cellStyle name="40% - Accent4 4 10 2 2" xfId="29377"/>
    <cellStyle name="40% - Accent4 4 10 2 2 2" xfId="29378"/>
    <cellStyle name="40% - Accent4 4 10 2 2 2 2" xfId="29379"/>
    <cellStyle name="40% - Accent4 4 10 2 2 2 2 2" xfId="29380"/>
    <cellStyle name="40% - Accent4 4 10 2 2 2 2 2 2" xfId="29381"/>
    <cellStyle name="40% - Accent4 4 10 2 2 2 3" xfId="29382"/>
    <cellStyle name="40% - Accent4 4 10 2 2 2 3 2" xfId="29383"/>
    <cellStyle name="40% - Accent4 4 10 2 2 3" xfId="29384"/>
    <cellStyle name="40% - Accent4 4 10 2 2 3 2" xfId="29385"/>
    <cellStyle name="40% - Accent4 4 10 2 2 3 2 2" xfId="29386"/>
    <cellStyle name="40% - Accent4 4 10 2 2 4" xfId="29387"/>
    <cellStyle name="40% - Accent4 4 10 2 2 4 2" xfId="29388"/>
    <cellStyle name="40% - Accent4 4 10 2 3" xfId="29389"/>
    <cellStyle name="40% - Accent4 4 10 2 3 2" xfId="29390"/>
    <cellStyle name="40% - Accent4 4 10 2 3 2 2" xfId="29391"/>
    <cellStyle name="40% - Accent4 4 10 2 3 2 2 2" xfId="29392"/>
    <cellStyle name="40% - Accent4 4 10 2 3 3" xfId="29393"/>
    <cellStyle name="40% - Accent4 4 10 2 3 3 2" xfId="29394"/>
    <cellStyle name="40% - Accent4 4 10 2 4" xfId="29395"/>
    <cellStyle name="40% - Accent4 4 10 2 4 2" xfId="29396"/>
    <cellStyle name="40% - Accent4 4 10 2 4 2 2" xfId="29397"/>
    <cellStyle name="40% - Accent4 4 10 2 5" xfId="29398"/>
    <cellStyle name="40% - Accent4 4 10 2 5 2" xfId="29399"/>
    <cellStyle name="40% - Accent4 4 10 3" xfId="29400"/>
    <cellStyle name="40% - Accent4 4 10 3 2" xfId="29401"/>
    <cellStyle name="40% - Accent4 4 10 3 2 2" xfId="29402"/>
    <cellStyle name="40% - Accent4 4 10 3 2 2 2" xfId="29403"/>
    <cellStyle name="40% - Accent4 4 10 3 2 2 2 2" xfId="29404"/>
    <cellStyle name="40% - Accent4 4 10 3 2 3" xfId="29405"/>
    <cellStyle name="40% - Accent4 4 10 3 2 3 2" xfId="29406"/>
    <cellStyle name="40% - Accent4 4 10 3 3" xfId="29407"/>
    <cellStyle name="40% - Accent4 4 10 3 3 2" xfId="29408"/>
    <cellStyle name="40% - Accent4 4 10 3 3 2 2" xfId="29409"/>
    <cellStyle name="40% - Accent4 4 10 3 4" xfId="29410"/>
    <cellStyle name="40% - Accent4 4 10 3 4 2" xfId="29411"/>
    <cellStyle name="40% - Accent4 4 10 4" xfId="29412"/>
    <cellStyle name="40% - Accent4 4 10 4 2" xfId="29413"/>
    <cellStyle name="40% - Accent4 4 10 4 2 2" xfId="29414"/>
    <cellStyle name="40% - Accent4 4 10 4 2 2 2" xfId="29415"/>
    <cellStyle name="40% - Accent4 4 10 4 3" xfId="29416"/>
    <cellStyle name="40% - Accent4 4 10 4 3 2" xfId="29417"/>
    <cellStyle name="40% - Accent4 4 10 5" xfId="29418"/>
    <cellStyle name="40% - Accent4 4 10 5 2" xfId="29419"/>
    <cellStyle name="40% - Accent4 4 10 5 2 2" xfId="29420"/>
    <cellStyle name="40% - Accent4 4 10 6" xfId="29421"/>
    <cellStyle name="40% - Accent4 4 10 6 2" xfId="29422"/>
    <cellStyle name="40% - Accent4 4 10 7" xfId="29423"/>
    <cellStyle name="40% - Accent4 4 10 8" xfId="29424"/>
    <cellStyle name="40% - Accent4 4 10 9" xfId="29425"/>
    <cellStyle name="40% - Accent4 4 11" xfId="29426"/>
    <cellStyle name="40% - Accent4 4 11 2" xfId="29427"/>
    <cellStyle name="40% - Accent4 4 11 2 2" xfId="29428"/>
    <cellStyle name="40% - Accent4 4 11 2 2 2" xfId="29429"/>
    <cellStyle name="40% - Accent4 4 11 2 2 2 2" xfId="29430"/>
    <cellStyle name="40% - Accent4 4 11 2 2 2 2 2" xfId="29431"/>
    <cellStyle name="40% - Accent4 4 11 2 2 2 2 2 2" xfId="29432"/>
    <cellStyle name="40% - Accent4 4 11 2 2 2 3" xfId="29433"/>
    <cellStyle name="40% - Accent4 4 11 2 2 2 3 2" xfId="29434"/>
    <cellStyle name="40% - Accent4 4 11 2 2 3" xfId="29435"/>
    <cellStyle name="40% - Accent4 4 11 2 2 3 2" xfId="29436"/>
    <cellStyle name="40% - Accent4 4 11 2 2 3 2 2" xfId="29437"/>
    <cellStyle name="40% - Accent4 4 11 2 2 4" xfId="29438"/>
    <cellStyle name="40% - Accent4 4 11 2 2 4 2" xfId="29439"/>
    <cellStyle name="40% - Accent4 4 11 2 3" xfId="29440"/>
    <cellStyle name="40% - Accent4 4 11 2 3 2" xfId="29441"/>
    <cellStyle name="40% - Accent4 4 11 2 3 2 2" xfId="29442"/>
    <cellStyle name="40% - Accent4 4 11 2 3 2 2 2" xfId="29443"/>
    <cellStyle name="40% - Accent4 4 11 2 3 3" xfId="29444"/>
    <cellStyle name="40% - Accent4 4 11 2 3 3 2" xfId="29445"/>
    <cellStyle name="40% - Accent4 4 11 2 4" xfId="29446"/>
    <cellStyle name="40% - Accent4 4 11 2 4 2" xfId="29447"/>
    <cellStyle name="40% - Accent4 4 11 2 4 2 2" xfId="29448"/>
    <cellStyle name="40% - Accent4 4 11 2 5" xfId="29449"/>
    <cellStyle name="40% - Accent4 4 11 2 5 2" xfId="29450"/>
    <cellStyle name="40% - Accent4 4 11 3" xfId="29451"/>
    <cellStyle name="40% - Accent4 4 11 3 2" xfId="29452"/>
    <cellStyle name="40% - Accent4 4 11 3 2 2" xfId="29453"/>
    <cellStyle name="40% - Accent4 4 11 3 2 2 2" xfId="29454"/>
    <cellStyle name="40% - Accent4 4 11 3 2 2 2 2" xfId="29455"/>
    <cellStyle name="40% - Accent4 4 11 3 2 3" xfId="29456"/>
    <cellStyle name="40% - Accent4 4 11 3 2 3 2" xfId="29457"/>
    <cellStyle name="40% - Accent4 4 11 3 3" xfId="29458"/>
    <cellStyle name="40% - Accent4 4 11 3 3 2" xfId="29459"/>
    <cellStyle name="40% - Accent4 4 11 3 3 2 2" xfId="29460"/>
    <cellStyle name="40% - Accent4 4 11 3 4" xfId="29461"/>
    <cellStyle name="40% - Accent4 4 11 3 4 2" xfId="29462"/>
    <cellStyle name="40% - Accent4 4 11 4" xfId="29463"/>
    <cellStyle name="40% - Accent4 4 11 4 2" xfId="29464"/>
    <cellStyle name="40% - Accent4 4 11 4 2 2" xfId="29465"/>
    <cellStyle name="40% - Accent4 4 11 4 2 2 2" xfId="29466"/>
    <cellStyle name="40% - Accent4 4 11 4 3" xfId="29467"/>
    <cellStyle name="40% - Accent4 4 11 4 3 2" xfId="29468"/>
    <cellStyle name="40% - Accent4 4 11 5" xfId="29469"/>
    <cellStyle name="40% - Accent4 4 11 5 2" xfId="29470"/>
    <cellStyle name="40% - Accent4 4 11 5 2 2" xfId="29471"/>
    <cellStyle name="40% - Accent4 4 11 6" xfId="29472"/>
    <cellStyle name="40% - Accent4 4 11 6 2" xfId="29473"/>
    <cellStyle name="40% - Accent4 4 11 7" xfId="29474"/>
    <cellStyle name="40% - Accent4 4 12" xfId="29475"/>
    <cellStyle name="40% - Accent4 4 12 2" xfId="29476"/>
    <cellStyle name="40% - Accent4 4 12 2 2" xfId="29477"/>
    <cellStyle name="40% - Accent4 4 12 2 2 2" xfId="29478"/>
    <cellStyle name="40% - Accent4 4 12 2 2 2 2" xfId="29479"/>
    <cellStyle name="40% - Accent4 4 12 2 2 2 2 2" xfId="29480"/>
    <cellStyle name="40% - Accent4 4 12 2 2 2 2 2 2" xfId="29481"/>
    <cellStyle name="40% - Accent4 4 12 2 2 2 3" xfId="29482"/>
    <cellStyle name="40% - Accent4 4 12 2 2 2 3 2" xfId="29483"/>
    <cellStyle name="40% - Accent4 4 12 2 2 3" xfId="29484"/>
    <cellStyle name="40% - Accent4 4 12 2 2 3 2" xfId="29485"/>
    <cellStyle name="40% - Accent4 4 12 2 2 3 2 2" xfId="29486"/>
    <cellStyle name="40% - Accent4 4 12 2 2 4" xfId="29487"/>
    <cellStyle name="40% - Accent4 4 12 2 2 4 2" xfId="29488"/>
    <cellStyle name="40% - Accent4 4 12 2 3" xfId="29489"/>
    <cellStyle name="40% - Accent4 4 12 2 3 2" xfId="29490"/>
    <cellStyle name="40% - Accent4 4 12 2 3 2 2" xfId="29491"/>
    <cellStyle name="40% - Accent4 4 12 2 3 2 2 2" xfId="29492"/>
    <cellStyle name="40% - Accent4 4 12 2 3 3" xfId="29493"/>
    <cellStyle name="40% - Accent4 4 12 2 3 3 2" xfId="29494"/>
    <cellStyle name="40% - Accent4 4 12 2 4" xfId="29495"/>
    <cellStyle name="40% - Accent4 4 12 2 4 2" xfId="29496"/>
    <cellStyle name="40% - Accent4 4 12 2 4 2 2" xfId="29497"/>
    <cellStyle name="40% - Accent4 4 12 2 5" xfId="29498"/>
    <cellStyle name="40% - Accent4 4 12 2 5 2" xfId="29499"/>
    <cellStyle name="40% - Accent4 4 12 3" xfId="29500"/>
    <cellStyle name="40% - Accent4 4 12 3 2" xfId="29501"/>
    <cellStyle name="40% - Accent4 4 12 3 2 2" xfId="29502"/>
    <cellStyle name="40% - Accent4 4 12 3 2 2 2" xfId="29503"/>
    <cellStyle name="40% - Accent4 4 12 3 2 2 2 2" xfId="29504"/>
    <cellStyle name="40% - Accent4 4 12 3 2 3" xfId="29505"/>
    <cellStyle name="40% - Accent4 4 12 3 2 3 2" xfId="29506"/>
    <cellStyle name="40% - Accent4 4 12 3 3" xfId="29507"/>
    <cellStyle name="40% - Accent4 4 12 3 3 2" xfId="29508"/>
    <cellStyle name="40% - Accent4 4 12 3 3 2 2" xfId="29509"/>
    <cellStyle name="40% - Accent4 4 12 3 4" xfId="29510"/>
    <cellStyle name="40% - Accent4 4 12 3 4 2" xfId="29511"/>
    <cellStyle name="40% - Accent4 4 12 4" xfId="29512"/>
    <cellStyle name="40% - Accent4 4 12 4 2" xfId="29513"/>
    <cellStyle name="40% - Accent4 4 12 4 2 2" xfId="29514"/>
    <cellStyle name="40% - Accent4 4 12 4 2 2 2" xfId="29515"/>
    <cellStyle name="40% - Accent4 4 12 4 3" xfId="29516"/>
    <cellStyle name="40% - Accent4 4 12 4 3 2" xfId="29517"/>
    <cellStyle name="40% - Accent4 4 12 5" xfId="29518"/>
    <cellStyle name="40% - Accent4 4 12 5 2" xfId="29519"/>
    <cellStyle name="40% - Accent4 4 12 5 2 2" xfId="29520"/>
    <cellStyle name="40% - Accent4 4 12 6" xfId="29521"/>
    <cellStyle name="40% - Accent4 4 12 6 2" xfId="29522"/>
    <cellStyle name="40% - Accent4 4 13" xfId="29523"/>
    <cellStyle name="40% - Accent4 4 13 2" xfId="29524"/>
    <cellStyle name="40% - Accent4 4 13 2 2" xfId="29525"/>
    <cellStyle name="40% - Accent4 4 13 2 2 2" xfId="29526"/>
    <cellStyle name="40% - Accent4 4 13 2 2 2 2" xfId="29527"/>
    <cellStyle name="40% - Accent4 4 13 2 2 2 2 2" xfId="29528"/>
    <cellStyle name="40% - Accent4 4 13 2 2 2 2 2 2" xfId="29529"/>
    <cellStyle name="40% - Accent4 4 13 2 2 2 3" xfId="29530"/>
    <cellStyle name="40% - Accent4 4 13 2 2 2 3 2" xfId="29531"/>
    <cellStyle name="40% - Accent4 4 13 2 2 3" xfId="29532"/>
    <cellStyle name="40% - Accent4 4 13 2 2 3 2" xfId="29533"/>
    <cellStyle name="40% - Accent4 4 13 2 2 3 2 2" xfId="29534"/>
    <cellStyle name="40% - Accent4 4 13 2 2 4" xfId="29535"/>
    <cellStyle name="40% - Accent4 4 13 2 2 4 2" xfId="29536"/>
    <cellStyle name="40% - Accent4 4 13 2 3" xfId="29537"/>
    <cellStyle name="40% - Accent4 4 13 2 3 2" xfId="29538"/>
    <cellStyle name="40% - Accent4 4 13 2 3 2 2" xfId="29539"/>
    <cellStyle name="40% - Accent4 4 13 2 3 2 2 2" xfId="29540"/>
    <cellStyle name="40% - Accent4 4 13 2 3 3" xfId="29541"/>
    <cellStyle name="40% - Accent4 4 13 2 3 3 2" xfId="29542"/>
    <cellStyle name="40% - Accent4 4 13 2 4" xfId="29543"/>
    <cellStyle name="40% - Accent4 4 13 2 4 2" xfId="29544"/>
    <cellStyle name="40% - Accent4 4 13 2 4 2 2" xfId="29545"/>
    <cellStyle name="40% - Accent4 4 13 2 5" xfId="29546"/>
    <cellStyle name="40% - Accent4 4 13 2 5 2" xfId="29547"/>
    <cellStyle name="40% - Accent4 4 13 3" xfId="29548"/>
    <cellStyle name="40% - Accent4 4 13 3 2" xfId="29549"/>
    <cellStyle name="40% - Accent4 4 13 3 2 2" xfId="29550"/>
    <cellStyle name="40% - Accent4 4 13 3 2 2 2" xfId="29551"/>
    <cellStyle name="40% - Accent4 4 13 3 2 2 2 2" xfId="29552"/>
    <cellStyle name="40% - Accent4 4 13 3 2 3" xfId="29553"/>
    <cellStyle name="40% - Accent4 4 13 3 2 3 2" xfId="29554"/>
    <cellStyle name="40% - Accent4 4 13 3 3" xfId="29555"/>
    <cellStyle name="40% - Accent4 4 13 3 3 2" xfId="29556"/>
    <cellStyle name="40% - Accent4 4 13 3 3 2 2" xfId="29557"/>
    <cellStyle name="40% - Accent4 4 13 3 4" xfId="29558"/>
    <cellStyle name="40% - Accent4 4 13 3 4 2" xfId="29559"/>
    <cellStyle name="40% - Accent4 4 13 4" xfId="29560"/>
    <cellStyle name="40% - Accent4 4 13 4 2" xfId="29561"/>
    <cellStyle name="40% - Accent4 4 13 4 2 2" xfId="29562"/>
    <cellStyle name="40% - Accent4 4 13 4 2 2 2" xfId="29563"/>
    <cellStyle name="40% - Accent4 4 13 4 3" xfId="29564"/>
    <cellStyle name="40% - Accent4 4 13 4 3 2" xfId="29565"/>
    <cellStyle name="40% - Accent4 4 13 5" xfId="29566"/>
    <cellStyle name="40% - Accent4 4 13 5 2" xfId="29567"/>
    <cellStyle name="40% - Accent4 4 13 5 2 2" xfId="29568"/>
    <cellStyle name="40% - Accent4 4 13 6" xfId="29569"/>
    <cellStyle name="40% - Accent4 4 13 6 2" xfId="29570"/>
    <cellStyle name="40% - Accent4 4 14" xfId="29571"/>
    <cellStyle name="40% - Accent4 4 15" xfId="29572"/>
    <cellStyle name="40% - Accent4 4 16" xfId="29573"/>
    <cellStyle name="40% - Accent4 4 17" xfId="29574"/>
    <cellStyle name="40% - Accent4 4 18" xfId="29575"/>
    <cellStyle name="40% - Accent4 4 2" xfId="29576"/>
    <cellStyle name="40% - Accent4 4 2 10" xfId="29577"/>
    <cellStyle name="40% - Accent4 4 2 11" xfId="29578"/>
    <cellStyle name="40% - Accent4 4 2 2" xfId="29579"/>
    <cellStyle name="40% - Accent4 4 2 2 2" xfId="29580"/>
    <cellStyle name="40% - Accent4 4 2 2 2 2" xfId="29581"/>
    <cellStyle name="40% - Accent4 4 2 2 2 2 2" xfId="29582"/>
    <cellStyle name="40% - Accent4 4 2 2 2 2 2 2" xfId="29583"/>
    <cellStyle name="40% - Accent4 4 2 2 2 2 2 2 2" xfId="29584"/>
    <cellStyle name="40% - Accent4 4 2 2 2 2 3" xfId="29585"/>
    <cellStyle name="40% - Accent4 4 2 2 2 2 3 2" xfId="29586"/>
    <cellStyle name="40% - Accent4 4 2 2 2 3" xfId="29587"/>
    <cellStyle name="40% - Accent4 4 2 2 2 3 2" xfId="29588"/>
    <cellStyle name="40% - Accent4 4 2 2 2 3 2 2" xfId="29589"/>
    <cellStyle name="40% - Accent4 4 2 2 2 4" xfId="29590"/>
    <cellStyle name="40% - Accent4 4 2 2 2 4 2" xfId="29591"/>
    <cellStyle name="40% - Accent4 4 2 2 3" xfId="29592"/>
    <cellStyle name="40% - Accent4 4 2 2 3 2" xfId="29593"/>
    <cellStyle name="40% - Accent4 4 2 2 3 2 2" xfId="29594"/>
    <cellStyle name="40% - Accent4 4 2 2 3 2 2 2" xfId="29595"/>
    <cellStyle name="40% - Accent4 4 2 2 3 3" xfId="29596"/>
    <cellStyle name="40% - Accent4 4 2 2 3 3 2" xfId="29597"/>
    <cellStyle name="40% - Accent4 4 2 2 4" xfId="29598"/>
    <cellStyle name="40% - Accent4 4 2 2 4 2" xfId="29599"/>
    <cellStyle name="40% - Accent4 4 2 2 4 2 2" xfId="29600"/>
    <cellStyle name="40% - Accent4 4 2 2 5" xfId="29601"/>
    <cellStyle name="40% - Accent4 4 2 2 5 2" xfId="29602"/>
    <cellStyle name="40% - Accent4 4 2 2 6" xfId="29603"/>
    <cellStyle name="40% - Accent4 4 2 2 7" xfId="29604"/>
    <cellStyle name="40% - Accent4 4 2 2 8" xfId="29605"/>
    <cellStyle name="40% - Accent4 4 2 3" xfId="29606"/>
    <cellStyle name="40% - Accent4 4 2 3 2" xfId="29607"/>
    <cellStyle name="40% - Accent4 4 2 3 2 2" xfId="29608"/>
    <cellStyle name="40% - Accent4 4 2 3 2 2 2" xfId="29609"/>
    <cellStyle name="40% - Accent4 4 2 3 2 2 2 2" xfId="29610"/>
    <cellStyle name="40% - Accent4 4 2 3 2 3" xfId="29611"/>
    <cellStyle name="40% - Accent4 4 2 3 2 3 2" xfId="29612"/>
    <cellStyle name="40% - Accent4 4 2 3 3" xfId="29613"/>
    <cellStyle name="40% - Accent4 4 2 3 3 2" xfId="29614"/>
    <cellStyle name="40% - Accent4 4 2 3 3 2 2" xfId="29615"/>
    <cellStyle name="40% - Accent4 4 2 3 4" xfId="29616"/>
    <cellStyle name="40% - Accent4 4 2 3 4 2" xfId="29617"/>
    <cellStyle name="40% - Accent4 4 2 3 5" xfId="29618"/>
    <cellStyle name="40% - Accent4 4 2 3 6" xfId="29619"/>
    <cellStyle name="40% - Accent4 4 2 3 7" xfId="29620"/>
    <cellStyle name="40% - Accent4 4 2 4" xfId="29621"/>
    <cellStyle name="40% - Accent4 4 2 4 2" xfId="29622"/>
    <cellStyle name="40% - Accent4 4 2 4 2 2" xfId="29623"/>
    <cellStyle name="40% - Accent4 4 2 4 2 2 2" xfId="29624"/>
    <cellStyle name="40% - Accent4 4 2 4 3" xfId="29625"/>
    <cellStyle name="40% - Accent4 4 2 4 3 2" xfId="29626"/>
    <cellStyle name="40% - Accent4 4 2 4 4" xfId="29627"/>
    <cellStyle name="40% - Accent4 4 2 5" xfId="29628"/>
    <cellStyle name="40% - Accent4 4 2 5 2" xfId="29629"/>
    <cellStyle name="40% - Accent4 4 2 5 2 2" xfId="29630"/>
    <cellStyle name="40% - Accent4 4 2 6" xfId="29631"/>
    <cellStyle name="40% - Accent4 4 2 6 2" xfId="29632"/>
    <cellStyle name="40% - Accent4 4 2 7" xfId="29633"/>
    <cellStyle name="40% - Accent4 4 2 8" xfId="29634"/>
    <cellStyle name="40% - Accent4 4 2 9" xfId="29635"/>
    <cellStyle name="40% - Accent4 4 3" xfId="29636"/>
    <cellStyle name="40% - Accent4 4 3 10" xfId="29637"/>
    <cellStyle name="40% - Accent4 4 3 11" xfId="29638"/>
    <cellStyle name="40% - Accent4 4 3 2" xfId="29639"/>
    <cellStyle name="40% - Accent4 4 3 2 2" xfId="29640"/>
    <cellStyle name="40% - Accent4 4 3 2 2 2" xfId="29641"/>
    <cellStyle name="40% - Accent4 4 3 2 2 2 2" xfId="29642"/>
    <cellStyle name="40% - Accent4 4 3 2 2 2 2 2" xfId="29643"/>
    <cellStyle name="40% - Accent4 4 3 2 2 2 2 2 2" xfId="29644"/>
    <cellStyle name="40% - Accent4 4 3 2 2 2 3" xfId="29645"/>
    <cellStyle name="40% - Accent4 4 3 2 2 2 3 2" xfId="29646"/>
    <cellStyle name="40% - Accent4 4 3 2 2 3" xfId="29647"/>
    <cellStyle name="40% - Accent4 4 3 2 2 3 2" xfId="29648"/>
    <cellStyle name="40% - Accent4 4 3 2 2 3 2 2" xfId="29649"/>
    <cellStyle name="40% - Accent4 4 3 2 2 4" xfId="29650"/>
    <cellStyle name="40% - Accent4 4 3 2 2 4 2" xfId="29651"/>
    <cellStyle name="40% - Accent4 4 3 2 3" xfId="29652"/>
    <cellStyle name="40% - Accent4 4 3 2 3 2" xfId="29653"/>
    <cellStyle name="40% - Accent4 4 3 2 3 2 2" xfId="29654"/>
    <cellStyle name="40% - Accent4 4 3 2 3 2 2 2" xfId="29655"/>
    <cellStyle name="40% - Accent4 4 3 2 3 3" xfId="29656"/>
    <cellStyle name="40% - Accent4 4 3 2 3 3 2" xfId="29657"/>
    <cellStyle name="40% - Accent4 4 3 2 4" xfId="29658"/>
    <cellStyle name="40% - Accent4 4 3 2 4 2" xfId="29659"/>
    <cellStyle name="40% - Accent4 4 3 2 4 2 2" xfId="29660"/>
    <cellStyle name="40% - Accent4 4 3 2 5" xfId="29661"/>
    <cellStyle name="40% - Accent4 4 3 2 5 2" xfId="29662"/>
    <cellStyle name="40% - Accent4 4 3 2 6" xfId="29663"/>
    <cellStyle name="40% - Accent4 4 3 2 7" xfId="29664"/>
    <cellStyle name="40% - Accent4 4 3 2 8" xfId="29665"/>
    <cellStyle name="40% - Accent4 4 3 3" xfId="29666"/>
    <cellStyle name="40% - Accent4 4 3 3 2" xfId="29667"/>
    <cellStyle name="40% - Accent4 4 3 3 2 2" xfId="29668"/>
    <cellStyle name="40% - Accent4 4 3 3 2 2 2" xfId="29669"/>
    <cellStyle name="40% - Accent4 4 3 3 2 2 2 2" xfId="29670"/>
    <cellStyle name="40% - Accent4 4 3 3 2 3" xfId="29671"/>
    <cellStyle name="40% - Accent4 4 3 3 2 3 2" xfId="29672"/>
    <cellStyle name="40% - Accent4 4 3 3 3" xfId="29673"/>
    <cellStyle name="40% - Accent4 4 3 3 3 2" xfId="29674"/>
    <cellStyle name="40% - Accent4 4 3 3 3 2 2" xfId="29675"/>
    <cellStyle name="40% - Accent4 4 3 3 4" xfId="29676"/>
    <cellStyle name="40% - Accent4 4 3 3 4 2" xfId="29677"/>
    <cellStyle name="40% - Accent4 4 3 3 5" xfId="29678"/>
    <cellStyle name="40% - Accent4 4 3 3 6" xfId="29679"/>
    <cellStyle name="40% - Accent4 4 3 3 7" xfId="29680"/>
    <cellStyle name="40% - Accent4 4 3 4" xfId="29681"/>
    <cellStyle name="40% - Accent4 4 3 4 2" xfId="29682"/>
    <cellStyle name="40% - Accent4 4 3 4 2 2" xfId="29683"/>
    <cellStyle name="40% - Accent4 4 3 4 2 2 2" xfId="29684"/>
    <cellStyle name="40% - Accent4 4 3 4 3" xfId="29685"/>
    <cellStyle name="40% - Accent4 4 3 4 3 2" xfId="29686"/>
    <cellStyle name="40% - Accent4 4 3 4 4" xfId="29687"/>
    <cellStyle name="40% - Accent4 4 3 5" xfId="29688"/>
    <cellStyle name="40% - Accent4 4 3 5 2" xfId="29689"/>
    <cellStyle name="40% - Accent4 4 3 5 2 2" xfId="29690"/>
    <cellStyle name="40% - Accent4 4 3 6" xfId="29691"/>
    <cellStyle name="40% - Accent4 4 3 6 2" xfId="29692"/>
    <cellStyle name="40% - Accent4 4 3 7" xfId="29693"/>
    <cellStyle name="40% - Accent4 4 3 8" xfId="29694"/>
    <cellStyle name="40% - Accent4 4 3 9" xfId="29695"/>
    <cellStyle name="40% - Accent4 4 4" xfId="29696"/>
    <cellStyle name="40% - Accent4 4 4 2" xfId="29697"/>
    <cellStyle name="40% - Accent4 4 4 2 2" xfId="29698"/>
    <cellStyle name="40% - Accent4 4 4 2 2 2" xfId="29699"/>
    <cellStyle name="40% - Accent4 4 4 2 2 2 2" xfId="29700"/>
    <cellStyle name="40% - Accent4 4 4 2 2 2 2 2" xfId="29701"/>
    <cellStyle name="40% - Accent4 4 4 2 2 2 2 2 2" xfId="29702"/>
    <cellStyle name="40% - Accent4 4 4 2 2 2 3" xfId="29703"/>
    <cellStyle name="40% - Accent4 4 4 2 2 2 3 2" xfId="29704"/>
    <cellStyle name="40% - Accent4 4 4 2 2 3" xfId="29705"/>
    <cellStyle name="40% - Accent4 4 4 2 2 3 2" xfId="29706"/>
    <cellStyle name="40% - Accent4 4 4 2 2 3 2 2" xfId="29707"/>
    <cellStyle name="40% - Accent4 4 4 2 2 4" xfId="29708"/>
    <cellStyle name="40% - Accent4 4 4 2 2 4 2" xfId="29709"/>
    <cellStyle name="40% - Accent4 4 4 2 3" xfId="29710"/>
    <cellStyle name="40% - Accent4 4 4 2 3 2" xfId="29711"/>
    <cellStyle name="40% - Accent4 4 4 2 3 2 2" xfId="29712"/>
    <cellStyle name="40% - Accent4 4 4 2 3 2 2 2" xfId="29713"/>
    <cellStyle name="40% - Accent4 4 4 2 3 3" xfId="29714"/>
    <cellStyle name="40% - Accent4 4 4 2 3 3 2" xfId="29715"/>
    <cellStyle name="40% - Accent4 4 4 2 4" xfId="29716"/>
    <cellStyle name="40% - Accent4 4 4 2 4 2" xfId="29717"/>
    <cellStyle name="40% - Accent4 4 4 2 4 2 2" xfId="29718"/>
    <cellStyle name="40% - Accent4 4 4 2 5" xfId="29719"/>
    <cellStyle name="40% - Accent4 4 4 2 5 2" xfId="29720"/>
    <cellStyle name="40% - Accent4 4 4 3" xfId="29721"/>
    <cellStyle name="40% - Accent4 4 4 3 2" xfId="29722"/>
    <cellStyle name="40% - Accent4 4 4 3 2 2" xfId="29723"/>
    <cellStyle name="40% - Accent4 4 4 3 2 2 2" xfId="29724"/>
    <cellStyle name="40% - Accent4 4 4 3 2 2 2 2" xfId="29725"/>
    <cellStyle name="40% - Accent4 4 4 3 2 3" xfId="29726"/>
    <cellStyle name="40% - Accent4 4 4 3 2 3 2" xfId="29727"/>
    <cellStyle name="40% - Accent4 4 4 3 3" xfId="29728"/>
    <cellStyle name="40% - Accent4 4 4 3 3 2" xfId="29729"/>
    <cellStyle name="40% - Accent4 4 4 3 3 2 2" xfId="29730"/>
    <cellStyle name="40% - Accent4 4 4 3 4" xfId="29731"/>
    <cellStyle name="40% - Accent4 4 4 3 4 2" xfId="29732"/>
    <cellStyle name="40% - Accent4 4 4 4" xfId="29733"/>
    <cellStyle name="40% - Accent4 4 4 4 2" xfId="29734"/>
    <cellStyle name="40% - Accent4 4 4 4 2 2" xfId="29735"/>
    <cellStyle name="40% - Accent4 4 4 4 2 2 2" xfId="29736"/>
    <cellStyle name="40% - Accent4 4 4 4 3" xfId="29737"/>
    <cellStyle name="40% - Accent4 4 4 4 3 2" xfId="29738"/>
    <cellStyle name="40% - Accent4 4 4 5" xfId="29739"/>
    <cellStyle name="40% - Accent4 4 4 5 2" xfId="29740"/>
    <cellStyle name="40% - Accent4 4 4 5 2 2" xfId="29741"/>
    <cellStyle name="40% - Accent4 4 4 6" xfId="29742"/>
    <cellStyle name="40% - Accent4 4 4 6 2" xfId="29743"/>
    <cellStyle name="40% - Accent4 4 4 7" xfId="29744"/>
    <cellStyle name="40% - Accent4 4 5" xfId="29745"/>
    <cellStyle name="40% - Accent4 4 5 2" xfId="29746"/>
    <cellStyle name="40% - Accent4 4 5 2 2" xfId="29747"/>
    <cellStyle name="40% - Accent4 4 5 2 2 2" xfId="29748"/>
    <cellStyle name="40% - Accent4 4 5 2 2 2 2" xfId="29749"/>
    <cellStyle name="40% - Accent4 4 5 2 2 2 2 2" xfId="29750"/>
    <cellStyle name="40% - Accent4 4 5 2 2 2 2 2 2" xfId="29751"/>
    <cellStyle name="40% - Accent4 4 5 2 2 2 3" xfId="29752"/>
    <cellStyle name="40% - Accent4 4 5 2 2 2 3 2" xfId="29753"/>
    <cellStyle name="40% - Accent4 4 5 2 2 3" xfId="29754"/>
    <cellStyle name="40% - Accent4 4 5 2 2 3 2" xfId="29755"/>
    <cellStyle name="40% - Accent4 4 5 2 2 3 2 2" xfId="29756"/>
    <cellStyle name="40% - Accent4 4 5 2 2 4" xfId="29757"/>
    <cellStyle name="40% - Accent4 4 5 2 2 4 2" xfId="29758"/>
    <cellStyle name="40% - Accent4 4 5 2 3" xfId="29759"/>
    <cellStyle name="40% - Accent4 4 5 2 3 2" xfId="29760"/>
    <cellStyle name="40% - Accent4 4 5 2 3 2 2" xfId="29761"/>
    <cellStyle name="40% - Accent4 4 5 2 3 2 2 2" xfId="29762"/>
    <cellStyle name="40% - Accent4 4 5 2 3 3" xfId="29763"/>
    <cellStyle name="40% - Accent4 4 5 2 3 3 2" xfId="29764"/>
    <cellStyle name="40% - Accent4 4 5 2 4" xfId="29765"/>
    <cellStyle name="40% - Accent4 4 5 2 4 2" xfId="29766"/>
    <cellStyle name="40% - Accent4 4 5 2 4 2 2" xfId="29767"/>
    <cellStyle name="40% - Accent4 4 5 2 5" xfId="29768"/>
    <cellStyle name="40% - Accent4 4 5 2 5 2" xfId="29769"/>
    <cellStyle name="40% - Accent4 4 5 3" xfId="29770"/>
    <cellStyle name="40% - Accent4 4 5 3 2" xfId="29771"/>
    <cellStyle name="40% - Accent4 4 5 3 2 2" xfId="29772"/>
    <cellStyle name="40% - Accent4 4 5 3 2 2 2" xfId="29773"/>
    <cellStyle name="40% - Accent4 4 5 3 2 2 2 2" xfId="29774"/>
    <cellStyle name="40% - Accent4 4 5 3 2 3" xfId="29775"/>
    <cellStyle name="40% - Accent4 4 5 3 2 3 2" xfId="29776"/>
    <cellStyle name="40% - Accent4 4 5 3 3" xfId="29777"/>
    <cellStyle name="40% - Accent4 4 5 3 3 2" xfId="29778"/>
    <cellStyle name="40% - Accent4 4 5 3 3 2 2" xfId="29779"/>
    <cellStyle name="40% - Accent4 4 5 3 4" xfId="29780"/>
    <cellStyle name="40% - Accent4 4 5 3 4 2" xfId="29781"/>
    <cellStyle name="40% - Accent4 4 5 4" xfId="29782"/>
    <cellStyle name="40% - Accent4 4 5 4 2" xfId="29783"/>
    <cellStyle name="40% - Accent4 4 5 4 2 2" xfId="29784"/>
    <cellStyle name="40% - Accent4 4 5 4 2 2 2" xfId="29785"/>
    <cellStyle name="40% - Accent4 4 5 4 3" xfId="29786"/>
    <cellStyle name="40% - Accent4 4 5 4 3 2" xfId="29787"/>
    <cellStyle name="40% - Accent4 4 5 5" xfId="29788"/>
    <cellStyle name="40% - Accent4 4 5 5 2" xfId="29789"/>
    <cellStyle name="40% - Accent4 4 5 5 2 2" xfId="29790"/>
    <cellStyle name="40% - Accent4 4 5 6" xfId="29791"/>
    <cellStyle name="40% - Accent4 4 5 6 2" xfId="29792"/>
    <cellStyle name="40% - Accent4 4 5 7" xfId="29793"/>
    <cellStyle name="40% - Accent4 4 6" xfId="29794"/>
    <cellStyle name="40% - Accent4 4 6 2" xfId="29795"/>
    <cellStyle name="40% - Accent4 4 6 2 2" xfId="29796"/>
    <cellStyle name="40% - Accent4 4 6 2 2 2" xfId="29797"/>
    <cellStyle name="40% - Accent4 4 6 2 2 2 2" xfId="29798"/>
    <cellStyle name="40% - Accent4 4 6 2 2 2 2 2" xfId="29799"/>
    <cellStyle name="40% - Accent4 4 6 2 2 2 2 2 2" xfId="29800"/>
    <cellStyle name="40% - Accent4 4 6 2 2 2 3" xfId="29801"/>
    <cellStyle name="40% - Accent4 4 6 2 2 2 3 2" xfId="29802"/>
    <cellStyle name="40% - Accent4 4 6 2 2 3" xfId="29803"/>
    <cellStyle name="40% - Accent4 4 6 2 2 3 2" xfId="29804"/>
    <cellStyle name="40% - Accent4 4 6 2 2 3 2 2" xfId="29805"/>
    <cellStyle name="40% - Accent4 4 6 2 2 4" xfId="29806"/>
    <cellStyle name="40% - Accent4 4 6 2 2 4 2" xfId="29807"/>
    <cellStyle name="40% - Accent4 4 6 2 3" xfId="29808"/>
    <cellStyle name="40% - Accent4 4 6 2 3 2" xfId="29809"/>
    <cellStyle name="40% - Accent4 4 6 2 3 2 2" xfId="29810"/>
    <cellStyle name="40% - Accent4 4 6 2 3 2 2 2" xfId="29811"/>
    <cellStyle name="40% - Accent4 4 6 2 3 3" xfId="29812"/>
    <cellStyle name="40% - Accent4 4 6 2 3 3 2" xfId="29813"/>
    <cellStyle name="40% - Accent4 4 6 2 4" xfId="29814"/>
    <cellStyle name="40% - Accent4 4 6 2 4 2" xfId="29815"/>
    <cellStyle name="40% - Accent4 4 6 2 4 2 2" xfId="29816"/>
    <cellStyle name="40% - Accent4 4 6 2 5" xfId="29817"/>
    <cellStyle name="40% - Accent4 4 6 2 5 2" xfId="29818"/>
    <cellStyle name="40% - Accent4 4 6 3" xfId="29819"/>
    <cellStyle name="40% - Accent4 4 6 3 2" xfId="29820"/>
    <cellStyle name="40% - Accent4 4 6 3 2 2" xfId="29821"/>
    <cellStyle name="40% - Accent4 4 6 3 2 2 2" xfId="29822"/>
    <cellStyle name="40% - Accent4 4 6 3 2 2 2 2" xfId="29823"/>
    <cellStyle name="40% - Accent4 4 6 3 2 3" xfId="29824"/>
    <cellStyle name="40% - Accent4 4 6 3 2 3 2" xfId="29825"/>
    <cellStyle name="40% - Accent4 4 6 3 3" xfId="29826"/>
    <cellStyle name="40% - Accent4 4 6 3 3 2" xfId="29827"/>
    <cellStyle name="40% - Accent4 4 6 3 3 2 2" xfId="29828"/>
    <cellStyle name="40% - Accent4 4 6 3 4" xfId="29829"/>
    <cellStyle name="40% - Accent4 4 6 3 4 2" xfId="29830"/>
    <cellStyle name="40% - Accent4 4 6 4" xfId="29831"/>
    <cellStyle name="40% - Accent4 4 6 4 2" xfId="29832"/>
    <cellStyle name="40% - Accent4 4 6 4 2 2" xfId="29833"/>
    <cellStyle name="40% - Accent4 4 6 4 2 2 2" xfId="29834"/>
    <cellStyle name="40% - Accent4 4 6 4 3" xfId="29835"/>
    <cellStyle name="40% - Accent4 4 6 4 3 2" xfId="29836"/>
    <cellStyle name="40% - Accent4 4 6 5" xfId="29837"/>
    <cellStyle name="40% - Accent4 4 6 5 2" xfId="29838"/>
    <cellStyle name="40% - Accent4 4 6 5 2 2" xfId="29839"/>
    <cellStyle name="40% - Accent4 4 6 6" xfId="29840"/>
    <cellStyle name="40% - Accent4 4 6 6 2" xfId="29841"/>
    <cellStyle name="40% - Accent4 4 6 7" xfId="29842"/>
    <cellStyle name="40% - Accent4 4 7" xfId="29843"/>
    <cellStyle name="40% - Accent4 4 7 2" xfId="29844"/>
    <cellStyle name="40% - Accent4 4 7 2 2" xfId="29845"/>
    <cellStyle name="40% - Accent4 4 7 2 2 2" xfId="29846"/>
    <cellStyle name="40% - Accent4 4 7 2 2 2 2" xfId="29847"/>
    <cellStyle name="40% - Accent4 4 7 2 2 2 2 2" xfId="29848"/>
    <cellStyle name="40% - Accent4 4 7 2 2 2 2 2 2" xfId="29849"/>
    <cellStyle name="40% - Accent4 4 7 2 2 2 3" xfId="29850"/>
    <cellStyle name="40% - Accent4 4 7 2 2 2 3 2" xfId="29851"/>
    <cellStyle name="40% - Accent4 4 7 2 2 3" xfId="29852"/>
    <cellStyle name="40% - Accent4 4 7 2 2 3 2" xfId="29853"/>
    <cellStyle name="40% - Accent4 4 7 2 2 3 2 2" xfId="29854"/>
    <cellStyle name="40% - Accent4 4 7 2 2 4" xfId="29855"/>
    <cellStyle name="40% - Accent4 4 7 2 2 4 2" xfId="29856"/>
    <cellStyle name="40% - Accent4 4 7 2 3" xfId="29857"/>
    <cellStyle name="40% - Accent4 4 7 2 3 2" xfId="29858"/>
    <cellStyle name="40% - Accent4 4 7 2 3 2 2" xfId="29859"/>
    <cellStyle name="40% - Accent4 4 7 2 3 2 2 2" xfId="29860"/>
    <cellStyle name="40% - Accent4 4 7 2 3 3" xfId="29861"/>
    <cellStyle name="40% - Accent4 4 7 2 3 3 2" xfId="29862"/>
    <cellStyle name="40% - Accent4 4 7 2 4" xfId="29863"/>
    <cellStyle name="40% - Accent4 4 7 2 4 2" xfId="29864"/>
    <cellStyle name="40% - Accent4 4 7 2 4 2 2" xfId="29865"/>
    <cellStyle name="40% - Accent4 4 7 2 5" xfId="29866"/>
    <cellStyle name="40% - Accent4 4 7 2 5 2" xfId="29867"/>
    <cellStyle name="40% - Accent4 4 7 3" xfId="29868"/>
    <cellStyle name="40% - Accent4 4 7 3 2" xfId="29869"/>
    <cellStyle name="40% - Accent4 4 7 3 2 2" xfId="29870"/>
    <cellStyle name="40% - Accent4 4 7 3 2 2 2" xfId="29871"/>
    <cellStyle name="40% - Accent4 4 7 3 2 2 2 2" xfId="29872"/>
    <cellStyle name="40% - Accent4 4 7 3 2 3" xfId="29873"/>
    <cellStyle name="40% - Accent4 4 7 3 2 3 2" xfId="29874"/>
    <cellStyle name="40% - Accent4 4 7 3 3" xfId="29875"/>
    <cellStyle name="40% - Accent4 4 7 3 3 2" xfId="29876"/>
    <cellStyle name="40% - Accent4 4 7 3 3 2 2" xfId="29877"/>
    <cellStyle name="40% - Accent4 4 7 3 4" xfId="29878"/>
    <cellStyle name="40% - Accent4 4 7 3 4 2" xfId="29879"/>
    <cellStyle name="40% - Accent4 4 7 4" xfId="29880"/>
    <cellStyle name="40% - Accent4 4 7 4 2" xfId="29881"/>
    <cellStyle name="40% - Accent4 4 7 4 2 2" xfId="29882"/>
    <cellStyle name="40% - Accent4 4 7 4 2 2 2" xfId="29883"/>
    <cellStyle name="40% - Accent4 4 7 4 3" xfId="29884"/>
    <cellStyle name="40% - Accent4 4 7 4 3 2" xfId="29885"/>
    <cellStyle name="40% - Accent4 4 7 5" xfId="29886"/>
    <cellStyle name="40% - Accent4 4 7 5 2" xfId="29887"/>
    <cellStyle name="40% - Accent4 4 7 5 2 2" xfId="29888"/>
    <cellStyle name="40% - Accent4 4 7 6" xfId="29889"/>
    <cellStyle name="40% - Accent4 4 7 6 2" xfId="29890"/>
    <cellStyle name="40% - Accent4 4 7 7" xfId="29891"/>
    <cellStyle name="40% - Accent4 4 8" xfId="29892"/>
    <cellStyle name="40% - Accent4 4 8 2" xfId="29893"/>
    <cellStyle name="40% - Accent4 4 8 2 2" xfId="29894"/>
    <cellStyle name="40% - Accent4 4 8 2 2 2" xfId="29895"/>
    <cellStyle name="40% - Accent4 4 8 2 2 2 2" xfId="29896"/>
    <cellStyle name="40% - Accent4 4 8 2 2 2 2 2" xfId="29897"/>
    <cellStyle name="40% - Accent4 4 8 2 2 2 2 2 2" xfId="29898"/>
    <cellStyle name="40% - Accent4 4 8 2 2 2 3" xfId="29899"/>
    <cellStyle name="40% - Accent4 4 8 2 2 2 3 2" xfId="29900"/>
    <cellStyle name="40% - Accent4 4 8 2 2 3" xfId="29901"/>
    <cellStyle name="40% - Accent4 4 8 2 2 3 2" xfId="29902"/>
    <cellStyle name="40% - Accent4 4 8 2 2 3 2 2" xfId="29903"/>
    <cellStyle name="40% - Accent4 4 8 2 2 4" xfId="29904"/>
    <cellStyle name="40% - Accent4 4 8 2 2 4 2" xfId="29905"/>
    <cellStyle name="40% - Accent4 4 8 2 3" xfId="29906"/>
    <cellStyle name="40% - Accent4 4 8 2 3 2" xfId="29907"/>
    <cellStyle name="40% - Accent4 4 8 2 3 2 2" xfId="29908"/>
    <cellStyle name="40% - Accent4 4 8 2 3 2 2 2" xfId="29909"/>
    <cellStyle name="40% - Accent4 4 8 2 3 3" xfId="29910"/>
    <cellStyle name="40% - Accent4 4 8 2 3 3 2" xfId="29911"/>
    <cellStyle name="40% - Accent4 4 8 2 4" xfId="29912"/>
    <cellStyle name="40% - Accent4 4 8 2 4 2" xfId="29913"/>
    <cellStyle name="40% - Accent4 4 8 2 4 2 2" xfId="29914"/>
    <cellStyle name="40% - Accent4 4 8 2 5" xfId="29915"/>
    <cellStyle name="40% - Accent4 4 8 2 5 2" xfId="29916"/>
    <cellStyle name="40% - Accent4 4 8 3" xfId="29917"/>
    <cellStyle name="40% - Accent4 4 8 3 2" xfId="29918"/>
    <cellStyle name="40% - Accent4 4 8 3 2 2" xfId="29919"/>
    <cellStyle name="40% - Accent4 4 8 3 2 2 2" xfId="29920"/>
    <cellStyle name="40% - Accent4 4 8 3 2 2 2 2" xfId="29921"/>
    <cellStyle name="40% - Accent4 4 8 3 2 3" xfId="29922"/>
    <cellStyle name="40% - Accent4 4 8 3 2 3 2" xfId="29923"/>
    <cellStyle name="40% - Accent4 4 8 3 3" xfId="29924"/>
    <cellStyle name="40% - Accent4 4 8 3 3 2" xfId="29925"/>
    <cellStyle name="40% - Accent4 4 8 3 3 2 2" xfId="29926"/>
    <cellStyle name="40% - Accent4 4 8 3 4" xfId="29927"/>
    <cellStyle name="40% - Accent4 4 8 3 4 2" xfId="29928"/>
    <cellStyle name="40% - Accent4 4 8 4" xfId="29929"/>
    <cellStyle name="40% - Accent4 4 8 4 2" xfId="29930"/>
    <cellStyle name="40% - Accent4 4 8 4 2 2" xfId="29931"/>
    <cellStyle name="40% - Accent4 4 8 4 2 2 2" xfId="29932"/>
    <cellStyle name="40% - Accent4 4 8 4 3" xfId="29933"/>
    <cellStyle name="40% - Accent4 4 8 4 3 2" xfId="29934"/>
    <cellStyle name="40% - Accent4 4 8 5" xfId="29935"/>
    <cellStyle name="40% - Accent4 4 8 5 2" xfId="29936"/>
    <cellStyle name="40% - Accent4 4 8 5 2 2" xfId="29937"/>
    <cellStyle name="40% - Accent4 4 8 6" xfId="29938"/>
    <cellStyle name="40% - Accent4 4 8 6 2" xfId="29939"/>
    <cellStyle name="40% - Accent4 4 8 7" xfId="29940"/>
    <cellStyle name="40% - Accent4 4 9" xfId="29941"/>
    <cellStyle name="40% - Accent4 4 9 2" xfId="29942"/>
    <cellStyle name="40% - Accent4 4 9 2 2" xfId="29943"/>
    <cellStyle name="40% - Accent4 4 9 2 2 2" xfId="29944"/>
    <cellStyle name="40% - Accent4 4 9 2 2 2 2" xfId="29945"/>
    <cellStyle name="40% - Accent4 4 9 2 2 2 2 2" xfId="29946"/>
    <cellStyle name="40% - Accent4 4 9 2 2 2 2 2 2" xfId="29947"/>
    <cellStyle name="40% - Accent4 4 9 2 2 2 3" xfId="29948"/>
    <cellStyle name="40% - Accent4 4 9 2 2 2 3 2" xfId="29949"/>
    <cellStyle name="40% - Accent4 4 9 2 2 3" xfId="29950"/>
    <cellStyle name="40% - Accent4 4 9 2 2 3 2" xfId="29951"/>
    <cellStyle name="40% - Accent4 4 9 2 2 3 2 2" xfId="29952"/>
    <cellStyle name="40% - Accent4 4 9 2 2 4" xfId="29953"/>
    <cellStyle name="40% - Accent4 4 9 2 2 4 2" xfId="29954"/>
    <cellStyle name="40% - Accent4 4 9 2 3" xfId="29955"/>
    <cellStyle name="40% - Accent4 4 9 2 3 2" xfId="29956"/>
    <cellStyle name="40% - Accent4 4 9 2 3 2 2" xfId="29957"/>
    <cellStyle name="40% - Accent4 4 9 2 3 2 2 2" xfId="29958"/>
    <cellStyle name="40% - Accent4 4 9 2 3 3" xfId="29959"/>
    <cellStyle name="40% - Accent4 4 9 2 3 3 2" xfId="29960"/>
    <cellStyle name="40% - Accent4 4 9 2 4" xfId="29961"/>
    <cellStyle name="40% - Accent4 4 9 2 4 2" xfId="29962"/>
    <cellStyle name="40% - Accent4 4 9 2 4 2 2" xfId="29963"/>
    <cellStyle name="40% - Accent4 4 9 2 5" xfId="29964"/>
    <cellStyle name="40% - Accent4 4 9 2 5 2" xfId="29965"/>
    <cellStyle name="40% - Accent4 4 9 3" xfId="29966"/>
    <cellStyle name="40% - Accent4 4 9 3 2" xfId="29967"/>
    <cellStyle name="40% - Accent4 4 9 3 2 2" xfId="29968"/>
    <cellStyle name="40% - Accent4 4 9 3 2 2 2" xfId="29969"/>
    <cellStyle name="40% - Accent4 4 9 3 2 2 2 2" xfId="29970"/>
    <cellStyle name="40% - Accent4 4 9 3 2 3" xfId="29971"/>
    <cellStyle name="40% - Accent4 4 9 3 2 3 2" xfId="29972"/>
    <cellStyle name="40% - Accent4 4 9 3 3" xfId="29973"/>
    <cellStyle name="40% - Accent4 4 9 3 3 2" xfId="29974"/>
    <cellStyle name="40% - Accent4 4 9 3 3 2 2" xfId="29975"/>
    <cellStyle name="40% - Accent4 4 9 3 4" xfId="29976"/>
    <cellStyle name="40% - Accent4 4 9 3 4 2" xfId="29977"/>
    <cellStyle name="40% - Accent4 4 9 4" xfId="29978"/>
    <cellStyle name="40% - Accent4 4 9 4 2" xfId="29979"/>
    <cellStyle name="40% - Accent4 4 9 4 2 2" xfId="29980"/>
    <cellStyle name="40% - Accent4 4 9 4 2 2 2" xfId="29981"/>
    <cellStyle name="40% - Accent4 4 9 4 3" xfId="29982"/>
    <cellStyle name="40% - Accent4 4 9 4 3 2" xfId="29983"/>
    <cellStyle name="40% - Accent4 4 9 5" xfId="29984"/>
    <cellStyle name="40% - Accent4 4 9 5 2" xfId="29985"/>
    <cellStyle name="40% - Accent4 4 9 5 2 2" xfId="29986"/>
    <cellStyle name="40% - Accent4 4 9 6" xfId="29987"/>
    <cellStyle name="40% - Accent4 4 9 6 2" xfId="29988"/>
    <cellStyle name="40% - Accent4 4 9 7" xfId="29989"/>
    <cellStyle name="40% - Accent4 4 9 8" xfId="29990"/>
    <cellStyle name="40% - Accent4 4 9 9" xfId="29991"/>
    <cellStyle name="40% - Accent4 40" xfId="29992"/>
    <cellStyle name="40% - Accent4 40 2" xfId="29993"/>
    <cellStyle name="40% - Accent4 40 2 2" xfId="29994"/>
    <cellStyle name="40% - Accent4 40 2 3" xfId="29995"/>
    <cellStyle name="40% - Accent4 40 2 4" xfId="29996"/>
    <cellStyle name="40% - Accent4 40 3" xfId="29997"/>
    <cellStyle name="40% - Accent4 40 3 2" xfId="29998"/>
    <cellStyle name="40% - Accent4 40 3 3" xfId="29999"/>
    <cellStyle name="40% - Accent4 40 4" xfId="30000"/>
    <cellStyle name="40% - Accent4 40 4 2" xfId="30001"/>
    <cellStyle name="40% - Accent4 40 5" xfId="30002"/>
    <cellStyle name="40% - Accent4 40 6" xfId="30003"/>
    <cellStyle name="40% - Accent4 40 7" xfId="30004"/>
    <cellStyle name="40% - Accent4 41" xfId="30005"/>
    <cellStyle name="40% - Accent4 41 2" xfId="30006"/>
    <cellStyle name="40% - Accent4 41 2 2" xfId="30007"/>
    <cellStyle name="40% - Accent4 41 2 3" xfId="30008"/>
    <cellStyle name="40% - Accent4 41 2 4" xfId="30009"/>
    <cellStyle name="40% - Accent4 41 3" xfId="30010"/>
    <cellStyle name="40% - Accent4 41 3 2" xfId="30011"/>
    <cellStyle name="40% - Accent4 41 3 3" xfId="30012"/>
    <cellStyle name="40% - Accent4 41 4" xfId="30013"/>
    <cellStyle name="40% - Accent4 41 4 2" xfId="30014"/>
    <cellStyle name="40% - Accent4 41 5" xfId="30015"/>
    <cellStyle name="40% - Accent4 41 6" xfId="30016"/>
    <cellStyle name="40% - Accent4 41 7" xfId="30017"/>
    <cellStyle name="40% - Accent4 42" xfId="30018"/>
    <cellStyle name="40% - Accent4 42 2" xfId="30019"/>
    <cellStyle name="40% - Accent4 42 2 2" xfId="30020"/>
    <cellStyle name="40% - Accent4 42 2 3" xfId="30021"/>
    <cellStyle name="40% - Accent4 42 2 4" xfId="30022"/>
    <cellStyle name="40% - Accent4 42 3" xfId="30023"/>
    <cellStyle name="40% - Accent4 42 3 2" xfId="30024"/>
    <cellStyle name="40% - Accent4 42 3 3" xfId="30025"/>
    <cellStyle name="40% - Accent4 42 4" xfId="30026"/>
    <cellStyle name="40% - Accent4 42 4 2" xfId="30027"/>
    <cellStyle name="40% - Accent4 42 5" xfId="30028"/>
    <cellStyle name="40% - Accent4 42 6" xfId="30029"/>
    <cellStyle name="40% - Accent4 42 7" xfId="30030"/>
    <cellStyle name="40% - Accent4 43" xfId="30031"/>
    <cellStyle name="40% - Accent4 43 2" xfId="30032"/>
    <cellStyle name="40% - Accent4 43 2 2" xfId="30033"/>
    <cellStyle name="40% - Accent4 43 2 3" xfId="30034"/>
    <cellStyle name="40% - Accent4 43 2 4" xfId="30035"/>
    <cellStyle name="40% - Accent4 43 3" xfId="30036"/>
    <cellStyle name="40% - Accent4 43 3 2" xfId="30037"/>
    <cellStyle name="40% - Accent4 43 3 3" xfId="30038"/>
    <cellStyle name="40% - Accent4 43 4" xfId="30039"/>
    <cellStyle name="40% - Accent4 43 4 2" xfId="30040"/>
    <cellStyle name="40% - Accent4 43 5" xfId="30041"/>
    <cellStyle name="40% - Accent4 43 6" xfId="30042"/>
    <cellStyle name="40% - Accent4 43 7" xfId="30043"/>
    <cellStyle name="40% - Accent4 44" xfId="30044"/>
    <cellStyle name="40% - Accent4 44 2" xfId="30045"/>
    <cellStyle name="40% - Accent4 44 2 2" xfId="30046"/>
    <cellStyle name="40% - Accent4 44 2 3" xfId="30047"/>
    <cellStyle name="40% - Accent4 44 2 4" xfId="30048"/>
    <cellStyle name="40% - Accent4 44 3" xfId="30049"/>
    <cellStyle name="40% - Accent4 44 3 2" xfId="30050"/>
    <cellStyle name="40% - Accent4 44 3 3" xfId="30051"/>
    <cellStyle name="40% - Accent4 44 4" xfId="30052"/>
    <cellStyle name="40% - Accent4 44 4 2" xfId="30053"/>
    <cellStyle name="40% - Accent4 44 5" xfId="30054"/>
    <cellStyle name="40% - Accent4 44 6" xfId="30055"/>
    <cellStyle name="40% - Accent4 44 7" xfId="30056"/>
    <cellStyle name="40% - Accent4 45" xfId="30057"/>
    <cellStyle name="40% - Accent4 45 2" xfId="30058"/>
    <cellStyle name="40% - Accent4 45 2 2" xfId="30059"/>
    <cellStyle name="40% - Accent4 45 2 3" xfId="30060"/>
    <cellStyle name="40% - Accent4 45 2 4" xfId="30061"/>
    <cellStyle name="40% - Accent4 45 3" xfId="30062"/>
    <cellStyle name="40% - Accent4 45 3 2" xfId="30063"/>
    <cellStyle name="40% - Accent4 45 3 3" xfId="30064"/>
    <cellStyle name="40% - Accent4 45 4" xfId="30065"/>
    <cellStyle name="40% - Accent4 45 4 2" xfId="30066"/>
    <cellStyle name="40% - Accent4 45 5" xfId="30067"/>
    <cellStyle name="40% - Accent4 45 6" xfId="30068"/>
    <cellStyle name="40% - Accent4 45 7" xfId="30069"/>
    <cellStyle name="40% - Accent4 46" xfId="30070"/>
    <cellStyle name="40% - Accent4 46 2" xfId="30071"/>
    <cellStyle name="40% - Accent4 46 2 2" xfId="30072"/>
    <cellStyle name="40% - Accent4 46 2 3" xfId="30073"/>
    <cellStyle name="40% - Accent4 46 2 4" xfId="30074"/>
    <cellStyle name="40% - Accent4 46 3" xfId="30075"/>
    <cellStyle name="40% - Accent4 46 3 2" xfId="30076"/>
    <cellStyle name="40% - Accent4 46 3 3" xfId="30077"/>
    <cellStyle name="40% - Accent4 46 4" xfId="30078"/>
    <cellStyle name="40% - Accent4 46 4 2" xfId="30079"/>
    <cellStyle name="40% - Accent4 46 5" xfId="30080"/>
    <cellStyle name="40% - Accent4 46 6" xfId="30081"/>
    <cellStyle name="40% - Accent4 46 7" xfId="30082"/>
    <cellStyle name="40% - Accent4 47" xfId="30083"/>
    <cellStyle name="40% - Accent4 47 2" xfId="30084"/>
    <cellStyle name="40% - Accent4 47 2 2" xfId="30085"/>
    <cellStyle name="40% - Accent4 47 2 3" xfId="30086"/>
    <cellStyle name="40% - Accent4 47 2 4" xfId="30087"/>
    <cellStyle name="40% - Accent4 47 3" xfId="30088"/>
    <cellStyle name="40% - Accent4 47 3 2" xfId="30089"/>
    <cellStyle name="40% - Accent4 47 3 3" xfId="30090"/>
    <cellStyle name="40% - Accent4 47 4" xfId="30091"/>
    <cellStyle name="40% - Accent4 47 4 2" xfId="30092"/>
    <cellStyle name="40% - Accent4 47 5" xfId="30093"/>
    <cellStyle name="40% - Accent4 47 6" xfId="30094"/>
    <cellStyle name="40% - Accent4 47 7" xfId="30095"/>
    <cellStyle name="40% - Accent4 48" xfId="30096"/>
    <cellStyle name="40% - Accent4 48 2" xfId="30097"/>
    <cellStyle name="40% - Accent4 48 2 2" xfId="30098"/>
    <cellStyle name="40% - Accent4 48 2 3" xfId="30099"/>
    <cellStyle name="40% - Accent4 48 2 4" xfId="30100"/>
    <cellStyle name="40% - Accent4 48 3" xfId="30101"/>
    <cellStyle name="40% - Accent4 48 3 2" xfId="30102"/>
    <cellStyle name="40% - Accent4 48 3 3" xfId="30103"/>
    <cellStyle name="40% - Accent4 48 4" xfId="30104"/>
    <cellStyle name="40% - Accent4 48 4 2" xfId="30105"/>
    <cellStyle name="40% - Accent4 48 5" xfId="30106"/>
    <cellStyle name="40% - Accent4 48 6" xfId="30107"/>
    <cellStyle name="40% - Accent4 48 7" xfId="30108"/>
    <cellStyle name="40% - Accent4 49" xfId="30109"/>
    <cellStyle name="40% - Accent4 49 2" xfId="30110"/>
    <cellStyle name="40% - Accent4 49 2 2" xfId="30111"/>
    <cellStyle name="40% - Accent4 49 2 3" xfId="30112"/>
    <cellStyle name="40% - Accent4 49 2 4" xfId="30113"/>
    <cellStyle name="40% - Accent4 49 3" xfId="30114"/>
    <cellStyle name="40% - Accent4 49 3 2" xfId="30115"/>
    <cellStyle name="40% - Accent4 49 3 3" xfId="30116"/>
    <cellStyle name="40% - Accent4 49 4" xfId="30117"/>
    <cellStyle name="40% - Accent4 49 4 2" xfId="30118"/>
    <cellStyle name="40% - Accent4 49 5" xfId="30119"/>
    <cellStyle name="40% - Accent4 49 6" xfId="30120"/>
    <cellStyle name="40% - Accent4 49 7" xfId="30121"/>
    <cellStyle name="40% - Accent4 5" xfId="30122"/>
    <cellStyle name="40% - Accent4 5 2" xfId="30123"/>
    <cellStyle name="40% - Accent4 5 3" xfId="30124"/>
    <cellStyle name="40% - Accent4 5 4" xfId="30125"/>
    <cellStyle name="40% - Accent4 5 5" xfId="30126"/>
    <cellStyle name="40% - Accent4 5 6" xfId="30127"/>
    <cellStyle name="40% - Accent4 5 7" xfId="30128"/>
    <cellStyle name="40% - Accent4 5 8" xfId="30129"/>
    <cellStyle name="40% - Accent4 50" xfId="30130"/>
    <cellStyle name="40% - Accent4 50 2" xfId="30131"/>
    <cellStyle name="40% - Accent4 50 2 2" xfId="30132"/>
    <cellStyle name="40% - Accent4 50 2 3" xfId="30133"/>
    <cellStyle name="40% - Accent4 50 2 4" xfId="30134"/>
    <cellStyle name="40% - Accent4 50 3" xfId="30135"/>
    <cellStyle name="40% - Accent4 50 3 2" xfId="30136"/>
    <cellStyle name="40% - Accent4 50 3 3" xfId="30137"/>
    <cellStyle name="40% - Accent4 50 4" xfId="30138"/>
    <cellStyle name="40% - Accent4 50 4 2" xfId="30139"/>
    <cellStyle name="40% - Accent4 50 5" xfId="30140"/>
    <cellStyle name="40% - Accent4 50 6" xfId="30141"/>
    <cellStyle name="40% - Accent4 50 7" xfId="30142"/>
    <cellStyle name="40% - Accent4 51" xfId="30143"/>
    <cellStyle name="40% - Accent4 51 2" xfId="30144"/>
    <cellStyle name="40% - Accent4 51 2 2" xfId="30145"/>
    <cellStyle name="40% - Accent4 51 2 3" xfId="30146"/>
    <cellStyle name="40% - Accent4 51 2 4" xfId="30147"/>
    <cellStyle name="40% - Accent4 51 3" xfId="30148"/>
    <cellStyle name="40% - Accent4 51 3 2" xfId="30149"/>
    <cellStyle name="40% - Accent4 51 3 3" xfId="30150"/>
    <cellStyle name="40% - Accent4 51 4" xfId="30151"/>
    <cellStyle name="40% - Accent4 51 4 2" xfId="30152"/>
    <cellStyle name="40% - Accent4 51 5" xfId="30153"/>
    <cellStyle name="40% - Accent4 51 6" xfId="30154"/>
    <cellStyle name="40% - Accent4 51 7" xfId="30155"/>
    <cellStyle name="40% - Accent4 52" xfId="30156"/>
    <cellStyle name="40% - Accent4 52 2" xfId="30157"/>
    <cellStyle name="40% - Accent4 52 2 2" xfId="30158"/>
    <cellStyle name="40% - Accent4 52 2 3" xfId="30159"/>
    <cellStyle name="40% - Accent4 52 2 4" xfId="30160"/>
    <cellStyle name="40% - Accent4 52 3" xfId="30161"/>
    <cellStyle name="40% - Accent4 52 3 2" xfId="30162"/>
    <cellStyle name="40% - Accent4 52 3 3" xfId="30163"/>
    <cellStyle name="40% - Accent4 52 4" xfId="30164"/>
    <cellStyle name="40% - Accent4 52 4 2" xfId="30165"/>
    <cellStyle name="40% - Accent4 52 5" xfId="30166"/>
    <cellStyle name="40% - Accent4 52 6" xfId="30167"/>
    <cellStyle name="40% - Accent4 52 7" xfId="30168"/>
    <cellStyle name="40% - Accent4 53" xfId="30169"/>
    <cellStyle name="40% - Accent4 53 2" xfId="30170"/>
    <cellStyle name="40% - Accent4 53 2 2" xfId="30171"/>
    <cellStyle name="40% - Accent4 53 2 3" xfId="30172"/>
    <cellStyle name="40% - Accent4 53 2 4" xfId="30173"/>
    <cellStyle name="40% - Accent4 53 3" xfId="30174"/>
    <cellStyle name="40% - Accent4 53 3 2" xfId="30175"/>
    <cellStyle name="40% - Accent4 53 3 3" xfId="30176"/>
    <cellStyle name="40% - Accent4 53 4" xfId="30177"/>
    <cellStyle name="40% - Accent4 53 4 2" xfId="30178"/>
    <cellStyle name="40% - Accent4 53 5" xfId="30179"/>
    <cellStyle name="40% - Accent4 53 6" xfId="30180"/>
    <cellStyle name="40% - Accent4 53 7" xfId="30181"/>
    <cellStyle name="40% - Accent4 54" xfId="30182"/>
    <cellStyle name="40% - Accent4 54 2" xfId="30183"/>
    <cellStyle name="40% - Accent4 54 2 2" xfId="30184"/>
    <cellStyle name="40% - Accent4 54 2 3" xfId="30185"/>
    <cellStyle name="40% - Accent4 54 2 4" xfId="30186"/>
    <cellStyle name="40% - Accent4 54 3" xfId="30187"/>
    <cellStyle name="40% - Accent4 54 3 2" xfId="30188"/>
    <cellStyle name="40% - Accent4 54 3 3" xfId="30189"/>
    <cellStyle name="40% - Accent4 54 4" xfId="30190"/>
    <cellStyle name="40% - Accent4 54 4 2" xfId="30191"/>
    <cellStyle name="40% - Accent4 54 5" xfId="30192"/>
    <cellStyle name="40% - Accent4 54 6" xfId="30193"/>
    <cellStyle name="40% - Accent4 54 7" xfId="30194"/>
    <cellStyle name="40% - Accent4 55" xfId="30195"/>
    <cellStyle name="40% - Accent4 55 2" xfId="30196"/>
    <cellStyle name="40% - Accent4 55 2 2" xfId="30197"/>
    <cellStyle name="40% - Accent4 55 2 3" xfId="30198"/>
    <cellStyle name="40% - Accent4 55 2 4" xfId="30199"/>
    <cellStyle name="40% - Accent4 55 3" xfId="30200"/>
    <cellStyle name="40% - Accent4 55 3 2" xfId="30201"/>
    <cellStyle name="40% - Accent4 55 3 3" xfId="30202"/>
    <cellStyle name="40% - Accent4 55 4" xfId="30203"/>
    <cellStyle name="40% - Accent4 55 4 2" xfId="30204"/>
    <cellStyle name="40% - Accent4 55 5" xfId="30205"/>
    <cellStyle name="40% - Accent4 55 6" xfId="30206"/>
    <cellStyle name="40% - Accent4 55 7" xfId="30207"/>
    <cellStyle name="40% - Accent4 56" xfId="30208"/>
    <cellStyle name="40% - Accent4 56 2" xfId="30209"/>
    <cellStyle name="40% - Accent4 56 2 2" xfId="30210"/>
    <cellStyle name="40% - Accent4 56 2 3" xfId="30211"/>
    <cellStyle name="40% - Accent4 56 2 4" xfId="30212"/>
    <cellStyle name="40% - Accent4 56 3" xfId="30213"/>
    <cellStyle name="40% - Accent4 56 3 2" xfId="30214"/>
    <cellStyle name="40% - Accent4 56 3 3" xfId="30215"/>
    <cellStyle name="40% - Accent4 56 4" xfId="30216"/>
    <cellStyle name="40% - Accent4 56 4 2" xfId="30217"/>
    <cellStyle name="40% - Accent4 56 5" xfId="30218"/>
    <cellStyle name="40% - Accent4 56 6" xfId="30219"/>
    <cellStyle name="40% - Accent4 56 7" xfId="30220"/>
    <cellStyle name="40% - Accent4 57" xfId="30221"/>
    <cellStyle name="40% - Accent4 57 2" xfId="30222"/>
    <cellStyle name="40% - Accent4 57 2 2" xfId="30223"/>
    <cellStyle name="40% - Accent4 57 2 3" xfId="30224"/>
    <cellStyle name="40% - Accent4 57 2 4" xfId="30225"/>
    <cellStyle name="40% - Accent4 57 3" xfId="30226"/>
    <cellStyle name="40% - Accent4 57 3 2" xfId="30227"/>
    <cellStyle name="40% - Accent4 57 3 3" xfId="30228"/>
    <cellStyle name="40% - Accent4 57 4" xfId="30229"/>
    <cellStyle name="40% - Accent4 57 4 2" xfId="30230"/>
    <cellStyle name="40% - Accent4 57 5" xfId="30231"/>
    <cellStyle name="40% - Accent4 57 6" xfId="30232"/>
    <cellStyle name="40% - Accent4 57 7" xfId="30233"/>
    <cellStyle name="40% - Accent4 58" xfId="30234"/>
    <cellStyle name="40% - Accent4 59" xfId="30235"/>
    <cellStyle name="40% - Accent4 6" xfId="30236"/>
    <cellStyle name="40% - Accent4 6 10" xfId="30237"/>
    <cellStyle name="40% - Accent4 6 10 2" xfId="30238"/>
    <cellStyle name="40% - Accent4 6 10 3" xfId="30239"/>
    <cellStyle name="40% - Accent4 6 11" xfId="30240"/>
    <cellStyle name="40% - Accent4 6 11 2" xfId="30241"/>
    <cellStyle name="40% - Accent4 6 12" xfId="30242"/>
    <cellStyle name="40% - Accent4 6 13" xfId="30243"/>
    <cellStyle name="40% - Accent4 6 14" xfId="30244"/>
    <cellStyle name="40% - Accent4 6 2" xfId="30245"/>
    <cellStyle name="40% - Accent4 6 3" xfId="30246"/>
    <cellStyle name="40% - Accent4 6 4" xfId="30247"/>
    <cellStyle name="40% - Accent4 6 5" xfId="30248"/>
    <cellStyle name="40% - Accent4 6 6" xfId="30249"/>
    <cellStyle name="40% - Accent4 6 7" xfId="30250"/>
    <cellStyle name="40% - Accent4 6 8" xfId="30251"/>
    <cellStyle name="40% - Accent4 6 9" xfId="30252"/>
    <cellStyle name="40% - Accent4 6 9 2" xfId="30253"/>
    <cellStyle name="40% - Accent4 6 9 3" xfId="30254"/>
    <cellStyle name="40% - Accent4 6 9 4" xfId="30255"/>
    <cellStyle name="40% - Accent4 60" xfId="30256"/>
    <cellStyle name="40% - Accent4 61" xfId="30257"/>
    <cellStyle name="40% - Accent4 62" xfId="30258"/>
    <cellStyle name="40% - Accent4 63" xfId="30259"/>
    <cellStyle name="40% - Accent4 64" xfId="30260"/>
    <cellStyle name="40% - Accent4 65" xfId="30261"/>
    <cellStyle name="40% - Accent4 65 2" xfId="30262"/>
    <cellStyle name="40% - Accent4 65 2 2" xfId="30263"/>
    <cellStyle name="40% - Accent4 65 2 3" xfId="30264"/>
    <cellStyle name="40% - Accent4 65 2 4" xfId="30265"/>
    <cellStyle name="40% - Accent4 65 3" xfId="30266"/>
    <cellStyle name="40% - Accent4 65 3 2" xfId="30267"/>
    <cellStyle name="40% - Accent4 65 3 3" xfId="30268"/>
    <cellStyle name="40% - Accent4 65 4" xfId="30269"/>
    <cellStyle name="40% - Accent4 65 4 2" xfId="30270"/>
    <cellStyle name="40% - Accent4 65 5" xfId="30271"/>
    <cellStyle name="40% - Accent4 65 6" xfId="30272"/>
    <cellStyle name="40% - Accent4 65 7" xfId="30273"/>
    <cellStyle name="40% - Accent4 66" xfId="30274"/>
    <cellStyle name="40% - Accent4 66 2" xfId="30275"/>
    <cellStyle name="40% - Accent4 66 2 2" xfId="30276"/>
    <cellStyle name="40% - Accent4 66 2 3" xfId="30277"/>
    <cellStyle name="40% - Accent4 66 2 4" xfId="30278"/>
    <cellStyle name="40% - Accent4 66 3" xfId="30279"/>
    <cellStyle name="40% - Accent4 66 3 2" xfId="30280"/>
    <cellStyle name="40% - Accent4 66 3 3" xfId="30281"/>
    <cellStyle name="40% - Accent4 66 4" xfId="30282"/>
    <cellStyle name="40% - Accent4 66 4 2" xfId="30283"/>
    <cellStyle name="40% - Accent4 66 5" xfId="30284"/>
    <cellStyle name="40% - Accent4 66 6" xfId="30285"/>
    <cellStyle name="40% - Accent4 66 7" xfId="30286"/>
    <cellStyle name="40% - Accent4 67" xfId="30287"/>
    <cellStyle name="40% - Accent4 67 2" xfId="30288"/>
    <cellStyle name="40% - Accent4 67 2 2" xfId="30289"/>
    <cellStyle name="40% - Accent4 67 2 3" xfId="30290"/>
    <cellStyle name="40% - Accent4 67 2 4" xfId="30291"/>
    <cellStyle name="40% - Accent4 67 3" xfId="30292"/>
    <cellStyle name="40% - Accent4 67 3 2" xfId="30293"/>
    <cellStyle name="40% - Accent4 67 3 3" xfId="30294"/>
    <cellStyle name="40% - Accent4 67 4" xfId="30295"/>
    <cellStyle name="40% - Accent4 67 4 2" xfId="30296"/>
    <cellStyle name="40% - Accent4 67 5" xfId="30297"/>
    <cellStyle name="40% - Accent4 67 6" xfId="30298"/>
    <cellStyle name="40% - Accent4 67 7" xfId="30299"/>
    <cellStyle name="40% - Accent4 68" xfId="30300"/>
    <cellStyle name="40% - Accent4 68 2" xfId="30301"/>
    <cellStyle name="40% - Accent4 68 2 2" xfId="30302"/>
    <cellStyle name="40% - Accent4 68 2 3" xfId="30303"/>
    <cellStyle name="40% - Accent4 68 2 4" xfId="30304"/>
    <cellStyle name="40% - Accent4 68 3" xfId="30305"/>
    <cellStyle name="40% - Accent4 68 3 2" xfId="30306"/>
    <cellStyle name="40% - Accent4 68 3 3" xfId="30307"/>
    <cellStyle name="40% - Accent4 68 4" xfId="30308"/>
    <cellStyle name="40% - Accent4 68 4 2" xfId="30309"/>
    <cellStyle name="40% - Accent4 68 5" xfId="30310"/>
    <cellStyle name="40% - Accent4 68 6" xfId="30311"/>
    <cellStyle name="40% - Accent4 68 7" xfId="30312"/>
    <cellStyle name="40% - Accent4 69" xfId="30313"/>
    <cellStyle name="40% - Accent4 69 2" xfId="30314"/>
    <cellStyle name="40% - Accent4 69 2 2" xfId="30315"/>
    <cellStyle name="40% - Accent4 69 2 3" xfId="30316"/>
    <cellStyle name="40% - Accent4 69 2 4" xfId="30317"/>
    <cellStyle name="40% - Accent4 69 3" xfId="30318"/>
    <cellStyle name="40% - Accent4 69 3 2" xfId="30319"/>
    <cellStyle name="40% - Accent4 69 3 3" xfId="30320"/>
    <cellStyle name="40% - Accent4 69 4" xfId="30321"/>
    <cellStyle name="40% - Accent4 69 4 2" xfId="30322"/>
    <cellStyle name="40% - Accent4 69 5" xfId="30323"/>
    <cellStyle name="40% - Accent4 69 6" xfId="30324"/>
    <cellStyle name="40% - Accent4 69 7" xfId="30325"/>
    <cellStyle name="40% - Accent4 7" xfId="30326"/>
    <cellStyle name="40% - Accent4 7 2" xfId="30327"/>
    <cellStyle name="40% - Accent4 7 3" xfId="30328"/>
    <cellStyle name="40% - Accent4 7 3 2" xfId="30329"/>
    <cellStyle name="40% - Accent4 7 3 3" xfId="30330"/>
    <cellStyle name="40% - Accent4 7 3 4" xfId="30331"/>
    <cellStyle name="40% - Accent4 7 4" xfId="30332"/>
    <cellStyle name="40% - Accent4 7 4 2" xfId="30333"/>
    <cellStyle name="40% - Accent4 7 4 3" xfId="30334"/>
    <cellStyle name="40% - Accent4 7 5" xfId="30335"/>
    <cellStyle name="40% - Accent4 7 5 2" xfId="30336"/>
    <cellStyle name="40% - Accent4 7 6" xfId="30337"/>
    <cellStyle name="40% - Accent4 7 7" xfId="30338"/>
    <cellStyle name="40% - Accent4 7 8" xfId="30339"/>
    <cellStyle name="40% - Accent4 70" xfId="30340"/>
    <cellStyle name="40% - Accent4 70 2" xfId="30341"/>
    <cellStyle name="40% - Accent4 70 2 2" xfId="30342"/>
    <cellStyle name="40% - Accent4 70 2 3" xfId="30343"/>
    <cellStyle name="40% - Accent4 70 2 4" xfId="30344"/>
    <cellStyle name="40% - Accent4 70 3" xfId="30345"/>
    <cellStyle name="40% - Accent4 70 3 2" xfId="30346"/>
    <cellStyle name="40% - Accent4 70 3 3" xfId="30347"/>
    <cellStyle name="40% - Accent4 70 4" xfId="30348"/>
    <cellStyle name="40% - Accent4 70 4 2" xfId="30349"/>
    <cellStyle name="40% - Accent4 70 5" xfId="30350"/>
    <cellStyle name="40% - Accent4 70 6" xfId="30351"/>
    <cellStyle name="40% - Accent4 70 7" xfId="30352"/>
    <cellStyle name="40% - Accent4 71" xfId="30353"/>
    <cellStyle name="40% - Accent4 71 2" xfId="30354"/>
    <cellStyle name="40% - Accent4 71 2 2" xfId="30355"/>
    <cellStyle name="40% - Accent4 71 2 3" xfId="30356"/>
    <cellStyle name="40% - Accent4 71 2 4" xfId="30357"/>
    <cellStyle name="40% - Accent4 71 3" xfId="30358"/>
    <cellStyle name="40% - Accent4 71 3 2" xfId="30359"/>
    <cellStyle name="40% - Accent4 71 3 3" xfId="30360"/>
    <cellStyle name="40% - Accent4 71 4" xfId="30361"/>
    <cellStyle name="40% - Accent4 71 4 2" xfId="30362"/>
    <cellStyle name="40% - Accent4 71 5" xfId="30363"/>
    <cellStyle name="40% - Accent4 71 6" xfId="30364"/>
    <cellStyle name="40% - Accent4 71 7" xfId="30365"/>
    <cellStyle name="40% - Accent4 72" xfId="30366"/>
    <cellStyle name="40% - Accent4 72 2" xfId="30367"/>
    <cellStyle name="40% - Accent4 72 2 2" xfId="30368"/>
    <cellStyle name="40% - Accent4 72 2 3" xfId="30369"/>
    <cellStyle name="40% - Accent4 72 2 4" xfId="30370"/>
    <cellStyle name="40% - Accent4 72 3" xfId="30371"/>
    <cellStyle name="40% - Accent4 72 3 2" xfId="30372"/>
    <cellStyle name="40% - Accent4 72 3 3" xfId="30373"/>
    <cellStyle name="40% - Accent4 72 4" xfId="30374"/>
    <cellStyle name="40% - Accent4 72 4 2" xfId="30375"/>
    <cellStyle name="40% - Accent4 72 5" xfId="30376"/>
    <cellStyle name="40% - Accent4 72 6" xfId="30377"/>
    <cellStyle name="40% - Accent4 72 7" xfId="30378"/>
    <cellStyle name="40% - Accent4 73" xfId="30379"/>
    <cellStyle name="40% - Accent4 73 2" xfId="30380"/>
    <cellStyle name="40% - Accent4 73 2 2" xfId="30381"/>
    <cellStyle name="40% - Accent4 73 2 3" xfId="30382"/>
    <cellStyle name="40% - Accent4 73 2 4" xfId="30383"/>
    <cellStyle name="40% - Accent4 73 3" xfId="30384"/>
    <cellStyle name="40% - Accent4 73 3 2" xfId="30385"/>
    <cellStyle name="40% - Accent4 73 3 3" xfId="30386"/>
    <cellStyle name="40% - Accent4 73 4" xfId="30387"/>
    <cellStyle name="40% - Accent4 73 4 2" xfId="30388"/>
    <cellStyle name="40% - Accent4 73 5" xfId="30389"/>
    <cellStyle name="40% - Accent4 73 6" xfId="30390"/>
    <cellStyle name="40% - Accent4 73 7" xfId="30391"/>
    <cellStyle name="40% - Accent4 74" xfId="30392"/>
    <cellStyle name="40% - Accent4 74 2" xfId="30393"/>
    <cellStyle name="40% - Accent4 74 2 2" xfId="30394"/>
    <cellStyle name="40% - Accent4 74 2 3" xfId="30395"/>
    <cellStyle name="40% - Accent4 74 2 4" xfId="30396"/>
    <cellStyle name="40% - Accent4 74 3" xfId="30397"/>
    <cellStyle name="40% - Accent4 74 3 2" xfId="30398"/>
    <cellStyle name="40% - Accent4 74 3 3" xfId="30399"/>
    <cellStyle name="40% - Accent4 74 4" xfId="30400"/>
    <cellStyle name="40% - Accent4 74 4 2" xfId="30401"/>
    <cellStyle name="40% - Accent4 74 5" xfId="30402"/>
    <cellStyle name="40% - Accent4 74 6" xfId="30403"/>
    <cellStyle name="40% - Accent4 74 7" xfId="30404"/>
    <cellStyle name="40% - Accent4 75" xfId="30405"/>
    <cellStyle name="40% - Accent4 75 2" xfId="30406"/>
    <cellStyle name="40% - Accent4 75 2 2" xfId="30407"/>
    <cellStyle name="40% - Accent4 75 2 3" xfId="30408"/>
    <cellStyle name="40% - Accent4 75 2 4" xfId="30409"/>
    <cellStyle name="40% - Accent4 75 3" xfId="30410"/>
    <cellStyle name="40% - Accent4 75 3 2" xfId="30411"/>
    <cellStyle name="40% - Accent4 75 3 3" xfId="30412"/>
    <cellStyle name="40% - Accent4 75 4" xfId="30413"/>
    <cellStyle name="40% - Accent4 75 4 2" xfId="30414"/>
    <cellStyle name="40% - Accent4 75 5" xfId="30415"/>
    <cellStyle name="40% - Accent4 75 6" xfId="30416"/>
    <cellStyle name="40% - Accent4 75 7" xfId="30417"/>
    <cellStyle name="40% - Accent4 76" xfId="30418"/>
    <cellStyle name="40% - Accent4 76 2" xfId="30419"/>
    <cellStyle name="40% - Accent4 76 2 2" xfId="30420"/>
    <cellStyle name="40% - Accent4 76 2 3" xfId="30421"/>
    <cellStyle name="40% - Accent4 76 2 4" xfId="30422"/>
    <cellStyle name="40% - Accent4 76 3" xfId="30423"/>
    <cellStyle name="40% - Accent4 76 3 2" xfId="30424"/>
    <cellStyle name="40% - Accent4 76 3 3" xfId="30425"/>
    <cellStyle name="40% - Accent4 76 4" xfId="30426"/>
    <cellStyle name="40% - Accent4 76 4 2" xfId="30427"/>
    <cellStyle name="40% - Accent4 76 5" xfId="30428"/>
    <cellStyle name="40% - Accent4 76 6" xfId="30429"/>
    <cellStyle name="40% - Accent4 76 7" xfId="30430"/>
    <cellStyle name="40% - Accent4 77" xfId="30431"/>
    <cellStyle name="40% - Accent4 77 2" xfId="30432"/>
    <cellStyle name="40% - Accent4 77 2 2" xfId="30433"/>
    <cellStyle name="40% - Accent4 77 2 3" xfId="30434"/>
    <cellStyle name="40% - Accent4 77 2 4" xfId="30435"/>
    <cellStyle name="40% - Accent4 77 3" xfId="30436"/>
    <cellStyle name="40% - Accent4 77 3 2" xfId="30437"/>
    <cellStyle name="40% - Accent4 77 3 3" xfId="30438"/>
    <cellStyle name="40% - Accent4 77 4" xfId="30439"/>
    <cellStyle name="40% - Accent4 77 4 2" xfId="30440"/>
    <cellStyle name="40% - Accent4 77 5" xfId="30441"/>
    <cellStyle name="40% - Accent4 77 6" xfId="30442"/>
    <cellStyle name="40% - Accent4 77 7" xfId="30443"/>
    <cellStyle name="40% - Accent4 78" xfId="30444"/>
    <cellStyle name="40% - Accent4 79" xfId="30445"/>
    <cellStyle name="40% - Accent4 79 2" xfId="30446"/>
    <cellStyle name="40% - Accent4 79 3" xfId="30447"/>
    <cellStyle name="40% - Accent4 8" xfId="30448"/>
    <cellStyle name="40% - Accent4 8 10" xfId="30449"/>
    <cellStyle name="40% - Accent4 8 11" xfId="30450"/>
    <cellStyle name="40% - Accent4 8 2" xfId="30451"/>
    <cellStyle name="40% - Accent4 8 2 10" xfId="30452"/>
    <cellStyle name="40% - Accent4 8 2 2" xfId="30453"/>
    <cellStyle name="40% - Accent4 8 2 2 2" xfId="30454"/>
    <cellStyle name="40% - Accent4 8 2 2 2 2" xfId="30455"/>
    <cellStyle name="40% - Accent4 8 2 2 2 3" xfId="30456"/>
    <cellStyle name="40% - Accent4 8 2 2 2 4" xfId="30457"/>
    <cellStyle name="40% - Accent4 8 2 2 3" xfId="30458"/>
    <cellStyle name="40% - Accent4 8 2 2 3 2" xfId="30459"/>
    <cellStyle name="40% - Accent4 8 2 2 3 3" xfId="30460"/>
    <cellStyle name="40% - Accent4 8 2 2 4" xfId="30461"/>
    <cellStyle name="40% - Accent4 8 2 2 4 2" xfId="30462"/>
    <cellStyle name="40% - Accent4 8 2 2 5" xfId="30463"/>
    <cellStyle name="40% - Accent4 8 2 2 6" xfId="30464"/>
    <cellStyle name="40% - Accent4 8 2 2 7" xfId="30465"/>
    <cellStyle name="40% - Accent4 8 2 3" xfId="30466"/>
    <cellStyle name="40% - Accent4 8 2 3 2" xfId="30467"/>
    <cellStyle name="40% - Accent4 8 2 3 2 2" xfId="30468"/>
    <cellStyle name="40% - Accent4 8 2 3 2 3" xfId="30469"/>
    <cellStyle name="40% - Accent4 8 2 3 2 4" xfId="30470"/>
    <cellStyle name="40% - Accent4 8 2 3 3" xfId="30471"/>
    <cellStyle name="40% - Accent4 8 2 3 3 2" xfId="30472"/>
    <cellStyle name="40% - Accent4 8 2 3 3 3" xfId="30473"/>
    <cellStyle name="40% - Accent4 8 2 3 4" xfId="30474"/>
    <cellStyle name="40% - Accent4 8 2 3 4 2" xfId="30475"/>
    <cellStyle name="40% - Accent4 8 2 3 5" xfId="30476"/>
    <cellStyle name="40% - Accent4 8 2 3 6" xfId="30477"/>
    <cellStyle name="40% - Accent4 8 2 3 7" xfId="30478"/>
    <cellStyle name="40% - Accent4 8 2 4" xfId="30479"/>
    <cellStyle name="40% - Accent4 8 2 4 2" xfId="30480"/>
    <cellStyle name="40% - Accent4 8 2 4 2 2" xfId="30481"/>
    <cellStyle name="40% - Accent4 8 2 4 2 3" xfId="30482"/>
    <cellStyle name="40% - Accent4 8 2 4 2 4" xfId="30483"/>
    <cellStyle name="40% - Accent4 8 2 4 3" xfId="30484"/>
    <cellStyle name="40% - Accent4 8 2 4 3 2" xfId="30485"/>
    <cellStyle name="40% - Accent4 8 2 4 3 3" xfId="30486"/>
    <cellStyle name="40% - Accent4 8 2 4 4" xfId="30487"/>
    <cellStyle name="40% - Accent4 8 2 4 4 2" xfId="30488"/>
    <cellStyle name="40% - Accent4 8 2 4 5" xfId="30489"/>
    <cellStyle name="40% - Accent4 8 2 4 6" xfId="30490"/>
    <cellStyle name="40% - Accent4 8 2 4 7" xfId="30491"/>
    <cellStyle name="40% - Accent4 8 2 5" xfId="30492"/>
    <cellStyle name="40% - Accent4 8 2 5 2" xfId="30493"/>
    <cellStyle name="40% - Accent4 8 2 5 3" xfId="30494"/>
    <cellStyle name="40% - Accent4 8 2 5 4" xfId="30495"/>
    <cellStyle name="40% - Accent4 8 2 6" xfId="30496"/>
    <cellStyle name="40% - Accent4 8 2 6 2" xfId="30497"/>
    <cellStyle name="40% - Accent4 8 2 6 3" xfId="30498"/>
    <cellStyle name="40% - Accent4 8 2 7" xfId="30499"/>
    <cellStyle name="40% - Accent4 8 2 7 2" xfId="30500"/>
    <cellStyle name="40% - Accent4 8 2 8" xfId="30501"/>
    <cellStyle name="40% - Accent4 8 2 9" xfId="30502"/>
    <cellStyle name="40% - Accent4 8 3" xfId="30503"/>
    <cellStyle name="40% - Accent4 8 3 2" xfId="30504"/>
    <cellStyle name="40% - Accent4 8 3 2 2" xfId="30505"/>
    <cellStyle name="40% - Accent4 8 3 2 3" xfId="30506"/>
    <cellStyle name="40% - Accent4 8 3 2 4" xfId="30507"/>
    <cellStyle name="40% - Accent4 8 3 3" xfId="30508"/>
    <cellStyle name="40% - Accent4 8 3 3 2" xfId="30509"/>
    <cellStyle name="40% - Accent4 8 3 3 3" xfId="30510"/>
    <cellStyle name="40% - Accent4 8 3 4" xfId="30511"/>
    <cellStyle name="40% - Accent4 8 3 4 2" xfId="30512"/>
    <cellStyle name="40% - Accent4 8 3 5" xfId="30513"/>
    <cellStyle name="40% - Accent4 8 3 6" xfId="30514"/>
    <cellStyle name="40% - Accent4 8 3 7" xfId="30515"/>
    <cellStyle name="40% - Accent4 8 4" xfId="30516"/>
    <cellStyle name="40% - Accent4 8 4 2" xfId="30517"/>
    <cellStyle name="40% - Accent4 8 4 2 2" xfId="30518"/>
    <cellStyle name="40% - Accent4 8 4 2 3" xfId="30519"/>
    <cellStyle name="40% - Accent4 8 4 2 4" xfId="30520"/>
    <cellStyle name="40% - Accent4 8 4 3" xfId="30521"/>
    <cellStyle name="40% - Accent4 8 4 3 2" xfId="30522"/>
    <cellStyle name="40% - Accent4 8 4 3 3" xfId="30523"/>
    <cellStyle name="40% - Accent4 8 4 4" xfId="30524"/>
    <cellStyle name="40% - Accent4 8 4 4 2" xfId="30525"/>
    <cellStyle name="40% - Accent4 8 4 5" xfId="30526"/>
    <cellStyle name="40% - Accent4 8 4 6" xfId="30527"/>
    <cellStyle name="40% - Accent4 8 4 7" xfId="30528"/>
    <cellStyle name="40% - Accent4 8 5" xfId="30529"/>
    <cellStyle name="40% - Accent4 8 5 2" xfId="30530"/>
    <cellStyle name="40% - Accent4 8 5 2 2" xfId="30531"/>
    <cellStyle name="40% - Accent4 8 5 2 3" xfId="30532"/>
    <cellStyle name="40% - Accent4 8 5 2 4" xfId="30533"/>
    <cellStyle name="40% - Accent4 8 5 3" xfId="30534"/>
    <cellStyle name="40% - Accent4 8 5 3 2" xfId="30535"/>
    <cellStyle name="40% - Accent4 8 5 3 3" xfId="30536"/>
    <cellStyle name="40% - Accent4 8 5 4" xfId="30537"/>
    <cellStyle name="40% - Accent4 8 5 4 2" xfId="30538"/>
    <cellStyle name="40% - Accent4 8 5 5" xfId="30539"/>
    <cellStyle name="40% - Accent4 8 5 6" xfId="30540"/>
    <cellStyle name="40% - Accent4 8 5 7" xfId="30541"/>
    <cellStyle name="40% - Accent4 8 6" xfId="30542"/>
    <cellStyle name="40% - Accent4 8 6 2" xfId="30543"/>
    <cellStyle name="40% - Accent4 8 6 3" xfId="30544"/>
    <cellStyle name="40% - Accent4 8 6 4" xfId="30545"/>
    <cellStyle name="40% - Accent4 8 7" xfId="30546"/>
    <cellStyle name="40% - Accent4 8 7 2" xfId="30547"/>
    <cellStyle name="40% - Accent4 8 7 3" xfId="30548"/>
    <cellStyle name="40% - Accent4 8 8" xfId="30549"/>
    <cellStyle name="40% - Accent4 8 8 2" xfId="30550"/>
    <cellStyle name="40% - Accent4 8 9" xfId="30551"/>
    <cellStyle name="40% - Accent4 80" xfId="30552"/>
    <cellStyle name="40% - Accent4 80 2" xfId="30553"/>
    <cellStyle name="40% - Accent4 80 3" xfId="30554"/>
    <cellStyle name="40% - Accent4 81" xfId="30555"/>
    <cellStyle name="40% - Accent4 81 2" xfId="30556"/>
    <cellStyle name="40% - Accent4 82" xfId="30557"/>
    <cellStyle name="40% - Accent4 83" xfId="30558"/>
    <cellStyle name="40% - Accent4 9" xfId="30559"/>
    <cellStyle name="40% - Accent4 9 10" xfId="30560"/>
    <cellStyle name="40% - Accent4 9 2" xfId="30561"/>
    <cellStyle name="40% - Accent4 9 2 2" xfId="30562"/>
    <cellStyle name="40% - Accent4 9 2 2 2" xfId="30563"/>
    <cellStyle name="40% - Accent4 9 2 2 3" xfId="30564"/>
    <cellStyle name="40% - Accent4 9 2 2 4" xfId="30565"/>
    <cellStyle name="40% - Accent4 9 2 3" xfId="30566"/>
    <cellStyle name="40% - Accent4 9 2 3 2" xfId="30567"/>
    <cellStyle name="40% - Accent4 9 2 3 3" xfId="30568"/>
    <cellStyle name="40% - Accent4 9 2 4" xfId="30569"/>
    <cellStyle name="40% - Accent4 9 2 4 2" xfId="30570"/>
    <cellStyle name="40% - Accent4 9 2 5" xfId="30571"/>
    <cellStyle name="40% - Accent4 9 2 6" xfId="30572"/>
    <cellStyle name="40% - Accent4 9 2 7" xfId="30573"/>
    <cellStyle name="40% - Accent4 9 3" xfId="30574"/>
    <cellStyle name="40% - Accent4 9 3 2" xfId="30575"/>
    <cellStyle name="40% - Accent4 9 3 2 2" xfId="30576"/>
    <cellStyle name="40% - Accent4 9 3 2 3" xfId="30577"/>
    <cellStyle name="40% - Accent4 9 3 2 4" xfId="30578"/>
    <cellStyle name="40% - Accent4 9 3 3" xfId="30579"/>
    <cellStyle name="40% - Accent4 9 3 3 2" xfId="30580"/>
    <cellStyle name="40% - Accent4 9 3 3 3" xfId="30581"/>
    <cellStyle name="40% - Accent4 9 3 4" xfId="30582"/>
    <cellStyle name="40% - Accent4 9 3 4 2" xfId="30583"/>
    <cellStyle name="40% - Accent4 9 3 5" xfId="30584"/>
    <cellStyle name="40% - Accent4 9 3 6" xfId="30585"/>
    <cellStyle name="40% - Accent4 9 3 7" xfId="30586"/>
    <cellStyle name="40% - Accent4 9 4" xfId="30587"/>
    <cellStyle name="40% - Accent4 9 4 2" xfId="30588"/>
    <cellStyle name="40% - Accent4 9 4 2 2" xfId="30589"/>
    <cellStyle name="40% - Accent4 9 4 2 3" xfId="30590"/>
    <cellStyle name="40% - Accent4 9 4 2 4" xfId="30591"/>
    <cellStyle name="40% - Accent4 9 4 3" xfId="30592"/>
    <cellStyle name="40% - Accent4 9 4 3 2" xfId="30593"/>
    <cellStyle name="40% - Accent4 9 4 3 3" xfId="30594"/>
    <cellStyle name="40% - Accent4 9 4 4" xfId="30595"/>
    <cellStyle name="40% - Accent4 9 4 4 2" xfId="30596"/>
    <cellStyle name="40% - Accent4 9 4 5" xfId="30597"/>
    <cellStyle name="40% - Accent4 9 4 6" xfId="30598"/>
    <cellStyle name="40% - Accent4 9 4 7" xfId="30599"/>
    <cellStyle name="40% - Accent4 9 5" xfId="30600"/>
    <cellStyle name="40% - Accent4 9 5 2" xfId="30601"/>
    <cellStyle name="40% - Accent4 9 5 3" xfId="30602"/>
    <cellStyle name="40% - Accent4 9 6" xfId="30603"/>
    <cellStyle name="40% - Accent4 9 6 2" xfId="30604"/>
    <cellStyle name="40% - Accent4 9 6 3" xfId="30605"/>
    <cellStyle name="40% - Accent4 9 7" xfId="30606"/>
    <cellStyle name="40% - Accent4 9 7 2" xfId="30607"/>
    <cellStyle name="40% - Accent4 9 8" xfId="30608"/>
    <cellStyle name="40% - Accent4 9 9" xfId="30609"/>
    <cellStyle name="40% - Accent5 10" xfId="30610"/>
    <cellStyle name="40% - Accent5 10 2" xfId="30611"/>
    <cellStyle name="40% - Accent5 10 2 2" xfId="30612"/>
    <cellStyle name="40% - Accent5 10 2 3" xfId="30613"/>
    <cellStyle name="40% - Accent5 10 2 4" xfId="30614"/>
    <cellStyle name="40% - Accent5 10 3" xfId="30615"/>
    <cellStyle name="40% - Accent5 10 3 2" xfId="30616"/>
    <cellStyle name="40% - Accent5 10 3 3" xfId="30617"/>
    <cellStyle name="40% - Accent5 10 4" xfId="30618"/>
    <cellStyle name="40% - Accent5 10 4 2" xfId="30619"/>
    <cellStyle name="40% - Accent5 10 5" xfId="30620"/>
    <cellStyle name="40% - Accent5 10 6" xfId="30621"/>
    <cellStyle name="40% - Accent5 10 7" xfId="30622"/>
    <cellStyle name="40% - Accent5 11" xfId="30623"/>
    <cellStyle name="40% - Accent5 11 2" xfId="30624"/>
    <cellStyle name="40% - Accent5 11 2 2" xfId="30625"/>
    <cellStyle name="40% - Accent5 11 2 3" xfId="30626"/>
    <cellStyle name="40% - Accent5 11 2 4" xfId="30627"/>
    <cellStyle name="40% - Accent5 11 3" xfId="30628"/>
    <cellStyle name="40% - Accent5 11 3 2" xfId="30629"/>
    <cellStyle name="40% - Accent5 11 3 3" xfId="30630"/>
    <cellStyle name="40% - Accent5 11 4" xfId="30631"/>
    <cellStyle name="40% - Accent5 11 4 2" xfId="30632"/>
    <cellStyle name="40% - Accent5 11 5" xfId="30633"/>
    <cellStyle name="40% - Accent5 11 6" xfId="30634"/>
    <cellStyle name="40% - Accent5 11 7" xfId="30635"/>
    <cellStyle name="40% - Accent5 12" xfId="30636"/>
    <cellStyle name="40% - Accent5 12 2" xfId="30637"/>
    <cellStyle name="40% - Accent5 12 2 2" xfId="30638"/>
    <cellStyle name="40% - Accent5 12 2 3" xfId="30639"/>
    <cellStyle name="40% - Accent5 12 2 4" xfId="30640"/>
    <cellStyle name="40% - Accent5 12 3" xfId="30641"/>
    <cellStyle name="40% - Accent5 12 3 2" xfId="30642"/>
    <cellStyle name="40% - Accent5 12 3 3" xfId="30643"/>
    <cellStyle name="40% - Accent5 12 4" xfId="30644"/>
    <cellStyle name="40% - Accent5 12 4 2" xfId="30645"/>
    <cellStyle name="40% - Accent5 12 5" xfId="30646"/>
    <cellStyle name="40% - Accent5 12 6" xfId="30647"/>
    <cellStyle name="40% - Accent5 12 7" xfId="30648"/>
    <cellStyle name="40% - Accent5 13" xfId="30649"/>
    <cellStyle name="40% - Accent5 13 2" xfId="30650"/>
    <cellStyle name="40% - Accent5 13 3" xfId="30651"/>
    <cellStyle name="40% - Accent5 13 4" xfId="30652"/>
    <cellStyle name="40% - Accent5 14" xfId="30653"/>
    <cellStyle name="40% - Accent5 14 10" xfId="30654"/>
    <cellStyle name="40% - Accent5 14 2" xfId="30655"/>
    <cellStyle name="40% - Accent5 14 2 2" xfId="30656"/>
    <cellStyle name="40% - Accent5 14 2 2 2" xfId="30657"/>
    <cellStyle name="40% - Accent5 14 2 2 2 2" xfId="30658"/>
    <cellStyle name="40% - Accent5 14 2 2 2 2 2" xfId="30659"/>
    <cellStyle name="40% - Accent5 14 2 2 2 2 2 2" xfId="30660"/>
    <cellStyle name="40% - Accent5 14 2 2 2 3" xfId="30661"/>
    <cellStyle name="40% - Accent5 14 2 2 2 3 2" xfId="30662"/>
    <cellStyle name="40% - Accent5 14 2 2 3" xfId="30663"/>
    <cellStyle name="40% - Accent5 14 2 2 3 2" xfId="30664"/>
    <cellStyle name="40% - Accent5 14 2 2 3 2 2" xfId="30665"/>
    <cellStyle name="40% - Accent5 14 2 2 4" xfId="30666"/>
    <cellStyle name="40% - Accent5 14 2 2 4 2" xfId="30667"/>
    <cellStyle name="40% - Accent5 14 2 2 5" xfId="30668"/>
    <cellStyle name="40% - Accent5 14 2 2 6" xfId="30669"/>
    <cellStyle name="40% - Accent5 14 2 2 7" xfId="30670"/>
    <cellStyle name="40% - Accent5 14 2 3" xfId="30671"/>
    <cellStyle name="40% - Accent5 14 2 3 2" xfId="30672"/>
    <cellStyle name="40% - Accent5 14 2 3 2 2" xfId="30673"/>
    <cellStyle name="40% - Accent5 14 2 3 2 2 2" xfId="30674"/>
    <cellStyle name="40% - Accent5 14 2 3 3" xfId="30675"/>
    <cellStyle name="40% - Accent5 14 2 3 3 2" xfId="30676"/>
    <cellStyle name="40% - Accent5 14 2 3 4" xfId="30677"/>
    <cellStyle name="40% - Accent5 14 2 3 5" xfId="30678"/>
    <cellStyle name="40% - Accent5 14 2 3 6" xfId="30679"/>
    <cellStyle name="40% - Accent5 14 2 4" xfId="30680"/>
    <cellStyle name="40% - Accent5 14 2 4 2" xfId="30681"/>
    <cellStyle name="40% - Accent5 14 2 4 2 2" xfId="30682"/>
    <cellStyle name="40% - Accent5 14 2 4 3" xfId="30683"/>
    <cellStyle name="40% - Accent5 14 2 5" xfId="30684"/>
    <cellStyle name="40% - Accent5 14 2 5 2" xfId="30685"/>
    <cellStyle name="40% - Accent5 14 2 6" xfId="30686"/>
    <cellStyle name="40% - Accent5 14 2 7" xfId="30687"/>
    <cellStyle name="40% - Accent5 14 2 8" xfId="30688"/>
    <cellStyle name="40% - Accent5 14 2 9" xfId="30689"/>
    <cellStyle name="40% - Accent5 14 3" xfId="30690"/>
    <cellStyle name="40% - Accent5 14 3 2" xfId="30691"/>
    <cellStyle name="40% - Accent5 14 3 2 2" xfId="30692"/>
    <cellStyle name="40% - Accent5 14 3 2 2 2" xfId="30693"/>
    <cellStyle name="40% - Accent5 14 3 2 2 2 2" xfId="30694"/>
    <cellStyle name="40% - Accent5 14 3 2 3" xfId="30695"/>
    <cellStyle name="40% - Accent5 14 3 2 3 2" xfId="30696"/>
    <cellStyle name="40% - Accent5 14 3 2 4" xfId="30697"/>
    <cellStyle name="40% - Accent5 14 3 2 5" xfId="30698"/>
    <cellStyle name="40% - Accent5 14 3 2 6" xfId="30699"/>
    <cellStyle name="40% - Accent5 14 3 3" xfId="30700"/>
    <cellStyle name="40% - Accent5 14 3 3 2" xfId="30701"/>
    <cellStyle name="40% - Accent5 14 3 3 2 2" xfId="30702"/>
    <cellStyle name="40% - Accent5 14 3 3 3" xfId="30703"/>
    <cellStyle name="40% - Accent5 14 3 3 4" xfId="30704"/>
    <cellStyle name="40% - Accent5 14 3 3 5" xfId="30705"/>
    <cellStyle name="40% - Accent5 14 3 4" xfId="30706"/>
    <cellStyle name="40% - Accent5 14 3 4 2" xfId="30707"/>
    <cellStyle name="40% - Accent5 14 3 4 3" xfId="30708"/>
    <cellStyle name="40% - Accent5 14 3 5" xfId="30709"/>
    <cellStyle name="40% - Accent5 14 3 6" xfId="30710"/>
    <cellStyle name="40% - Accent5 14 3 7" xfId="30711"/>
    <cellStyle name="40% - Accent5 14 3 8" xfId="30712"/>
    <cellStyle name="40% - Accent5 14 4" xfId="30713"/>
    <cellStyle name="40% - Accent5 14 4 2" xfId="30714"/>
    <cellStyle name="40% - Accent5 14 4 2 2" xfId="30715"/>
    <cellStyle name="40% - Accent5 14 4 2 2 2" xfId="30716"/>
    <cellStyle name="40% - Accent5 14 4 3" xfId="30717"/>
    <cellStyle name="40% - Accent5 14 4 3 2" xfId="30718"/>
    <cellStyle name="40% - Accent5 14 4 4" xfId="30719"/>
    <cellStyle name="40% - Accent5 14 4 5" xfId="30720"/>
    <cellStyle name="40% - Accent5 14 4 6" xfId="30721"/>
    <cellStyle name="40% - Accent5 14 5" xfId="30722"/>
    <cellStyle name="40% - Accent5 14 5 2" xfId="30723"/>
    <cellStyle name="40% - Accent5 14 5 2 2" xfId="30724"/>
    <cellStyle name="40% - Accent5 14 5 3" xfId="30725"/>
    <cellStyle name="40% - Accent5 14 5 4" xfId="30726"/>
    <cellStyle name="40% - Accent5 14 5 5" xfId="30727"/>
    <cellStyle name="40% - Accent5 14 6" xfId="30728"/>
    <cellStyle name="40% - Accent5 14 6 2" xfId="30729"/>
    <cellStyle name="40% - Accent5 14 6 3" xfId="30730"/>
    <cellStyle name="40% - Accent5 14 7" xfId="30731"/>
    <cellStyle name="40% - Accent5 14 8" xfId="30732"/>
    <cellStyle name="40% - Accent5 14 9" xfId="30733"/>
    <cellStyle name="40% - Accent5 15" xfId="30734"/>
    <cellStyle name="40% - Accent5 15 2" xfId="30735"/>
    <cellStyle name="40% - Accent5 15 2 2" xfId="30736"/>
    <cellStyle name="40% - Accent5 15 2 3" xfId="30737"/>
    <cellStyle name="40% - Accent5 15 2 4" xfId="30738"/>
    <cellStyle name="40% - Accent5 15 3" xfId="30739"/>
    <cellStyle name="40% - Accent5 15 3 2" xfId="30740"/>
    <cellStyle name="40% - Accent5 15 3 3" xfId="30741"/>
    <cellStyle name="40% - Accent5 15 4" xfId="30742"/>
    <cellStyle name="40% - Accent5 15 4 2" xfId="30743"/>
    <cellStyle name="40% - Accent5 15 5" xfId="30744"/>
    <cellStyle name="40% - Accent5 15 6" xfId="30745"/>
    <cellStyle name="40% - Accent5 15 7" xfId="30746"/>
    <cellStyle name="40% - Accent5 16" xfId="30747"/>
    <cellStyle name="40% - Accent5 16 2" xfId="30748"/>
    <cellStyle name="40% - Accent5 16 2 2" xfId="30749"/>
    <cellStyle name="40% - Accent5 16 2 3" xfId="30750"/>
    <cellStyle name="40% - Accent5 16 2 4" xfId="30751"/>
    <cellStyle name="40% - Accent5 16 3" xfId="30752"/>
    <cellStyle name="40% - Accent5 16 3 2" xfId="30753"/>
    <cellStyle name="40% - Accent5 16 3 3" xfId="30754"/>
    <cellStyle name="40% - Accent5 16 4" xfId="30755"/>
    <cellStyle name="40% - Accent5 16 4 2" xfId="30756"/>
    <cellStyle name="40% - Accent5 16 5" xfId="30757"/>
    <cellStyle name="40% - Accent5 16 6" xfId="30758"/>
    <cellStyle name="40% - Accent5 16 7" xfId="30759"/>
    <cellStyle name="40% - Accent5 17" xfId="30760"/>
    <cellStyle name="40% - Accent5 17 2" xfId="30761"/>
    <cellStyle name="40% - Accent5 17 2 2" xfId="30762"/>
    <cellStyle name="40% - Accent5 17 2 3" xfId="30763"/>
    <cellStyle name="40% - Accent5 17 2 4" xfId="30764"/>
    <cellStyle name="40% - Accent5 17 3" xfId="30765"/>
    <cellStyle name="40% - Accent5 17 3 2" xfId="30766"/>
    <cellStyle name="40% - Accent5 17 3 3" xfId="30767"/>
    <cellStyle name="40% - Accent5 17 4" xfId="30768"/>
    <cellStyle name="40% - Accent5 17 4 2" xfId="30769"/>
    <cellStyle name="40% - Accent5 17 5" xfId="30770"/>
    <cellStyle name="40% - Accent5 17 6" xfId="30771"/>
    <cellStyle name="40% - Accent5 17 7" xfId="30772"/>
    <cellStyle name="40% - Accent5 18" xfId="30773"/>
    <cellStyle name="40% - Accent5 18 2" xfId="30774"/>
    <cellStyle name="40% - Accent5 18 2 2" xfId="30775"/>
    <cellStyle name="40% - Accent5 18 2 3" xfId="30776"/>
    <cellStyle name="40% - Accent5 18 2 4" xfId="30777"/>
    <cellStyle name="40% - Accent5 18 3" xfId="30778"/>
    <cellStyle name="40% - Accent5 18 3 2" xfId="30779"/>
    <cellStyle name="40% - Accent5 18 3 3" xfId="30780"/>
    <cellStyle name="40% - Accent5 18 4" xfId="30781"/>
    <cellStyle name="40% - Accent5 18 4 2" xfId="30782"/>
    <cellStyle name="40% - Accent5 18 5" xfId="30783"/>
    <cellStyle name="40% - Accent5 18 6" xfId="30784"/>
    <cellStyle name="40% - Accent5 18 7" xfId="30785"/>
    <cellStyle name="40% - Accent5 19" xfId="30786"/>
    <cellStyle name="40% - Accent5 19 2" xfId="30787"/>
    <cellStyle name="40% - Accent5 19 2 2" xfId="30788"/>
    <cellStyle name="40% - Accent5 19 2 3" xfId="30789"/>
    <cellStyle name="40% - Accent5 19 2 4" xfId="30790"/>
    <cellStyle name="40% - Accent5 19 3" xfId="30791"/>
    <cellStyle name="40% - Accent5 19 3 2" xfId="30792"/>
    <cellStyle name="40% - Accent5 19 3 3" xfId="30793"/>
    <cellStyle name="40% - Accent5 19 4" xfId="30794"/>
    <cellStyle name="40% - Accent5 19 4 2" xfId="30795"/>
    <cellStyle name="40% - Accent5 19 5" xfId="30796"/>
    <cellStyle name="40% - Accent5 19 6" xfId="30797"/>
    <cellStyle name="40% - Accent5 19 7" xfId="30798"/>
    <cellStyle name="40% - Accent5 2" xfId="30799"/>
    <cellStyle name="40% - Accent5 2 10" xfId="30800"/>
    <cellStyle name="40% - Accent5 2 10 2" xfId="30801"/>
    <cellStyle name="40% - Accent5 2 10 2 2" xfId="30802"/>
    <cellStyle name="40% - Accent5 2 10 2 2 2" xfId="30803"/>
    <cellStyle name="40% - Accent5 2 10 2 2 2 2" xfId="30804"/>
    <cellStyle name="40% - Accent5 2 10 2 2 2 2 2" xfId="30805"/>
    <cellStyle name="40% - Accent5 2 10 2 2 2 2 2 2" xfId="30806"/>
    <cellStyle name="40% - Accent5 2 10 2 2 2 3" xfId="30807"/>
    <cellStyle name="40% - Accent5 2 10 2 2 2 3 2" xfId="30808"/>
    <cellStyle name="40% - Accent5 2 10 2 2 3" xfId="30809"/>
    <cellStyle name="40% - Accent5 2 10 2 2 3 2" xfId="30810"/>
    <cellStyle name="40% - Accent5 2 10 2 2 3 2 2" xfId="30811"/>
    <cellStyle name="40% - Accent5 2 10 2 2 4" xfId="30812"/>
    <cellStyle name="40% - Accent5 2 10 2 2 4 2" xfId="30813"/>
    <cellStyle name="40% - Accent5 2 10 2 3" xfId="30814"/>
    <cellStyle name="40% - Accent5 2 10 2 3 2" xfId="30815"/>
    <cellStyle name="40% - Accent5 2 10 2 3 2 2" xfId="30816"/>
    <cellStyle name="40% - Accent5 2 10 2 3 2 2 2" xfId="30817"/>
    <cellStyle name="40% - Accent5 2 10 2 3 3" xfId="30818"/>
    <cellStyle name="40% - Accent5 2 10 2 3 3 2" xfId="30819"/>
    <cellStyle name="40% - Accent5 2 10 2 4" xfId="30820"/>
    <cellStyle name="40% - Accent5 2 10 2 4 2" xfId="30821"/>
    <cellStyle name="40% - Accent5 2 10 2 4 2 2" xfId="30822"/>
    <cellStyle name="40% - Accent5 2 10 2 5" xfId="30823"/>
    <cellStyle name="40% - Accent5 2 10 2 5 2" xfId="30824"/>
    <cellStyle name="40% - Accent5 2 10 3" xfId="30825"/>
    <cellStyle name="40% - Accent5 2 10 3 2" xfId="30826"/>
    <cellStyle name="40% - Accent5 2 10 3 2 2" xfId="30827"/>
    <cellStyle name="40% - Accent5 2 10 3 2 2 2" xfId="30828"/>
    <cellStyle name="40% - Accent5 2 10 3 2 2 2 2" xfId="30829"/>
    <cellStyle name="40% - Accent5 2 10 3 2 3" xfId="30830"/>
    <cellStyle name="40% - Accent5 2 10 3 2 3 2" xfId="30831"/>
    <cellStyle name="40% - Accent5 2 10 3 3" xfId="30832"/>
    <cellStyle name="40% - Accent5 2 10 3 3 2" xfId="30833"/>
    <cellStyle name="40% - Accent5 2 10 3 3 2 2" xfId="30834"/>
    <cellStyle name="40% - Accent5 2 10 3 4" xfId="30835"/>
    <cellStyle name="40% - Accent5 2 10 3 4 2" xfId="30836"/>
    <cellStyle name="40% - Accent5 2 10 4" xfId="30837"/>
    <cellStyle name="40% - Accent5 2 10 4 2" xfId="30838"/>
    <cellStyle name="40% - Accent5 2 10 4 2 2" xfId="30839"/>
    <cellStyle name="40% - Accent5 2 10 4 2 2 2" xfId="30840"/>
    <cellStyle name="40% - Accent5 2 10 4 3" xfId="30841"/>
    <cellStyle name="40% - Accent5 2 10 4 3 2" xfId="30842"/>
    <cellStyle name="40% - Accent5 2 10 5" xfId="30843"/>
    <cellStyle name="40% - Accent5 2 10 5 2" xfId="30844"/>
    <cellStyle name="40% - Accent5 2 10 5 2 2" xfId="30845"/>
    <cellStyle name="40% - Accent5 2 10 6" xfId="30846"/>
    <cellStyle name="40% - Accent5 2 10 6 2" xfId="30847"/>
    <cellStyle name="40% - Accent5 2 11" xfId="30848"/>
    <cellStyle name="40% - Accent5 2 11 2" xfId="30849"/>
    <cellStyle name="40% - Accent5 2 11 2 2" xfId="30850"/>
    <cellStyle name="40% - Accent5 2 11 2 2 2" xfId="30851"/>
    <cellStyle name="40% - Accent5 2 11 2 2 2 2" xfId="30852"/>
    <cellStyle name="40% - Accent5 2 11 2 2 2 2 2" xfId="30853"/>
    <cellStyle name="40% - Accent5 2 11 2 2 2 2 2 2" xfId="30854"/>
    <cellStyle name="40% - Accent5 2 11 2 2 2 3" xfId="30855"/>
    <cellStyle name="40% - Accent5 2 11 2 2 2 3 2" xfId="30856"/>
    <cellStyle name="40% - Accent5 2 11 2 2 3" xfId="30857"/>
    <cellStyle name="40% - Accent5 2 11 2 2 3 2" xfId="30858"/>
    <cellStyle name="40% - Accent5 2 11 2 2 3 2 2" xfId="30859"/>
    <cellStyle name="40% - Accent5 2 11 2 2 4" xfId="30860"/>
    <cellStyle name="40% - Accent5 2 11 2 2 4 2" xfId="30861"/>
    <cellStyle name="40% - Accent5 2 11 2 3" xfId="30862"/>
    <cellStyle name="40% - Accent5 2 11 2 3 2" xfId="30863"/>
    <cellStyle name="40% - Accent5 2 11 2 3 2 2" xfId="30864"/>
    <cellStyle name="40% - Accent5 2 11 2 3 2 2 2" xfId="30865"/>
    <cellStyle name="40% - Accent5 2 11 2 3 3" xfId="30866"/>
    <cellStyle name="40% - Accent5 2 11 2 3 3 2" xfId="30867"/>
    <cellStyle name="40% - Accent5 2 11 2 4" xfId="30868"/>
    <cellStyle name="40% - Accent5 2 11 2 4 2" xfId="30869"/>
    <cellStyle name="40% - Accent5 2 11 2 4 2 2" xfId="30870"/>
    <cellStyle name="40% - Accent5 2 11 2 5" xfId="30871"/>
    <cellStyle name="40% - Accent5 2 11 2 5 2" xfId="30872"/>
    <cellStyle name="40% - Accent5 2 11 3" xfId="30873"/>
    <cellStyle name="40% - Accent5 2 11 3 2" xfId="30874"/>
    <cellStyle name="40% - Accent5 2 11 3 2 2" xfId="30875"/>
    <cellStyle name="40% - Accent5 2 11 3 2 2 2" xfId="30876"/>
    <cellStyle name="40% - Accent5 2 11 3 2 2 2 2" xfId="30877"/>
    <cellStyle name="40% - Accent5 2 11 3 2 3" xfId="30878"/>
    <cellStyle name="40% - Accent5 2 11 3 2 3 2" xfId="30879"/>
    <cellStyle name="40% - Accent5 2 11 3 3" xfId="30880"/>
    <cellStyle name="40% - Accent5 2 11 3 3 2" xfId="30881"/>
    <cellStyle name="40% - Accent5 2 11 3 3 2 2" xfId="30882"/>
    <cellStyle name="40% - Accent5 2 11 3 4" xfId="30883"/>
    <cellStyle name="40% - Accent5 2 11 3 4 2" xfId="30884"/>
    <cellStyle name="40% - Accent5 2 11 4" xfId="30885"/>
    <cellStyle name="40% - Accent5 2 11 4 2" xfId="30886"/>
    <cellStyle name="40% - Accent5 2 11 4 2 2" xfId="30887"/>
    <cellStyle name="40% - Accent5 2 11 4 2 2 2" xfId="30888"/>
    <cellStyle name="40% - Accent5 2 11 4 3" xfId="30889"/>
    <cellStyle name="40% - Accent5 2 11 4 3 2" xfId="30890"/>
    <cellStyle name="40% - Accent5 2 11 5" xfId="30891"/>
    <cellStyle name="40% - Accent5 2 11 5 2" xfId="30892"/>
    <cellStyle name="40% - Accent5 2 11 5 2 2" xfId="30893"/>
    <cellStyle name="40% - Accent5 2 11 6" xfId="30894"/>
    <cellStyle name="40% - Accent5 2 11 6 2" xfId="30895"/>
    <cellStyle name="40% - Accent5 2 12" xfId="30896"/>
    <cellStyle name="40% - Accent5 2 12 2" xfId="30897"/>
    <cellStyle name="40% - Accent5 2 12 2 2" xfId="30898"/>
    <cellStyle name="40% - Accent5 2 12 2 2 2" xfId="30899"/>
    <cellStyle name="40% - Accent5 2 12 2 2 2 2" xfId="30900"/>
    <cellStyle name="40% - Accent5 2 12 2 2 2 2 2" xfId="30901"/>
    <cellStyle name="40% - Accent5 2 12 2 2 2 2 2 2" xfId="30902"/>
    <cellStyle name="40% - Accent5 2 12 2 2 2 3" xfId="30903"/>
    <cellStyle name="40% - Accent5 2 12 2 2 2 3 2" xfId="30904"/>
    <cellStyle name="40% - Accent5 2 12 2 2 3" xfId="30905"/>
    <cellStyle name="40% - Accent5 2 12 2 2 3 2" xfId="30906"/>
    <cellStyle name="40% - Accent5 2 12 2 2 3 2 2" xfId="30907"/>
    <cellStyle name="40% - Accent5 2 12 2 2 4" xfId="30908"/>
    <cellStyle name="40% - Accent5 2 12 2 2 4 2" xfId="30909"/>
    <cellStyle name="40% - Accent5 2 12 2 3" xfId="30910"/>
    <cellStyle name="40% - Accent5 2 12 2 3 2" xfId="30911"/>
    <cellStyle name="40% - Accent5 2 12 2 3 2 2" xfId="30912"/>
    <cellStyle name="40% - Accent5 2 12 2 3 2 2 2" xfId="30913"/>
    <cellStyle name="40% - Accent5 2 12 2 3 3" xfId="30914"/>
    <cellStyle name="40% - Accent5 2 12 2 3 3 2" xfId="30915"/>
    <cellStyle name="40% - Accent5 2 12 2 4" xfId="30916"/>
    <cellStyle name="40% - Accent5 2 12 2 4 2" xfId="30917"/>
    <cellStyle name="40% - Accent5 2 12 2 4 2 2" xfId="30918"/>
    <cellStyle name="40% - Accent5 2 12 2 5" xfId="30919"/>
    <cellStyle name="40% - Accent5 2 12 2 5 2" xfId="30920"/>
    <cellStyle name="40% - Accent5 2 12 3" xfId="30921"/>
    <cellStyle name="40% - Accent5 2 12 3 2" xfId="30922"/>
    <cellStyle name="40% - Accent5 2 12 3 2 2" xfId="30923"/>
    <cellStyle name="40% - Accent5 2 12 3 2 2 2" xfId="30924"/>
    <cellStyle name="40% - Accent5 2 12 3 2 2 2 2" xfId="30925"/>
    <cellStyle name="40% - Accent5 2 12 3 2 3" xfId="30926"/>
    <cellStyle name="40% - Accent5 2 12 3 2 3 2" xfId="30927"/>
    <cellStyle name="40% - Accent5 2 12 3 3" xfId="30928"/>
    <cellStyle name="40% - Accent5 2 12 3 3 2" xfId="30929"/>
    <cellStyle name="40% - Accent5 2 12 3 3 2 2" xfId="30930"/>
    <cellStyle name="40% - Accent5 2 12 3 4" xfId="30931"/>
    <cellStyle name="40% - Accent5 2 12 3 4 2" xfId="30932"/>
    <cellStyle name="40% - Accent5 2 12 4" xfId="30933"/>
    <cellStyle name="40% - Accent5 2 12 4 2" xfId="30934"/>
    <cellStyle name="40% - Accent5 2 12 4 2 2" xfId="30935"/>
    <cellStyle name="40% - Accent5 2 12 4 2 2 2" xfId="30936"/>
    <cellStyle name="40% - Accent5 2 12 4 3" xfId="30937"/>
    <cellStyle name="40% - Accent5 2 12 4 3 2" xfId="30938"/>
    <cellStyle name="40% - Accent5 2 12 5" xfId="30939"/>
    <cellStyle name="40% - Accent5 2 12 5 2" xfId="30940"/>
    <cellStyle name="40% - Accent5 2 12 5 2 2" xfId="30941"/>
    <cellStyle name="40% - Accent5 2 12 6" xfId="30942"/>
    <cellStyle name="40% - Accent5 2 12 6 2" xfId="30943"/>
    <cellStyle name="40% - Accent5 2 13" xfId="30944"/>
    <cellStyle name="40% - Accent5 2 13 2" xfId="30945"/>
    <cellStyle name="40% - Accent5 2 13 2 2" xfId="30946"/>
    <cellStyle name="40% - Accent5 2 13 2 2 2" xfId="30947"/>
    <cellStyle name="40% - Accent5 2 13 2 2 2 2" xfId="30948"/>
    <cellStyle name="40% - Accent5 2 13 2 2 2 2 2" xfId="30949"/>
    <cellStyle name="40% - Accent5 2 13 2 2 2 2 2 2" xfId="30950"/>
    <cellStyle name="40% - Accent5 2 13 2 2 2 3" xfId="30951"/>
    <cellStyle name="40% - Accent5 2 13 2 2 2 3 2" xfId="30952"/>
    <cellStyle name="40% - Accent5 2 13 2 2 3" xfId="30953"/>
    <cellStyle name="40% - Accent5 2 13 2 2 3 2" xfId="30954"/>
    <cellStyle name="40% - Accent5 2 13 2 2 3 2 2" xfId="30955"/>
    <cellStyle name="40% - Accent5 2 13 2 2 4" xfId="30956"/>
    <cellStyle name="40% - Accent5 2 13 2 2 4 2" xfId="30957"/>
    <cellStyle name="40% - Accent5 2 13 2 3" xfId="30958"/>
    <cellStyle name="40% - Accent5 2 13 2 3 2" xfId="30959"/>
    <cellStyle name="40% - Accent5 2 13 2 3 2 2" xfId="30960"/>
    <cellStyle name="40% - Accent5 2 13 2 3 2 2 2" xfId="30961"/>
    <cellStyle name="40% - Accent5 2 13 2 3 3" xfId="30962"/>
    <cellStyle name="40% - Accent5 2 13 2 3 3 2" xfId="30963"/>
    <cellStyle name="40% - Accent5 2 13 2 4" xfId="30964"/>
    <cellStyle name="40% - Accent5 2 13 2 4 2" xfId="30965"/>
    <cellStyle name="40% - Accent5 2 13 2 4 2 2" xfId="30966"/>
    <cellStyle name="40% - Accent5 2 13 2 5" xfId="30967"/>
    <cellStyle name="40% - Accent5 2 13 2 5 2" xfId="30968"/>
    <cellStyle name="40% - Accent5 2 13 3" xfId="30969"/>
    <cellStyle name="40% - Accent5 2 13 3 2" xfId="30970"/>
    <cellStyle name="40% - Accent5 2 13 3 2 2" xfId="30971"/>
    <cellStyle name="40% - Accent5 2 13 3 2 2 2" xfId="30972"/>
    <cellStyle name="40% - Accent5 2 13 3 2 2 2 2" xfId="30973"/>
    <cellStyle name="40% - Accent5 2 13 3 2 3" xfId="30974"/>
    <cellStyle name="40% - Accent5 2 13 3 2 3 2" xfId="30975"/>
    <cellStyle name="40% - Accent5 2 13 3 3" xfId="30976"/>
    <cellStyle name="40% - Accent5 2 13 3 3 2" xfId="30977"/>
    <cellStyle name="40% - Accent5 2 13 3 3 2 2" xfId="30978"/>
    <cellStyle name="40% - Accent5 2 13 3 4" xfId="30979"/>
    <cellStyle name="40% - Accent5 2 13 3 4 2" xfId="30980"/>
    <cellStyle name="40% - Accent5 2 13 4" xfId="30981"/>
    <cellStyle name="40% - Accent5 2 13 4 2" xfId="30982"/>
    <cellStyle name="40% - Accent5 2 13 4 2 2" xfId="30983"/>
    <cellStyle name="40% - Accent5 2 13 4 2 2 2" xfId="30984"/>
    <cellStyle name="40% - Accent5 2 13 4 3" xfId="30985"/>
    <cellStyle name="40% - Accent5 2 13 4 3 2" xfId="30986"/>
    <cellStyle name="40% - Accent5 2 13 5" xfId="30987"/>
    <cellStyle name="40% - Accent5 2 13 5 2" xfId="30988"/>
    <cellStyle name="40% - Accent5 2 13 5 2 2" xfId="30989"/>
    <cellStyle name="40% - Accent5 2 13 6" xfId="30990"/>
    <cellStyle name="40% - Accent5 2 13 6 2" xfId="30991"/>
    <cellStyle name="40% - Accent5 2 14" xfId="30992"/>
    <cellStyle name="40% - Accent5 2 14 2" xfId="30993"/>
    <cellStyle name="40% - Accent5 2 14 2 2" xfId="30994"/>
    <cellStyle name="40% - Accent5 2 14 2 2 2" xfId="30995"/>
    <cellStyle name="40% - Accent5 2 14 2 2 2 2" xfId="30996"/>
    <cellStyle name="40% - Accent5 2 14 2 2 2 2 2" xfId="30997"/>
    <cellStyle name="40% - Accent5 2 14 2 2 3" xfId="30998"/>
    <cellStyle name="40% - Accent5 2 14 2 2 3 2" xfId="30999"/>
    <cellStyle name="40% - Accent5 2 14 2 3" xfId="31000"/>
    <cellStyle name="40% - Accent5 2 14 2 3 2" xfId="31001"/>
    <cellStyle name="40% - Accent5 2 14 2 3 2 2" xfId="31002"/>
    <cellStyle name="40% - Accent5 2 14 2 4" xfId="31003"/>
    <cellStyle name="40% - Accent5 2 14 2 4 2" xfId="31004"/>
    <cellStyle name="40% - Accent5 2 14 3" xfId="31005"/>
    <cellStyle name="40% - Accent5 2 14 3 2" xfId="31006"/>
    <cellStyle name="40% - Accent5 2 14 3 2 2" xfId="31007"/>
    <cellStyle name="40% - Accent5 2 14 3 2 2 2" xfId="31008"/>
    <cellStyle name="40% - Accent5 2 14 3 3" xfId="31009"/>
    <cellStyle name="40% - Accent5 2 14 3 3 2" xfId="31010"/>
    <cellStyle name="40% - Accent5 2 14 4" xfId="31011"/>
    <cellStyle name="40% - Accent5 2 14 4 2" xfId="31012"/>
    <cellStyle name="40% - Accent5 2 14 4 2 2" xfId="31013"/>
    <cellStyle name="40% - Accent5 2 14 5" xfId="31014"/>
    <cellStyle name="40% - Accent5 2 14 5 2" xfId="31015"/>
    <cellStyle name="40% - Accent5 2 15" xfId="31016"/>
    <cellStyle name="40% - Accent5 2 15 2" xfId="31017"/>
    <cellStyle name="40% - Accent5 2 15 2 2" xfId="31018"/>
    <cellStyle name="40% - Accent5 2 15 2 2 2" xfId="31019"/>
    <cellStyle name="40% - Accent5 2 15 2 2 2 2" xfId="31020"/>
    <cellStyle name="40% - Accent5 2 15 2 3" xfId="31021"/>
    <cellStyle name="40% - Accent5 2 15 2 3 2" xfId="31022"/>
    <cellStyle name="40% - Accent5 2 15 3" xfId="31023"/>
    <cellStyle name="40% - Accent5 2 15 3 2" xfId="31024"/>
    <cellStyle name="40% - Accent5 2 15 3 2 2" xfId="31025"/>
    <cellStyle name="40% - Accent5 2 15 4" xfId="31026"/>
    <cellStyle name="40% - Accent5 2 15 4 2" xfId="31027"/>
    <cellStyle name="40% - Accent5 2 16" xfId="31028"/>
    <cellStyle name="40% - Accent5 2 16 2" xfId="31029"/>
    <cellStyle name="40% - Accent5 2 16 2 2" xfId="31030"/>
    <cellStyle name="40% - Accent5 2 16 2 2 2" xfId="31031"/>
    <cellStyle name="40% - Accent5 2 16 3" xfId="31032"/>
    <cellStyle name="40% - Accent5 2 16 3 2" xfId="31033"/>
    <cellStyle name="40% - Accent5 2 17" xfId="31034"/>
    <cellStyle name="40% - Accent5 2 17 2" xfId="31035"/>
    <cellStyle name="40% - Accent5 2 17 2 2" xfId="31036"/>
    <cellStyle name="40% - Accent5 2 18" xfId="31037"/>
    <cellStyle name="40% - Accent5 2 19" xfId="31038"/>
    <cellStyle name="40% - Accent5 2 19 2" xfId="31039"/>
    <cellStyle name="40% - Accent5 2 2" xfId="31040"/>
    <cellStyle name="40% - Accent5 2 2 2" xfId="31041"/>
    <cellStyle name="40% - Accent5 2 2 2 2" xfId="31042"/>
    <cellStyle name="40% - Accent5 2 2 2 2 2" xfId="31043"/>
    <cellStyle name="40% - Accent5 2 2 2 2 2 2" xfId="31044"/>
    <cellStyle name="40% - Accent5 2 2 2 2 2 2 2" xfId="31045"/>
    <cellStyle name="40% - Accent5 2 2 2 2 2 2 2 2" xfId="31046"/>
    <cellStyle name="40% - Accent5 2 2 2 2 2 3" xfId="31047"/>
    <cellStyle name="40% - Accent5 2 2 2 2 2 3 2" xfId="31048"/>
    <cellStyle name="40% - Accent5 2 2 2 2 3" xfId="31049"/>
    <cellStyle name="40% - Accent5 2 2 2 2 3 2" xfId="31050"/>
    <cellStyle name="40% - Accent5 2 2 2 2 3 2 2" xfId="31051"/>
    <cellStyle name="40% - Accent5 2 2 2 2 4" xfId="31052"/>
    <cellStyle name="40% - Accent5 2 2 2 2 4 2" xfId="31053"/>
    <cellStyle name="40% - Accent5 2 2 2 3" xfId="31054"/>
    <cellStyle name="40% - Accent5 2 2 2 3 2" xfId="31055"/>
    <cellStyle name="40% - Accent5 2 2 2 3 2 2" xfId="31056"/>
    <cellStyle name="40% - Accent5 2 2 2 3 2 2 2" xfId="31057"/>
    <cellStyle name="40% - Accent5 2 2 2 3 3" xfId="31058"/>
    <cellStyle name="40% - Accent5 2 2 2 3 3 2" xfId="31059"/>
    <cellStyle name="40% - Accent5 2 2 2 4" xfId="31060"/>
    <cellStyle name="40% - Accent5 2 2 2 4 2" xfId="31061"/>
    <cellStyle name="40% - Accent5 2 2 2 4 2 2" xfId="31062"/>
    <cellStyle name="40% - Accent5 2 2 2 5" xfId="31063"/>
    <cellStyle name="40% - Accent5 2 2 2 5 2" xfId="31064"/>
    <cellStyle name="40% - Accent5 2 2 3" xfId="31065"/>
    <cellStyle name="40% - Accent5 2 2 3 2" xfId="31066"/>
    <cellStyle name="40% - Accent5 2 2 3 2 2" xfId="31067"/>
    <cellStyle name="40% - Accent5 2 2 3 2 2 2" xfId="31068"/>
    <cellStyle name="40% - Accent5 2 2 3 2 2 2 2" xfId="31069"/>
    <cellStyle name="40% - Accent5 2 2 3 2 3" xfId="31070"/>
    <cellStyle name="40% - Accent5 2 2 3 2 3 2" xfId="31071"/>
    <cellStyle name="40% - Accent5 2 2 3 3" xfId="31072"/>
    <cellStyle name="40% - Accent5 2 2 3 3 2" xfId="31073"/>
    <cellStyle name="40% - Accent5 2 2 3 3 2 2" xfId="31074"/>
    <cellStyle name="40% - Accent5 2 2 3 4" xfId="31075"/>
    <cellStyle name="40% - Accent5 2 2 3 4 2" xfId="31076"/>
    <cellStyle name="40% - Accent5 2 2 4" xfId="31077"/>
    <cellStyle name="40% - Accent5 2 2 4 2" xfId="31078"/>
    <cellStyle name="40% - Accent5 2 2 4 2 2" xfId="31079"/>
    <cellStyle name="40% - Accent5 2 2 4 2 2 2" xfId="31080"/>
    <cellStyle name="40% - Accent5 2 2 4 3" xfId="31081"/>
    <cellStyle name="40% - Accent5 2 2 4 3 2" xfId="31082"/>
    <cellStyle name="40% - Accent5 2 2 5" xfId="31083"/>
    <cellStyle name="40% - Accent5 2 2 5 2" xfId="31084"/>
    <cellStyle name="40% - Accent5 2 2 5 2 2" xfId="31085"/>
    <cellStyle name="40% - Accent5 2 2 6" xfId="31086"/>
    <cellStyle name="40% - Accent5 2 2 6 2" xfId="31087"/>
    <cellStyle name="40% - Accent5 2 2 7" xfId="31088"/>
    <cellStyle name="40% - Accent5 2 3" xfId="31089"/>
    <cellStyle name="40% - Accent5 2 3 2" xfId="31090"/>
    <cellStyle name="40% - Accent5 2 3 2 2" xfId="31091"/>
    <cellStyle name="40% - Accent5 2 3 2 2 2" xfId="31092"/>
    <cellStyle name="40% - Accent5 2 3 2 2 2 2" xfId="31093"/>
    <cellStyle name="40% - Accent5 2 3 2 2 2 2 2" xfId="31094"/>
    <cellStyle name="40% - Accent5 2 3 2 2 2 2 2 2" xfId="31095"/>
    <cellStyle name="40% - Accent5 2 3 2 2 2 3" xfId="31096"/>
    <cellStyle name="40% - Accent5 2 3 2 2 2 3 2" xfId="31097"/>
    <cellStyle name="40% - Accent5 2 3 2 2 3" xfId="31098"/>
    <cellStyle name="40% - Accent5 2 3 2 2 3 2" xfId="31099"/>
    <cellStyle name="40% - Accent5 2 3 2 2 3 2 2" xfId="31100"/>
    <cellStyle name="40% - Accent5 2 3 2 2 4" xfId="31101"/>
    <cellStyle name="40% - Accent5 2 3 2 2 4 2" xfId="31102"/>
    <cellStyle name="40% - Accent5 2 3 2 3" xfId="31103"/>
    <cellStyle name="40% - Accent5 2 3 2 3 2" xfId="31104"/>
    <cellStyle name="40% - Accent5 2 3 2 3 2 2" xfId="31105"/>
    <cellStyle name="40% - Accent5 2 3 2 3 2 2 2" xfId="31106"/>
    <cellStyle name="40% - Accent5 2 3 2 3 3" xfId="31107"/>
    <cellStyle name="40% - Accent5 2 3 2 3 3 2" xfId="31108"/>
    <cellStyle name="40% - Accent5 2 3 2 4" xfId="31109"/>
    <cellStyle name="40% - Accent5 2 3 2 4 2" xfId="31110"/>
    <cellStyle name="40% - Accent5 2 3 2 4 2 2" xfId="31111"/>
    <cellStyle name="40% - Accent5 2 3 2 5" xfId="31112"/>
    <cellStyle name="40% - Accent5 2 3 2 5 2" xfId="31113"/>
    <cellStyle name="40% - Accent5 2 3 3" xfId="31114"/>
    <cellStyle name="40% - Accent5 2 3 3 2" xfId="31115"/>
    <cellStyle name="40% - Accent5 2 3 3 2 2" xfId="31116"/>
    <cellStyle name="40% - Accent5 2 3 3 2 2 2" xfId="31117"/>
    <cellStyle name="40% - Accent5 2 3 3 2 2 2 2" xfId="31118"/>
    <cellStyle name="40% - Accent5 2 3 3 2 3" xfId="31119"/>
    <cellStyle name="40% - Accent5 2 3 3 2 3 2" xfId="31120"/>
    <cellStyle name="40% - Accent5 2 3 3 3" xfId="31121"/>
    <cellStyle name="40% - Accent5 2 3 3 3 2" xfId="31122"/>
    <cellStyle name="40% - Accent5 2 3 3 3 2 2" xfId="31123"/>
    <cellStyle name="40% - Accent5 2 3 3 4" xfId="31124"/>
    <cellStyle name="40% - Accent5 2 3 3 4 2" xfId="31125"/>
    <cellStyle name="40% - Accent5 2 3 4" xfId="31126"/>
    <cellStyle name="40% - Accent5 2 3 4 2" xfId="31127"/>
    <cellStyle name="40% - Accent5 2 3 4 2 2" xfId="31128"/>
    <cellStyle name="40% - Accent5 2 3 4 2 2 2" xfId="31129"/>
    <cellStyle name="40% - Accent5 2 3 4 3" xfId="31130"/>
    <cellStyle name="40% - Accent5 2 3 4 3 2" xfId="31131"/>
    <cellStyle name="40% - Accent5 2 3 5" xfId="31132"/>
    <cellStyle name="40% - Accent5 2 3 5 2" xfId="31133"/>
    <cellStyle name="40% - Accent5 2 3 5 2 2" xfId="31134"/>
    <cellStyle name="40% - Accent5 2 3 6" xfId="31135"/>
    <cellStyle name="40% - Accent5 2 3 6 2" xfId="31136"/>
    <cellStyle name="40% - Accent5 2 3 7" xfId="31137"/>
    <cellStyle name="40% - Accent5 2 4" xfId="31138"/>
    <cellStyle name="40% - Accent5 2 4 2" xfId="31139"/>
    <cellStyle name="40% - Accent5 2 4 2 2" xfId="31140"/>
    <cellStyle name="40% - Accent5 2 4 2 2 2" xfId="31141"/>
    <cellStyle name="40% - Accent5 2 4 2 2 2 2" xfId="31142"/>
    <cellStyle name="40% - Accent5 2 4 2 2 2 2 2" xfId="31143"/>
    <cellStyle name="40% - Accent5 2 4 2 2 2 2 2 2" xfId="31144"/>
    <cellStyle name="40% - Accent5 2 4 2 2 2 3" xfId="31145"/>
    <cellStyle name="40% - Accent5 2 4 2 2 2 3 2" xfId="31146"/>
    <cellStyle name="40% - Accent5 2 4 2 2 3" xfId="31147"/>
    <cellStyle name="40% - Accent5 2 4 2 2 3 2" xfId="31148"/>
    <cellStyle name="40% - Accent5 2 4 2 2 3 2 2" xfId="31149"/>
    <cellStyle name="40% - Accent5 2 4 2 2 4" xfId="31150"/>
    <cellStyle name="40% - Accent5 2 4 2 2 4 2" xfId="31151"/>
    <cellStyle name="40% - Accent5 2 4 2 3" xfId="31152"/>
    <cellStyle name="40% - Accent5 2 4 2 3 2" xfId="31153"/>
    <cellStyle name="40% - Accent5 2 4 2 3 2 2" xfId="31154"/>
    <cellStyle name="40% - Accent5 2 4 2 3 2 2 2" xfId="31155"/>
    <cellStyle name="40% - Accent5 2 4 2 3 3" xfId="31156"/>
    <cellStyle name="40% - Accent5 2 4 2 3 3 2" xfId="31157"/>
    <cellStyle name="40% - Accent5 2 4 2 4" xfId="31158"/>
    <cellStyle name="40% - Accent5 2 4 2 4 2" xfId="31159"/>
    <cellStyle name="40% - Accent5 2 4 2 4 2 2" xfId="31160"/>
    <cellStyle name="40% - Accent5 2 4 2 5" xfId="31161"/>
    <cellStyle name="40% - Accent5 2 4 2 5 2" xfId="31162"/>
    <cellStyle name="40% - Accent5 2 4 3" xfId="31163"/>
    <cellStyle name="40% - Accent5 2 4 3 2" xfId="31164"/>
    <cellStyle name="40% - Accent5 2 4 3 2 2" xfId="31165"/>
    <cellStyle name="40% - Accent5 2 4 3 2 2 2" xfId="31166"/>
    <cellStyle name="40% - Accent5 2 4 3 2 2 2 2" xfId="31167"/>
    <cellStyle name="40% - Accent5 2 4 3 2 3" xfId="31168"/>
    <cellStyle name="40% - Accent5 2 4 3 2 3 2" xfId="31169"/>
    <cellStyle name="40% - Accent5 2 4 3 3" xfId="31170"/>
    <cellStyle name="40% - Accent5 2 4 3 3 2" xfId="31171"/>
    <cellStyle name="40% - Accent5 2 4 3 3 2 2" xfId="31172"/>
    <cellStyle name="40% - Accent5 2 4 3 4" xfId="31173"/>
    <cellStyle name="40% - Accent5 2 4 3 4 2" xfId="31174"/>
    <cellStyle name="40% - Accent5 2 4 4" xfId="31175"/>
    <cellStyle name="40% - Accent5 2 4 4 2" xfId="31176"/>
    <cellStyle name="40% - Accent5 2 4 4 2 2" xfId="31177"/>
    <cellStyle name="40% - Accent5 2 4 4 2 2 2" xfId="31178"/>
    <cellStyle name="40% - Accent5 2 4 4 3" xfId="31179"/>
    <cellStyle name="40% - Accent5 2 4 4 3 2" xfId="31180"/>
    <cellStyle name="40% - Accent5 2 4 5" xfId="31181"/>
    <cellStyle name="40% - Accent5 2 4 5 2" xfId="31182"/>
    <cellStyle name="40% - Accent5 2 4 5 2 2" xfId="31183"/>
    <cellStyle name="40% - Accent5 2 4 6" xfId="31184"/>
    <cellStyle name="40% - Accent5 2 4 6 2" xfId="31185"/>
    <cellStyle name="40% - Accent5 2 4 7" xfId="31186"/>
    <cellStyle name="40% - Accent5 2 5" xfId="31187"/>
    <cellStyle name="40% - Accent5 2 5 2" xfId="31188"/>
    <cellStyle name="40% - Accent5 2 5 2 2" xfId="31189"/>
    <cellStyle name="40% - Accent5 2 5 2 2 2" xfId="31190"/>
    <cellStyle name="40% - Accent5 2 5 2 2 2 2" xfId="31191"/>
    <cellStyle name="40% - Accent5 2 5 2 2 2 2 2" xfId="31192"/>
    <cellStyle name="40% - Accent5 2 5 2 2 2 2 2 2" xfId="31193"/>
    <cellStyle name="40% - Accent5 2 5 2 2 2 3" xfId="31194"/>
    <cellStyle name="40% - Accent5 2 5 2 2 2 3 2" xfId="31195"/>
    <cellStyle name="40% - Accent5 2 5 2 2 3" xfId="31196"/>
    <cellStyle name="40% - Accent5 2 5 2 2 3 2" xfId="31197"/>
    <cellStyle name="40% - Accent5 2 5 2 2 3 2 2" xfId="31198"/>
    <cellStyle name="40% - Accent5 2 5 2 2 4" xfId="31199"/>
    <cellStyle name="40% - Accent5 2 5 2 2 4 2" xfId="31200"/>
    <cellStyle name="40% - Accent5 2 5 2 3" xfId="31201"/>
    <cellStyle name="40% - Accent5 2 5 2 3 2" xfId="31202"/>
    <cellStyle name="40% - Accent5 2 5 2 3 2 2" xfId="31203"/>
    <cellStyle name="40% - Accent5 2 5 2 3 2 2 2" xfId="31204"/>
    <cellStyle name="40% - Accent5 2 5 2 3 3" xfId="31205"/>
    <cellStyle name="40% - Accent5 2 5 2 3 3 2" xfId="31206"/>
    <cellStyle name="40% - Accent5 2 5 2 4" xfId="31207"/>
    <cellStyle name="40% - Accent5 2 5 2 4 2" xfId="31208"/>
    <cellStyle name="40% - Accent5 2 5 2 4 2 2" xfId="31209"/>
    <cellStyle name="40% - Accent5 2 5 2 5" xfId="31210"/>
    <cellStyle name="40% - Accent5 2 5 2 5 2" xfId="31211"/>
    <cellStyle name="40% - Accent5 2 5 3" xfId="31212"/>
    <cellStyle name="40% - Accent5 2 5 3 2" xfId="31213"/>
    <cellStyle name="40% - Accent5 2 5 3 2 2" xfId="31214"/>
    <cellStyle name="40% - Accent5 2 5 3 2 2 2" xfId="31215"/>
    <cellStyle name="40% - Accent5 2 5 3 2 2 2 2" xfId="31216"/>
    <cellStyle name="40% - Accent5 2 5 3 2 3" xfId="31217"/>
    <cellStyle name="40% - Accent5 2 5 3 2 3 2" xfId="31218"/>
    <cellStyle name="40% - Accent5 2 5 3 3" xfId="31219"/>
    <cellStyle name="40% - Accent5 2 5 3 3 2" xfId="31220"/>
    <cellStyle name="40% - Accent5 2 5 3 3 2 2" xfId="31221"/>
    <cellStyle name="40% - Accent5 2 5 3 4" xfId="31222"/>
    <cellStyle name="40% - Accent5 2 5 3 4 2" xfId="31223"/>
    <cellStyle name="40% - Accent5 2 5 4" xfId="31224"/>
    <cellStyle name="40% - Accent5 2 5 4 2" xfId="31225"/>
    <cellStyle name="40% - Accent5 2 5 4 2 2" xfId="31226"/>
    <cellStyle name="40% - Accent5 2 5 4 2 2 2" xfId="31227"/>
    <cellStyle name="40% - Accent5 2 5 4 3" xfId="31228"/>
    <cellStyle name="40% - Accent5 2 5 4 3 2" xfId="31229"/>
    <cellStyle name="40% - Accent5 2 5 5" xfId="31230"/>
    <cellStyle name="40% - Accent5 2 5 5 2" xfId="31231"/>
    <cellStyle name="40% - Accent5 2 5 5 2 2" xfId="31232"/>
    <cellStyle name="40% - Accent5 2 5 6" xfId="31233"/>
    <cellStyle name="40% - Accent5 2 5 6 2" xfId="31234"/>
    <cellStyle name="40% - Accent5 2 5 7" xfId="31235"/>
    <cellStyle name="40% - Accent5 2 6" xfId="31236"/>
    <cellStyle name="40% - Accent5 2 6 2" xfId="31237"/>
    <cellStyle name="40% - Accent5 2 6 2 2" xfId="31238"/>
    <cellStyle name="40% - Accent5 2 6 2 2 2" xfId="31239"/>
    <cellStyle name="40% - Accent5 2 6 2 2 2 2" xfId="31240"/>
    <cellStyle name="40% - Accent5 2 6 2 2 2 2 2" xfId="31241"/>
    <cellStyle name="40% - Accent5 2 6 2 2 2 2 2 2" xfId="31242"/>
    <cellStyle name="40% - Accent5 2 6 2 2 2 3" xfId="31243"/>
    <cellStyle name="40% - Accent5 2 6 2 2 2 3 2" xfId="31244"/>
    <cellStyle name="40% - Accent5 2 6 2 2 3" xfId="31245"/>
    <cellStyle name="40% - Accent5 2 6 2 2 3 2" xfId="31246"/>
    <cellStyle name="40% - Accent5 2 6 2 2 3 2 2" xfId="31247"/>
    <cellStyle name="40% - Accent5 2 6 2 2 4" xfId="31248"/>
    <cellStyle name="40% - Accent5 2 6 2 2 4 2" xfId="31249"/>
    <cellStyle name="40% - Accent5 2 6 2 3" xfId="31250"/>
    <cellStyle name="40% - Accent5 2 6 2 3 2" xfId="31251"/>
    <cellStyle name="40% - Accent5 2 6 2 3 2 2" xfId="31252"/>
    <cellStyle name="40% - Accent5 2 6 2 3 2 2 2" xfId="31253"/>
    <cellStyle name="40% - Accent5 2 6 2 3 3" xfId="31254"/>
    <cellStyle name="40% - Accent5 2 6 2 3 3 2" xfId="31255"/>
    <cellStyle name="40% - Accent5 2 6 2 4" xfId="31256"/>
    <cellStyle name="40% - Accent5 2 6 2 4 2" xfId="31257"/>
    <cellStyle name="40% - Accent5 2 6 2 4 2 2" xfId="31258"/>
    <cellStyle name="40% - Accent5 2 6 2 5" xfId="31259"/>
    <cellStyle name="40% - Accent5 2 6 2 5 2" xfId="31260"/>
    <cellStyle name="40% - Accent5 2 6 3" xfId="31261"/>
    <cellStyle name="40% - Accent5 2 6 3 2" xfId="31262"/>
    <cellStyle name="40% - Accent5 2 6 3 2 2" xfId="31263"/>
    <cellStyle name="40% - Accent5 2 6 3 2 2 2" xfId="31264"/>
    <cellStyle name="40% - Accent5 2 6 3 2 2 2 2" xfId="31265"/>
    <cellStyle name="40% - Accent5 2 6 3 2 3" xfId="31266"/>
    <cellStyle name="40% - Accent5 2 6 3 2 3 2" xfId="31267"/>
    <cellStyle name="40% - Accent5 2 6 3 3" xfId="31268"/>
    <cellStyle name="40% - Accent5 2 6 3 3 2" xfId="31269"/>
    <cellStyle name="40% - Accent5 2 6 3 3 2 2" xfId="31270"/>
    <cellStyle name="40% - Accent5 2 6 3 4" xfId="31271"/>
    <cellStyle name="40% - Accent5 2 6 3 4 2" xfId="31272"/>
    <cellStyle name="40% - Accent5 2 6 4" xfId="31273"/>
    <cellStyle name="40% - Accent5 2 6 4 2" xfId="31274"/>
    <cellStyle name="40% - Accent5 2 6 4 2 2" xfId="31275"/>
    <cellStyle name="40% - Accent5 2 6 4 2 2 2" xfId="31276"/>
    <cellStyle name="40% - Accent5 2 6 4 3" xfId="31277"/>
    <cellStyle name="40% - Accent5 2 6 4 3 2" xfId="31278"/>
    <cellStyle name="40% - Accent5 2 6 5" xfId="31279"/>
    <cellStyle name="40% - Accent5 2 6 5 2" xfId="31280"/>
    <cellStyle name="40% - Accent5 2 6 5 2 2" xfId="31281"/>
    <cellStyle name="40% - Accent5 2 6 6" xfId="31282"/>
    <cellStyle name="40% - Accent5 2 6 6 2" xfId="31283"/>
    <cellStyle name="40% - Accent5 2 6 7" xfId="31284"/>
    <cellStyle name="40% - Accent5 2 7" xfId="31285"/>
    <cellStyle name="40% - Accent5 2 7 2" xfId="31286"/>
    <cellStyle name="40% - Accent5 2 7 2 2" xfId="31287"/>
    <cellStyle name="40% - Accent5 2 7 2 2 2" xfId="31288"/>
    <cellStyle name="40% - Accent5 2 7 2 2 2 2" xfId="31289"/>
    <cellStyle name="40% - Accent5 2 7 2 2 2 2 2" xfId="31290"/>
    <cellStyle name="40% - Accent5 2 7 2 2 2 2 2 2" xfId="31291"/>
    <cellStyle name="40% - Accent5 2 7 2 2 2 3" xfId="31292"/>
    <cellStyle name="40% - Accent5 2 7 2 2 2 3 2" xfId="31293"/>
    <cellStyle name="40% - Accent5 2 7 2 2 3" xfId="31294"/>
    <cellStyle name="40% - Accent5 2 7 2 2 3 2" xfId="31295"/>
    <cellStyle name="40% - Accent5 2 7 2 2 3 2 2" xfId="31296"/>
    <cellStyle name="40% - Accent5 2 7 2 2 4" xfId="31297"/>
    <cellStyle name="40% - Accent5 2 7 2 2 4 2" xfId="31298"/>
    <cellStyle name="40% - Accent5 2 7 2 3" xfId="31299"/>
    <cellStyle name="40% - Accent5 2 7 2 3 2" xfId="31300"/>
    <cellStyle name="40% - Accent5 2 7 2 3 2 2" xfId="31301"/>
    <cellStyle name="40% - Accent5 2 7 2 3 2 2 2" xfId="31302"/>
    <cellStyle name="40% - Accent5 2 7 2 3 3" xfId="31303"/>
    <cellStyle name="40% - Accent5 2 7 2 3 3 2" xfId="31304"/>
    <cellStyle name="40% - Accent5 2 7 2 4" xfId="31305"/>
    <cellStyle name="40% - Accent5 2 7 2 4 2" xfId="31306"/>
    <cellStyle name="40% - Accent5 2 7 2 4 2 2" xfId="31307"/>
    <cellStyle name="40% - Accent5 2 7 2 5" xfId="31308"/>
    <cellStyle name="40% - Accent5 2 7 2 5 2" xfId="31309"/>
    <cellStyle name="40% - Accent5 2 7 3" xfId="31310"/>
    <cellStyle name="40% - Accent5 2 7 3 2" xfId="31311"/>
    <cellStyle name="40% - Accent5 2 7 3 2 2" xfId="31312"/>
    <cellStyle name="40% - Accent5 2 7 3 2 2 2" xfId="31313"/>
    <cellStyle name="40% - Accent5 2 7 3 2 2 2 2" xfId="31314"/>
    <cellStyle name="40% - Accent5 2 7 3 2 3" xfId="31315"/>
    <cellStyle name="40% - Accent5 2 7 3 2 3 2" xfId="31316"/>
    <cellStyle name="40% - Accent5 2 7 3 3" xfId="31317"/>
    <cellStyle name="40% - Accent5 2 7 3 3 2" xfId="31318"/>
    <cellStyle name="40% - Accent5 2 7 3 3 2 2" xfId="31319"/>
    <cellStyle name="40% - Accent5 2 7 3 4" xfId="31320"/>
    <cellStyle name="40% - Accent5 2 7 3 4 2" xfId="31321"/>
    <cellStyle name="40% - Accent5 2 7 4" xfId="31322"/>
    <cellStyle name="40% - Accent5 2 7 4 2" xfId="31323"/>
    <cellStyle name="40% - Accent5 2 7 4 2 2" xfId="31324"/>
    <cellStyle name="40% - Accent5 2 7 4 2 2 2" xfId="31325"/>
    <cellStyle name="40% - Accent5 2 7 4 3" xfId="31326"/>
    <cellStyle name="40% - Accent5 2 7 4 3 2" xfId="31327"/>
    <cellStyle name="40% - Accent5 2 7 5" xfId="31328"/>
    <cellStyle name="40% - Accent5 2 7 5 2" xfId="31329"/>
    <cellStyle name="40% - Accent5 2 7 5 2 2" xfId="31330"/>
    <cellStyle name="40% - Accent5 2 7 6" xfId="31331"/>
    <cellStyle name="40% - Accent5 2 7 6 2" xfId="31332"/>
    <cellStyle name="40% - Accent5 2 7 7" xfId="31333"/>
    <cellStyle name="40% - Accent5 2 8" xfId="31334"/>
    <cellStyle name="40% - Accent5 2 8 2" xfId="31335"/>
    <cellStyle name="40% - Accent5 2 8 2 2" xfId="31336"/>
    <cellStyle name="40% - Accent5 2 8 2 2 2" xfId="31337"/>
    <cellStyle name="40% - Accent5 2 8 2 2 2 2" xfId="31338"/>
    <cellStyle name="40% - Accent5 2 8 2 2 2 2 2" xfId="31339"/>
    <cellStyle name="40% - Accent5 2 8 2 2 2 2 2 2" xfId="31340"/>
    <cellStyle name="40% - Accent5 2 8 2 2 2 3" xfId="31341"/>
    <cellStyle name="40% - Accent5 2 8 2 2 2 3 2" xfId="31342"/>
    <cellStyle name="40% - Accent5 2 8 2 2 3" xfId="31343"/>
    <cellStyle name="40% - Accent5 2 8 2 2 3 2" xfId="31344"/>
    <cellStyle name="40% - Accent5 2 8 2 2 3 2 2" xfId="31345"/>
    <cellStyle name="40% - Accent5 2 8 2 2 4" xfId="31346"/>
    <cellStyle name="40% - Accent5 2 8 2 2 4 2" xfId="31347"/>
    <cellStyle name="40% - Accent5 2 8 2 3" xfId="31348"/>
    <cellStyle name="40% - Accent5 2 8 2 3 2" xfId="31349"/>
    <cellStyle name="40% - Accent5 2 8 2 3 2 2" xfId="31350"/>
    <cellStyle name="40% - Accent5 2 8 2 3 2 2 2" xfId="31351"/>
    <cellStyle name="40% - Accent5 2 8 2 3 3" xfId="31352"/>
    <cellStyle name="40% - Accent5 2 8 2 3 3 2" xfId="31353"/>
    <cellStyle name="40% - Accent5 2 8 2 4" xfId="31354"/>
    <cellStyle name="40% - Accent5 2 8 2 4 2" xfId="31355"/>
    <cellStyle name="40% - Accent5 2 8 2 4 2 2" xfId="31356"/>
    <cellStyle name="40% - Accent5 2 8 2 5" xfId="31357"/>
    <cellStyle name="40% - Accent5 2 8 2 5 2" xfId="31358"/>
    <cellStyle name="40% - Accent5 2 8 3" xfId="31359"/>
    <cellStyle name="40% - Accent5 2 8 3 2" xfId="31360"/>
    <cellStyle name="40% - Accent5 2 8 3 2 2" xfId="31361"/>
    <cellStyle name="40% - Accent5 2 8 3 2 2 2" xfId="31362"/>
    <cellStyle name="40% - Accent5 2 8 3 2 2 2 2" xfId="31363"/>
    <cellStyle name="40% - Accent5 2 8 3 2 3" xfId="31364"/>
    <cellStyle name="40% - Accent5 2 8 3 2 3 2" xfId="31365"/>
    <cellStyle name="40% - Accent5 2 8 3 3" xfId="31366"/>
    <cellStyle name="40% - Accent5 2 8 3 3 2" xfId="31367"/>
    <cellStyle name="40% - Accent5 2 8 3 3 2 2" xfId="31368"/>
    <cellStyle name="40% - Accent5 2 8 3 4" xfId="31369"/>
    <cellStyle name="40% - Accent5 2 8 3 4 2" xfId="31370"/>
    <cellStyle name="40% - Accent5 2 8 4" xfId="31371"/>
    <cellStyle name="40% - Accent5 2 8 4 2" xfId="31372"/>
    <cellStyle name="40% - Accent5 2 8 4 2 2" xfId="31373"/>
    <cellStyle name="40% - Accent5 2 8 4 2 2 2" xfId="31374"/>
    <cellStyle name="40% - Accent5 2 8 4 3" xfId="31375"/>
    <cellStyle name="40% - Accent5 2 8 4 3 2" xfId="31376"/>
    <cellStyle name="40% - Accent5 2 8 5" xfId="31377"/>
    <cellStyle name="40% - Accent5 2 8 5 2" xfId="31378"/>
    <cellStyle name="40% - Accent5 2 8 5 2 2" xfId="31379"/>
    <cellStyle name="40% - Accent5 2 8 6" xfId="31380"/>
    <cellStyle name="40% - Accent5 2 8 6 2" xfId="31381"/>
    <cellStyle name="40% - Accent5 2 8 7" xfId="31382"/>
    <cellStyle name="40% - Accent5 2 9" xfId="31383"/>
    <cellStyle name="40% - Accent5 2 9 2" xfId="31384"/>
    <cellStyle name="40% - Accent5 2 9 2 2" xfId="31385"/>
    <cellStyle name="40% - Accent5 2 9 2 2 2" xfId="31386"/>
    <cellStyle name="40% - Accent5 2 9 2 2 2 2" xfId="31387"/>
    <cellStyle name="40% - Accent5 2 9 2 2 2 2 2" xfId="31388"/>
    <cellStyle name="40% - Accent5 2 9 2 2 2 2 2 2" xfId="31389"/>
    <cellStyle name="40% - Accent5 2 9 2 2 2 3" xfId="31390"/>
    <cellStyle name="40% - Accent5 2 9 2 2 2 3 2" xfId="31391"/>
    <cellStyle name="40% - Accent5 2 9 2 2 3" xfId="31392"/>
    <cellStyle name="40% - Accent5 2 9 2 2 3 2" xfId="31393"/>
    <cellStyle name="40% - Accent5 2 9 2 2 3 2 2" xfId="31394"/>
    <cellStyle name="40% - Accent5 2 9 2 2 4" xfId="31395"/>
    <cellStyle name="40% - Accent5 2 9 2 2 4 2" xfId="31396"/>
    <cellStyle name="40% - Accent5 2 9 2 3" xfId="31397"/>
    <cellStyle name="40% - Accent5 2 9 2 3 2" xfId="31398"/>
    <cellStyle name="40% - Accent5 2 9 2 3 2 2" xfId="31399"/>
    <cellStyle name="40% - Accent5 2 9 2 3 2 2 2" xfId="31400"/>
    <cellStyle name="40% - Accent5 2 9 2 3 3" xfId="31401"/>
    <cellStyle name="40% - Accent5 2 9 2 3 3 2" xfId="31402"/>
    <cellStyle name="40% - Accent5 2 9 2 4" xfId="31403"/>
    <cellStyle name="40% - Accent5 2 9 2 4 2" xfId="31404"/>
    <cellStyle name="40% - Accent5 2 9 2 4 2 2" xfId="31405"/>
    <cellStyle name="40% - Accent5 2 9 2 5" xfId="31406"/>
    <cellStyle name="40% - Accent5 2 9 2 5 2" xfId="31407"/>
    <cellStyle name="40% - Accent5 2 9 3" xfId="31408"/>
    <cellStyle name="40% - Accent5 2 9 3 2" xfId="31409"/>
    <cellStyle name="40% - Accent5 2 9 3 2 2" xfId="31410"/>
    <cellStyle name="40% - Accent5 2 9 3 2 2 2" xfId="31411"/>
    <cellStyle name="40% - Accent5 2 9 3 2 2 2 2" xfId="31412"/>
    <cellStyle name="40% - Accent5 2 9 3 2 3" xfId="31413"/>
    <cellStyle name="40% - Accent5 2 9 3 2 3 2" xfId="31414"/>
    <cellStyle name="40% - Accent5 2 9 3 3" xfId="31415"/>
    <cellStyle name="40% - Accent5 2 9 3 3 2" xfId="31416"/>
    <cellStyle name="40% - Accent5 2 9 3 3 2 2" xfId="31417"/>
    <cellStyle name="40% - Accent5 2 9 3 4" xfId="31418"/>
    <cellStyle name="40% - Accent5 2 9 3 4 2" xfId="31419"/>
    <cellStyle name="40% - Accent5 2 9 4" xfId="31420"/>
    <cellStyle name="40% - Accent5 2 9 4 2" xfId="31421"/>
    <cellStyle name="40% - Accent5 2 9 4 2 2" xfId="31422"/>
    <cellStyle name="40% - Accent5 2 9 4 2 2 2" xfId="31423"/>
    <cellStyle name="40% - Accent5 2 9 4 3" xfId="31424"/>
    <cellStyle name="40% - Accent5 2 9 4 3 2" xfId="31425"/>
    <cellStyle name="40% - Accent5 2 9 5" xfId="31426"/>
    <cellStyle name="40% - Accent5 2 9 5 2" xfId="31427"/>
    <cellStyle name="40% - Accent5 2 9 5 2 2" xfId="31428"/>
    <cellStyle name="40% - Accent5 2 9 6" xfId="31429"/>
    <cellStyle name="40% - Accent5 2 9 6 2" xfId="31430"/>
    <cellStyle name="40% - Accent5 20" xfId="31431"/>
    <cellStyle name="40% - Accent5 20 2" xfId="31432"/>
    <cellStyle name="40% - Accent5 21" xfId="31433"/>
    <cellStyle name="40% - Accent5 21 2" xfId="31434"/>
    <cellStyle name="40% - Accent5 21 2 2" xfId="31435"/>
    <cellStyle name="40% - Accent5 21 2 2 2" xfId="31436"/>
    <cellStyle name="40% - Accent5 21 2 2 2 2" xfId="31437"/>
    <cellStyle name="40% - Accent5 21 2 2 2 2 2" xfId="31438"/>
    <cellStyle name="40% - Accent5 21 2 2 2 2 2 2" xfId="31439"/>
    <cellStyle name="40% - Accent5 21 2 2 2 3" xfId="31440"/>
    <cellStyle name="40% - Accent5 21 2 2 2 3 2" xfId="31441"/>
    <cellStyle name="40% - Accent5 21 2 2 3" xfId="31442"/>
    <cellStyle name="40% - Accent5 21 2 2 3 2" xfId="31443"/>
    <cellStyle name="40% - Accent5 21 2 2 3 2 2" xfId="31444"/>
    <cellStyle name="40% - Accent5 21 2 2 4" xfId="31445"/>
    <cellStyle name="40% - Accent5 21 2 2 4 2" xfId="31446"/>
    <cellStyle name="40% - Accent5 21 2 3" xfId="31447"/>
    <cellStyle name="40% - Accent5 21 2 3 2" xfId="31448"/>
    <cellStyle name="40% - Accent5 21 2 3 2 2" xfId="31449"/>
    <cellStyle name="40% - Accent5 21 2 3 2 2 2" xfId="31450"/>
    <cellStyle name="40% - Accent5 21 2 3 3" xfId="31451"/>
    <cellStyle name="40% - Accent5 21 2 3 3 2" xfId="31452"/>
    <cellStyle name="40% - Accent5 21 2 4" xfId="31453"/>
    <cellStyle name="40% - Accent5 21 2 4 2" xfId="31454"/>
    <cellStyle name="40% - Accent5 21 2 4 2 2" xfId="31455"/>
    <cellStyle name="40% - Accent5 21 2 5" xfId="31456"/>
    <cellStyle name="40% - Accent5 21 2 5 2" xfId="31457"/>
    <cellStyle name="40% - Accent5 21 3" xfId="31458"/>
    <cellStyle name="40% - Accent5 21 3 2" xfId="31459"/>
    <cellStyle name="40% - Accent5 21 3 2 2" xfId="31460"/>
    <cellStyle name="40% - Accent5 21 3 2 2 2" xfId="31461"/>
    <cellStyle name="40% - Accent5 21 3 2 2 2 2" xfId="31462"/>
    <cellStyle name="40% - Accent5 21 3 2 3" xfId="31463"/>
    <cellStyle name="40% - Accent5 21 3 2 3 2" xfId="31464"/>
    <cellStyle name="40% - Accent5 21 3 3" xfId="31465"/>
    <cellStyle name="40% - Accent5 21 3 3 2" xfId="31466"/>
    <cellStyle name="40% - Accent5 21 3 3 2 2" xfId="31467"/>
    <cellStyle name="40% - Accent5 21 3 4" xfId="31468"/>
    <cellStyle name="40% - Accent5 21 3 4 2" xfId="31469"/>
    <cellStyle name="40% - Accent5 21 4" xfId="31470"/>
    <cellStyle name="40% - Accent5 21 4 2" xfId="31471"/>
    <cellStyle name="40% - Accent5 21 4 2 2" xfId="31472"/>
    <cellStyle name="40% - Accent5 21 4 2 2 2" xfId="31473"/>
    <cellStyle name="40% - Accent5 21 4 3" xfId="31474"/>
    <cellStyle name="40% - Accent5 21 4 3 2" xfId="31475"/>
    <cellStyle name="40% - Accent5 21 5" xfId="31476"/>
    <cellStyle name="40% - Accent5 21 5 2" xfId="31477"/>
    <cellStyle name="40% - Accent5 21 5 2 2" xfId="31478"/>
    <cellStyle name="40% - Accent5 21 6" xfId="31479"/>
    <cellStyle name="40% - Accent5 21 6 2" xfId="31480"/>
    <cellStyle name="40% - Accent5 21 7" xfId="31481"/>
    <cellStyle name="40% - Accent5 22" xfId="31482"/>
    <cellStyle name="40% - Accent5 22 10" xfId="31483"/>
    <cellStyle name="40% - Accent5 22 2" xfId="31484"/>
    <cellStyle name="40% - Accent5 22 2 2" xfId="31485"/>
    <cellStyle name="40% - Accent5 22 2 2 2" xfId="31486"/>
    <cellStyle name="40% - Accent5 22 2 2 2 2" xfId="31487"/>
    <cellStyle name="40% - Accent5 22 2 2 2 2 2" xfId="31488"/>
    <cellStyle name="40% - Accent5 22 2 2 2 2 2 2" xfId="31489"/>
    <cellStyle name="40% - Accent5 22 2 2 2 3" xfId="31490"/>
    <cellStyle name="40% - Accent5 22 2 2 2 3 2" xfId="31491"/>
    <cellStyle name="40% - Accent5 22 2 2 3" xfId="31492"/>
    <cellStyle name="40% - Accent5 22 2 2 3 2" xfId="31493"/>
    <cellStyle name="40% - Accent5 22 2 2 3 2 2" xfId="31494"/>
    <cellStyle name="40% - Accent5 22 2 2 4" xfId="31495"/>
    <cellStyle name="40% - Accent5 22 2 2 4 2" xfId="31496"/>
    <cellStyle name="40% - Accent5 22 2 3" xfId="31497"/>
    <cellStyle name="40% - Accent5 22 2 3 2" xfId="31498"/>
    <cellStyle name="40% - Accent5 22 2 3 2 2" xfId="31499"/>
    <cellStyle name="40% - Accent5 22 2 3 2 2 2" xfId="31500"/>
    <cellStyle name="40% - Accent5 22 2 3 3" xfId="31501"/>
    <cellStyle name="40% - Accent5 22 2 3 3 2" xfId="31502"/>
    <cellStyle name="40% - Accent5 22 2 4" xfId="31503"/>
    <cellStyle name="40% - Accent5 22 2 4 2" xfId="31504"/>
    <cellStyle name="40% - Accent5 22 2 4 2 2" xfId="31505"/>
    <cellStyle name="40% - Accent5 22 2 5" xfId="31506"/>
    <cellStyle name="40% - Accent5 22 2 5 2" xfId="31507"/>
    <cellStyle name="40% - Accent5 22 2 6" xfId="31508"/>
    <cellStyle name="40% - Accent5 22 2 7" xfId="31509"/>
    <cellStyle name="40% - Accent5 22 2 8" xfId="31510"/>
    <cellStyle name="40% - Accent5 22 3" xfId="31511"/>
    <cellStyle name="40% - Accent5 22 3 2" xfId="31512"/>
    <cellStyle name="40% - Accent5 22 3 2 2" xfId="31513"/>
    <cellStyle name="40% - Accent5 22 3 2 2 2" xfId="31514"/>
    <cellStyle name="40% - Accent5 22 3 2 2 2 2" xfId="31515"/>
    <cellStyle name="40% - Accent5 22 3 2 3" xfId="31516"/>
    <cellStyle name="40% - Accent5 22 3 2 3 2" xfId="31517"/>
    <cellStyle name="40% - Accent5 22 3 3" xfId="31518"/>
    <cellStyle name="40% - Accent5 22 3 3 2" xfId="31519"/>
    <cellStyle name="40% - Accent5 22 3 3 2 2" xfId="31520"/>
    <cellStyle name="40% - Accent5 22 3 4" xfId="31521"/>
    <cellStyle name="40% - Accent5 22 3 4 2" xfId="31522"/>
    <cellStyle name="40% - Accent5 22 3 5" xfId="31523"/>
    <cellStyle name="40% - Accent5 22 3 6" xfId="31524"/>
    <cellStyle name="40% - Accent5 22 3 7" xfId="31525"/>
    <cellStyle name="40% - Accent5 22 4" xfId="31526"/>
    <cellStyle name="40% - Accent5 22 4 2" xfId="31527"/>
    <cellStyle name="40% - Accent5 22 4 2 2" xfId="31528"/>
    <cellStyle name="40% - Accent5 22 4 2 2 2" xfId="31529"/>
    <cellStyle name="40% - Accent5 22 4 3" xfId="31530"/>
    <cellStyle name="40% - Accent5 22 4 3 2" xfId="31531"/>
    <cellStyle name="40% - Accent5 22 4 4" xfId="31532"/>
    <cellStyle name="40% - Accent5 22 5" xfId="31533"/>
    <cellStyle name="40% - Accent5 22 5 2" xfId="31534"/>
    <cellStyle name="40% - Accent5 22 5 2 2" xfId="31535"/>
    <cellStyle name="40% - Accent5 22 6" xfId="31536"/>
    <cellStyle name="40% - Accent5 22 6 2" xfId="31537"/>
    <cellStyle name="40% - Accent5 22 7" xfId="31538"/>
    <cellStyle name="40% - Accent5 22 8" xfId="31539"/>
    <cellStyle name="40% - Accent5 22 9" xfId="31540"/>
    <cellStyle name="40% - Accent5 23" xfId="31541"/>
    <cellStyle name="40% - Accent5 23 2" xfId="31542"/>
    <cellStyle name="40% - Accent5 23 2 2" xfId="31543"/>
    <cellStyle name="40% - Accent5 23 2 2 2" xfId="31544"/>
    <cellStyle name="40% - Accent5 23 2 2 2 2" xfId="31545"/>
    <cellStyle name="40% - Accent5 23 2 2 2 2 2" xfId="31546"/>
    <cellStyle name="40% - Accent5 23 2 2 2 2 2 2" xfId="31547"/>
    <cellStyle name="40% - Accent5 23 2 2 2 3" xfId="31548"/>
    <cellStyle name="40% - Accent5 23 2 2 2 3 2" xfId="31549"/>
    <cellStyle name="40% - Accent5 23 2 2 3" xfId="31550"/>
    <cellStyle name="40% - Accent5 23 2 2 3 2" xfId="31551"/>
    <cellStyle name="40% - Accent5 23 2 2 3 2 2" xfId="31552"/>
    <cellStyle name="40% - Accent5 23 2 2 4" xfId="31553"/>
    <cellStyle name="40% - Accent5 23 2 2 4 2" xfId="31554"/>
    <cellStyle name="40% - Accent5 23 2 3" xfId="31555"/>
    <cellStyle name="40% - Accent5 23 2 3 2" xfId="31556"/>
    <cellStyle name="40% - Accent5 23 2 3 2 2" xfId="31557"/>
    <cellStyle name="40% - Accent5 23 2 3 2 2 2" xfId="31558"/>
    <cellStyle name="40% - Accent5 23 2 3 3" xfId="31559"/>
    <cellStyle name="40% - Accent5 23 2 3 3 2" xfId="31560"/>
    <cellStyle name="40% - Accent5 23 2 4" xfId="31561"/>
    <cellStyle name="40% - Accent5 23 2 4 2" xfId="31562"/>
    <cellStyle name="40% - Accent5 23 2 4 2 2" xfId="31563"/>
    <cellStyle name="40% - Accent5 23 2 5" xfId="31564"/>
    <cellStyle name="40% - Accent5 23 2 5 2" xfId="31565"/>
    <cellStyle name="40% - Accent5 23 3" xfId="31566"/>
    <cellStyle name="40% - Accent5 23 3 2" xfId="31567"/>
    <cellStyle name="40% - Accent5 23 3 2 2" xfId="31568"/>
    <cellStyle name="40% - Accent5 23 3 2 2 2" xfId="31569"/>
    <cellStyle name="40% - Accent5 23 3 2 2 2 2" xfId="31570"/>
    <cellStyle name="40% - Accent5 23 3 2 3" xfId="31571"/>
    <cellStyle name="40% - Accent5 23 3 2 3 2" xfId="31572"/>
    <cellStyle name="40% - Accent5 23 3 3" xfId="31573"/>
    <cellStyle name="40% - Accent5 23 3 3 2" xfId="31574"/>
    <cellStyle name="40% - Accent5 23 3 3 2 2" xfId="31575"/>
    <cellStyle name="40% - Accent5 23 3 4" xfId="31576"/>
    <cellStyle name="40% - Accent5 23 3 4 2" xfId="31577"/>
    <cellStyle name="40% - Accent5 23 4" xfId="31578"/>
    <cellStyle name="40% - Accent5 23 4 2" xfId="31579"/>
    <cellStyle name="40% - Accent5 23 4 2 2" xfId="31580"/>
    <cellStyle name="40% - Accent5 23 4 2 2 2" xfId="31581"/>
    <cellStyle name="40% - Accent5 23 4 3" xfId="31582"/>
    <cellStyle name="40% - Accent5 23 4 3 2" xfId="31583"/>
    <cellStyle name="40% - Accent5 23 5" xfId="31584"/>
    <cellStyle name="40% - Accent5 23 5 2" xfId="31585"/>
    <cellStyle name="40% - Accent5 23 5 2 2" xfId="31586"/>
    <cellStyle name="40% - Accent5 23 6" xfId="31587"/>
    <cellStyle name="40% - Accent5 23 6 2" xfId="31588"/>
    <cellStyle name="40% - Accent5 23 7" xfId="31589"/>
    <cellStyle name="40% - Accent5 24" xfId="31590"/>
    <cellStyle name="40% - Accent5 24 2" xfId="31591"/>
    <cellStyle name="40% - Accent5 24 2 2" xfId="31592"/>
    <cellStyle name="40% - Accent5 24 2 2 2" xfId="31593"/>
    <cellStyle name="40% - Accent5 24 2 2 2 2" xfId="31594"/>
    <cellStyle name="40% - Accent5 24 2 2 2 2 2" xfId="31595"/>
    <cellStyle name="40% - Accent5 24 2 2 3" xfId="31596"/>
    <cellStyle name="40% - Accent5 24 2 2 3 2" xfId="31597"/>
    <cellStyle name="40% - Accent5 24 2 3" xfId="31598"/>
    <cellStyle name="40% - Accent5 24 2 3 2" xfId="31599"/>
    <cellStyle name="40% - Accent5 24 2 3 2 2" xfId="31600"/>
    <cellStyle name="40% - Accent5 24 2 4" xfId="31601"/>
    <cellStyle name="40% - Accent5 24 2 4 2" xfId="31602"/>
    <cellStyle name="40% - Accent5 24 3" xfId="31603"/>
    <cellStyle name="40% - Accent5 24 3 2" xfId="31604"/>
    <cellStyle name="40% - Accent5 24 3 2 2" xfId="31605"/>
    <cellStyle name="40% - Accent5 24 3 2 2 2" xfId="31606"/>
    <cellStyle name="40% - Accent5 24 3 3" xfId="31607"/>
    <cellStyle name="40% - Accent5 24 3 3 2" xfId="31608"/>
    <cellStyle name="40% - Accent5 24 4" xfId="31609"/>
    <cellStyle name="40% - Accent5 24 4 2" xfId="31610"/>
    <cellStyle name="40% - Accent5 24 4 2 2" xfId="31611"/>
    <cellStyle name="40% - Accent5 24 5" xfId="31612"/>
    <cellStyle name="40% - Accent5 24 5 2" xfId="31613"/>
    <cellStyle name="40% - Accent5 24 6" xfId="31614"/>
    <cellStyle name="40% - Accent5 25" xfId="31615"/>
    <cellStyle name="40% - Accent5 25 2" xfId="31616"/>
    <cellStyle name="40% - Accent5 25 2 2" xfId="31617"/>
    <cellStyle name="40% - Accent5 25 2 2 2" xfId="31618"/>
    <cellStyle name="40% - Accent5 25 2 2 2 2" xfId="31619"/>
    <cellStyle name="40% - Accent5 25 2 2 2 2 2" xfId="31620"/>
    <cellStyle name="40% - Accent5 25 2 2 3" xfId="31621"/>
    <cellStyle name="40% - Accent5 25 2 2 3 2" xfId="31622"/>
    <cellStyle name="40% - Accent5 25 2 3" xfId="31623"/>
    <cellStyle name="40% - Accent5 25 2 3 2" xfId="31624"/>
    <cellStyle name="40% - Accent5 25 2 3 2 2" xfId="31625"/>
    <cellStyle name="40% - Accent5 25 2 4" xfId="31626"/>
    <cellStyle name="40% - Accent5 25 2 4 2" xfId="31627"/>
    <cellStyle name="40% - Accent5 25 3" xfId="31628"/>
    <cellStyle name="40% - Accent5 25 3 2" xfId="31629"/>
    <cellStyle name="40% - Accent5 25 3 2 2" xfId="31630"/>
    <cellStyle name="40% - Accent5 25 3 2 2 2" xfId="31631"/>
    <cellStyle name="40% - Accent5 25 3 3" xfId="31632"/>
    <cellStyle name="40% - Accent5 25 3 3 2" xfId="31633"/>
    <cellStyle name="40% - Accent5 25 4" xfId="31634"/>
    <cellStyle name="40% - Accent5 25 4 2" xfId="31635"/>
    <cellStyle name="40% - Accent5 25 4 2 2" xfId="31636"/>
    <cellStyle name="40% - Accent5 25 5" xfId="31637"/>
    <cellStyle name="40% - Accent5 25 5 2" xfId="31638"/>
    <cellStyle name="40% - Accent5 25 6" xfId="31639"/>
    <cellStyle name="40% - Accent5 26" xfId="31640"/>
    <cellStyle name="40% - Accent5 26 2" xfId="31641"/>
    <cellStyle name="40% - Accent5 26 2 2" xfId="31642"/>
    <cellStyle name="40% - Accent5 26 2 2 2" xfId="31643"/>
    <cellStyle name="40% - Accent5 26 2 2 2 2" xfId="31644"/>
    <cellStyle name="40% - Accent5 26 2 2 2 2 2" xfId="31645"/>
    <cellStyle name="40% - Accent5 26 2 2 3" xfId="31646"/>
    <cellStyle name="40% - Accent5 26 2 2 3 2" xfId="31647"/>
    <cellStyle name="40% - Accent5 26 2 3" xfId="31648"/>
    <cellStyle name="40% - Accent5 26 2 3 2" xfId="31649"/>
    <cellStyle name="40% - Accent5 26 2 3 2 2" xfId="31650"/>
    <cellStyle name="40% - Accent5 26 2 4" xfId="31651"/>
    <cellStyle name="40% - Accent5 26 2 4 2" xfId="31652"/>
    <cellStyle name="40% - Accent5 26 3" xfId="31653"/>
    <cellStyle name="40% - Accent5 26 3 2" xfId="31654"/>
    <cellStyle name="40% - Accent5 26 3 2 2" xfId="31655"/>
    <cellStyle name="40% - Accent5 26 3 2 2 2" xfId="31656"/>
    <cellStyle name="40% - Accent5 26 3 3" xfId="31657"/>
    <cellStyle name="40% - Accent5 26 3 3 2" xfId="31658"/>
    <cellStyle name="40% - Accent5 26 4" xfId="31659"/>
    <cellStyle name="40% - Accent5 26 4 2" xfId="31660"/>
    <cellStyle name="40% - Accent5 26 4 2 2" xfId="31661"/>
    <cellStyle name="40% - Accent5 26 5" xfId="31662"/>
    <cellStyle name="40% - Accent5 26 5 2" xfId="31663"/>
    <cellStyle name="40% - Accent5 26 6" xfId="31664"/>
    <cellStyle name="40% - Accent5 27" xfId="31665"/>
    <cellStyle name="40% - Accent5 27 2" xfId="31666"/>
    <cellStyle name="40% - Accent5 27 2 2" xfId="31667"/>
    <cellStyle name="40% - Accent5 27 2 2 2" xfId="31668"/>
    <cellStyle name="40% - Accent5 27 2 2 2 2" xfId="31669"/>
    <cellStyle name="40% - Accent5 27 2 2 2 2 2" xfId="31670"/>
    <cellStyle name="40% - Accent5 27 2 2 3" xfId="31671"/>
    <cellStyle name="40% - Accent5 27 2 2 3 2" xfId="31672"/>
    <cellStyle name="40% - Accent5 27 2 3" xfId="31673"/>
    <cellStyle name="40% - Accent5 27 2 3 2" xfId="31674"/>
    <cellStyle name="40% - Accent5 27 2 3 2 2" xfId="31675"/>
    <cellStyle name="40% - Accent5 27 2 4" xfId="31676"/>
    <cellStyle name="40% - Accent5 27 2 4 2" xfId="31677"/>
    <cellStyle name="40% - Accent5 27 3" xfId="31678"/>
    <cellStyle name="40% - Accent5 27 3 2" xfId="31679"/>
    <cellStyle name="40% - Accent5 27 3 2 2" xfId="31680"/>
    <cellStyle name="40% - Accent5 27 3 2 2 2" xfId="31681"/>
    <cellStyle name="40% - Accent5 27 3 3" xfId="31682"/>
    <cellStyle name="40% - Accent5 27 3 3 2" xfId="31683"/>
    <cellStyle name="40% - Accent5 27 4" xfId="31684"/>
    <cellStyle name="40% - Accent5 27 4 2" xfId="31685"/>
    <cellStyle name="40% - Accent5 27 4 2 2" xfId="31686"/>
    <cellStyle name="40% - Accent5 27 5" xfId="31687"/>
    <cellStyle name="40% - Accent5 27 5 2" xfId="31688"/>
    <cellStyle name="40% - Accent5 27 6" xfId="31689"/>
    <cellStyle name="40% - Accent5 28" xfId="31690"/>
    <cellStyle name="40% - Accent5 28 2" xfId="31691"/>
    <cellStyle name="40% - Accent5 28 2 2" xfId="31692"/>
    <cellStyle name="40% - Accent5 28 2 2 2" xfId="31693"/>
    <cellStyle name="40% - Accent5 28 2 2 2 2" xfId="31694"/>
    <cellStyle name="40% - Accent5 28 2 3" xfId="31695"/>
    <cellStyle name="40% - Accent5 28 2 3 2" xfId="31696"/>
    <cellStyle name="40% - Accent5 28 3" xfId="31697"/>
    <cellStyle name="40% - Accent5 28 3 2" xfId="31698"/>
    <cellStyle name="40% - Accent5 28 3 2 2" xfId="31699"/>
    <cellStyle name="40% - Accent5 28 4" xfId="31700"/>
    <cellStyle name="40% - Accent5 28 4 2" xfId="31701"/>
    <cellStyle name="40% - Accent5 28 5" xfId="31702"/>
    <cellStyle name="40% - Accent5 29" xfId="31703"/>
    <cellStyle name="40% - Accent5 29 2" xfId="31704"/>
    <cellStyle name="40% - Accent5 29 2 2" xfId="31705"/>
    <cellStyle name="40% - Accent5 29 2 2 2" xfId="31706"/>
    <cellStyle name="40% - Accent5 29 3" xfId="31707"/>
    <cellStyle name="40% - Accent5 29 3 2" xfId="31708"/>
    <cellStyle name="40% - Accent5 29 4" xfId="31709"/>
    <cellStyle name="40% - Accent5 3" xfId="31710"/>
    <cellStyle name="40% - Accent5 3 10" xfId="31711"/>
    <cellStyle name="40% - Accent5 3 10 2" xfId="31712"/>
    <cellStyle name="40% - Accent5 3 10 2 2" xfId="31713"/>
    <cellStyle name="40% - Accent5 3 10 2 2 2" xfId="31714"/>
    <cellStyle name="40% - Accent5 3 10 2 2 2 2" xfId="31715"/>
    <cellStyle name="40% - Accent5 3 10 2 2 2 2 2" xfId="31716"/>
    <cellStyle name="40% - Accent5 3 10 2 2 2 2 2 2" xfId="31717"/>
    <cellStyle name="40% - Accent5 3 10 2 2 2 3" xfId="31718"/>
    <cellStyle name="40% - Accent5 3 10 2 2 2 3 2" xfId="31719"/>
    <cellStyle name="40% - Accent5 3 10 2 2 3" xfId="31720"/>
    <cellStyle name="40% - Accent5 3 10 2 2 3 2" xfId="31721"/>
    <cellStyle name="40% - Accent5 3 10 2 2 3 2 2" xfId="31722"/>
    <cellStyle name="40% - Accent5 3 10 2 2 4" xfId="31723"/>
    <cellStyle name="40% - Accent5 3 10 2 2 4 2" xfId="31724"/>
    <cellStyle name="40% - Accent5 3 10 2 3" xfId="31725"/>
    <cellStyle name="40% - Accent5 3 10 2 3 2" xfId="31726"/>
    <cellStyle name="40% - Accent5 3 10 2 3 2 2" xfId="31727"/>
    <cellStyle name="40% - Accent5 3 10 2 3 2 2 2" xfId="31728"/>
    <cellStyle name="40% - Accent5 3 10 2 3 3" xfId="31729"/>
    <cellStyle name="40% - Accent5 3 10 2 3 3 2" xfId="31730"/>
    <cellStyle name="40% - Accent5 3 10 2 4" xfId="31731"/>
    <cellStyle name="40% - Accent5 3 10 2 4 2" xfId="31732"/>
    <cellStyle name="40% - Accent5 3 10 2 4 2 2" xfId="31733"/>
    <cellStyle name="40% - Accent5 3 10 2 5" xfId="31734"/>
    <cellStyle name="40% - Accent5 3 10 2 5 2" xfId="31735"/>
    <cellStyle name="40% - Accent5 3 10 3" xfId="31736"/>
    <cellStyle name="40% - Accent5 3 10 3 2" xfId="31737"/>
    <cellStyle name="40% - Accent5 3 10 3 2 2" xfId="31738"/>
    <cellStyle name="40% - Accent5 3 10 3 2 2 2" xfId="31739"/>
    <cellStyle name="40% - Accent5 3 10 3 2 2 2 2" xfId="31740"/>
    <cellStyle name="40% - Accent5 3 10 3 2 3" xfId="31741"/>
    <cellStyle name="40% - Accent5 3 10 3 2 3 2" xfId="31742"/>
    <cellStyle name="40% - Accent5 3 10 3 3" xfId="31743"/>
    <cellStyle name="40% - Accent5 3 10 3 3 2" xfId="31744"/>
    <cellStyle name="40% - Accent5 3 10 3 3 2 2" xfId="31745"/>
    <cellStyle name="40% - Accent5 3 10 3 4" xfId="31746"/>
    <cellStyle name="40% - Accent5 3 10 3 4 2" xfId="31747"/>
    <cellStyle name="40% - Accent5 3 10 4" xfId="31748"/>
    <cellStyle name="40% - Accent5 3 10 4 2" xfId="31749"/>
    <cellStyle name="40% - Accent5 3 10 4 2 2" xfId="31750"/>
    <cellStyle name="40% - Accent5 3 10 4 2 2 2" xfId="31751"/>
    <cellStyle name="40% - Accent5 3 10 4 3" xfId="31752"/>
    <cellStyle name="40% - Accent5 3 10 4 3 2" xfId="31753"/>
    <cellStyle name="40% - Accent5 3 10 5" xfId="31754"/>
    <cellStyle name="40% - Accent5 3 10 5 2" xfId="31755"/>
    <cellStyle name="40% - Accent5 3 10 5 2 2" xfId="31756"/>
    <cellStyle name="40% - Accent5 3 10 6" xfId="31757"/>
    <cellStyle name="40% - Accent5 3 10 6 2" xfId="31758"/>
    <cellStyle name="40% - Accent5 3 10 7" xfId="31759"/>
    <cellStyle name="40% - Accent5 3 10 8" xfId="31760"/>
    <cellStyle name="40% - Accent5 3 10 9" xfId="31761"/>
    <cellStyle name="40% - Accent5 3 11" xfId="31762"/>
    <cellStyle name="40% - Accent5 3 11 2" xfId="31763"/>
    <cellStyle name="40% - Accent5 3 11 2 2" xfId="31764"/>
    <cellStyle name="40% - Accent5 3 11 2 2 2" xfId="31765"/>
    <cellStyle name="40% - Accent5 3 11 2 2 2 2" xfId="31766"/>
    <cellStyle name="40% - Accent5 3 11 2 2 2 2 2" xfId="31767"/>
    <cellStyle name="40% - Accent5 3 11 2 2 2 2 2 2" xfId="31768"/>
    <cellStyle name="40% - Accent5 3 11 2 2 2 3" xfId="31769"/>
    <cellStyle name="40% - Accent5 3 11 2 2 2 3 2" xfId="31770"/>
    <cellStyle name="40% - Accent5 3 11 2 2 3" xfId="31771"/>
    <cellStyle name="40% - Accent5 3 11 2 2 3 2" xfId="31772"/>
    <cellStyle name="40% - Accent5 3 11 2 2 3 2 2" xfId="31773"/>
    <cellStyle name="40% - Accent5 3 11 2 2 4" xfId="31774"/>
    <cellStyle name="40% - Accent5 3 11 2 2 4 2" xfId="31775"/>
    <cellStyle name="40% - Accent5 3 11 2 3" xfId="31776"/>
    <cellStyle name="40% - Accent5 3 11 2 3 2" xfId="31777"/>
    <cellStyle name="40% - Accent5 3 11 2 3 2 2" xfId="31778"/>
    <cellStyle name="40% - Accent5 3 11 2 3 2 2 2" xfId="31779"/>
    <cellStyle name="40% - Accent5 3 11 2 3 3" xfId="31780"/>
    <cellStyle name="40% - Accent5 3 11 2 3 3 2" xfId="31781"/>
    <cellStyle name="40% - Accent5 3 11 2 4" xfId="31782"/>
    <cellStyle name="40% - Accent5 3 11 2 4 2" xfId="31783"/>
    <cellStyle name="40% - Accent5 3 11 2 4 2 2" xfId="31784"/>
    <cellStyle name="40% - Accent5 3 11 2 5" xfId="31785"/>
    <cellStyle name="40% - Accent5 3 11 2 5 2" xfId="31786"/>
    <cellStyle name="40% - Accent5 3 11 3" xfId="31787"/>
    <cellStyle name="40% - Accent5 3 11 3 2" xfId="31788"/>
    <cellStyle name="40% - Accent5 3 11 3 2 2" xfId="31789"/>
    <cellStyle name="40% - Accent5 3 11 3 2 2 2" xfId="31790"/>
    <cellStyle name="40% - Accent5 3 11 3 2 2 2 2" xfId="31791"/>
    <cellStyle name="40% - Accent5 3 11 3 2 3" xfId="31792"/>
    <cellStyle name="40% - Accent5 3 11 3 2 3 2" xfId="31793"/>
    <cellStyle name="40% - Accent5 3 11 3 3" xfId="31794"/>
    <cellStyle name="40% - Accent5 3 11 3 3 2" xfId="31795"/>
    <cellStyle name="40% - Accent5 3 11 3 3 2 2" xfId="31796"/>
    <cellStyle name="40% - Accent5 3 11 3 4" xfId="31797"/>
    <cellStyle name="40% - Accent5 3 11 3 4 2" xfId="31798"/>
    <cellStyle name="40% - Accent5 3 11 4" xfId="31799"/>
    <cellStyle name="40% - Accent5 3 11 4 2" xfId="31800"/>
    <cellStyle name="40% - Accent5 3 11 4 2 2" xfId="31801"/>
    <cellStyle name="40% - Accent5 3 11 4 2 2 2" xfId="31802"/>
    <cellStyle name="40% - Accent5 3 11 4 3" xfId="31803"/>
    <cellStyle name="40% - Accent5 3 11 4 3 2" xfId="31804"/>
    <cellStyle name="40% - Accent5 3 11 5" xfId="31805"/>
    <cellStyle name="40% - Accent5 3 11 5 2" xfId="31806"/>
    <cellStyle name="40% - Accent5 3 11 5 2 2" xfId="31807"/>
    <cellStyle name="40% - Accent5 3 11 6" xfId="31808"/>
    <cellStyle name="40% - Accent5 3 11 6 2" xfId="31809"/>
    <cellStyle name="40% - Accent5 3 11 7" xfId="31810"/>
    <cellStyle name="40% - Accent5 3 12" xfId="31811"/>
    <cellStyle name="40% - Accent5 3 12 2" xfId="31812"/>
    <cellStyle name="40% - Accent5 3 12 2 2" xfId="31813"/>
    <cellStyle name="40% - Accent5 3 12 2 2 2" xfId="31814"/>
    <cellStyle name="40% - Accent5 3 12 2 2 2 2" xfId="31815"/>
    <cellStyle name="40% - Accent5 3 12 2 2 2 2 2" xfId="31816"/>
    <cellStyle name="40% - Accent5 3 12 2 2 2 2 2 2" xfId="31817"/>
    <cellStyle name="40% - Accent5 3 12 2 2 2 3" xfId="31818"/>
    <cellStyle name="40% - Accent5 3 12 2 2 2 3 2" xfId="31819"/>
    <cellStyle name="40% - Accent5 3 12 2 2 3" xfId="31820"/>
    <cellStyle name="40% - Accent5 3 12 2 2 3 2" xfId="31821"/>
    <cellStyle name="40% - Accent5 3 12 2 2 3 2 2" xfId="31822"/>
    <cellStyle name="40% - Accent5 3 12 2 2 4" xfId="31823"/>
    <cellStyle name="40% - Accent5 3 12 2 2 4 2" xfId="31824"/>
    <cellStyle name="40% - Accent5 3 12 2 3" xfId="31825"/>
    <cellStyle name="40% - Accent5 3 12 2 3 2" xfId="31826"/>
    <cellStyle name="40% - Accent5 3 12 2 3 2 2" xfId="31827"/>
    <cellStyle name="40% - Accent5 3 12 2 3 2 2 2" xfId="31828"/>
    <cellStyle name="40% - Accent5 3 12 2 3 3" xfId="31829"/>
    <cellStyle name="40% - Accent5 3 12 2 3 3 2" xfId="31830"/>
    <cellStyle name="40% - Accent5 3 12 2 4" xfId="31831"/>
    <cellStyle name="40% - Accent5 3 12 2 4 2" xfId="31832"/>
    <cellStyle name="40% - Accent5 3 12 2 4 2 2" xfId="31833"/>
    <cellStyle name="40% - Accent5 3 12 2 5" xfId="31834"/>
    <cellStyle name="40% - Accent5 3 12 2 5 2" xfId="31835"/>
    <cellStyle name="40% - Accent5 3 12 3" xfId="31836"/>
    <cellStyle name="40% - Accent5 3 12 3 2" xfId="31837"/>
    <cellStyle name="40% - Accent5 3 12 3 2 2" xfId="31838"/>
    <cellStyle name="40% - Accent5 3 12 3 2 2 2" xfId="31839"/>
    <cellStyle name="40% - Accent5 3 12 3 2 2 2 2" xfId="31840"/>
    <cellStyle name="40% - Accent5 3 12 3 2 3" xfId="31841"/>
    <cellStyle name="40% - Accent5 3 12 3 2 3 2" xfId="31842"/>
    <cellStyle name="40% - Accent5 3 12 3 3" xfId="31843"/>
    <cellStyle name="40% - Accent5 3 12 3 3 2" xfId="31844"/>
    <cellStyle name="40% - Accent5 3 12 3 3 2 2" xfId="31845"/>
    <cellStyle name="40% - Accent5 3 12 3 4" xfId="31846"/>
    <cellStyle name="40% - Accent5 3 12 3 4 2" xfId="31847"/>
    <cellStyle name="40% - Accent5 3 12 4" xfId="31848"/>
    <cellStyle name="40% - Accent5 3 12 4 2" xfId="31849"/>
    <cellStyle name="40% - Accent5 3 12 4 2 2" xfId="31850"/>
    <cellStyle name="40% - Accent5 3 12 4 2 2 2" xfId="31851"/>
    <cellStyle name="40% - Accent5 3 12 4 3" xfId="31852"/>
    <cellStyle name="40% - Accent5 3 12 4 3 2" xfId="31853"/>
    <cellStyle name="40% - Accent5 3 12 5" xfId="31854"/>
    <cellStyle name="40% - Accent5 3 12 5 2" xfId="31855"/>
    <cellStyle name="40% - Accent5 3 12 5 2 2" xfId="31856"/>
    <cellStyle name="40% - Accent5 3 12 6" xfId="31857"/>
    <cellStyle name="40% - Accent5 3 12 6 2" xfId="31858"/>
    <cellStyle name="40% - Accent5 3 13" xfId="31859"/>
    <cellStyle name="40% - Accent5 3 13 2" xfId="31860"/>
    <cellStyle name="40% - Accent5 3 13 2 2" xfId="31861"/>
    <cellStyle name="40% - Accent5 3 13 2 2 2" xfId="31862"/>
    <cellStyle name="40% - Accent5 3 13 2 2 2 2" xfId="31863"/>
    <cellStyle name="40% - Accent5 3 13 2 2 2 2 2" xfId="31864"/>
    <cellStyle name="40% - Accent5 3 13 2 2 2 2 2 2" xfId="31865"/>
    <cellStyle name="40% - Accent5 3 13 2 2 2 3" xfId="31866"/>
    <cellStyle name="40% - Accent5 3 13 2 2 2 3 2" xfId="31867"/>
    <cellStyle name="40% - Accent5 3 13 2 2 3" xfId="31868"/>
    <cellStyle name="40% - Accent5 3 13 2 2 3 2" xfId="31869"/>
    <cellStyle name="40% - Accent5 3 13 2 2 3 2 2" xfId="31870"/>
    <cellStyle name="40% - Accent5 3 13 2 2 4" xfId="31871"/>
    <cellStyle name="40% - Accent5 3 13 2 2 4 2" xfId="31872"/>
    <cellStyle name="40% - Accent5 3 13 2 3" xfId="31873"/>
    <cellStyle name="40% - Accent5 3 13 2 3 2" xfId="31874"/>
    <cellStyle name="40% - Accent5 3 13 2 3 2 2" xfId="31875"/>
    <cellStyle name="40% - Accent5 3 13 2 3 2 2 2" xfId="31876"/>
    <cellStyle name="40% - Accent5 3 13 2 3 3" xfId="31877"/>
    <cellStyle name="40% - Accent5 3 13 2 3 3 2" xfId="31878"/>
    <cellStyle name="40% - Accent5 3 13 2 4" xfId="31879"/>
    <cellStyle name="40% - Accent5 3 13 2 4 2" xfId="31880"/>
    <cellStyle name="40% - Accent5 3 13 2 4 2 2" xfId="31881"/>
    <cellStyle name="40% - Accent5 3 13 2 5" xfId="31882"/>
    <cellStyle name="40% - Accent5 3 13 2 5 2" xfId="31883"/>
    <cellStyle name="40% - Accent5 3 13 3" xfId="31884"/>
    <cellStyle name="40% - Accent5 3 13 3 2" xfId="31885"/>
    <cellStyle name="40% - Accent5 3 13 3 2 2" xfId="31886"/>
    <cellStyle name="40% - Accent5 3 13 3 2 2 2" xfId="31887"/>
    <cellStyle name="40% - Accent5 3 13 3 2 2 2 2" xfId="31888"/>
    <cellStyle name="40% - Accent5 3 13 3 2 3" xfId="31889"/>
    <cellStyle name="40% - Accent5 3 13 3 2 3 2" xfId="31890"/>
    <cellStyle name="40% - Accent5 3 13 3 3" xfId="31891"/>
    <cellStyle name="40% - Accent5 3 13 3 3 2" xfId="31892"/>
    <cellStyle name="40% - Accent5 3 13 3 3 2 2" xfId="31893"/>
    <cellStyle name="40% - Accent5 3 13 3 4" xfId="31894"/>
    <cellStyle name="40% - Accent5 3 13 3 4 2" xfId="31895"/>
    <cellStyle name="40% - Accent5 3 13 4" xfId="31896"/>
    <cellStyle name="40% - Accent5 3 13 4 2" xfId="31897"/>
    <cellStyle name="40% - Accent5 3 13 4 2 2" xfId="31898"/>
    <cellStyle name="40% - Accent5 3 13 4 2 2 2" xfId="31899"/>
    <cellStyle name="40% - Accent5 3 13 4 3" xfId="31900"/>
    <cellStyle name="40% - Accent5 3 13 4 3 2" xfId="31901"/>
    <cellStyle name="40% - Accent5 3 13 5" xfId="31902"/>
    <cellStyle name="40% - Accent5 3 13 5 2" xfId="31903"/>
    <cellStyle name="40% - Accent5 3 13 5 2 2" xfId="31904"/>
    <cellStyle name="40% - Accent5 3 13 6" xfId="31905"/>
    <cellStyle name="40% - Accent5 3 13 6 2" xfId="31906"/>
    <cellStyle name="40% - Accent5 3 14" xfId="31907"/>
    <cellStyle name="40% - Accent5 3 14 2" xfId="31908"/>
    <cellStyle name="40% - Accent5 3 14 2 2" xfId="31909"/>
    <cellStyle name="40% - Accent5 3 14 2 2 2" xfId="31910"/>
    <cellStyle name="40% - Accent5 3 14 2 2 2 2" xfId="31911"/>
    <cellStyle name="40% - Accent5 3 14 2 2 2 2 2" xfId="31912"/>
    <cellStyle name="40% - Accent5 3 14 2 2 3" xfId="31913"/>
    <cellStyle name="40% - Accent5 3 14 2 2 3 2" xfId="31914"/>
    <cellStyle name="40% - Accent5 3 14 2 3" xfId="31915"/>
    <cellStyle name="40% - Accent5 3 14 2 3 2" xfId="31916"/>
    <cellStyle name="40% - Accent5 3 14 2 3 2 2" xfId="31917"/>
    <cellStyle name="40% - Accent5 3 14 2 4" xfId="31918"/>
    <cellStyle name="40% - Accent5 3 14 2 4 2" xfId="31919"/>
    <cellStyle name="40% - Accent5 3 14 3" xfId="31920"/>
    <cellStyle name="40% - Accent5 3 14 3 2" xfId="31921"/>
    <cellStyle name="40% - Accent5 3 14 3 2 2" xfId="31922"/>
    <cellStyle name="40% - Accent5 3 14 3 2 2 2" xfId="31923"/>
    <cellStyle name="40% - Accent5 3 14 3 3" xfId="31924"/>
    <cellStyle name="40% - Accent5 3 14 3 3 2" xfId="31925"/>
    <cellStyle name="40% - Accent5 3 14 4" xfId="31926"/>
    <cellStyle name="40% - Accent5 3 14 4 2" xfId="31927"/>
    <cellStyle name="40% - Accent5 3 14 4 2 2" xfId="31928"/>
    <cellStyle name="40% - Accent5 3 14 5" xfId="31929"/>
    <cellStyle name="40% - Accent5 3 14 5 2" xfId="31930"/>
    <cellStyle name="40% - Accent5 3 15" xfId="31931"/>
    <cellStyle name="40% - Accent5 3 15 2" xfId="31932"/>
    <cellStyle name="40% - Accent5 3 15 2 2" xfId="31933"/>
    <cellStyle name="40% - Accent5 3 15 2 2 2" xfId="31934"/>
    <cellStyle name="40% - Accent5 3 15 2 2 2 2" xfId="31935"/>
    <cellStyle name="40% - Accent5 3 15 2 3" xfId="31936"/>
    <cellStyle name="40% - Accent5 3 15 2 3 2" xfId="31937"/>
    <cellStyle name="40% - Accent5 3 15 3" xfId="31938"/>
    <cellStyle name="40% - Accent5 3 15 3 2" xfId="31939"/>
    <cellStyle name="40% - Accent5 3 15 3 2 2" xfId="31940"/>
    <cellStyle name="40% - Accent5 3 15 4" xfId="31941"/>
    <cellStyle name="40% - Accent5 3 15 4 2" xfId="31942"/>
    <cellStyle name="40% - Accent5 3 16" xfId="31943"/>
    <cellStyle name="40% - Accent5 3 16 2" xfId="31944"/>
    <cellStyle name="40% - Accent5 3 16 2 2" xfId="31945"/>
    <cellStyle name="40% - Accent5 3 16 2 2 2" xfId="31946"/>
    <cellStyle name="40% - Accent5 3 16 3" xfId="31947"/>
    <cellStyle name="40% - Accent5 3 16 3 2" xfId="31948"/>
    <cellStyle name="40% - Accent5 3 17" xfId="31949"/>
    <cellStyle name="40% - Accent5 3 17 2" xfId="31950"/>
    <cellStyle name="40% - Accent5 3 17 2 2" xfId="31951"/>
    <cellStyle name="40% - Accent5 3 18" xfId="31952"/>
    <cellStyle name="40% - Accent5 3 18 2" xfId="31953"/>
    <cellStyle name="40% - Accent5 3 19" xfId="31954"/>
    <cellStyle name="40% - Accent5 3 2" xfId="31955"/>
    <cellStyle name="40% - Accent5 3 2 10" xfId="31956"/>
    <cellStyle name="40% - Accent5 3 2 11" xfId="31957"/>
    <cellStyle name="40% - Accent5 3 2 2" xfId="31958"/>
    <cellStyle name="40% - Accent5 3 2 2 2" xfId="31959"/>
    <cellStyle name="40% - Accent5 3 2 2 2 2" xfId="31960"/>
    <cellStyle name="40% - Accent5 3 2 2 2 2 2" xfId="31961"/>
    <cellStyle name="40% - Accent5 3 2 2 2 2 2 2" xfId="31962"/>
    <cellStyle name="40% - Accent5 3 2 2 2 2 2 2 2" xfId="31963"/>
    <cellStyle name="40% - Accent5 3 2 2 2 2 3" xfId="31964"/>
    <cellStyle name="40% - Accent5 3 2 2 2 2 3 2" xfId="31965"/>
    <cellStyle name="40% - Accent5 3 2 2 2 3" xfId="31966"/>
    <cellStyle name="40% - Accent5 3 2 2 2 3 2" xfId="31967"/>
    <cellStyle name="40% - Accent5 3 2 2 2 3 2 2" xfId="31968"/>
    <cellStyle name="40% - Accent5 3 2 2 2 4" xfId="31969"/>
    <cellStyle name="40% - Accent5 3 2 2 2 4 2" xfId="31970"/>
    <cellStyle name="40% - Accent5 3 2 2 3" xfId="31971"/>
    <cellStyle name="40% - Accent5 3 2 2 3 2" xfId="31972"/>
    <cellStyle name="40% - Accent5 3 2 2 3 2 2" xfId="31973"/>
    <cellStyle name="40% - Accent5 3 2 2 3 2 2 2" xfId="31974"/>
    <cellStyle name="40% - Accent5 3 2 2 3 3" xfId="31975"/>
    <cellStyle name="40% - Accent5 3 2 2 3 3 2" xfId="31976"/>
    <cellStyle name="40% - Accent5 3 2 2 4" xfId="31977"/>
    <cellStyle name="40% - Accent5 3 2 2 4 2" xfId="31978"/>
    <cellStyle name="40% - Accent5 3 2 2 4 2 2" xfId="31979"/>
    <cellStyle name="40% - Accent5 3 2 2 5" xfId="31980"/>
    <cellStyle name="40% - Accent5 3 2 2 5 2" xfId="31981"/>
    <cellStyle name="40% - Accent5 3 2 2 6" xfId="31982"/>
    <cellStyle name="40% - Accent5 3 2 2 7" xfId="31983"/>
    <cellStyle name="40% - Accent5 3 2 2 8" xfId="31984"/>
    <cellStyle name="40% - Accent5 3 2 3" xfId="31985"/>
    <cellStyle name="40% - Accent5 3 2 3 2" xfId="31986"/>
    <cellStyle name="40% - Accent5 3 2 3 2 2" xfId="31987"/>
    <cellStyle name="40% - Accent5 3 2 3 2 2 2" xfId="31988"/>
    <cellStyle name="40% - Accent5 3 2 3 2 2 2 2" xfId="31989"/>
    <cellStyle name="40% - Accent5 3 2 3 2 3" xfId="31990"/>
    <cellStyle name="40% - Accent5 3 2 3 2 3 2" xfId="31991"/>
    <cellStyle name="40% - Accent5 3 2 3 3" xfId="31992"/>
    <cellStyle name="40% - Accent5 3 2 3 3 2" xfId="31993"/>
    <cellStyle name="40% - Accent5 3 2 3 3 2 2" xfId="31994"/>
    <cellStyle name="40% - Accent5 3 2 3 4" xfId="31995"/>
    <cellStyle name="40% - Accent5 3 2 3 4 2" xfId="31996"/>
    <cellStyle name="40% - Accent5 3 2 3 5" xfId="31997"/>
    <cellStyle name="40% - Accent5 3 2 3 6" xfId="31998"/>
    <cellStyle name="40% - Accent5 3 2 3 7" xfId="31999"/>
    <cellStyle name="40% - Accent5 3 2 4" xfId="32000"/>
    <cellStyle name="40% - Accent5 3 2 4 2" xfId="32001"/>
    <cellStyle name="40% - Accent5 3 2 4 2 2" xfId="32002"/>
    <cellStyle name="40% - Accent5 3 2 4 2 2 2" xfId="32003"/>
    <cellStyle name="40% - Accent5 3 2 4 3" xfId="32004"/>
    <cellStyle name="40% - Accent5 3 2 4 3 2" xfId="32005"/>
    <cellStyle name="40% - Accent5 3 2 4 4" xfId="32006"/>
    <cellStyle name="40% - Accent5 3 2 5" xfId="32007"/>
    <cellStyle name="40% - Accent5 3 2 5 2" xfId="32008"/>
    <cellStyle name="40% - Accent5 3 2 5 2 2" xfId="32009"/>
    <cellStyle name="40% - Accent5 3 2 6" xfId="32010"/>
    <cellStyle name="40% - Accent5 3 2 6 2" xfId="32011"/>
    <cellStyle name="40% - Accent5 3 2 7" xfId="32012"/>
    <cellStyle name="40% - Accent5 3 2 8" xfId="32013"/>
    <cellStyle name="40% - Accent5 3 2 9" xfId="32014"/>
    <cellStyle name="40% - Accent5 3 20" xfId="32015"/>
    <cellStyle name="40% - Accent5 3 21" xfId="32016"/>
    <cellStyle name="40% - Accent5 3 22" xfId="32017"/>
    <cellStyle name="40% - Accent5 3 3" xfId="32018"/>
    <cellStyle name="40% - Accent5 3 3 10" xfId="32019"/>
    <cellStyle name="40% - Accent5 3 3 11" xfId="32020"/>
    <cellStyle name="40% - Accent5 3 3 2" xfId="32021"/>
    <cellStyle name="40% - Accent5 3 3 2 2" xfId="32022"/>
    <cellStyle name="40% - Accent5 3 3 2 2 2" xfId="32023"/>
    <cellStyle name="40% - Accent5 3 3 2 2 2 2" xfId="32024"/>
    <cellStyle name="40% - Accent5 3 3 2 2 2 2 2" xfId="32025"/>
    <cellStyle name="40% - Accent5 3 3 2 2 2 2 2 2" xfId="32026"/>
    <cellStyle name="40% - Accent5 3 3 2 2 2 3" xfId="32027"/>
    <cellStyle name="40% - Accent5 3 3 2 2 2 3 2" xfId="32028"/>
    <cellStyle name="40% - Accent5 3 3 2 2 3" xfId="32029"/>
    <cellStyle name="40% - Accent5 3 3 2 2 3 2" xfId="32030"/>
    <cellStyle name="40% - Accent5 3 3 2 2 3 2 2" xfId="32031"/>
    <cellStyle name="40% - Accent5 3 3 2 2 4" xfId="32032"/>
    <cellStyle name="40% - Accent5 3 3 2 2 4 2" xfId="32033"/>
    <cellStyle name="40% - Accent5 3 3 2 3" xfId="32034"/>
    <cellStyle name="40% - Accent5 3 3 2 3 2" xfId="32035"/>
    <cellStyle name="40% - Accent5 3 3 2 3 2 2" xfId="32036"/>
    <cellStyle name="40% - Accent5 3 3 2 3 2 2 2" xfId="32037"/>
    <cellStyle name="40% - Accent5 3 3 2 3 3" xfId="32038"/>
    <cellStyle name="40% - Accent5 3 3 2 3 3 2" xfId="32039"/>
    <cellStyle name="40% - Accent5 3 3 2 4" xfId="32040"/>
    <cellStyle name="40% - Accent5 3 3 2 4 2" xfId="32041"/>
    <cellStyle name="40% - Accent5 3 3 2 4 2 2" xfId="32042"/>
    <cellStyle name="40% - Accent5 3 3 2 5" xfId="32043"/>
    <cellStyle name="40% - Accent5 3 3 2 5 2" xfId="32044"/>
    <cellStyle name="40% - Accent5 3 3 2 6" xfId="32045"/>
    <cellStyle name="40% - Accent5 3 3 2 7" xfId="32046"/>
    <cellStyle name="40% - Accent5 3 3 2 8" xfId="32047"/>
    <cellStyle name="40% - Accent5 3 3 3" xfId="32048"/>
    <cellStyle name="40% - Accent5 3 3 3 2" xfId="32049"/>
    <cellStyle name="40% - Accent5 3 3 3 2 2" xfId="32050"/>
    <cellStyle name="40% - Accent5 3 3 3 2 2 2" xfId="32051"/>
    <cellStyle name="40% - Accent5 3 3 3 2 2 2 2" xfId="32052"/>
    <cellStyle name="40% - Accent5 3 3 3 2 3" xfId="32053"/>
    <cellStyle name="40% - Accent5 3 3 3 2 3 2" xfId="32054"/>
    <cellStyle name="40% - Accent5 3 3 3 3" xfId="32055"/>
    <cellStyle name="40% - Accent5 3 3 3 3 2" xfId="32056"/>
    <cellStyle name="40% - Accent5 3 3 3 3 2 2" xfId="32057"/>
    <cellStyle name="40% - Accent5 3 3 3 4" xfId="32058"/>
    <cellStyle name="40% - Accent5 3 3 3 4 2" xfId="32059"/>
    <cellStyle name="40% - Accent5 3 3 3 5" xfId="32060"/>
    <cellStyle name="40% - Accent5 3 3 3 6" xfId="32061"/>
    <cellStyle name="40% - Accent5 3 3 3 7" xfId="32062"/>
    <cellStyle name="40% - Accent5 3 3 4" xfId="32063"/>
    <cellStyle name="40% - Accent5 3 3 4 2" xfId="32064"/>
    <cellStyle name="40% - Accent5 3 3 4 2 2" xfId="32065"/>
    <cellStyle name="40% - Accent5 3 3 4 2 2 2" xfId="32066"/>
    <cellStyle name="40% - Accent5 3 3 4 3" xfId="32067"/>
    <cellStyle name="40% - Accent5 3 3 4 3 2" xfId="32068"/>
    <cellStyle name="40% - Accent5 3 3 4 4" xfId="32069"/>
    <cellStyle name="40% - Accent5 3 3 5" xfId="32070"/>
    <cellStyle name="40% - Accent5 3 3 5 2" xfId="32071"/>
    <cellStyle name="40% - Accent5 3 3 5 2 2" xfId="32072"/>
    <cellStyle name="40% - Accent5 3 3 6" xfId="32073"/>
    <cellStyle name="40% - Accent5 3 3 6 2" xfId="32074"/>
    <cellStyle name="40% - Accent5 3 3 7" xfId="32075"/>
    <cellStyle name="40% - Accent5 3 3 8" xfId="32076"/>
    <cellStyle name="40% - Accent5 3 3 9" xfId="32077"/>
    <cellStyle name="40% - Accent5 3 4" xfId="32078"/>
    <cellStyle name="40% - Accent5 3 4 2" xfId="32079"/>
    <cellStyle name="40% - Accent5 3 4 2 2" xfId="32080"/>
    <cellStyle name="40% - Accent5 3 4 2 2 2" xfId="32081"/>
    <cellStyle name="40% - Accent5 3 4 2 2 2 2" xfId="32082"/>
    <cellStyle name="40% - Accent5 3 4 2 2 2 2 2" xfId="32083"/>
    <cellStyle name="40% - Accent5 3 4 2 2 2 2 2 2" xfId="32084"/>
    <cellStyle name="40% - Accent5 3 4 2 2 2 3" xfId="32085"/>
    <cellStyle name="40% - Accent5 3 4 2 2 2 3 2" xfId="32086"/>
    <cellStyle name="40% - Accent5 3 4 2 2 3" xfId="32087"/>
    <cellStyle name="40% - Accent5 3 4 2 2 3 2" xfId="32088"/>
    <cellStyle name="40% - Accent5 3 4 2 2 3 2 2" xfId="32089"/>
    <cellStyle name="40% - Accent5 3 4 2 2 4" xfId="32090"/>
    <cellStyle name="40% - Accent5 3 4 2 2 4 2" xfId="32091"/>
    <cellStyle name="40% - Accent5 3 4 2 3" xfId="32092"/>
    <cellStyle name="40% - Accent5 3 4 2 3 2" xfId="32093"/>
    <cellStyle name="40% - Accent5 3 4 2 3 2 2" xfId="32094"/>
    <cellStyle name="40% - Accent5 3 4 2 3 2 2 2" xfId="32095"/>
    <cellStyle name="40% - Accent5 3 4 2 3 3" xfId="32096"/>
    <cellStyle name="40% - Accent5 3 4 2 3 3 2" xfId="32097"/>
    <cellStyle name="40% - Accent5 3 4 2 4" xfId="32098"/>
    <cellStyle name="40% - Accent5 3 4 2 4 2" xfId="32099"/>
    <cellStyle name="40% - Accent5 3 4 2 4 2 2" xfId="32100"/>
    <cellStyle name="40% - Accent5 3 4 2 5" xfId="32101"/>
    <cellStyle name="40% - Accent5 3 4 2 5 2" xfId="32102"/>
    <cellStyle name="40% - Accent5 3 4 3" xfId="32103"/>
    <cellStyle name="40% - Accent5 3 4 3 2" xfId="32104"/>
    <cellStyle name="40% - Accent5 3 4 3 2 2" xfId="32105"/>
    <cellStyle name="40% - Accent5 3 4 3 2 2 2" xfId="32106"/>
    <cellStyle name="40% - Accent5 3 4 3 2 2 2 2" xfId="32107"/>
    <cellStyle name="40% - Accent5 3 4 3 2 3" xfId="32108"/>
    <cellStyle name="40% - Accent5 3 4 3 2 3 2" xfId="32109"/>
    <cellStyle name="40% - Accent5 3 4 3 3" xfId="32110"/>
    <cellStyle name="40% - Accent5 3 4 3 3 2" xfId="32111"/>
    <cellStyle name="40% - Accent5 3 4 3 3 2 2" xfId="32112"/>
    <cellStyle name="40% - Accent5 3 4 3 4" xfId="32113"/>
    <cellStyle name="40% - Accent5 3 4 3 4 2" xfId="32114"/>
    <cellStyle name="40% - Accent5 3 4 4" xfId="32115"/>
    <cellStyle name="40% - Accent5 3 4 4 2" xfId="32116"/>
    <cellStyle name="40% - Accent5 3 4 4 2 2" xfId="32117"/>
    <cellStyle name="40% - Accent5 3 4 4 2 2 2" xfId="32118"/>
    <cellStyle name="40% - Accent5 3 4 4 3" xfId="32119"/>
    <cellStyle name="40% - Accent5 3 4 4 3 2" xfId="32120"/>
    <cellStyle name="40% - Accent5 3 4 5" xfId="32121"/>
    <cellStyle name="40% - Accent5 3 4 5 2" xfId="32122"/>
    <cellStyle name="40% - Accent5 3 4 5 2 2" xfId="32123"/>
    <cellStyle name="40% - Accent5 3 4 6" xfId="32124"/>
    <cellStyle name="40% - Accent5 3 4 6 2" xfId="32125"/>
    <cellStyle name="40% - Accent5 3 4 7" xfId="32126"/>
    <cellStyle name="40% - Accent5 3 5" xfId="32127"/>
    <cellStyle name="40% - Accent5 3 5 2" xfId="32128"/>
    <cellStyle name="40% - Accent5 3 5 2 2" xfId="32129"/>
    <cellStyle name="40% - Accent5 3 5 2 2 2" xfId="32130"/>
    <cellStyle name="40% - Accent5 3 5 2 2 2 2" xfId="32131"/>
    <cellStyle name="40% - Accent5 3 5 2 2 2 2 2" xfId="32132"/>
    <cellStyle name="40% - Accent5 3 5 2 2 2 2 2 2" xfId="32133"/>
    <cellStyle name="40% - Accent5 3 5 2 2 2 3" xfId="32134"/>
    <cellStyle name="40% - Accent5 3 5 2 2 2 3 2" xfId="32135"/>
    <cellStyle name="40% - Accent5 3 5 2 2 3" xfId="32136"/>
    <cellStyle name="40% - Accent5 3 5 2 2 3 2" xfId="32137"/>
    <cellStyle name="40% - Accent5 3 5 2 2 3 2 2" xfId="32138"/>
    <cellStyle name="40% - Accent5 3 5 2 2 4" xfId="32139"/>
    <cellStyle name="40% - Accent5 3 5 2 2 4 2" xfId="32140"/>
    <cellStyle name="40% - Accent5 3 5 2 3" xfId="32141"/>
    <cellStyle name="40% - Accent5 3 5 2 3 2" xfId="32142"/>
    <cellStyle name="40% - Accent5 3 5 2 3 2 2" xfId="32143"/>
    <cellStyle name="40% - Accent5 3 5 2 3 2 2 2" xfId="32144"/>
    <cellStyle name="40% - Accent5 3 5 2 3 3" xfId="32145"/>
    <cellStyle name="40% - Accent5 3 5 2 3 3 2" xfId="32146"/>
    <cellStyle name="40% - Accent5 3 5 2 4" xfId="32147"/>
    <cellStyle name="40% - Accent5 3 5 2 4 2" xfId="32148"/>
    <cellStyle name="40% - Accent5 3 5 2 4 2 2" xfId="32149"/>
    <cellStyle name="40% - Accent5 3 5 2 5" xfId="32150"/>
    <cellStyle name="40% - Accent5 3 5 2 5 2" xfId="32151"/>
    <cellStyle name="40% - Accent5 3 5 3" xfId="32152"/>
    <cellStyle name="40% - Accent5 3 5 3 2" xfId="32153"/>
    <cellStyle name="40% - Accent5 3 5 3 2 2" xfId="32154"/>
    <cellStyle name="40% - Accent5 3 5 3 2 2 2" xfId="32155"/>
    <cellStyle name="40% - Accent5 3 5 3 2 2 2 2" xfId="32156"/>
    <cellStyle name="40% - Accent5 3 5 3 2 3" xfId="32157"/>
    <cellStyle name="40% - Accent5 3 5 3 2 3 2" xfId="32158"/>
    <cellStyle name="40% - Accent5 3 5 3 3" xfId="32159"/>
    <cellStyle name="40% - Accent5 3 5 3 3 2" xfId="32160"/>
    <cellStyle name="40% - Accent5 3 5 3 3 2 2" xfId="32161"/>
    <cellStyle name="40% - Accent5 3 5 3 4" xfId="32162"/>
    <cellStyle name="40% - Accent5 3 5 3 4 2" xfId="32163"/>
    <cellStyle name="40% - Accent5 3 5 4" xfId="32164"/>
    <cellStyle name="40% - Accent5 3 5 4 2" xfId="32165"/>
    <cellStyle name="40% - Accent5 3 5 4 2 2" xfId="32166"/>
    <cellStyle name="40% - Accent5 3 5 4 2 2 2" xfId="32167"/>
    <cellStyle name="40% - Accent5 3 5 4 3" xfId="32168"/>
    <cellStyle name="40% - Accent5 3 5 4 3 2" xfId="32169"/>
    <cellStyle name="40% - Accent5 3 5 5" xfId="32170"/>
    <cellStyle name="40% - Accent5 3 5 5 2" xfId="32171"/>
    <cellStyle name="40% - Accent5 3 5 5 2 2" xfId="32172"/>
    <cellStyle name="40% - Accent5 3 5 6" xfId="32173"/>
    <cellStyle name="40% - Accent5 3 5 6 2" xfId="32174"/>
    <cellStyle name="40% - Accent5 3 5 7" xfId="32175"/>
    <cellStyle name="40% - Accent5 3 6" xfId="32176"/>
    <cellStyle name="40% - Accent5 3 6 2" xfId="32177"/>
    <cellStyle name="40% - Accent5 3 6 2 2" xfId="32178"/>
    <cellStyle name="40% - Accent5 3 6 2 2 2" xfId="32179"/>
    <cellStyle name="40% - Accent5 3 6 2 2 2 2" xfId="32180"/>
    <cellStyle name="40% - Accent5 3 6 2 2 2 2 2" xfId="32181"/>
    <cellStyle name="40% - Accent5 3 6 2 2 2 2 2 2" xfId="32182"/>
    <cellStyle name="40% - Accent5 3 6 2 2 2 3" xfId="32183"/>
    <cellStyle name="40% - Accent5 3 6 2 2 2 3 2" xfId="32184"/>
    <cellStyle name="40% - Accent5 3 6 2 2 3" xfId="32185"/>
    <cellStyle name="40% - Accent5 3 6 2 2 3 2" xfId="32186"/>
    <cellStyle name="40% - Accent5 3 6 2 2 3 2 2" xfId="32187"/>
    <cellStyle name="40% - Accent5 3 6 2 2 4" xfId="32188"/>
    <cellStyle name="40% - Accent5 3 6 2 2 4 2" xfId="32189"/>
    <cellStyle name="40% - Accent5 3 6 2 3" xfId="32190"/>
    <cellStyle name="40% - Accent5 3 6 2 3 2" xfId="32191"/>
    <cellStyle name="40% - Accent5 3 6 2 3 2 2" xfId="32192"/>
    <cellStyle name="40% - Accent5 3 6 2 3 2 2 2" xfId="32193"/>
    <cellStyle name="40% - Accent5 3 6 2 3 3" xfId="32194"/>
    <cellStyle name="40% - Accent5 3 6 2 3 3 2" xfId="32195"/>
    <cellStyle name="40% - Accent5 3 6 2 4" xfId="32196"/>
    <cellStyle name="40% - Accent5 3 6 2 4 2" xfId="32197"/>
    <cellStyle name="40% - Accent5 3 6 2 4 2 2" xfId="32198"/>
    <cellStyle name="40% - Accent5 3 6 2 5" xfId="32199"/>
    <cellStyle name="40% - Accent5 3 6 2 5 2" xfId="32200"/>
    <cellStyle name="40% - Accent5 3 6 3" xfId="32201"/>
    <cellStyle name="40% - Accent5 3 6 3 2" xfId="32202"/>
    <cellStyle name="40% - Accent5 3 6 3 2 2" xfId="32203"/>
    <cellStyle name="40% - Accent5 3 6 3 2 2 2" xfId="32204"/>
    <cellStyle name="40% - Accent5 3 6 3 2 2 2 2" xfId="32205"/>
    <cellStyle name="40% - Accent5 3 6 3 2 3" xfId="32206"/>
    <cellStyle name="40% - Accent5 3 6 3 2 3 2" xfId="32207"/>
    <cellStyle name="40% - Accent5 3 6 3 3" xfId="32208"/>
    <cellStyle name="40% - Accent5 3 6 3 3 2" xfId="32209"/>
    <cellStyle name="40% - Accent5 3 6 3 3 2 2" xfId="32210"/>
    <cellStyle name="40% - Accent5 3 6 3 4" xfId="32211"/>
    <cellStyle name="40% - Accent5 3 6 3 4 2" xfId="32212"/>
    <cellStyle name="40% - Accent5 3 6 4" xfId="32213"/>
    <cellStyle name="40% - Accent5 3 6 4 2" xfId="32214"/>
    <cellStyle name="40% - Accent5 3 6 4 2 2" xfId="32215"/>
    <cellStyle name="40% - Accent5 3 6 4 2 2 2" xfId="32216"/>
    <cellStyle name="40% - Accent5 3 6 4 3" xfId="32217"/>
    <cellStyle name="40% - Accent5 3 6 4 3 2" xfId="32218"/>
    <cellStyle name="40% - Accent5 3 6 5" xfId="32219"/>
    <cellStyle name="40% - Accent5 3 6 5 2" xfId="32220"/>
    <cellStyle name="40% - Accent5 3 6 5 2 2" xfId="32221"/>
    <cellStyle name="40% - Accent5 3 6 6" xfId="32222"/>
    <cellStyle name="40% - Accent5 3 6 6 2" xfId="32223"/>
    <cellStyle name="40% - Accent5 3 6 7" xfId="32224"/>
    <cellStyle name="40% - Accent5 3 7" xfId="32225"/>
    <cellStyle name="40% - Accent5 3 7 2" xfId="32226"/>
    <cellStyle name="40% - Accent5 3 7 2 2" xfId="32227"/>
    <cellStyle name="40% - Accent5 3 7 2 2 2" xfId="32228"/>
    <cellStyle name="40% - Accent5 3 7 2 2 2 2" xfId="32229"/>
    <cellStyle name="40% - Accent5 3 7 2 2 2 2 2" xfId="32230"/>
    <cellStyle name="40% - Accent5 3 7 2 2 2 2 2 2" xfId="32231"/>
    <cellStyle name="40% - Accent5 3 7 2 2 2 3" xfId="32232"/>
    <cellStyle name="40% - Accent5 3 7 2 2 2 3 2" xfId="32233"/>
    <cellStyle name="40% - Accent5 3 7 2 2 3" xfId="32234"/>
    <cellStyle name="40% - Accent5 3 7 2 2 3 2" xfId="32235"/>
    <cellStyle name="40% - Accent5 3 7 2 2 3 2 2" xfId="32236"/>
    <cellStyle name="40% - Accent5 3 7 2 2 4" xfId="32237"/>
    <cellStyle name="40% - Accent5 3 7 2 2 4 2" xfId="32238"/>
    <cellStyle name="40% - Accent5 3 7 2 3" xfId="32239"/>
    <cellStyle name="40% - Accent5 3 7 2 3 2" xfId="32240"/>
    <cellStyle name="40% - Accent5 3 7 2 3 2 2" xfId="32241"/>
    <cellStyle name="40% - Accent5 3 7 2 3 2 2 2" xfId="32242"/>
    <cellStyle name="40% - Accent5 3 7 2 3 3" xfId="32243"/>
    <cellStyle name="40% - Accent5 3 7 2 3 3 2" xfId="32244"/>
    <cellStyle name="40% - Accent5 3 7 2 4" xfId="32245"/>
    <cellStyle name="40% - Accent5 3 7 2 4 2" xfId="32246"/>
    <cellStyle name="40% - Accent5 3 7 2 4 2 2" xfId="32247"/>
    <cellStyle name="40% - Accent5 3 7 2 5" xfId="32248"/>
    <cellStyle name="40% - Accent5 3 7 2 5 2" xfId="32249"/>
    <cellStyle name="40% - Accent5 3 7 3" xfId="32250"/>
    <cellStyle name="40% - Accent5 3 7 3 2" xfId="32251"/>
    <cellStyle name="40% - Accent5 3 7 3 2 2" xfId="32252"/>
    <cellStyle name="40% - Accent5 3 7 3 2 2 2" xfId="32253"/>
    <cellStyle name="40% - Accent5 3 7 3 2 2 2 2" xfId="32254"/>
    <cellStyle name="40% - Accent5 3 7 3 2 3" xfId="32255"/>
    <cellStyle name="40% - Accent5 3 7 3 2 3 2" xfId="32256"/>
    <cellStyle name="40% - Accent5 3 7 3 3" xfId="32257"/>
    <cellStyle name="40% - Accent5 3 7 3 3 2" xfId="32258"/>
    <cellStyle name="40% - Accent5 3 7 3 3 2 2" xfId="32259"/>
    <cellStyle name="40% - Accent5 3 7 3 4" xfId="32260"/>
    <cellStyle name="40% - Accent5 3 7 3 4 2" xfId="32261"/>
    <cellStyle name="40% - Accent5 3 7 4" xfId="32262"/>
    <cellStyle name="40% - Accent5 3 7 4 2" xfId="32263"/>
    <cellStyle name="40% - Accent5 3 7 4 2 2" xfId="32264"/>
    <cellStyle name="40% - Accent5 3 7 4 2 2 2" xfId="32265"/>
    <cellStyle name="40% - Accent5 3 7 4 3" xfId="32266"/>
    <cellStyle name="40% - Accent5 3 7 4 3 2" xfId="32267"/>
    <cellStyle name="40% - Accent5 3 7 5" xfId="32268"/>
    <cellStyle name="40% - Accent5 3 7 5 2" xfId="32269"/>
    <cellStyle name="40% - Accent5 3 7 5 2 2" xfId="32270"/>
    <cellStyle name="40% - Accent5 3 7 6" xfId="32271"/>
    <cellStyle name="40% - Accent5 3 7 6 2" xfId="32272"/>
    <cellStyle name="40% - Accent5 3 7 7" xfId="32273"/>
    <cellStyle name="40% - Accent5 3 8" xfId="32274"/>
    <cellStyle name="40% - Accent5 3 8 2" xfId="32275"/>
    <cellStyle name="40% - Accent5 3 8 2 2" xfId="32276"/>
    <cellStyle name="40% - Accent5 3 8 2 2 2" xfId="32277"/>
    <cellStyle name="40% - Accent5 3 8 2 2 2 2" xfId="32278"/>
    <cellStyle name="40% - Accent5 3 8 2 2 2 2 2" xfId="32279"/>
    <cellStyle name="40% - Accent5 3 8 2 2 2 2 2 2" xfId="32280"/>
    <cellStyle name="40% - Accent5 3 8 2 2 2 3" xfId="32281"/>
    <cellStyle name="40% - Accent5 3 8 2 2 2 3 2" xfId="32282"/>
    <cellStyle name="40% - Accent5 3 8 2 2 3" xfId="32283"/>
    <cellStyle name="40% - Accent5 3 8 2 2 3 2" xfId="32284"/>
    <cellStyle name="40% - Accent5 3 8 2 2 3 2 2" xfId="32285"/>
    <cellStyle name="40% - Accent5 3 8 2 2 4" xfId="32286"/>
    <cellStyle name="40% - Accent5 3 8 2 2 4 2" xfId="32287"/>
    <cellStyle name="40% - Accent5 3 8 2 3" xfId="32288"/>
    <cellStyle name="40% - Accent5 3 8 2 3 2" xfId="32289"/>
    <cellStyle name="40% - Accent5 3 8 2 3 2 2" xfId="32290"/>
    <cellStyle name="40% - Accent5 3 8 2 3 2 2 2" xfId="32291"/>
    <cellStyle name="40% - Accent5 3 8 2 3 3" xfId="32292"/>
    <cellStyle name="40% - Accent5 3 8 2 3 3 2" xfId="32293"/>
    <cellStyle name="40% - Accent5 3 8 2 4" xfId="32294"/>
    <cellStyle name="40% - Accent5 3 8 2 4 2" xfId="32295"/>
    <cellStyle name="40% - Accent5 3 8 2 4 2 2" xfId="32296"/>
    <cellStyle name="40% - Accent5 3 8 2 5" xfId="32297"/>
    <cellStyle name="40% - Accent5 3 8 2 5 2" xfId="32298"/>
    <cellStyle name="40% - Accent5 3 8 3" xfId="32299"/>
    <cellStyle name="40% - Accent5 3 8 3 2" xfId="32300"/>
    <cellStyle name="40% - Accent5 3 8 3 2 2" xfId="32301"/>
    <cellStyle name="40% - Accent5 3 8 3 2 2 2" xfId="32302"/>
    <cellStyle name="40% - Accent5 3 8 3 2 2 2 2" xfId="32303"/>
    <cellStyle name="40% - Accent5 3 8 3 2 3" xfId="32304"/>
    <cellStyle name="40% - Accent5 3 8 3 2 3 2" xfId="32305"/>
    <cellStyle name="40% - Accent5 3 8 3 3" xfId="32306"/>
    <cellStyle name="40% - Accent5 3 8 3 3 2" xfId="32307"/>
    <cellStyle name="40% - Accent5 3 8 3 3 2 2" xfId="32308"/>
    <cellStyle name="40% - Accent5 3 8 3 4" xfId="32309"/>
    <cellStyle name="40% - Accent5 3 8 3 4 2" xfId="32310"/>
    <cellStyle name="40% - Accent5 3 8 4" xfId="32311"/>
    <cellStyle name="40% - Accent5 3 8 4 2" xfId="32312"/>
    <cellStyle name="40% - Accent5 3 8 4 2 2" xfId="32313"/>
    <cellStyle name="40% - Accent5 3 8 4 2 2 2" xfId="32314"/>
    <cellStyle name="40% - Accent5 3 8 4 3" xfId="32315"/>
    <cellStyle name="40% - Accent5 3 8 4 3 2" xfId="32316"/>
    <cellStyle name="40% - Accent5 3 8 5" xfId="32317"/>
    <cellStyle name="40% - Accent5 3 8 5 2" xfId="32318"/>
    <cellStyle name="40% - Accent5 3 8 5 2 2" xfId="32319"/>
    <cellStyle name="40% - Accent5 3 8 6" xfId="32320"/>
    <cellStyle name="40% - Accent5 3 8 6 2" xfId="32321"/>
    <cellStyle name="40% - Accent5 3 8 7" xfId="32322"/>
    <cellStyle name="40% - Accent5 3 9" xfId="32323"/>
    <cellStyle name="40% - Accent5 3 9 2" xfId="32324"/>
    <cellStyle name="40% - Accent5 3 9 2 2" xfId="32325"/>
    <cellStyle name="40% - Accent5 3 9 2 2 2" xfId="32326"/>
    <cellStyle name="40% - Accent5 3 9 2 2 2 2" xfId="32327"/>
    <cellStyle name="40% - Accent5 3 9 2 2 2 2 2" xfId="32328"/>
    <cellStyle name="40% - Accent5 3 9 2 2 2 2 2 2" xfId="32329"/>
    <cellStyle name="40% - Accent5 3 9 2 2 2 3" xfId="32330"/>
    <cellStyle name="40% - Accent5 3 9 2 2 2 3 2" xfId="32331"/>
    <cellStyle name="40% - Accent5 3 9 2 2 3" xfId="32332"/>
    <cellStyle name="40% - Accent5 3 9 2 2 3 2" xfId="32333"/>
    <cellStyle name="40% - Accent5 3 9 2 2 3 2 2" xfId="32334"/>
    <cellStyle name="40% - Accent5 3 9 2 2 4" xfId="32335"/>
    <cellStyle name="40% - Accent5 3 9 2 2 4 2" xfId="32336"/>
    <cellStyle name="40% - Accent5 3 9 2 3" xfId="32337"/>
    <cellStyle name="40% - Accent5 3 9 2 3 2" xfId="32338"/>
    <cellStyle name="40% - Accent5 3 9 2 3 2 2" xfId="32339"/>
    <cellStyle name="40% - Accent5 3 9 2 3 2 2 2" xfId="32340"/>
    <cellStyle name="40% - Accent5 3 9 2 3 3" xfId="32341"/>
    <cellStyle name="40% - Accent5 3 9 2 3 3 2" xfId="32342"/>
    <cellStyle name="40% - Accent5 3 9 2 4" xfId="32343"/>
    <cellStyle name="40% - Accent5 3 9 2 4 2" xfId="32344"/>
    <cellStyle name="40% - Accent5 3 9 2 4 2 2" xfId="32345"/>
    <cellStyle name="40% - Accent5 3 9 2 5" xfId="32346"/>
    <cellStyle name="40% - Accent5 3 9 2 5 2" xfId="32347"/>
    <cellStyle name="40% - Accent5 3 9 3" xfId="32348"/>
    <cellStyle name="40% - Accent5 3 9 3 2" xfId="32349"/>
    <cellStyle name="40% - Accent5 3 9 3 2 2" xfId="32350"/>
    <cellStyle name="40% - Accent5 3 9 3 2 2 2" xfId="32351"/>
    <cellStyle name="40% - Accent5 3 9 3 2 2 2 2" xfId="32352"/>
    <cellStyle name="40% - Accent5 3 9 3 2 3" xfId="32353"/>
    <cellStyle name="40% - Accent5 3 9 3 2 3 2" xfId="32354"/>
    <cellStyle name="40% - Accent5 3 9 3 3" xfId="32355"/>
    <cellStyle name="40% - Accent5 3 9 3 3 2" xfId="32356"/>
    <cellStyle name="40% - Accent5 3 9 3 3 2 2" xfId="32357"/>
    <cellStyle name="40% - Accent5 3 9 3 4" xfId="32358"/>
    <cellStyle name="40% - Accent5 3 9 3 4 2" xfId="32359"/>
    <cellStyle name="40% - Accent5 3 9 4" xfId="32360"/>
    <cellStyle name="40% - Accent5 3 9 4 2" xfId="32361"/>
    <cellStyle name="40% - Accent5 3 9 4 2 2" xfId="32362"/>
    <cellStyle name="40% - Accent5 3 9 4 2 2 2" xfId="32363"/>
    <cellStyle name="40% - Accent5 3 9 4 3" xfId="32364"/>
    <cellStyle name="40% - Accent5 3 9 4 3 2" xfId="32365"/>
    <cellStyle name="40% - Accent5 3 9 5" xfId="32366"/>
    <cellStyle name="40% - Accent5 3 9 5 2" xfId="32367"/>
    <cellStyle name="40% - Accent5 3 9 5 2 2" xfId="32368"/>
    <cellStyle name="40% - Accent5 3 9 6" xfId="32369"/>
    <cellStyle name="40% - Accent5 3 9 6 2" xfId="32370"/>
    <cellStyle name="40% - Accent5 3 9 7" xfId="32371"/>
    <cellStyle name="40% - Accent5 3 9 8" xfId="32372"/>
    <cellStyle name="40% - Accent5 3 9 9" xfId="32373"/>
    <cellStyle name="40% - Accent5 30" xfId="32374"/>
    <cellStyle name="40% - Accent5 30 2" xfId="32375"/>
    <cellStyle name="40% - Accent5 30 2 2" xfId="32376"/>
    <cellStyle name="40% - Accent5 30 2 2 2" xfId="32377"/>
    <cellStyle name="40% - Accent5 30 3" xfId="32378"/>
    <cellStyle name="40% - Accent5 30 3 2" xfId="32379"/>
    <cellStyle name="40% - Accent5 30 4" xfId="32380"/>
    <cellStyle name="40% - Accent5 31" xfId="32381"/>
    <cellStyle name="40% - Accent5 31 2" xfId="32382"/>
    <cellStyle name="40% - Accent5 31 2 2" xfId="32383"/>
    <cellStyle name="40% - Accent5 31 2 2 2" xfId="32384"/>
    <cellStyle name="40% - Accent5 31 3" xfId="32385"/>
    <cellStyle name="40% - Accent5 31 3 2" xfId="32386"/>
    <cellStyle name="40% - Accent5 31 4" xfId="32387"/>
    <cellStyle name="40% - Accent5 32" xfId="32388"/>
    <cellStyle name="40% - Accent5 32 2" xfId="32389"/>
    <cellStyle name="40% - Accent5 32 2 2" xfId="32390"/>
    <cellStyle name="40% - Accent5 32 3" xfId="32391"/>
    <cellStyle name="40% - Accent5 33" xfId="32392"/>
    <cellStyle name="40% - Accent5 33 2" xfId="32393"/>
    <cellStyle name="40% - Accent5 33 2 2" xfId="32394"/>
    <cellStyle name="40% - Accent5 33 3" xfId="32395"/>
    <cellStyle name="40% - Accent5 34" xfId="32396"/>
    <cellStyle name="40% - Accent5 34 2" xfId="32397"/>
    <cellStyle name="40% - Accent5 34 2 2" xfId="32398"/>
    <cellStyle name="40% - Accent5 34 3" xfId="32399"/>
    <cellStyle name="40% - Accent5 35" xfId="32400"/>
    <cellStyle name="40% - Accent5 35 2" xfId="32401"/>
    <cellStyle name="40% - Accent5 35 3" xfId="32402"/>
    <cellStyle name="40% - Accent5 36" xfId="32403"/>
    <cellStyle name="40% - Accent5 36 2" xfId="32404"/>
    <cellStyle name="40% - Accent5 36 2 2" xfId="32405"/>
    <cellStyle name="40% - Accent5 36 2 3" xfId="32406"/>
    <cellStyle name="40% - Accent5 36 2 4" xfId="32407"/>
    <cellStyle name="40% - Accent5 36 3" xfId="32408"/>
    <cellStyle name="40% - Accent5 36 3 2" xfId="32409"/>
    <cellStyle name="40% - Accent5 36 3 3" xfId="32410"/>
    <cellStyle name="40% - Accent5 36 4" xfId="32411"/>
    <cellStyle name="40% - Accent5 36 4 2" xfId="32412"/>
    <cellStyle name="40% - Accent5 36 5" xfId="32413"/>
    <cellStyle name="40% - Accent5 36 6" xfId="32414"/>
    <cellStyle name="40% - Accent5 36 7" xfId="32415"/>
    <cellStyle name="40% - Accent5 37" xfId="32416"/>
    <cellStyle name="40% - Accent5 38" xfId="32417"/>
    <cellStyle name="40% - Accent5 39" xfId="32418"/>
    <cellStyle name="40% - Accent5 4" xfId="32419"/>
    <cellStyle name="40% - Accent5 4 10" xfId="32420"/>
    <cellStyle name="40% - Accent5 4 10 2" xfId="32421"/>
    <cellStyle name="40% - Accent5 4 10 2 2" xfId="32422"/>
    <cellStyle name="40% - Accent5 4 10 2 2 2" xfId="32423"/>
    <cellStyle name="40% - Accent5 4 10 2 2 2 2" xfId="32424"/>
    <cellStyle name="40% - Accent5 4 10 2 2 2 2 2" xfId="32425"/>
    <cellStyle name="40% - Accent5 4 10 2 2 2 2 2 2" xfId="32426"/>
    <cellStyle name="40% - Accent5 4 10 2 2 2 3" xfId="32427"/>
    <cellStyle name="40% - Accent5 4 10 2 2 2 3 2" xfId="32428"/>
    <cellStyle name="40% - Accent5 4 10 2 2 3" xfId="32429"/>
    <cellStyle name="40% - Accent5 4 10 2 2 3 2" xfId="32430"/>
    <cellStyle name="40% - Accent5 4 10 2 2 3 2 2" xfId="32431"/>
    <cellStyle name="40% - Accent5 4 10 2 2 4" xfId="32432"/>
    <cellStyle name="40% - Accent5 4 10 2 2 4 2" xfId="32433"/>
    <cellStyle name="40% - Accent5 4 10 2 3" xfId="32434"/>
    <cellStyle name="40% - Accent5 4 10 2 3 2" xfId="32435"/>
    <cellStyle name="40% - Accent5 4 10 2 3 2 2" xfId="32436"/>
    <cellStyle name="40% - Accent5 4 10 2 3 2 2 2" xfId="32437"/>
    <cellStyle name="40% - Accent5 4 10 2 3 3" xfId="32438"/>
    <cellStyle name="40% - Accent5 4 10 2 3 3 2" xfId="32439"/>
    <cellStyle name="40% - Accent5 4 10 2 4" xfId="32440"/>
    <cellStyle name="40% - Accent5 4 10 2 4 2" xfId="32441"/>
    <cellStyle name="40% - Accent5 4 10 2 4 2 2" xfId="32442"/>
    <cellStyle name="40% - Accent5 4 10 2 5" xfId="32443"/>
    <cellStyle name="40% - Accent5 4 10 2 5 2" xfId="32444"/>
    <cellStyle name="40% - Accent5 4 10 3" xfId="32445"/>
    <cellStyle name="40% - Accent5 4 10 3 2" xfId="32446"/>
    <cellStyle name="40% - Accent5 4 10 3 2 2" xfId="32447"/>
    <cellStyle name="40% - Accent5 4 10 3 2 2 2" xfId="32448"/>
    <cellStyle name="40% - Accent5 4 10 3 2 2 2 2" xfId="32449"/>
    <cellStyle name="40% - Accent5 4 10 3 2 3" xfId="32450"/>
    <cellStyle name="40% - Accent5 4 10 3 2 3 2" xfId="32451"/>
    <cellStyle name="40% - Accent5 4 10 3 3" xfId="32452"/>
    <cellStyle name="40% - Accent5 4 10 3 3 2" xfId="32453"/>
    <cellStyle name="40% - Accent5 4 10 3 3 2 2" xfId="32454"/>
    <cellStyle name="40% - Accent5 4 10 3 4" xfId="32455"/>
    <cellStyle name="40% - Accent5 4 10 3 4 2" xfId="32456"/>
    <cellStyle name="40% - Accent5 4 10 4" xfId="32457"/>
    <cellStyle name="40% - Accent5 4 10 4 2" xfId="32458"/>
    <cellStyle name="40% - Accent5 4 10 4 2 2" xfId="32459"/>
    <cellStyle name="40% - Accent5 4 10 4 2 2 2" xfId="32460"/>
    <cellStyle name="40% - Accent5 4 10 4 3" xfId="32461"/>
    <cellStyle name="40% - Accent5 4 10 4 3 2" xfId="32462"/>
    <cellStyle name="40% - Accent5 4 10 5" xfId="32463"/>
    <cellStyle name="40% - Accent5 4 10 5 2" xfId="32464"/>
    <cellStyle name="40% - Accent5 4 10 5 2 2" xfId="32465"/>
    <cellStyle name="40% - Accent5 4 10 6" xfId="32466"/>
    <cellStyle name="40% - Accent5 4 10 6 2" xfId="32467"/>
    <cellStyle name="40% - Accent5 4 10 7" xfId="32468"/>
    <cellStyle name="40% - Accent5 4 10 8" xfId="32469"/>
    <cellStyle name="40% - Accent5 4 10 9" xfId="32470"/>
    <cellStyle name="40% - Accent5 4 11" xfId="32471"/>
    <cellStyle name="40% - Accent5 4 11 2" xfId="32472"/>
    <cellStyle name="40% - Accent5 4 11 2 2" xfId="32473"/>
    <cellStyle name="40% - Accent5 4 11 2 2 2" xfId="32474"/>
    <cellStyle name="40% - Accent5 4 11 2 2 2 2" xfId="32475"/>
    <cellStyle name="40% - Accent5 4 11 2 2 2 2 2" xfId="32476"/>
    <cellStyle name="40% - Accent5 4 11 2 2 2 2 2 2" xfId="32477"/>
    <cellStyle name="40% - Accent5 4 11 2 2 2 3" xfId="32478"/>
    <cellStyle name="40% - Accent5 4 11 2 2 2 3 2" xfId="32479"/>
    <cellStyle name="40% - Accent5 4 11 2 2 3" xfId="32480"/>
    <cellStyle name="40% - Accent5 4 11 2 2 3 2" xfId="32481"/>
    <cellStyle name="40% - Accent5 4 11 2 2 3 2 2" xfId="32482"/>
    <cellStyle name="40% - Accent5 4 11 2 2 4" xfId="32483"/>
    <cellStyle name="40% - Accent5 4 11 2 2 4 2" xfId="32484"/>
    <cellStyle name="40% - Accent5 4 11 2 3" xfId="32485"/>
    <cellStyle name="40% - Accent5 4 11 2 3 2" xfId="32486"/>
    <cellStyle name="40% - Accent5 4 11 2 3 2 2" xfId="32487"/>
    <cellStyle name="40% - Accent5 4 11 2 3 2 2 2" xfId="32488"/>
    <cellStyle name="40% - Accent5 4 11 2 3 3" xfId="32489"/>
    <cellStyle name="40% - Accent5 4 11 2 3 3 2" xfId="32490"/>
    <cellStyle name="40% - Accent5 4 11 2 4" xfId="32491"/>
    <cellStyle name="40% - Accent5 4 11 2 4 2" xfId="32492"/>
    <cellStyle name="40% - Accent5 4 11 2 4 2 2" xfId="32493"/>
    <cellStyle name="40% - Accent5 4 11 2 5" xfId="32494"/>
    <cellStyle name="40% - Accent5 4 11 2 5 2" xfId="32495"/>
    <cellStyle name="40% - Accent5 4 11 3" xfId="32496"/>
    <cellStyle name="40% - Accent5 4 11 3 2" xfId="32497"/>
    <cellStyle name="40% - Accent5 4 11 3 2 2" xfId="32498"/>
    <cellStyle name="40% - Accent5 4 11 3 2 2 2" xfId="32499"/>
    <cellStyle name="40% - Accent5 4 11 3 2 2 2 2" xfId="32500"/>
    <cellStyle name="40% - Accent5 4 11 3 2 3" xfId="32501"/>
    <cellStyle name="40% - Accent5 4 11 3 2 3 2" xfId="32502"/>
    <cellStyle name="40% - Accent5 4 11 3 3" xfId="32503"/>
    <cellStyle name="40% - Accent5 4 11 3 3 2" xfId="32504"/>
    <cellStyle name="40% - Accent5 4 11 3 3 2 2" xfId="32505"/>
    <cellStyle name="40% - Accent5 4 11 3 4" xfId="32506"/>
    <cellStyle name="40% - Accent5 4 11 3 4 2" xfId="32507"/>
    <cellStyle name="40% - Accent5 4 11 4" xfId="32508"/>
    <cellStyle name="40% - Accent5 4 11 4 2" xfId="32509"/>
    <cellStyle name="40% - Accent5 4 11 4 2 2" xfId="32510"/>
    <cellStyle name="40% - Accent5 4 11 4 2 2 2" xfId="32511"/>
    <cellStyle name="40% - Accent5 4 11 4 3" xfId="32512"/>
    <cellStyle name="40% - Accent5 4 11 4 3 2" xfId="32513"/>
    <cellStyle name="40% - Accent5 4 11 5" xfId="32514"/>
    <cellStyle name="40% - Accent5 4 11 5 2" xfId="32515"/>
    <cellStyle name="40% - Accent5 4 11 5 2 2" xfId="32516"/>
    <cellStyle name="40% - Accent5 4 11 6" xfId="32517"/>
    <cellStyle name="40% - Accent5 4 11 6 2" xfId="32518"/>
    <cellStyle name="40% - Accent5 4 11 7" xfId="32519"/>
    <cellStyle name="40% - Accent5 4 12" xfId="32520"/>
    <cellStyle name="40% - Accent5 4 12 2" xfId="32521"/>
    <cellStyle name="40% - Accent5 4 12 2 2" xfId="32522"/>
    <cellStyle name="40% - Accent5 4 12 2 2 2" xfId="32523"/>
    <cellStyle name="40% - Accent5 4 12 2 2 2 2" xfId="32524"/>
    <cellStyle name="40% - Accent5 4 12 2 2 2 2 2" xfId="32525"/>
    <cellStyle name="40% - Accent5 4 12 2 2 2 2 2 2" xfId="32526"/>
    <cellStyle name="40% - Accent5 4 12 2 2 2 3" xfId="32527"/>
    <cellStyle name="40% - Accent5 4 12 2 2 2 3 2" xfId="32528"/>
    <cellStyle name="40% - Accent5 4 12 2 2 3" xfId="32529"/>
    <cellStyle name="40% - Accent5 4 12 2 2 3 2" xfId="32530"/>
    <cellStyle name="40% - Accent5 4 12 2 2 3 2 2" xfId="32531"/>
    <cellStyle name="40% - Accent5 4 12 2 2 4" xfId="32532"/>
    <cellStyle name="40% - Accent5 4 12 2 2 4 2" xfId="32533"/>
    <cellStyle name="40% - Accent5 4 12 2 3" xfId="32534"/>
    <cellStyle name="40% - Accent5 4 12 2 3 2" xfId="32535"/>
    <cellStyle name="40% - Accent5 4 12 2 3 2 2" xfId="32536"/>
    <cellStyle name="40% - Accent5 4 12 2 3 2 2 2" xfId="32537"/>
    <cellStyle name="40% - Accent5 4 12 2 3 3" xfId="32538"/>
    <cellStyle name="40% - Accent5 4 12 2 3 3 2" xfId="32539"/>
    <cellStyle name="40% - Accent5 4 12 2 4" xfId="32540"/>
    <cellStyle name="40% - Accent5 4 12 2 4 2" xfId="32541"/>
    <cellStyle name="40% - Accent5 4 12 2 4 2 2" xfId="32542"/>
    <cellStyle name="40% - Accent5 4 12 2 5" xfId="32543"/>
    <cellStyle name="40% - Accent5 4 12 2 5 2" xfId="32544"/>
    <cellStyle name="40% - Accent5 4 12 3" xfId="32545"/>
    <cellStyle name="40% - Accent5 4 12 3 2" xfId="32546"/>
    <cellStyle name="40% - Accent5 4 12 3 2 2" xfId="32547"/>
    <cellStyle name="40% - Accent5 4 12 3 2 2 2" xfId="32548"/>
    <cellStyle name="40% - Accent5 4 12 3 2 2 2 2" xfId="32549"/>
    <cellStyle name="40% - Accent5 4 12 3 2 3" xfId="32550"/>
    <cellStyle name="40% - Accent5 4 12 3 2 3 2" xfId="32551"/>
    <cellStyle name="40% - Accent5 4 12 3 3" xfId="32552"/>
    <cellStyle name="40% - Accent5 4 12 3 3 2" xfId="32553"/>
    <cellStyle name="40% - Accent5 4 12 3 3 2 2" xfId="32554"/>
    <cellStyle name="40% - Accent5 4 12 3 4" xfId="32555"/>
    <cellStyle name="40% - Accent5 4 12 3 4 2" xfId="32556"/>
    <cellStyle name="40% - Accent5 4 12 4" xfId="32557"/>
    <cellStyle name="40% - Accent5 4 12 4 2" xfId="32558"/>
    <cellStyle name="40% - Accent5 4 12 4 2 2" xfId="32559"/>
    <cellStyle name="40% - Accent5 4 12 4 2 2 2" xfId="32560"/>
    <cellStyle name="40% - Accent5 4 12 4 3" xfId="32561"/>
    <cellStyle name="40% - Accent5 4 12 4 3 2" xfId="32562"/>
    <cellStyle name="40% - Accent5 4 12 5" xfId="32563"/>
    <cellStyle name="40% - Accent5 4 12 5 2" xfId="32564"/>
    <cellStyle name="40% - Accent5 4 12 5 2 2" xfId="32565"/>
    <cellStyle name="40% - Accent5 4 12 6" xfId="32566"/>
    <cellStyle name="40% - Accent5 4 12 6 2" xfId="32567"/>
    <cellStyle name="40% - Accent5 4 13" xfId="32568"/>
    <cellStyle name="40% - Accent5 4 13 2" xfId="32569"/>
    <cellStyle name="40% - Accent5 4 13 2 2" xfId="32570"/>
    <cellStyle name="40% - Accent5 4 13 2 2 2" xfId="32571"/>
    <cellStyle name="40% - Accent5 4 13 2 2 2 2" xfId="32572"/>
    <cellStyle name="40% - Accent5 4 13 2 2 2 2 2" xfId="32573"/>
    <cellStyle name="40% - Accent5 4 13 2 2 2 2 2 2" xfId="32574"/>
    <cellStyle name="40% - Accent5 4 13 2 2 2 3" xfId="32575"/>
    <cellStyle name="40% - Accent5 4 13 2 2 2 3 2" xfId="32576"/>
    <cellStyle name="40% - Accent5 4 13 2 2 3" xfId="32577"/>
    <cellStyle name="40% - Accent5 4 13 2 2 3 2" xfId="32578"/>
    <cellStyle name="40% - Accent5 4 13 2 2 3 2 2" xfId="32579"/>
    <cellStyle name="40% - Accent5 4 13 2 2 4" xfId="32580"/>
    <cellStyle name="40% - Accent5 4 13 2 2 4 2" xfId="32581"/>
    <cellStyle name="40% - Accent5 4 13 2 3" xfId="32582"/>
    <cellStyle name="40% - Accent5 4 13 2 3 2" xfId="32583"/>
    <cellStyle name="40% - Accent5 4 13 2 3 2 2" xfId="32584"/>
    <cellStyle name="40% - Accent5 4 13 2 3 2 2 2" xfId="32585"/>
    <cellStyle name="40% - Accent5 4 13 2 3 3" xfId="32586"/>
    <cellStyle name="40% - Accent5 4 13 2 3 3 2" xfId="32587"/>
    <cellStyle name="40% - Accent5 4 13 2 4" xfId="32588"/>
    <cellStyle name="40% - Accent5 4 13 2 4 2" xfId="32589"/>
    <cellStyle name="40% - Accent5 4 13 2 4 2 2" xfId="32590"/>
    <cellStyle name="40% - Accent5 4 13 2 5" xfId="32591"/>
    <cellStyle name="40% - Accent5 4 13 2 5 2" xfId="32592"/>
    <cellStyle name="40% - Accent5 4 13 3" xfId="32593"/>
    <cellStyle name="40% - Accent5 4 13 3 2" xfId="32594"/>
    <cellStyle name="40% - Accent5 4 13 3 2 2" xfId="32595"/>
    <cellStyle name="40% - Accent5 4 13 3 2 2 2" xfId="32596"/>
    <cellStyle name="40% - Accent5 4 13 3 2 2 2 2" xfId="32597"/>
    <cellStyle name="40% - Accent5 4 13 3 2 3" xfId="32598"/>
    <cellStyle name="40% - Accent5 4 13 3 2 3 2" xfId="32599"/>
    <cellStyle name="40% - Accent5 4 13 3 3" xfId="32600"/>
    <cellStyle name="40% - Accent5 4 13 3 3 2" xfId="32601"/>
    <cellStyle name="40% - Accent5 4 13 3 3 2 2" xfId="32602"/>
    <cellStyle name="40% - Accent5 4 13 3 4" xfId="32603"/>
    <cellStyle name="40% - Accent5 4 13 3 4 2" xfId="32604"/>
    <cellStyle name="40% - Accent5 4 13 4" xfId="32605"/>
    <cellStyle name="40% - Accent5 4 13 4 2" xfId="32606"/>
    <cellStyle name="40% - Accent5 4 13 4 2 2" xfId="32607"/>
    <cellStyle name="40% - Accent5 4 13 4 2 2 2" xfId="32608"/>
    <cellStyle name="40% - Accent5 4 13 4 3" xfId="32609"/>
    <cellStyle name="40% - Accent5 4 13 4 3 2" xfId="32610"/>
    <cellStyle name="40% - Accent5 4 13 5" xfId="32611"/>
    <cellStyle name="40% - Accent5 4 13 5 2" xfId="32612"/>
    <cellStyle name="40% - Accent5 4 13 5 2 2" xfId="32613"/>
    <cellStyle name="40% - Accent5 4 13 6" xfId="32614"/>
    <cellStyle name="40% - Accent5 4 13 6 2" xfId="32615"/>
    <cellStyle name="40% - Accent5 4 14" xfId="32616"/>
    <cellStyle name="40% - Accent5 4 15" xfId="32617"/>
    <cellStyle name="40% - Accent5 4 16" xfId="32618"/>
    <cellStyle name="40% - Accent5 4 17" xfId="32619"/>
    <cellStyle name="40% - Accent5 4 18" xfId="32620"/>
    <cellStyle name="40% - Accent5 4 2" xfId="32621"/>
    <cellStyle name="40% - Accent5 4 2 10" xfId="32622"/>
    <cellStyle name="40% - Accent5 4 2 11" xfId="32623"/>
    <cellStyle name="40% - Accent5 4 2 2" xfId="32624"/>
    <cellStyle name="40% - Accent5 4 2 2 2" xfId="32625"/>
    <cellStyle name="40% - Accent5 4 2 2 2 2" xfId="32626"/>
    <cellStyle name="40% - Accent5 4 2 2 2 2 2" xfId="32627"/>
    <cellStyle name="40% - Accent5 4 2 2 2 2 2 2" xfId="32628"/>
    <cellStyle name="40% - Accent5 4 2 2 2 2 2 2 2" xfId="32629"/>
    <cellStyle name="40% - Accent5 4 2 2 2 2 3" xfId="32630"/>
    <cellStyle name="40% - Accent5 4 2 2 2 2 3 2" xfId="32631"/>
    <cellStyle name="40% - Accent5 4 2 2 2 3" xfId="32632"/>
    <cellStyle name="40% - Accent5 4 2 2 2 3 2" xfId="32633"/>
    <cellStyle name="40% - Accent5 4 2 2 2 3 2 2" xfId="32634"/>
    <cellStyle name="40% - Accent5 4 2 2 2 4" xfId="32635"/>
    <cellStyle name="40% - Accent5 4 2 2 2 4 2" xfId="32636"/>
    <cellStyle name="40% - Accent5 4 2 2 3" xfId="32637"/>
    <cellStyle name="40% - Accent5 4 2 2 3 2" xfId="32638"/>
    <cellStyle name="40% - Accent5 4 2 2 3 2 2" xfId="32639"/>
    <cellStyle name="40% - Accent5 4 2 2 3 2 2 2" xfId="32640"/>
    <cellStyle name="40% - Accent5 4 2 2 3 3" xfId="32641"/>
    <cellStyle name="40% - Accent5 4 2 2 3 3 2" xfId="32642"/>
    <cellStyle name="40% - Accent5 4 2 2 4" xfId="32643"/>
    <cellStyle name="40% - Accent5 4 2 2 4 2" xfId="32644"/>
    <cellStyle name="40% - Accent5 4 2 2 4 2 2" xfId="32645"/>
    <cellStyle name="40% - Accent5 4 2 2 5" xfId="32646"/>
    <cellStyle name="40% - Accent5 4 2 2 5 2" xfId="32647"/>
    <cellStyle name="40% - Accent5 4 2 2 6" xfId="32648"/>
    <cellStyle name="40% - Accent5 4 2 2 7" xfId="32649"/>
    <cellStyle name="40% - Accent5 4 2 2 8" xfId="32650"/>
    <cellStyle name="40% - Accent5 4 2 3" xfId="32651"/>
    <cellStyle name="40% - Accent5 4 2 3 2" xfId="32652"/>
    <cellStyle name="40% - Accent5 4 2 3 2 2" xfId="32653"/>
    <cellStyle name="40% - Accent5 4 2 3 2 2 2" xfId="32654"/>
    <cellStyle name="40% - Accent5 4 2 3 2 2 2 2" xfId="32655"/>
    <cellStyle name="40% - Accent5 4 2 3 2 3" xfId="32656"/>
    <cellStyle name="40% - Accent5 4 2 3 2 3 2" xfId="32657"/>
    <cellStyle name="40% - Accent5 4 2 3 3" xfId="32658"/>
    <cellStyle name="40% - Accent5 4 2 3 3 2" xfId="32659"/>
    <cellStyle name="40% - Accent5 4 2 3 3 2 2" xfId="32660"/>
    <cellStyle name="40% - Accent5 4 2 3 4" xfId="32661"/>
    <cellStyle name="40% - Accent5 4 2 3 4 2" xfId="32662"/>
    <cellStyle name="40% - Accent5 4 2 3 5" xfId="32663"/>
    <cellStyle name="40% - Accent5 4 2 3 6" xfId="32664"/>
    <cellStyle name="40% - Accent5 4 2 3 7" xfId="32665"/>
    <cellStyle name="40% - Accent5 4 2 4" xfId="32666"/>
    <cellStyle name="40% - Accent5 4 2 4 2" xfId="32667"/>
    <cellStyle name="40% - Accent5 4 2 4 2 2" xfId="32668"/>
    <cellStyle name="40% - Accent5 4 2 4 2 2 2" xfId="32669"/>
    <cellStyle name="40% - Accent5 4 2 4 3" xfId="32670"/>
    <cellStyle name="40% - Accent5 4 2 4 3 2" xfId="32671"/>
    <cellStyle name="40% - Accent5 4 2 4 4" xfId="32672"/>
    <cellStyle name="40% - Accent5 4 2 5" xfId="32673"/>
    <cellStyle name="40% - Accent5 4 2 5 2" xfId="32674"/>
    <cellStyle name="40% - Accent5 4 2 5 2 2" xfId="32675"/>
    <cellStyle name="40% - Accent5 4 2 6" xfId="32676"/>
    <cellStyle name="40% - Accent5 4 2 6 2" xfId="32677"/>
    <cellStyle name="40% - Accent5 4 2 7" xfId="32678"/>
    <cellStyle name="40% - Accent5 4 2 8" xfId="32679"/>
    <cellStyle name="40% - Accent5 4 2 9" xfId="32680"/>
    <cellStyle name="40% - Accent5 4 3" xfId="32681"/>
    <cellStyle name="40% - Accent5 4 3 10" xfId="32682"/>
    <cellStyle name="40% - Accent5 4 3 11" xfId="32683"/>
    <cellStyle name="40% - Accent5 4 3 2" xfId="32684"/>
    <cellStyle name="40% - Accent5 4 3 2 2" xfId="32685"/>
    <cellStyle name="40% - Accent5 4 3 2 2 2" xfId="32686"/>
    <cellStyle name="40% - Accent5 4 3 2 2 2 2" xfId="32687"/>
    <cellStyle name="40% - Accent5 4 3 2 2 2 2 2" xfId="32688"/>
    <cellStyle name="40% - Accent5 4 3 2 2 2 2 2 2" xfId="32689"/>
    <cellStyle name="40% - Accent5 4 3 2 2 2 3" xfId="32690"/>
    <cellStyle name="40% - Accent5 4 3 2 2 2 3 2" xfId="32691"/>
    <cellStyle name="40% - Accent5 4 3 2 2 3" xfId="32692"/>
    <cellStyle name="40% - Accent5 4 3 2 2 3 2" xfId="32693"/>
    <cellStyle name="40% - Accent5 4 3 2 2 3 2 2" xfId="32694"/>
    <cellStyle name="40% - Accent5 4 3 2 2 4" xfId="32695"/>
    <cellStyle name="40% - Accent5 4 3 2 2 4 2" xfId="32696"/>
    <cellStyle name="40% - Accent5 4 3 2 3" xfId="32697"/>
    <cellStyle name="40% - Accent5 4 3 2 3 2" xfId="32698"/>
    <cellStyle name="40% - Accent5 4 3 2 3 2 2" xfId="32699"/>
    <cellStyle name="40% - Accent5 4 3 2 3 2 2 2" xfId="32700"/>
    <cellStyle name="40% - Accent5 4 3 2 3 3" xfId="32701"/>
    <cellStyle name="40% - Accent5 4 3 2 3 3 2" xfId="32702"/>
    <cellStyle name="40% - Accent5 4 3 2 4" xfId="32703"/>
    <cellStyle name="40% - Accent5 4 3 2 4 2" xfId="32704"/>
    <cellStyle name="40% - Accent5 4 3 2 4 2 2" xfId="32705"/>
    <cellStyle name="40% - Accent5 4 3 2 5" xfId="32706"/>
    <cellStyle name="40% - Accent5 4 3 2 5 2" xfId="32707"/>
    <cellStyle name="40% - Accent5 4 3 2 6" xfId="32708"/>
    <cellStyle name="40% - Accent5 4 3 2 7" xfId="32709"/>
    <cellStyle name="40% - Accent5 4 3 2 8" xfId="32710"/>
    <cellStyle name="40% - Accent5 4 3 3" xfId="32711"/>
    <cellStyle name="40% - Accent5 4 3 3 2" xfId="32712"/>
    <cellStyle name="40% - Accent5 4 3 3 2 2" xfId="32713"/>
    <cellStyle name="40% - Accent5 4 3 3 2 2 2" xfId="32714"/>
    <cellStyle name="40% - Accent5 4 3 3 2 2 2 2" xfId="32715"/>
    <cellStyle name="40% - Accent5 4 3 3 2 3" xfId="32716"/>
    <cellStyle name="40% - Accent5 4 3 3 2 3 2" xfId="32717"/>
    <cellStyle name="40% - Accent5 4 3 3 3" xfId="32718"/>
    <cellStyle name="40% - Accent5 4 3 3 3 2" xfId="32719"/>
    <cellStyle name="40% - Accent5 4 3 3 3 2 2" xfId="32720"/>
    <cellStyle name="40% - Accent5 4 3 3 4" xfId="32721"/>
    <cellStyle name="40% - Accent5 4 3 3 4 2" xfId="32722"/>
    <cellStyle name="40% - Accent5 4 3 3 5" xfId="32723"/>
    <cellStyle name="40% - Accent5 4 3 3 6" xfId="32724"/>
    <cellStyle name="40% - Accent5 4 3 3 7" xfId="32725"/>
    <cellStyle name="40% - Accent5 4 3 4" xfId="32726"/>
    <cellStyle name="40% - Accent5 4 3 4 2" xfId="32727"/>
    <cellStyle name="40% - Accent5 4 3 4 2 2" xfId="32728"/>
    <cellStyle name="40% - Accent5 4 3 4 2 2 2" xfId="32729"/>
    <cellStyle name="40% - Accent5 4 3 4 3" xfId="32730"/>
    <cellStyle name="40% - Accent5 4 3 4 3 2" xfId="32731"/>
    <cellStyle name="40% - Accent5 4 3 4 4" xfId="32732"/>
    <cellStyle name="40% - Accent5 4 3 5" xfId="32733"/>
    <cellStyle name="40% - Accent5 4 3 5 2" xfId="32734"/>
    <cellStyle name="40% - Accent5 4 3 5 2 2" xfId="32735"/>
    <cellStyle name="40% - Accent5 4 3 6" xfId="32736"/>
    <cellStyle name="40% - Accent5 4 3 6 2" xfId="32737"/>
    <cellStyle name="40% - Accent5 4 3 7" xfId="32738"/>
    <cellStyle name="40% - Accent5 4 3 8" xfId="32739"/>
    <cellStyle name="40% - Accent5 4 3 9" xfId="32740"/>
    <cellStyle name="40% - Accent5 4 4" xfId="32741"/>
    <cellStyle name="40% - Accent5 4 4 2" xfId="32742"/>
    <cellStyle name="40% - Accent5 4 4 2 2" xfId="32743"/>
    <cellStyle name="40% - Accent5 4 4 2 2 2" xfId="32744"/>
    <cellStyle name="40% - Accent5 4 4 2 2 2 2" xfId="32745"/>
    <cellStyle name="40% - Accent5 4 4 2 2 2 2 2" xfId="32746"/>
    <cellStyle name="40% - Accent5 4 4 2 2 2 2 2 2" xfId="32747"/>
    <cellStyle name="40% - Accent5 4 4 2 2 2 3" xfId="32748"/>
    <cellStyle name="40% - Accent5 4 4 2 2 2 3 2" xfId="32749"/>
    <cellStyle name="40% - Accent5 4 4 2 2 3" xfId="32750"/>
    <cellStyle name="40% - Accent5 4 4 2 2 3 2" xfId="32751"/>
    <cellStyle name="40% - Accent5 4 4 2 2 3 2 2" xfId="32752"/>
    <cellStyle name="40% - Accent5 4 4 2 2 4" xfId="32753"/>
    <cellStyle name="40% - Accent5 4 4 2 2 4 2" xfId="32754"/>
    <cellStyle name="40% - Accent5 4 4 2 3" xfId="32755"/>
    <cellStyle name="40% - Accent5 4 4 2 3 2" xfId="32756"/>
    <cellStyle name="40% - Accent5 4 4 2 3 2 2" xfId="32757"/>
    <cellStyle name="40% - Accent5 4 4 2 3 2 2 2" xfId="32758"/>
    <cellStyle name="40% - Accent5 4 4 2 3 3" xfId="32759"/>
    <cellStyle name="40% - Accent5 4 4 2 3 3 2" xfId="32760"/>
    <cellStyle name="40% - Accent5 4 4 2 4" xfId="32761"/>
    <cellStyle name="40% - Accent5 4 4 2 4 2" xfId="32762"/>
    <cellStyle name="40% - Accent5 4 4 2 4 2 2" xfId="32763"/>
    <cellStyle name="40% - Accent5 4 4 2 5" xfId="32764"/>
    <cellStyle name="40% - Accent5 4 4 2 5 2" xfId="32765"/>
    <cellStyle name="40% - Accent5 4 4 3" xfId="32766"/>
    <cellStyle name="40% - Accent5 4 4 3 2" xfId="32767"/>
    <cellStyle name="40% - Accent5 4 4 3 2 2" xfId="32768"/>
    <cellStyle name="40% - Accent5 4 4 3 2 2 2" xfId="32769"/>
    <cellStyle name="40% - Accent5 4 4 3 2 2 2 2" xfId="32770"/>
    <cellStyle name="40% - Accent5 4 4 3 2 3" xfId="32771"/>
    <cellStyle name="40% - Accent5 4 4 3 2 3 2" xfId="32772"/>
    <cellStyle name="40% - Accent5 4 4 3 3" xfId="32773"/>
    <cellStyle name="40% - Accent5 4 4 3 3 2" xfId="32774"/>
    <cellStyle name="40% - Accent5 4 4 3 3 2 2" xfId="32775"/>
    <cellStyle name="40% - Accent5 4 4 3 4" xfId="32776"/>
    <cellStyle name="40% - Accent5 4 4 3 4 2" xfId="32777"/>
    <cellStyle name="40% - Accent5 4 4 4" xfId="32778"/>
    <cellStyle name="40% - Accent5 4 4 4 2" xfId="32779"/>
    <cellStyle name="40% - Accent5 4 4 4 2 2" xfId="32780"/>
    <cellStyle name="40% - Accent5 4 4 4 2 2 2" xfId="32781"/>
    <cellStyle name="40% - Accent5 4 4 4 3" xfId="32782"/>
    <cellStyle name="40% - Accent5 4 4 4 3 2" xfId="32783"/>
    <cellStyle name="40% - Accent5 4 4 5" xfId="32784"/>
    <cellStyle name="40% - Accent5 4 4 5 2" xfId="32785"/>
    <cellStyle name="40% - Accent5 4 4 5 2 2" xfId="32786"/>
    <cellStyle name="40% - Accent5 4 4 6" xfId="32787"/>
    <cellStyle name="40% - Accent5 4 4 6 2" xfId="32788"/>
    <cellStyle name="40% - Accent5 4 4 7" xfId="32789"/>
    <cellStyle name="40% - Accent5 4 5" xfId="32790"/>
    <cellStyle name="40% - Accent5 4 5 2" xfId="32791"/>
    <cellStyle name="40% - Accent5 4 5 2 2" xfId="32792"/>
    <cellStyle name="40% - Accent5 4 5 2 2 2" xfId="32793"/>
    <cellStyle name="40% - Accent5 4 5 2 2 2 2" xfId="32794"/>
    <cellStyle name="40% - Accent5 4 5 2 2 2 2 2" xfId="32795"/>
    <cellStyle name="40% - Accent5 4 5 2 2 2 2 2 2" xfId="32796"/>
    <cellStyle name="40% - Accent5 4 5 2 2 2 3" xfId="32797"/>
    <cellStyle name="40% - Accent5 4 5 2 2 2 3 2" xfId="32798"/>
    <cellStyle name="40% - Accent5 4 5 2 2 3" xfId="32799"/>
    <cellStyle name="40% - Accent5 4 5 2 2 3 2" xfId="32800"/>
    <cellStyle name="40% - Accent5 4 5 2 2 3 2 2" xfId="32801"/>
    <cellStyle name="40% - Accent5 4 5 2 2 4" xfId="32802"/>
    <cellStyle name="40% - Accent5 4 5 2 2 4 2" xfId="32803"/>
    <cellStyle name="40% - Accent5 4 5 2 3" xfId="32804"/>
    <cellStyle name="40% - Accent5 4 5 2 3 2" xfId="32805"/>
    <cellStyle name="40% - Accent5 4 5 2 3 2 2" xfId="32806"/>
    <cellStyle name="40% - Accent5 4 5 2 3 2 2 2" xfId="32807"/>
    <cellStyle name="40% - Accent5 4 5 2 3 3" xfId="32808"/>
    <cellStyle name="40% - Accent5 4 5 2 3 3 2" xfId="32809"/>
    <cellStyle name="40% - Accent5 4 5 2 4" xfId="32810"/>
    <cellStyle name="40% - Accent5 4 5 2 4 2" xfId="32811"/>
    <cellStyle name="40% - Accent5 4 5 2 4 2 2" xfId="32812"/>
    <cellStyle name="40% - Accent5 4 5 2 5" xfId="32813"/>
    <cellStyle name="40% - Accent5 4 5 2 5 2" xfId="32814"/>
    <cellStyle name="40% - Accent5 4 5 3" xfId="32815"/>
    <cellStyle name="40% - Accent5 4 5 3 2" xfId="32816"/>
    <cellStyle name="40% - Accent5 4 5 3 2 2" xfId="32817"/>
    <cellStyle name="40% - Accent5 4 5 3 2 2 2" xfId="32818"/>
    <cellStyle name="40% - Accent5 4 5 3 2 2 2 2" xfId="32819"/>
    <cellStyle name="40% - Accent5 4 5 3 2 3" xfId="32820"/>
    <cellStyle name="40% - Accent5 4 5 3 2 3 2" xfId="32821"/>
    <cellStyle name="40% - Accent5 4 5 3 3" xfId="32822"/>
    <cellStyle name="40% - Accent5 4 5 3 3 2" xfId="32823"/>
    <cellStyle name="40% - Accent5 4 5 3 3 2 2" xfId="32824"/>
    <cellStyle name="40% - Accent5 4 5 3 4" xfId="32825"/>
    <cellStyle name="40% - Accent5 4 5 3 4 2" xfId="32826"/>
    <cellStyle name="40% - Accent5 4 5 4" xfId="32827"/>
    <cellStyle name="40% - Accent5 4 5 4 2" xfId="32828"/>
    <cellStyle name="40% - Accent5 4 5 4 2 2" xfId="32829"/>
    <cellStyle name="40% - Accent5 4 5 4 2 2 2" xfId="32830"/>
    <cellStyle name="40% - Accent5 4 5 4 3" xfId="32831"/>
    <cellStyle name="40% - Accent5 4 5 4 3 2" xfId="32832"/>
    <cellStyle name="40% - Accent5 4 5 5" xfId="32833"/>
    <cellStyle name="40% - Accent5 4 5 5 2" xfId="32834"/>
    <cellStyle name="40% - Accent5 4 5 5 2 2" xfId="32835"/>
    <cellStyle name="40% - Accent5 4 5 6" xfId="32836"/>
    <cellStyle name="40% - Accent5 4 5 6 2" xfId="32837"/>
    <cellStyle name="40% - Accent5 4 5 7" xfId="32838"/>
    <cellStyle name="40% - Accent5 4 6" xfId="32839"/>
    <cellStyle name="40% - Accent5 4 6 2" xfId="32840"/>
    <cellStyle name="40% - Accent5 4 6 2 2" xfId="32841"/>
    <cellStyle name="40% - Accent5 4 6 2 2 2" xfId="32842"/>
    <cellStyle name="40% - Accent5 4 6 2 2 2 2" xfId="32843"/>
    <cellStyle name="40% - Accent5 4 6 2 2 2 2 2" xfId="32844"/>
    <cellStyle name="40% - Accent5 4 6 2 2 2 2 2 2" xfId="32845"/>
    <cellStyle name="40% - Accent5 4 6 2 2 2 3" xfId="32846"/>
    <cellStyle name="40% - Accent5 4 6 2 2 2 3 2" xfId="32847"/>
    <cellStyle name="40% - Accent5 4 6 2 2 3" xfId="32848"/>
    <cellStyle name="40% - Accent5 4 6 2 2 3 2" xfId="32849"/>
    <cellStyle name="40% - Accent5 4 6 2 2 3 2 2" xfId="32850"/>
    <cellStyle name="40% - Accent5 4 6 2 2 4" xfId="32851"/>
    <cellStyle name="40% - Accent5 4 6 2 2 4 2" xfId="32852"/>
    <cellStyle name="40% - Accent5 4 6 2 3" xfId="32853"/>
    <cellStyle name="40% - Accent5 4 6 2 3 2" xfId="32854"/>
    <cellStyle name="40% - Accent5 4 6 2 3 2 2" xfId="32855"/>
    <cellStyle name="40% - Accent5 4 6 2 3 2 2 2" xfId="32856"/>
    <cellStyle name="40% - Accent5 4 6 2 3 3" xfId="32857"/>
    <cellStyle name="40% - Accent5 4 6 2 3 3 2" xfId="32858"/>
    <cellStyle name="40% - Accent5 4 6 2 4" xfId="32859"/>
    <cellStyle name="40% - Accent5 4 6 2 4 2" xfId="32860"/>
    <cellStyle name="40% - Accent5 4 6 2 4 2 2" xfId="32861"/>
    <cellStyle name="40% - Accent5 4 6 2 5" xfId="32862"/>
    <cellStyle name="40% - Accent5 4 6 2 5 2" xfId="32863"/>
    <cellStyle name="40% - Accent5 4 6 3" xfId="32864"/>
    <cellStyle name="40% - Accent5 4 6 3 2" xfId="32865"/>
    <cellStyle name="40% - Accent5 4 6 3 2 2" xfId="32866"/>
    <cellStyle name="40% - Accent5 4 6 3 2 2 2" xfId="32867"/>
    <cellStyle name="40% - Accent5 4 6 3 2 2 2 2" xfId="32868"/>
    <cellStyle name="40% - Accent5 4 6 3 2 3" xfId="32869"/>
    <cellStyle name="40% - Accent5 4 6 3 2 3 2" xfId="32870"/>
    <cellStyle name="40% - Accent5 4 6 3 3" xfId="32871"/>
    <cellStyle name="40% - Accent5 4 6 3 3 2" xfId="32872"/>
    <cellStyle name="40% - Accent5 4 6 3 3 2 2" xfId="32873"/>
    <cellStyle name="40% - Accent5 4 6 3 4" xfId="32874"/>
    <cellStyle name="40% - Accent5 4 6 3 4 2" xfId="32875"/>
    <cellStyle name="40% - Accent5 4 6 4" xfId="32876"/>
    <cellStyle name="40% - Accent5 4 6 4 2" xfId="32877"/>
    <cellStyle name="40% - Accent5 4 6 4 2 2" xfId="32878"/>
    <cellStyle name="40% - Accent5 4 6 4 2 2 2" xfId="32879"/>
    <cellStyle name="40% - Accent5 4 6 4 3" xfId="32880"/>
    <cellStyle name="40% - Accent5 4 6 4 3 2" xfId="32881"/>
    <cellStyle name="40% - Accent5 4 6 5" xfId="32882"/>
    <cellStyle name="40% - Accent5 4 6 5 2" xfId="32883"/>
    <cellStyle name="40% - Accent5 4 6 5 2 2" xfId="32884"/>
    <cellStyle name="40% - Accent5 4 6 6" xfId="32885"/>
    <cellStyle name="40% - Accent5 4 6 6 2" xfId="32886"/>
    <cellStyle name="40% - Accent5 4 6 7" xfId="32887"/>
    <cellStyle name="40% - Accent5 4 7" xfId="32888"/>
    <cellStyle name="40% - Accent5 4 7 2" xfId="32889"/>
    <cellStyle name="40% - Accent5 4 7 2 2" xfId="32890"/>
    <cellStyle name="40% - Accent5 4 7 2 2 2" xfId="32891"/>
    <cellStyle name="40% - Accent5 4 7 2 2 2 2" xfId="32892"/>
    <cellStyle name="40% - Accent5 4 7 2 2 2 2 2" xfId="32893"/>
    <cellStyle name="40% - Accent5 4 7 2 2 2 2 2 2" xfId="32894"/>
    <cellStyle name="40% - Accent5 4 7 2 2 2 3" xfId="32895"/>
    <cellStyle name="40% - Accent5 4 7 2 2 2 3 2" xfId="32896"/>
    <cellStyle name="40% - Accent5 4 7 2 2 3" xfId="32897"/>
    <cellStyle name="40% - Accent5 4 7 2 2 3 2" xfId="32898"/>
    <cellStyle name="40% - Accent5 4 7 2 2 3 2 2" xfId="32899"/>
    <cellStyle name="40% - Accent5 4 7 2 2 4" xfId="32900"/>
    <cellStyle name="40% - Accent5 4 7 2 2 4 2" xfId="32901"/>
    <cellStyle name="40% - Accent5 4 7 2 3" xfId="32902"/>
    <cellStyle name="40% - Accent5 4 7 2 3 2" xfId="32903"/>
    <cellStyle name="40% - Accent5 4 7 2 3 2 2" xfId="32904"/>
    <cellStyle name="40% - Accent5 4 7 2 3 2 2 2" xfId="32905"/>
    <cellStyle name="40% - Accent5 4 7 2 3 3" xfId="32906"/>
    <cellStyle name="40% - Accent5 4 7 2 3 3 2" xfId="32907"/>
    <cellStyle name="40% - Accent5 4 7 2 4" xfId="32908"/>
    <cellStyle name="40% - Accent5 4 7 2 4 2" xfId="32909"/>
    <cellStyle name="40% - Accent5 4 7 2 4 2 2" xfId="32910"/>
    <cellStyle name="40% - Accent5 4 7 2 5" xfId="32911"/>
    <cellStyle name="40% - Accent5 4 7 2 5 2" xfId="32912"/>
    <cellStyle name="40% - Accent5 4 7 3" xfId="32913"/>
    <cellStyle name="40% - Accent5 4 7 3 2" xfId="32914"/>
    <cellStyle name="40% - Accent5 4 7 3 2 2" xfId="32915"/>
    <cellStyle name="40% - Accent5 4 7 3 2 2 2" xfId="32916"/>
    <cellStyle name="40% - Accent5 4 7 3 2 2 2 2" xfId="32917"/>
    <cellStyle name="40% - Accent5 4 7 3 2 3" xfId="32918"/>
    <cellStyle name="40% - Accent5 4 7 3 2 3 2" xfId="32919"/>
    <cellStyle name="40% - Accent5 4 7 3 3" xfId="32920"/>
    <cellStyle name="40% - Accent5 4 7 3 3 2" xfId="32921"/>
    <cellStyle name="40% - Accent5 4 7 3 3 2 2" xfId="32922"/>
    <cellStyle name="40% - Accent5 4 7 3 4" xfId="32923"/>
    <cellStyle name="40% - Accent5 4 7 3 4 2" xfId="32924"/>
    <cellStyle name="40% - Accent5 4 7 4" xfId="32925"/>
    <cellStyle name="40% - Accent5 4 7 4 2" xfId="32926"/>
    <cellStyle name="40% - Accent5 4 7 4 2 2" xfId="32927"/>
    <cellStyle name="40% - Accent5 4 7 4 2 2 2" xfId="32928"/>
    <cellStyle name="40% - Accent5 4 7 4 3" xfId="32929"/>
    <cellStyle name="40% - Accent5 4 7 4 3 2" xfId="32930"/>
    <cellStyle name="40% - Accent5 4 7 5" xfId="32931"/>
    <cellStyle name="40% - Accent5 4 7 5 2" xfId="32932"/>
    <cellStyle name="40% - Accent5 4 7 5 2 2" xfId="32933"/>
    <cellStyle name="40% - Accent5 4 7 6" xfId="32934"/>
    <cellStyle name="40% - Accent5 4 7 6 2" xfId="32935"/>
    <cellStyle name="40% - Accent5 4 7 7" xfId="32936"/>
    <cellStyle name="40% - Accent5 4 8" xfId="32937"/>
    <cellStyle name="40% - Accent5 4 8 2" xfId="32938"/>
    <cellStyle name="40% - Accent5 4 8 2 2" xfId="32939"/>
    <cellStyle name="40% - Accent5 4 8 2 2 2" xfId="32940"/>
    <cellStyle name="40% - Accent5 4 8 2 2 2 2" xfId="32941"/>
    <cellStyle name="40% - Accent5 4 8 2 2 2 2 2" xfId="32942"/>
    <cellStyle name="40% - Accent5 4 8 2 2 2 2 2 2" xfId="32943"/>
    <cellStyle name="40% - Accent5 4 8 2 2 2 3" xfId="32944"/>
    <cellStyle name="40% - Accent5 4 8 2 2 2 3 2" xfId="32945"/>
    <cellStyle name="40% - Accent5 4 8 2 2 3" xfId="32946"/>
    <cellStyle name="40% - Accent5 4 8 2 2 3 2" xfId="32947"/>
    <cellStyle name="40% - Accent5 4 8 2 2 3 2 2" xfId="32948"/>
    <cellStyle name="40% - Accent5 4 8 2 2 4" xfId="32949"/>
    <cellStyle name="40% - Accent5 4 8 2 2 4 2" xfId="32950"/>
    <cellStyle name="40% - Accent5 4 8 2 3" xfId="32951"/>
    <cellStyle name="40% - Accent5 4 8 2 3 2" xfId="32952"/>
    <cellStyle name="40% - Accent5 4 8 2 3 2 2" xfId="32953"/>
    <cellStyle name="40% - Accent5 4 8 2 3 2 2 2" xfId="32954"/>
    <cellStyle name="40% - Accent5 4 8 2 3 3" xfId="32955"/>
    <cellStyle name="40% - Accent5 4 8 2 3 3 2" xfId="32956"/>
    <cellStyle name="40% - Accent5 4 8 2 4" xfId="32957"/>
    <cellStyle name="40% - Accent5 4 8 2 4 2" xfId="32958"/>
    <cellStyle name="40% - Accent5 4 8 2 4 2 2" xfId="32959"/>
    <cellStyle name="40% - Accent5 4 8 2 5" xfId="32960"/>
    <cellStyle name="40% - Accent5 4 8 2 5 2" xfId="32961"/>
    <cellStyle name="40% - Accent5 4 8 3" xfId="32962"/>
    <cellStyle name="40% - Accent5 4 8 3 2" xfId="32963"/>
    <cellStyle name="40% - Accent5 4 8 3 2 2" xfId="32964"/>
    <cellStyle name="40% - Accent5 4 8 3 2 2 2" xfId="32965"/>
    <cellStyle name="40% - Accent5 4 8 3 2 2 2 2" xfId="32966"/>
    <cellStyle name="40% - Accent5 4 8 3 2 3" xfId="32967"/>
    <cellStyle name="40% - Accent5 4 8 3 2 3 2" xfId="32968"/>
    <cellStyle name="40% - Accent5 4 8 3 3" xfId="32969"/>
    <cellStyle name="40% - Accent5 4 8 3 3 2" xfId="32970"/>
    <cellStyle name="40% - Accent5 4 8 3 3 2 2" xfId="32971"/>
    <cellStyle name="40% - Accent5 4 8 3 4" xfId="32972"/>
    <cellStyle name="40% - Accent5 4 8 3 4 2" xfId="32973"/>
    <cellStyle name="40% - Accent5 4 8 4" xfId="32974"/>
    <cellStyle name="40% - Accent5 4 8 4 2" xfId="32975"/>
    <cellStyle name="40% - Accent5 4 8 4 2 2" xfId="32976"/>
    <cellStyle name="40% - Accent5 4 8 4 2 2 2" xfId="32977"/>
    <cellStyle name="40% - Accent5 4 8 4 3" xfId="32978"/>
    <cellStyle name="40% - Accent5 4 8 4 3 2" xfId="32979"/>
    <cellStyle name="40% - Accent5 4 8 5" xfId="32980"/>
    <cellStyle name="40% - Accent5 4 8 5 2" xfId="32981"/>
    <cellStyle name="40% - Accent5 4 8 5 2 2" xfId="32982"/>
    <cellStyle name="40% - Accent5 4 8 6" xfId="32983"/>
    <cellStyle name="40% - Accent5 4 8 6 2" xfId="32984"/>
    <cellStyle name="40% - Accent5 4 8 7" xfId="32985"/>
    <cellStyle name="40% - Accent5 4 9" xfId="32986"/>
    <cellStyle name="40% - Accent5 4 9 2" xfId="32987"/>
    <cellStyle name="40% - Accent5 4 9 2 2" xfId="32988"/>
    <cellStyle name="40% - Accent5 4 9 2 2 2" xfId="32989"/>
    <cellStyle name="40% - Accent5 4 9 2 2 2 2" xfId="32990"/>
    <cellStyle name="40% - Accent5 4 9 2 2 2 2 2" xfId="32991"/>
    <cellStyle name="40% - Accent5 4 9 2 2 2 2 2 2" xfId="32992"/>
    <cellStyle name="40% - Accent5 4 9 2 2 2 3" xfId="32993"/>
    <cellStyle name="40% - Accent5 4 9 2 2 2 3 2" xfId="32994"/>
    <cellStyle name="40% - Accent5 4 9 2 2 3" xfId="32995"/>
    <cellStyle name="40% - Accent5 4 9 2 2 3 2" xfId="32996"/>
    <cellStyle name="40% - Accent5 4 9 2 2 3 2 2" xfId="32997"/>
    <cellStyle name="40% - Accent5 4 9 2 2 4" xfId="32998"/>
    <cellStyle name="40% - Accent5 4 9 2 2 4 2" xfId="32999"/>
    <cellStyle name="40% - Accent5 4 9 2 3" xfId="33000"/>
    <cellStyle name="40% - Accent5 4 9 2 3 2" xfId="33001"/>
    <cellStyle name="40% - Accent5 4 9 2 3 2 2" xfId="33002"/>
    <cellStyle name="40% - Accent5 4 9 2 3 2 2 2" xfId="33003"/>
    <cellStyle name="40% - Accent5 4 9 2 3 3" xfId="33004"/>
    <cellStyle name="40% - Accent5 4 9 2 3 3 2" xfId="33005"/>
    <cellStyle name="40% - Accent5 4 9 2 4" xfId="33006"/>
    <cellStyle name="40% - Accent5 4 9 2 4 2" xfId="33007"/>
    <cellStyle name="40% - Accent5 4 9 2 4 2 2" xfId="33008"/>
    <cellStyle name="40% - Accent5 4 9 2 5" xfId="33009"/>
    <cellStyle name="40% - Accent5 4 9 2 5 2" xfId="33010"/>
    <cellStyle name="40% - Accent5 4 9 3" xfId="33011"/>
    <cellStyle name="40% - Accent5 4 9 3 2" xfId="33012"/>
    <cellStyle name="40% - Accent5 4 9 3 2 2" xfId="33013"/>
    <cellStyle name="40% - Accent5 4 9 3 2 2 2" xfId="33014"/>
    <cellStyle name="40% - Accent5 4 9 3 2 2 2 2" xfId="33015"/>
    <cellStyle name="40% - Accent5 4 9 3 2 3" xfId="33016"/>
    <cellStyle name="40% - Accent5 4 9 3 2 3 2" xfId="33017"/>
    <cellStyle name="40% - Accent5 4 9 3 3" xfId="33018"/>
    <cellStyle name="40% - Accent5 4 9 3 3 2" xfId="33019"/>
    <cellStyle name="40% - Accent5 4 9 3 3 2 2" xfId="33020"/>
    <cellStyle name="40% - Accent5 4 9 3 4" xfId="33021"/>
    <cellStyle name="40% - Accent5 4 9 3 4 2" xfId="33022"/>
    <cellStyle name="40% - Accent5 4 9 4" xfId="33023"/>
    <cellStyle name="40% - Accent5 4 9 4 2" xfId="33024"/>
    <cellStyle name="40% - Accent5 4 9 4 2 2" xfId="33025"/>
    <cellStyle name="40% - Accent5 4 9 4 2 2 2" xfId="33026"/>
    <cellStyle name="40% - Accent5 4 9 4 3" xfId="33027"/>
    <cellStyle name="40% - Accent5 4 9 4 3 2" xfId="33028"/>
    <cellStyle name="40% - Accent5 4 9 5" xfId="33029"/>
    <cellStyle name="40% - Accent5 4 9 5 2" xfId="33030"/>
    <cellStyle name="40% - Accent5 4 9 5 2 2" xfId="33031"/>
    <cellStyle name="40% - Accent5 4 9 6" xfId="33032"/>
    <cellStyle name="40% - Accent5 4 9 6 2" xfId="33033"/>
    <cellStyle name="40% - Accent5 4 9 7" xfId="33034"/>
    <cellStyle name="40% - Accent5 4 9 8" xfId="33035"/>
    <cellStyle name="40% - Accent5 4 9 9" xfId="33036"/>
    <cellStyle name="40% - Accent5 40" xfId="33037"/>
    <cellStyle name="40% - Accent5 40 2" xfId="33038"/>
    <cellStyle name="40% - Accent5 40 2 2" xfId="33039"/>
    <cellStyle name="40% - Accent5 40 2 3" xfId="33040"/>
    <cellStyle name="40% - Accent5 40 2 4" xfId="33041"/>
    <cellStyle name="40% - Accent5 40 3" xfId="33042"/>
    <cellStyle name="40% - Accent5 40 3 2" xfId="33043"/>
    <cellStyle name="40% - Accent5 40 3 3" xfId="33044"/>
    <cellStyle name="40% - Accent5 40 4" xfId="33045"/>
    <cellStyle name="40% - Accent5 40 4 2" xfId="33046"/>
    <cellStyle name="40% - Accent5 40 5" xfId="33047"/>
    <cellStyle name="40% - Accent5 40 6" xfId="33048"/>
    <cellStyle name="40% - Accent5 40 7" xfId="33049"/>
    <cellStyle name="40% - Accent5 41" xfId="33050"/>
    <cellStyle name="40% - Accent5 41 2" xfId="33051"/>
    <cellStyle name="40% - Accent5 41 2 2" xfId="33052"/>
    <cellStyle name="40% - Accent5 41 2 3" xfId="33053"/>
    <cellStyle name="40% - Accent5 41 2 4" xfId="33054"/>
    <cellStyle name="40% - Accent5 41 3" xfId="33055"/>
    <cellStyle name="40% - Accent5 41 3 2" xfId="33056"/>
    <cellStyle name="40% - Accent5 41 3 3" xfId="33057"/>
    <cellStyle name="40% - Accent5 41 4" xfId="33058"/>
    <cellStyle name="40% - Accent5 41 4 2" xfId="33059"/>
    <cellStyle name="40% - Accent5 41 5" xfId="33060"/>
    <cellStyle name="40% - Accent5 41 6" xfId="33061"/>
    <cellStyle name="40% - Accent5 41 7" xfId="33062"/>
    <cellStyle name="40% - Accent5 42" xfId="33063"/>
    <cellStyle name="40% - Accent5 42 2" xfId="33064"/>
    <cellStyle name="40% - Accent5 42 2 2" xfId="33065"/>
    <cellStyle name="40% - Accent5 42 2 3" xfId="33066"/>
    <cellStyle name="40% - Accent5 42 2 4" xfId="33067"/>
    <cellStyle name="40% - Accent5 42 3" xfId="33068"/>
    <cellStyle name="40% - Accent5 42 3 2" xfId="33069"/>
    <cellStyle name="40% - Accent5 42 3 3" xfId="33070"/>
    <cellStyle name="40% - Accent5 42 4" xfId="33071"/>
    <cellStyle name="40% - Accent5 42 4 2" xfId="33072"/>
    <cellStyle name="40% - Accent5 42 5" xfId="33073"/>
    <cellStyle name="40% - Accent5 42 6" xfId="33074"/>
    <cellStyle name="40% - Accent5 42 7" xfId="33075"/>
    <cellStyle name="40% - Accent5 43" xfId="33076"/>
    <cellStyle name="40% - Accent5 43 2" xfId="33077"/>
    <cellStyle name="40% - Accent5 43 2 2" xfId="33078"/>
    <cellStyle name="40% - Accent5 43 2 3" xfId="33079"/>
    <cellStyle name="40% - Accent5 43 2 4" xfId="33080"/>
    <cellStyle name="40% - Accent5 43 3" xfId="33081"/>
    <cellStyle name="40% - Accent5 43 3 2" xfId="33082"/>
    <cellStyle name="40% - Accent5 43 3 3" xfId="33083"/>
    <cellStyle name="40% - Accent5 43 4" xfId="33084"/>
    <cellStyle name="40% - Accent5 43 4 2" xfId="33085"/>
    <cellStyle name="40% - Accent5 43 5" xfId="33086"/>
    <cellStyle name="40% - Accent5 43 6" xfId="33087"/>
    <cellStyle name="40% - Accent5 43 7" xfId="33088"/>
    <cellStyle name="40% - Accent5 44" xfId="33089"/>
    <cellStyle name="40% - Accent5 44 2" xfId="33090"/>
    <cellStyle name="40% - Accent5 44 2 2" xfId="33091"/>
    <cellStyle name="40% - Accent5 44 2 3" xfId="33092"/>
    <cellStyle name="40% - Accent5 44 2 4" xfId="33093"/>
    <cellStyle name="40% - Accent5 44 3" xfId="33094"/>
    <cellStyle name="40% - Accent5 44 3 2" xfId="33095"/>
    <cellStyle name="40% - Accent5 44 3 3" xfId="33096"/>
    <cellStyle name="40% - Accent5 44 4" xfId="33097"/>
    <cellStyle name="40% - Accent5 44 4 2" xfId="33098"/>
    <cellStyle name="40% - Accent5 44 5" xfId="33099"/>
    <cellStyle name="40% - Accent5 44 6" xfId="33100"/>
    <cellStyle name="40% - Accent5 44 7" xfId="33101"/>
    <cellStyle name="40% - Accent5 45" xfId="33102"/>
    <cellStyle name="40% - Accent5 45 2" xfId="33103"/>
    <cellStyle name="40% - Accent5 45 2 2" xfId="33104"/>
    <cellStyle name="40% - Accent5 45 2 3" xfId="33105"/>
    <cellStyle name="40% - Accent5 45 2 4" xfId="33106"/>
    <cellStyle name="40% - Accent5 45 3" xfId="33107"/>
    <cellStyle name="40% - Accent5 45 3 2" xfId="33108"/>
    <cellStyle name="40% - Accent5 45 3 3" xfId="33109"/>
    <cellStyle name="40% - Accent5 45 4" xfId="33110"/>
    <cellStyle name="40% - Accent5 45 4 2" xfId="33111"/>
    <cellStyle name="40% - Accent5 45 5" xfId="33112"/>
    <cellStyle name="40% - Accent5 45 6" xfId="33113"/>
    <cellStyle name="40% - Accent5 45 7" xfId="33114"/>
    <cellStyle name="40% - Accent5 46" xfId="33115"/>
    <cellStyle name="40% - Accent5 46 2" xfId="33116"/>
    <cellStyle name="40% - Accent5 46 2 2" xfId="33117"/>
    <cellStyle name="40% - Accent5 46 2 3" xfId="33118"/>
    <cellStyle name="40% - Accent5 46 2 4" xfId="33119"/>
    <cellStyle name="40% - Accent5 46 3" xfId="33120"/>
    <cellStyle name="40% - Accent5 46 3 2" xfId="33121"/>
    <cellStyle name="40% - Accent5 46 3 3" xfId="33122"/>
    <cellStyle name="40% - Accent5 46 4" xfId="33123"/>
    <cellStyle name="40% - Accent5 46 4 2" xfId="33124"/>
    <cellStyle name="40% - Accent5 46 5" xfId="33125"/>
    <cellStyle name="40% - Accent5 46 6" xfId="33126"/>
    <cellStyle name="40% - Accent5 46 7" xfId="33127"/>
    <cellStyle name="40% - Accent5 47" xfId="33128"/>
    <cellStyle name="40% - Accent5 47 2" xfId="33129"/>
    <cellStyle name="40% - Accent5 47 2 2" xfId="33130"/>
    <cellStyle name="40% - Accent5 47 2 3" xfId="33131"/>
    <cellStyle name="40% - Accent5 47 2 4" xfId="33132"/>
    <cellStyle name="40% - Accent5 47 3" xfId="33133"/>
    <cellStyle name="40% - Accent5 47 3 2" xfId="33134"/>
    <cellStyle name="40% - Accent5 47 3 3" xfId="33135"/>
    <cellStyle name="40% - Accent5 47 4" xfId="33136"/>
    <cellStyle name="40% - Accent5 47 4 2" xfId="33137"/>
    <cellStyle name="40% - Accent5 47 5" xfId="33138"/>
    <cellStyle name="40% - Accent5 47 6" xfId="33139"/>
    <cellStyle name="40% - Accent5 47 7" xfId="33140"/>
    <cellStyle name="40% - Accent5 48" xfId="33141"/>
    <cellStyle name="40% - Accent5 48 2" xfId="33142"/>
    <cellStyle name="40% - Accent5 48 2 2" xfId="33143"/>
    <cellStyle name="40% - Accent5 48 2 3" xfId="33144"/>
    <cellStyle name="40% - Accent5 48 2 4" xfId="33145"/>
    <cellStyle name="40% - Accent5 48 3" xfId="33146"/>
    <cellStyle name="40% - Accent5 48 3 2" xfId="33147"/>
    <cellStyle name="40% - Accent5 48 3 3" xfId="33148"/>
    <cellStyle name="40% - Accent5 48 4" xfId="33149"/>
    <cellStyle name="40% - Accent5 48 4 2" xfId="33150"/>
    <cellStyle name="40% - Accent5 48 5" xfId="33151"/>
    <cellStyle name="40% - Accent5 48 6" xfId="33152"/>
    <cellStyle name="40% - Accent5 48 7" xfId="33153"/>
    <cellStyle name="40% - Accent5 49" xfId="33154"/>
    <cellStyle name="40% - Accent5 49 2" xfId="33155"/>
    <cellStyle name="40% - Accent5 49 2 2" xfId="33156"/>
    <cellStyle name="40% - Accent5 49 2 3" xfId="33157"/>
    <cellStyle name="40% - Accent5 49 2 4" xfId="33158"/>
    <cellStyle name="40% - Accent5 49 3" xfId="33159"/>
    <cellStyle name="40% - Accent5 49 3 2" xfId="33160"/>
    <cellStyle name="40% - Accent5 49 3 3" xfId="33161"/>
    <cellStyle name="40% - Accent5 49 4" xfId="33162"/>
    <cellStyle name="40% - Accent5 49 4 2" xfId="33163"/>
    <cellStyle name="40% - Accent5 49 5" xfId="33164"/>
    <cellStyle name="40% - Accent5 49 6" xfId="33165"/>
    <cellStyle name="40% - Accent5 49 7" xfId="33166"/>
    <cellStyle name="40% - Accent5 5" xfId="33167"/>
    <cellStyle name="40% - Accent5 5 2" xfId="33168"/>
    <cellStyle name="40% - Accent5 5 3" xfId="33169"/>
    <cellStyle name="40% - Accent5 5 4" xfId="33170"/>
    <cellStyle name="40% - Accent5 5 5" xfId="33171"/>
    <cellStyle name="40% - Accent5 5 6" xfId="33172"/>
    <cellStyle name="40% - Accent5 5 7" xfId="33173"/>
    <cellStyle name="40% - Accent5 5 8" xfId="33174"/>
    <cellStyle name="40% - Accent5 50" xfId="33175"/>
    <cellStyle name="40% - Accent5 50 2" xfId="33176"/>
    <cellStyle name="40% - Accent5 50 2 2" xfId="33177"/>
    <cellStyle name="40% - Accent5 50 2 3" xfId="33178"/>
    <cellStyle name="40% - Accent5 50 2 4" xfId="33179"/>
    <cellStyle name="40% - Accent5 50 3" xfId="33180"/>
    <cellStyle name="40% - Accent5 50 3 2" xfId="33181"/>
    <cellStyle name="40% - Accent5 50 3 3" xfId="33182"/>
    <cellStyle name="40% - Accent5 50 4" xfId="33183"/>
    <cellStyle name="40% - Accent5 50 4 2" xfId="33184"/>
    <cellStyle name="40% - Accent5 50 5" xfId="33185"/>
    <cellStyle name="40% - Accent5 50 6" xfId="33186"/>
    <cellStyle name="40% - Accent5 50 7" xfId="33187"/>
    <cellStyle name="40% - Accent5 51" xfId="33188"/>
    <cellStyle name="40% - Accent5 51 2" xfId="33189"/>
    <cellStyle name="40% - Accent5 51 2 2" xfId="33190"/>
    <cellStyle name="40% - Accent5 51 2 3" xfId="33191"/>
    <cellStyle name="40% - Accent5 51 2 4" xfId="33192"/>
    <cellStyle name="40% - Accent5 51 3" xfId="33193"/>
    <cellStyle name="40% - Accent5 51 3 2" xfId="33194"/>
    <cellStyle name="40% - Accent5 51 3 3" xfId="33195"/>
    <cellStyle name="40% - Accent5 51 4" xfId="33196"/>
    <cellStyle name="40% - Accent5 51 4 2" xfId="33197"/>
    <cellStyle name="40% - Accent5 51 5" xfId="33198"/>
    <cellStyle name="40% - Accent5 51 6" xfId="33199"/>
    <cellStyle name="40% - Accent5 51 7" xfId="33200"/>
    <cellStyle name="40% - Accent5 52" xfId="33201"/>
    <cellStyle name="40% - Accent5 52 2" xfId="33202"/>
    <cellStyle name="40% - Accent5 52 2 2" xfId="33203"/>
    <cellStyle name="40% - Accent5 52 2 3" xfId="33204"/>
    <cellStyle name="40% - Accent5 52 2 4" xfId="33205"/>
    <cellStyle name="40% - Accent5 52 3" xfId="33206"/>
    <cellStyle name="40% - Accent5 52 3 2" xfId="33207"/>
    <cellStyle name="40% - Accent5 52 3 3" xfId="33208"/>
    <cellStyle name="40% - Accent5 52 4" xfId="33209"/>
    <cellStyle name="40% - Accent5 52 4 2" xfId="33210"/>
    <cellStyle name="40% - Accent5 52 5" xfId="33211"/>
    <cellStyle name="40% - Accent5 52 6" xfId="33212"/>
    <cellStyle name="40% - Accent5 52 7" xfId="33213"/>
    <cellStyle name="40% - Accent5 53" xfId="33214"/>
    <cellStyle name="40% - Accent5 53 2" xfId="33215"/>
    <cellStyle name="40% - Accent5 53 2 2" xfId="33216"/>
    <cellStyle name="40% - Accent5 53 2 3" xfId="33217"/>
    <cellStyle name="40% - Accent5 53 2 4" xfId="33218"/>
    <cellStyle name="40% - Accent5 53 3" xfId="33219"/>
    <cellStyle name="40% - Accent5 53 3 2" xfId="33220"/>
    <cellStyle name="40% - Accent5 53 3 3" xfId="33221"/>
    <cellStyle name="40% - Accent5 53 4" xfId="33222"/>
    <cellStyle name="40% - Accent5 53 4 2" xfId="33223"/>
    <cellStyle name="40% - Accent5 53 5" xfId="33224"/>
    <cellStyle name="40% - Accent5 53 6" xfId="33225"/>
    <cellStyle name="40% - Accent5 53 7" xfId="33226"/>
    <cellStyle name="40% - Accent5 54" xfId="33227"/>
    <cellStyle name="40% - Accent5 54 2" xfId="33228"/>
    <cellStyle name="40% - Accent5 54 2 2" xfId="33229"/>
    <cellStyle name="40% - Accent5 54 2 3" xfId="33230"/>
    <cellStyle name="40% - Accent5 54 2 4" xfId="33231"/>
    <cellStyle name="40% - Accent5 54 3" xfId="33232"/>
    <cellStyle name="40% - Accent5 54 3 2" xfId="33233"/>
    <cellStyle name="40% - Accent5 54 3 3" xfId="33234"/>
    <cellStyle name="40% - Accent5 54 4" xfId="33235"/>
    <cellStyle name="40% - Accent5 54 4 2" xfId="33236"/>
    <cellStyle name="40% - Accent5 54 5" xfId="33237"/>
    <cellStyle name="40% - Accent5 54 6" xfId="33238"/>
    <cellStyle name="40% - Accent5 54 7" xfId="33239"/>
    <cellStyle name="40% - Accent5 55" xfId="33240"/>
    <cellStyle name="40% - Accent5 55 2" xfId="33241"/>
    <cellStyle name="40% - Accent5 55 2 2" xfId="33242"/>
    <cellStyle name="40% - Accent5 55 2 3" xfId="33243"/>
    <cellStyle name="40% - Accent5 55 2 4" xfId="33244"/>
    <cellStyle name="40% - Accent5 55 3" xfId="33245"/>
    <cellStyle name="40% - Accent5 55 3 2" xfId="33246"/>
    <cellStyle name="40% - Accent5 55 3 3" xfId="33247"/>
    <cellStyle name="40% - Accent5 55 4" xfId="33248"/>
    <cellStyle name="40% - Accent5 55 4 2" xfId="33249"/>
    <cellStyle name="40% - Accent5 55 5" xfId="33250"/>
    <cellStyle name="40% - Accent5 55 6" xfId="33251"/>
    <cellStyle name="40% - Accent5 55 7" xfId="33252"/>
    <cellStyle name="40% - Accent5 56" xfId="33253"/>
    <cellStyle name="40% - Accent5 56 2" xfId="33254"/>
    <cellStyle name="40% - Accent5 56 2 2" xfId="33255"/>
    <cellStyle name="40% - Accent5 56 2 3" xfId="33256"/>
    <cellStyle name="40% - Accent5 56 2 4" xfId="33257"/>
    <cellStyle name="40% - Accent5 56 3" xfId="33258"/>
    <cellStyle name="40% - Accent5 56 3 2" xfId="33259"/>
    <cellStyle name="40% - Accent5 56 3 3" xfId="33260"/>
    <cellStyle name="40% - Accent5 56 4" xfId="33261"/>
    <cellStyle name="40% - Accent5 56 4 2" xfId="33262"/>
    <cellStyle name="40% - Accent5 56 5" xfId="33263"/>
    <cellStyle name="40% - Accent5 56 6" xfId="33264"/>
    <cellStyle name="40% - Accent5 56 7" xfId="33265"/>
    <cellStyle name="40% - Accent5 57" xfId="33266"/>
    <cellStyle name="40% - Accent5 57 2" xfId="33267"/>
    <cellStyle name="40% - Accent5 57 2 2" xfId="33268"/>
    <cellStyle name="40% - Accent5 57 2 3" xfId="33269"/>
    <cellStyle name="40% - Accent5 57 2 4" xfId="33270"/>
    <cellStyle name="40% - Accent5 57 3" xfId="33271"/>
    <cellStyle name="40% - Accent5 57 3 2" xfId="33272"/>
    <cellStyle name="40% - Accent5 57 3 3" xfId="33273"/>
    <cellStyle name="40% - Accent5 57 4" xfId="33274"/>
    <cellStyle name="40% - Accent5 57 4 2" xfId="33275"/>
    <cellStyle name="40% - Accent5 57 5" xfId="33276"/>
    <cellStyle name="40% - Accent5 57 6" xfId="33277"/>
    <cellStyle name="40% - Accent5 57 7" xfId="33278"/>
    <cellStyle name="40% - Accent5 58" xfId="33279"/>
    <cellStyle name="40% - Accent5 59" xfId="33280"/>
    <cellStyle name="40% - Accent5 6" xfId="33281"/>
    <cellStyle name="40% - Accent5 6 10" xfId="33282"/>
    <cellStyle name="40% - Accent5 6 10 2" xfId="33283"/>
    <cellStyle name="40% - Accent5 6 10 3" xfId="33284"/>
    <cellStyle name="40% - Accent5 6 11" xfId="33285"/>
    <cellStyle name="40% - Accent5 6 11 2" xfId="33286"/>
    <cellStyle name="40% - Accent5 6 12" xfId="33287"/>
    <cellStyle name="40% - Accent5 6 13" xfId="33288"/>
    <cellStyle name="40% - Accent5 6 14" xfId="33289"/>
    <cellStyle name="40% - Accent5 6 2" xfId="33290"/>
    <cellStyle name="40% - Accent5 6 3" xfId="33291"/>
    <cellStyle name="40% - Accent5 6 4" xfId="33292"/>
    <cellStyle name="40% - Accent5 6 5" xfId="33293"/>
    <cellStyle name="40% - Accent5 6 6" xfId="33294"/>
    <cellStyle name="40% - Accent5 6 7" xfId="33295"/>
    <cellStyle name="40% - Accent5 6 8" xfId="33296"/>
    <cellStyle name="40% - Accent5 6 9" xfId="33297"/>
    <cellStyle name="40% - Accent5 6 9 2" xfId="33298"/>
    <cellStyle name="40% - Accent5 6 9 3" xfId="33299"/>
    <cellStyle name="40% - Accent5 6 9 4" xfId="33300"/>
    <cellStyle name="40% - Accent5 60" xfId="33301"/>
    <cellStyle name="40% - Accent5 61" xfId="33302"/>
    <cellStyle name="40% - Accent5 62" xfId="33303"/>
    <cellStyle name="40% - Accent5 63" xfId="33304"/>
    <cellStyle name="40% - Accent5 64" xfId="33305"/>
    <cellStyle name="40% - Accent5 65" xfId="33306"/>
    <cellStyle name="40% - Accent5 65 2" xfId="33307"/>
    <cellStyle name="40% - Accent5 65 2 2" xfId="33308"/>
    <cellStyle name="40% - Accent5 65 2 3" xfId="33309"/>
    <cellStyle name="40% - Accent5 65 2 4" xfId="33310"/>
    <cellStyle name="40% - Accent5 65 3" xfId="33311"/>
    <cellStyle name="40% - Accent5 65 3 2" xfId="33312"/>
    <cellStyle name="40% - Accent5 65 3 3" xfId="33313"/>
    <cellStyle name="40% - Accent5 65 4" xfId="33314"/>
    <cellStyle name="40% - Accent5 65 4 2" xfId="33315"/>
    <cellStyle name="40% - Accent5 65 5" xfId="33316"/>
    <cellStyle name="40% - Accent5 65 6" xfId="33317"/>
    <cellStyle name="40% - Accent5 65 7" xfId="33318"/>
    <cellStyle name="40% - Accent5 66" xfId="33319"/>
    <cellStyle name="40% - Accent5 66 2" xfId="33320"/>
    <cellStyle name="40% - Accent5 66 2 2" xfId="33321"/>
    <cellStyle name="40% - Accent5 66 2 3" xfId="33322"/>
    <cellStyle name="40% - Accent5 66 2 4" xfId="33323"/>
    <cellStyle name="40% - Accent5 66 3" xfId="33324"/>
    <cellStyle name="40% - Accent5 66 3 2" xfId="33325"/>
    <cellStyle name="40% - Accent5 66 3 3" xfId="33326"/>
    <cellStyle name="40% - Accent5 66 4" xfId="33327"/>
    <cellStyle name="40% - Accent5 66 4 2" xfId="33328"/>
    <cellStyle name="40% - Accent5 66 5" xfId="33329"/>
    <cellStyle name="40% - Accent5 66 6" xfId="33330"/>
    <cellStyle name="40% - Accent5 66 7" xfId="33331"/>
    <cellStyle name="40% - Accent5 67" xfId="33332"/>
    <cellStyle name="40% - Accent5 67 2" xfId="33333"/>
    <cellStyle name="40% - Accent5 67 2 2" xfId="33334"/>
    <cellStyle name="40% - Accent5 67 2 3" xfId="33335"/>
    <cellStyle name="40% - Accent5 67 2 4" xfId="33336"/>
    <cellStyle name="40% - Accent5 67 3" xfId="33337"/>
    <cellStyle name="40% - Accent5 67 3 2" xfId="33338"/>
    <cellStyle name="40% - Accent5 67 3 3" xfId="33339"/>
    <cellStyle name="40% - Accent5 67 4" xfId="33340"/>
    <cellStyle name="40% - Accent5 67 4 2" xfId="33341"/>
    <cellStyle name="40% - Accent5 67 5" xfId="33342"/>
    <cellStyle name="40% - Accent5 67 6" xfId="33343"/>
    <cellStyle name="40% - Accent5 67 7" xfId="33344"/>
    <cellStyle name="40% - Accent5 68" xfId="33345"/>
    <cellStyle name="40% - Accent5 68 2" xfId="33346"/>
    <cellStyle name="40% - Accent5 68 2 2" xfId="33347"/>
    <cellStyle name="40% - Accent5 68 2 3" xfId="33348"/>
    <cellStyle name="40% - Accent5 68 2 4" xfId="33349"/>
    <cellStyle name="40% - Accent5 68 3" xfId="33350"/>
    <cellStyle name="40% - Accent5 68 3 2" xfId="33351"/>
    <cellStyle name="40% - Accent5 68 3 3" xfId="33352"/>
    <cellStyle name="40% - Accent5 68 4" xfId="33353"/>
    <cellStyle name="40% - Accent5 68 4 2" xfId="33354"/>
    <cellStyle name="40% - Accent5 68 5" xfId="33355"/>
    <cellStyle name="40% - Accent5 68 6" xfId="33356"/>
    <cellStyle name="40% - Accent5 68 7" xfId="33357"/>
    <cellStyle name="40% - Accent5 69" xfId="33358"/>
    <cellStyle name="40% - Accent5 69 2" xfId="33359"/>
    <cellStyle name="40% - Accent5 69 2 2" xfId="33360"/>
    <cellStyle name="40% - Accent5 69 2 3" xfId="33361"/>
    <cellStyle name="40% - Accent5 69 2 4" xfId="33362"/>
    <cellStyle name="40% - Accent5 69 3" xfId="33363"/>
    <cellStyle name="40% - Accent5 69 3 2" xfId="33364"/>
    <cellStyle name="40% - Accent5 69 3 3" xfId="33365"/>
    <cellStyle name="40% - Accent5 69 4" xfId="33366"/>
    <cellStyle name="40% - Accent5 69 4 2" xfId="33367"/>
    <cellStyle name="40% - Accent5 69 5" xfId="33368"/>
    <cellStyle name="40% - Accent5 69 6" xfId="33369"/>
    <cellStyle name="40% - Accent5 69 7" xfId="33370"/>
    <cellStyle name="40% - Accent5 7" xfId="33371"/>
    <cellStyle name="40% - Accent5 7 2" xfId="33372"/>
    <cellStyle name="40% - Accent5 7 3" xfId="33373"/>
    <cellStyle name="40% - Accent5 7 3 2" xfId="33374"/>
    <cellStyle name="40% - Accent5 7 3 3" xfId="33375"/>
    <cellStyle name="40% - Accent5 7 3 4" xfId="33376"/>
    <cellStyle name="40% - Accent5 7 4" xfId="33377"/>
    <cellStyle name="40% - Accent5 7 4 2" xfId="33378"/>
    <cellStyle name="40% - Accent5 7 4 3" xfId="33379"/>
    <cellStyle name="40% - Accent5 7 5" xfId="33380"/>
    <cellStyle name="40% - Accent5 7 5 2" xfId="33381"/>
    <cellStyle name="40% - Accent5 7 6" xfId="33382"/>
    <cellStyle name="40% - Accent5 7 7" xfId="33383"/>
    <cellStyle name="40% - Accent5 7 8" xfId="33384"/>
    <cellStyle name="40% - Accent5 70" xfId="33385"/>
    <cellStyle name="40% - Accent5 70 2" xfId="33386"/>
    <cellStyle name="40% - Accent5 70 2 2" xfId="33387"/>
    <cellStyle name="40% - Accent5 70 2 3" xfId="33388"/>
    <cellStyle name="40% - Accent5 70 2 4" xfId="33389"/>
    <cellStyle name="40% - Accent5 70 3" xfId="33390"/>
    <cellStyle name="40% - Accent5 70 3 2" xfId="33391"/>
    <cellStyle name="40% - Accent5 70 3 3" xfId="33392"/>
    <cellStyle name="40% - Accent5 70 4" xfId="33393"/>
    <cellStyle name="40% - Accent5 70 4 2" xfId="33394"/>
    <cellStyle name="40% - Accent5 70 5" xfId="33395"/>
    <cellStyle name="40% - Accent5 70 6" xfId="33396"/>
    <cellStyle name="40% - Accent5 70 7" xfId="33397"/>
    <cellStyle name="40% - Accent5 71" xfId="33398"/>
    <cellStyle name="40% - Accent5 71 2" xfId="33399"/>
    <cellStyle name="40% - Accent5 71 2 2" xfId="33400"/>
    <cellStyle name="40% - Accent5 71 2 3" xfId="33401"/>
    <cellStyle name="40% - Accent5 71 2 4" xfId="33402"/>
    <cellStyle name="40% - Accent5 71 3" xfId="33403"/>
    <cellStyle name="40% - Accent5 71 3 2" xfId="33404"/>
    <cellStyle name="40% - Accent5 71 3 3" xfId="33405"/>
    <cellStyle name="40% - Accent5 71 4" xfId="33406"/>
    <cellStyle name="40% - Accent5 71 4 2" xfId="33407"/>
    <cellStyle name="40% - Accent5 71 5" xfId="33408"/>
    <cellStyle name="40% - Accent5 71 6" xfId="33409"/>
    <cellStyle name="40% - Accent5 71 7" xfId="33410"/>
    <cellStyle name="40% - Accent5 72" xfId="33411"/>
    <cellStyle name="40% - Accent5 72 2" xfId="33412"/>
    <cellStyle name="40% - Accent5 72 2 2" xfId="33413"/>
    <cellStyle name="40% - Accent5 72 2 3" xfId="33414"/>
    <cellStyle name="40% - Accent5 72 2 4" xfId="33415"/>
    <cellStyle name="40% - Accent5 72 3" xfId="33416"/>
    <cellStyle name="40% - Accent5 72 3 2" xfId="33417"/>
    <cellStyle name="40% - Accent5 72 3 3" xfId="33418"/>
    <cellStyle name="40% - Accent5 72 4" xfId="33419"/>
    <cellStyle name="40% - Accent5 72 4 2" xfId="33420"/>
    <cellStyle name="40% - Accent5 72 5" xfId="33421"/>
    <cellStyle name="40% - Accent5 72 6" xfId="33422"/>
    <cellStyle name="40% - Accent5 72 7" xfId="33423"/>
    <cellStyle name="40% - Accent5 73" xfId="33424"/>
    <cellStyle name="40% - Accent5 73 2" xfId="33425"/>
    <cellStyle name="40% - Accent5 73 2 2" xfId="33426"/>
    <cellStyle name="40% - Accent5 73 2 3" xfId="33427"/>
    <cellStyle name="40% - Accent5 73 2 4" xfId="33428"/>
    <cellStyle name="40% - Accent5 73 3" xfId="33429"/>
    <cellStyle name="40% - Accent5 73 3 2" xfId="33430"/>
    <cellStyle name="40% - Accent5 73 3 3" xfId="33431"/>
    <cellStyle name="40% - Accent5 73 4" xfId="33432"/>
    <cellStyle name="40% - Accent5 73 4 2" xfId="33433"/>
    <cellStyle name="40% - Accent5 73 5" xfId="33434"/>
    <cellStyle name="40% - Accent5 73 6" xfId="33435"/>
    <cellStyle name="40% - Accent5 73 7" xfId="33436"/>
    <cellStyle name="40% - Accent5 74" xfId="33437"/>
    <cellStyle name="40% - Accent5 74 2" xfId="33438"/>
    <cellStyle name="40% - Accent5 74 2 2" xfId="33439"/>
    <cellStyle name="40% - Accent5 74 2 3" xfId="33440"/>
    <cellStyle name="40% - Accent5 74 2 4" xfId="33441"/>
    <cellStyle name="40% - Accent5 74 3" xfId="33442"/>
    <cellStyle name="40% - Accent5 74 3 2" xfId="33443"/>
    <cellStyle name="40% - Accent5 74 3 3" xfId="33444"/>
    <cellStyle name="40% - Accent5 74 4" xfId="33445"/>
    <cellStyle name="40% - Accent5 74 4 2" xfId="33446"/>
    <cellStyle name="40% - Accent5 74 5" xfId="33447"/>
    <cellStyle name="40% - Accent5 74 6" xfId="33448"/>
    <cellStyle name="40% - Accent5 74 7" xfId="33449"/>
    <cellStyle name="40% - Accent5 75" xfId="33450"/>
    <cellStyle name="40% - Accent5 75 2" xfId="33451"/>
    <cellStyle name="40% - Accent5 75 2 2" xfId="33452"/>
    <cellStyle name="40% - Accent5 75 2 3" xfId="33453"/>
    <cellStyle name="40% - Accent5 75 2 4" xfId="33454"/>
    <cellStyle name="40% - Accent5 75 3" xfId="33455"/>
    <cellStyle name="40% - Accent5 75 3 2" xfId="33456"/>
    <cellStyle name="40% - Accent5 75 3 3" xfId="33457"/>
    <cellStyle name="40% - Accent5 75 4" xfId="33458"/>
    <cellStyle name="40% - Accent5 75 4 2" xfId="33459"/>
    <cellStyle name="40% - Accent5 75 5" xfId="33460"/>
    <cellStyle name="40% - Accent5 75 6" xfId="33461"/>
    <cellStyle name="40% - Accent5 75 7" xfId="33462"/>
    <cellStyle name="40% - Accent5 76" xfId="33463"/>
    <cellStyle name="40% - Accent5 76 2" xfId="33464"/>
    <cellStyle name="40% - Accent5 76 2 2" xfId="33465"/>
    <cellStyle name="40% - Accent5 76 2 3" xfId="33466"/>
    <cellStyle name="40% - Accent5 76 2 4" xfId="33467"/>
    <cellStyle name="40% - Accent5 76 3" xfId="33468"/>
    <cellStyle name="40% - Accent5 76 3 2" xfId="33469"/>
    <cellStyle name="40% - Accent5 76 3 3" xfId="33470"/>
    <cellStyle name="40% - Accent5 76 4" xfId="33471"/>
    <cellStyle name="40% - Accent5 76 4 2" xfId="33472"/>
    <cellStyle name="40% - Accent5 76 5" xfId="33473"/>
    <cellStyle name="40% - Accent5 76 6" xfId="33474"/>
    <cellStyle name="40% - Accent5 76 7" xfId="33475"/>
    <cellStyle name="40% - Accent5 77" xfId="33476"/>
    <cellStyle name="40% - Accent5 77 2" xfId="33477"/>
    <cellStyle name="40% - Accent5 77 2 2" xfId="33478"/>
    <cellStyle name="40% - Accent5 77 2 3" xfId="33479"/>
    <cellStyle name="40% - Accent5 77 2 4" xfId="33480"/>
    <cellStyle name="40% - Accent5 77 3" xfId="33481"/>
    <cellStyle name="40% - Accent5 77 3 2" xfId="33482"/>
    <cellStyle name="40% - Accent5 77 3 3" xfId="33483"/>
    <cellStyle name="40% - Accent5 77 4" xfId="33484"/>
    <cellStyle name="40% - Accent5 77 4 2" xfId="33485"/>
    <cellStyle name="40% - Accent5 77 5" xfId="33486"/>
    <cellStyle name="40% - Accent5 77 6" xfId="33487"/>
    <cellStyle name="40% - Accent5 77 7" xfId="33488"/>
    <cellStyle name="40% - Accent5 78" xfId="33489"/>
    <cellStyle name="40% - Accent5 79" xfId="33490"/>
    <cellStyle name="40% - Accent5 79 2" xfId="33491"/>
    <cellStyle name="40% - Accent5 79 3" xfId="33492"/>
    <cellStyle name="40% - Accent5 8" xfId="33493"/>
    <cellStyle name="40% - Accent5 8 10" xfId="33494"/>
    <cellStyle name="40% - Accent5 8 11" xfId="33495"/>
    <cellStyle name="40% - Accent5 8 2" xfId="33496"/>
    <cellStyle name="40% - Accent5 8 2 10" xfId="33497"/>
    <cellStyle name="40% - Accent5 8 2 2" xfId="33498"/>
    <cellStyle name="40% - Accent5 8 2 2 2" xfId="33499"/>
    <cellStyle name="40% - Accent5 8 2 2 2 2" xfId="33500"/>
    <cellStyle name="40% - Accent5 8 2 2 2 3" xfId="33501"/>
    <cellStyle name="40% - Accent5 8 2 2 2 4" xfId="33502"/>
    <cellStyle name="40% - Accent5 8 2 2 3" xfId="33503"/>
    <cellStyle name="40% - Accent5 8 2 2 3 2" xfId="33504"/>
    <cellStyle name="40% - Accent5 8 2 2 3 3" xfId="33505"/>
    <cellStyle name="40% - Accent5 8 2 2 4" xfId="33506"/>
    <cellStyle name="40% - Accent5 8 2 2 4 2" xfId="33507"/>
    <cellStyle name="40% - Accent5 8 2 2 5" xfId="33508"/>
    <cellStyle name="40% - Accent5 8 2 2 6" xfId="33509"/>
    <cellStyle name="40% - Accent5 8 2 2 7" xfId="33510"/>
    <cellStyle name="40% - Accent5 8 2 3" xfId="33511"/>
    <cellStyle name="40% - Accent5 8 2 3 2" xfId="33512"/>
    <cellStyle name="40% - Accent5 8 2 3 2 2" xfId="33513"/>
    <cellStyle name="40% - Accent5 8 2 3 2 3" xfId="33514"/>
    <cellStyle name="40% - Accent5 8 2 3 2 4" xfId="33515"/>
    <cellStyle name="40% - Accent5 8 2 3 3" xfId="33516"/>
    <cellStyle name="40% - Accent5 8 2 3 3 2" xfId="33517"/>
    <cellStyle name="40% - Accent5 8 2 3 3 3" xfId="33518"/>
    <cellStyle name="40% - Accent5 8 2 3 4" xfId="33519"/>
    <cellStyle name="40% - Accent5 8 2 3 4 2" xfId="33520"/>
    <cellStyle name="40% - Accent5 8 2 3 5" xfId="33521"/>
    <cellStyle name="40% - Accent5 8 2 3 6" xfId="33522"/>
    <cellStyle name="40% - Accent5 8 2 3 7" xfId="33523"/>
    <cellStyle name="40% - Accent5 8 2 4" xfId="33524"/>
    <cellStyle name="40% - Accent5 8 2 4 2" xfId="33525"/>
    <cellStyle name="40% - Accent5 8 2 4 2 2" xfId="33526"/>
    <cellStyle name="40% - Accent5 8 2 4 2 3" xfId="33527"/>
    <cellStyle name="40% - Accent5 8 2 4 2 4" xfId="33528"/>
    <cellStyle name="40% - Accent5 8 2 4 3" xfId="33529"/>
    <cellStyle name="40% - Accent5 8 2 4 3 2" xfId="33530"/>
    <cellStyle name="40% - Accent5 8 2 4 3 3" xfId="33531"/>
    <cellStyle name="40% - Accent5 8 2 4 4" xfId="33532"/>
    <cellStyle name="40% - Accent5 8 2 4 4 2" xfId="33533"/>
    <cellStyle name="40% - Accent5 8 2 4 5" xfId="33534"/>
    <cellStyle name="40% - Accent5 8 2 4 6" xfId="33535"/>
    <cellStyle name="40% - Accent5 8 2 4 7" xfId="33536"/>
    <cellStyle name="40% - Accent5 8 2 5" xfId="33537"/>
    <cellStyle name="40% - Accent5 8 2 5 2" xfId="33538"/>
    <cellStyle name="40% - Accent5 8 2 5 3" xfId="33539"/>
    <cellStyle name="40% - Accent5 8 2 5 4" xfId="33540"/>
    <cellStyle name="40% - Accent5 8 2 6" xfId="33541"/>
    <cellStyle name="40% - Accent5 8 2 6 2" xfId="33542"/>
    <cellStyle name="40% - Accent5 8 2 6 3" xfId="33543"/>
    <cellStyle name="40% - Accent5 8 2 7" xfId="33544"/>
    <cellStyle name="40% - Accent5 8 2 7 2" xfId="33545"/>
    <cellStyle name="40% - Accent5 8 2 8" xfId="33546"/>
    <cellStyle name="40% - Accent5 8 2 9" xfId="33547"/>
    <cellStyle name="40% - Accent5 8 3" xfId="33548"/>
    <cellStyle name="40% - Accent5 8 3 2" xfId="33549"/>
    <cellStyle name="40% - Accent5 8 3 2 2" xfId="33550"/>
    <cellStyle name="40% - Accent5 8 3 2 3" xfId="33551"/>
    <cellStyle name="40% - Accent5 8 3 2 4" xfId="33552"/>
    <cellStyle name="40% - Accent5 8 3 3" xfId="33553"/>
    <cellStyle name="40% - Accent5 8 3 3 2" xfId="33554"/>
    <cellStyle name="40% - Accent5 8 3 3 3" xfId="33555"/>
    <cellStyle name="40% - Accent5 8 3 4" xfId="33556"/>
    <cellStyle name="40% - Accent5 8 3 4 2" xfId="33557"/>
    <cellStyle name="40% - Accent5 8 3 5" xfId="33558"/>
    <cellStyle name="40% - Accent5 8 3 6" xfId="33559"/>
    <cellStyle name="40% - Accent5 8 3 7" xfId="33560"/>
    <cellStyle name="40% - Accent5 8 4" xfId="33561"/>
    <cellStyle name="40% - Accent5 8 4 2" xfId="33562"/>
    <cellStyle name="40% - Accent5 8 4 2 2" xfId="33563"/>
    <cellStyle name="40% - Accent5 8 4 2 3" xfId="33564"/>
    <cellStyle name="40% - Accent5 8 4 2 4" xfId="33565"/>
    <cellStyle name="40% - Accent5 8 4 3" xfId="33566"/>
    <cellStyle name="40% - Accent5 8 4 3 2" xfId="33567"/>
    <cellStyle name="40% - Accent5 8 4 3 3" xfId="33568"/>
    <cellStyle name="40% - Accent5 8 4 4" xfId="33569"/>
    <cellStyle name="40% - Accent5 8 4 4 2" xfId="33570"/>
    <cellStyle name="40% - Accent5 8 4 5" xfId="33571"/>
    <cellStyle name="40% - Accent5 8 4 6" xfId="33572"/>
    <cellStyle name="40% - Accent5 8 4 7" xfId="33573"/>
    <cellStyle name="40% - Accent5 8 5" xfId="33574"/>
    <cellStyle name="40% - Accent5 8 5 2" xfId="33575"/>
    <cellStyle name="40% - Accent5 8 5 2 2" xfId="33576"/>
    <cellStyle name="40% - Accent5 8 5 2 3" xfId="33577"/>
    <cellStyle name="40% - Accent5 8 5 2 4" xfId="33578"/>
    <cellStyle name="40% - Accent5 8 5 3" xfId="33579"/>
    <cellStyle name="40% - Accent5 8 5 3 2" xfId="33580"/>
    <cellStyle name="40% - Accent5 8 5 3 3" xfId="33581"/>
    <cellStyle name="40% - Accent5 8 5 4" xfId="33582"/>
    <cellStyle name="40% - Accent5 8 5 4 2" xfId="33583"/>
    <cellStyle name="40% - Accent5 8 5 5" xfId="33584"/>
    <cellStyle name="40% - Accent5 8 5 6" xfId="33585"/>
    <cellStyle name="40% - Accent5 8 5 7" xfId="33586"/>
    <cellStyle name="40% - Accent5 8 6" xfId="33587"/>
    <cellStyle name="40% - Accent5 8 6 2" xfId="33588"/>
    <cellStyle name="40% - Accent5 8 6 3" xfId="33589"/>
    <cellStyle name="40% - Accent5 8 6 4" xfId="33590"/>
    <cellStyle name="40% - Accent5 8 7" xfId="33591"/>
    <cellStyle name="40% - Accent5 8 7 2" xfId="33592"/>
    <cellStyle name="40% - Accent5 8 7 3" xfId="33593"/>
    <cellStyle name="40% - Accent5 8 8" xfId="33594"/>
    <cellStyle name="40% - Accent5 8 8 2" xfId="33595"/>
    <cellStyle name="40% - Accent5 8 9" xfId="33596"/>
    <cellStyle name="40% - Accent5 80" xfId="33597"/>
    <cellStyle name="40% - Accent5 80 2" xfId="33598"/>
    <cellStyle name="40% - Accent5 80 3" xfId="33599"/>
    <cellStyle name="40% - Accent5 81" xfId="33600"/>
    <cellStyle name="40% - Accent5 81 2" xfId="33601"/>
    <cellStyle name="40% - Accent5 82" xfId="33602"/>
    <cellStyle name="40% - Accent5 83" xfId="33603"/>
    <cellStyle name="40% - Accent5 9" xfId="33604"/>
    <cellStyle name="40% - Accent5 9 10" xfId="33605"/>
    <cellStyle name="40% - Accent5 9 2" xfId="33606"/>
    <cellStyle name="40% - Accent5 9 2 2" xfId="33607"/>
    <cellStyle name="40% - Accent5 9 2 2 2" xfId="33608"/>
    <cellStyle name="40% - Accent5 9 2 2 3" xfId="33609"/>
    <cellStyle name="40% - Accent5 9 2 2 4" xfId="33610"/>
    <cellStyle name="40% - Accent5 9 2 3" xfId="33611"/>
    <cellStyle name="40% - Accent5 9 2 3 2" xfId="33612"/>
    <cellStyle name="40% - Accent5 9 2 3 3" xfId="33613"/>
    <cellStyle name="40% - Accent5 9 2 4" xfId="33614"/>
    <cellStyle name="40% - Accent5 9 2 4 2" xfId="33615"/>
    <cellStyle name="40% - Accent5 9 2 5" xfId="33616"/>
    <cellStyle name="40% - Accent5 9 2 6" xfId="33617"/>
    <cellStyle name="40% - Accent5 9 2 7" xfId="33618"/>
    <cellStyle name="40% - Accent5 9 3" xfId="33619"/>
    <cellStyle name="40% - Accent5 9 3 2" xfId="33620"/>
    <cellStyle name="40% - Accent5 9 3 2 2" xfId="33621"/>
    <cellStyle name="40% - Accent5 9 3 2 3" xfId="33622"/>
    <cellStyle name="40% - Accent5 9 3 2 4" xfId="33623"/>
    <cellStyle name="40% - Accent5 9 3 3" xfId="33624"/>
    <cellStyle name="40% - Accent5 9 3 3 2" xfId="33625"/>
    <cellStyle name="40% - Accent5 9 3 3 3" xfId="33626"/>
    <cellStyle name="40% - Accent5 9 3 4" xfId="33627"/>
    <cellStyle name="40% - Accent5 9 3 4 2" xfId="33628"/>
    <cellStyle name="40% - Accent5 9 3 5" xfId="33629"/>
    <cellStyle name="40% - Accent5 9 3 6" xfId="33630"/>
    <cellStyle name="40% - Accent5 9 3 7" xfId="33631"/>
    <cellStyle name="40% - Accent5 9 4" xfId="33632"/>
    <cellStyle name="40% - Accent5 9 4 2" xfId="33633"/>
    <cellStyle name="40% - Accent5 9 4 2 2" xfId="33634"/>
    <cellStyle name="40% - Accent5 9 4 2 3" xfId="33635"/>
    <cellStyle name="40% - Accent5 9 4 2 4" xfId="33636"/>
    <cellStyle name="40% - Accent5 9 4 3" xfId="33637"/>
    <cellStyle name="40% - Accent5 9 4 3 2" xfId="33638"/>
    <cellStyle name="40% - Accent5 9 4 3 3" xfId="33639"/>
    <cellStyle name="40% - Accent5 9 4 4" xfId="33640"/>
    <cellStyle name="40% - Accent5 9 4 4 2" xfId="33641"/>
    <cellStyle name="40% - Accent5 9 4 5" xfId="33642"/>
    <cellStyle name="40% - Accent5 9 4 6" xfId="33643"/>
    <cellStyle name="40% - Accent5 9 4 7" xfId="33644"/>
    <cellStyle name="40% - Accent5 9 5" xfId="33645"/>
    <cellStyle name="40% - Accent5 9 5 2" xfId="33646"/>
    <cellStyle name="40% - Accent5 9 5 3" xfId="33647"/>
    <cellStyle name="40% - Accent5 9 6" xfId="33648"/>
    <cellStyle name="40% - Accent5 9 6 2" xfId="33649"/>
    <cellStyle name="40% - Accent5 9 6 3" xfId="33650"/>
    <cellStyle name="40% - Accent5 9 7" xfId="33651"/>
    <cellStyle name="40% - Accent5 9 7 2" xfId="33652"/>
    <cellStyle name="40% - Accent5 9 8" xfId="33653"/>
    <cellStyle name="40% - Accent5 9 9" xfId="33654"/>
    <cellStyle name="40% - Accent6 10" xfId="33655"/>
    <cellStyle name="40% - Accent6 10 2" xfId="33656"/>
    <cellStyle name="40% - Accent6 10 2 2" xfId="33657"/>
    <cellStyle name="40% - Accent6 10 2 3" xfId="33658"/>
    <cellStyle name="40% - Accent6 10 2 4" xfId="33659"/>
    <cellStyle name="40% - Accent6 10 3" xfId="33660"/>
    <cellStyle name="40% - Accent6 10 3 2" xfId="33661"/>
    <cellStyle name="40% - Accent6 10 3 3" xfId="33662"/>
    <cellStyle name="40% - Accent6 10 4" xfId="33663"/>
    <cellStyle name="40% - Accent6 10 4 2" xfId="33664"/>
    <cellStyle name="40% - Accent6 10 5" xfId="33665"/>
    <cellStyle name="40% - Accent6 10 6" xfId="33666"/>
    <cellStyle name="40% - Accent6 10 7" xfId="33667"/>
    <cellStyle name="40% - Accent6 11" xfId="33668"/>
    <cellStyle name="40% - Accent6 11 2" xfId="33669"/>
    <cellStyle name="40% - Accent6 11 2 2" xfId="33670"/>
    <cellStyle name="40% - Accent6 11 2 3" xfId="33671"/>
    <cellStyle name="40% - Accent6 11 2 4" xfId="33672"/>
    <cellStyle name="40% - Accent6 11 3" xfId="33673"/>
    <cellStyle name="40% - Accent6 11 3 2" xfId="33674"/>
    <cellStyle name="40% - Accent6 11 3 3" xfId="33675"/>
    <cellStyle name="40% - Accent6 11 4" xfId="33676"/>
    <cellStyle name="40% - Accent6 11 4 2" xfId="33677"/>
    <cellStyle name="40% - Accent6 11 5" xfId="33678"/>
    <cellStyle name="40% - Accent6 11 6" xfId="33679"/>
    <cellStyle name="40% - Accent6 11 7" xfId="33680"/>
    <cellStyle name="40% - Accent6 12" xfId="33681"/>
    <cellStyle name="40% - Accent6 12 2" xfId="33682"/>
    <cellStyle name="40% - Accent6 12 2 2" xfId="33683"/>
    <cellStyle name="40% - Accent6 12 2 3" xfId="33684"/>
    <cellStyle name="40% - Accent6 12 2 4" xfId="33685"/>
    <cellStyle name="40% - Accent6 12 3" xfId="33686"/>
    <cellStyle name="40% - Accent6 12 3 2" xfId="33687"/>
    <cellStyle name="40% - Accent6 12 3 3" xfId="33688"/>
    <cellStyle name="40% - Accent6 12 4" xfId="33689"/>
    <cellStyle name="40% - Accent6 12 4 2" xfId="33690"/>
    <cellStyle name="40% - Accent6 12 5" xfId="33691"/>
    <cellStyle name="40% - Accent6 12 6" xfId="33692"/>
    <cellStyle name="40% - Accent6 12 7" xfId="33693"/>
    <cellStyle name="40% - Accent6 13" xfId="33694"/>
    <cellStyle name="40% - Accent6 13 2" xfId="33695"/>
    <cellStyle name="40% - Accent6 13 3" xfId="33696"/>
    <cellStyle name="40% - Accent6 13 4" xfId="33697"/>
    <cellStyle name="40% - Accent6 14" xfId="33698"/>
    <cellStyle name="40% - Accent6 14 10" xfId="33699"/>
    <cellStyle name="40% - Accent6 14 2" xfId="33700"/>
    <cellStyle name="40% - Accent6 14 2 2" xfId="33701"/>
    <cellStyle name="40% - Accent6 14 2 2 2" xfId="33702"/>
    <cellStyle name="40% - Accent6 14 2 2 2 2" xfId="33703"/>
    <cellStyle name="40% - Accent6 14 2 2 2 2 2" xfId="33704"/>
    <cellStyle name="40% - Accent6 14 2 2 2 2 2 2" xfId="33705"/>
    <cellStyle name="40% - Accent6 14 2 2 2 3" xfId="33706"/>
    <cellStyle name="40% - Accent6 14 2 2 2 3 2" xfId="33707"/>
    <cellStyle name="40% - Accent6 14 2 2 3" xfId="33708"/>
    <cellStyle name="40% - Accent6 14 2 2 3 2" xfId="33709"/>
    <cellStyle name="40% - Accent6 14 2 2 3 2 2" xfId="33710"/>
    <cellStyle name="40% - Accent6 14 2 2 4" xfId="33711"/>
    <cellStyle name="40% - Accent6 14 2 2 4 2" xfId="33712"/>
    <cellStyle name="40% - Accent6 14 2 2 5" xfId="33713"/>
    <cellStyle name="40% - Accent6 14 2 2 6" xfId="33714"/>
    <cellStyle name="40% - Accent6 14 2 2 7" xfId="33715"/>
    <cellStyle name="40% - Accent6 14 2 3" xfId="33716"/>
    <cellStyle name="40% - Accent6 14 2 3 2" xfId="33717"/>
    <cellStyle name="40% - Accent6 14 2 3 2 2" xfId="33718"/>
    <cellStyle name="40% - Accent6 14 2 3 2 2 2" xfId="33719"/>
    <cellStyle name="40% - Accent6 14 2 3 3" xfId="33720"/>
    <cellStyle name="40% - Accent6 14 2 3 3 2" xfId="33721"/>
    <cellStyle name="40% - Accent6 14 2 3 4" xfId="33722"/>
    <cellStyle name="40% - Accent6 14 2 3 5" xfId="33723"/>
    <cellStyle name="40% - Accent6 14 2 3 6" xfId="33724"/>
    <cellStyle name="40% - Accent6 14 2 4" xfId="33725"/>
    <cellStyle name="40% - Accent6 14 2 4 2" xfId="33726"/>
    <cellStyle name="40% - Accent6 14 2 4 2 2" xfId="33727"/>
    <cellStyle name="40% - Accent6 14 2 4 3" xfId="33728"/>
    <cellStyle name="40% - Accent6 14 2 5" xfId="33729"/>
    <cellStyle name="40% - Accent6 14 2 5 2" xfId="33730"/>
    <cellStyle name="40% - Accent6 14 2 6" xfId="33731"/>
    <cellStyle name="40% - Accent6 14 2 7" xfId="33732"/>
    <cellStyle name="40% - Accent6 14 2 8" xfId="33733"/>
    <cellStyle name="40% - Accent6 14 2 9" xfId="33734"/>
    <cellStyle name="40% - Accent6 14 3" xfId="33735"/>
    <cellStyle name="40% - Accent6 14 3 2" xfId="33736"/>
    <cellStyle name="40% - Accent6 14 3 2 2" xfId="33737"/>
    <cellStyle name="40% - Accent6 14 3 2 2 2" xfId="33738"/>
    <cellStyle name="40% - Accent6 14 3 2 2 2 2" xfId="33739"/>
    <cellStyle name="40% - Accent6 14 3 2 3" xfId="33740"/>
    <cellStyle name="40% - Accent6 14 3 2 3 2" xfId="33741"/>
    <cellStyle name="40% - Accent6 14 3 2 4" xfId="33742"/>
    <cellStyle name="40% - Accent6 14 3 2 5" xfId="33743"/>
    <cellStyle name="40% - Accent6 14 3 2 6" xfId="33744"/>
    <cellStyle name="40% - Accent6 14 3 3" xfId="33745"/>
    <cellStyle name="40% - Accent6 14 3 3 2" xfId="33746"/>
    <cellStyle name="40% - Accent6 14 3 3 2 2" xfId="33747"/>
    <cellStyle name="40% - Accent6 14 3 3 3" xfId="33748"/>
    <cellStyle name="40% - Accent6 14 3 3 4" xfId="33749"/>
    <cellStyle name="40% - Accent6 14 3 3 5" xfId="33750"/>
    <cellStyle name="40% - Accent6 14 3 4" xfId="33751"/>
    <cellStyle name="40% - Accent6 14 3 4 2" xfId="33752"/>
    <cellStyle name="40% - Accent6 14 3 4 3" xfId="33753"/>
    <cellStyle name="40% - Accent6 14 3 5" xfId="33754"/>
    <cellStyle name="40% - Accent6 14 3 6" xfId="33755"/>
    <cellStyle name="40% - Accent6 14 3 7" xfId="33756"/>
    <cellStyle name="40% - Accent6 14 3 8" xfId="33757"/>
    <cellStyle name="40% - Accent6 14 4" xfId="33758"/>
    <cellStyle name="40% - Accent6 14 4 2" xfId="33759"/>
    <cellStyle name="40% - Accent6 14 4 2 2" xfId="33760"/>
    <cellStyle name="40% - Accent6 14 4 2 2 2" xfId="33761"/>
    <cellStyle name="40% - Accent6 14 4 3" xfId="33762"/>
    <cellStyle name="40% - Accent6 14 4 3 2" xfId="33763"/>
    <cellStyle name="40% - Accent6 14 4 4" xfId="33764"/>
    <cellStyle name="40% - Accent6 14 4 5" xfId="33765"/>
    <cellStyle name="40% - Accent6 14 4 6" xfId="33766"/>
    <cellStyle name="40% - Accent6 14 5" xfId="33767"/>
    <cellStyle name="40% - Accent6 14 5 2" xfId="33768"/>
    <cellStyle name="40% - Accent6 14 5 2 2" xfId="33769"/>
    <cellStyle name="40% - Accent6 14 5 3" xfId="33770"/>
    <cellStyle name="40% - Accent6 14 5 4" xfId="33771"/>
    <cellStyle name="40% - Accent6 14 5 5" xfId="33772"/>
    <cellStyle name="40% - Accent6 14 6" xfId="33773"/>
    <cellStyle name="40% - Accent6 14 6 2" xfId="33774"/>
    <cellStyle name="40% - Accent6 14 6 3" xfId="33775"/>
    <cellStyle name="40% - Accent6 14 7" xfId="33776"/>
    <cellStyle name="40% - Accent6 14 8" xfId="33777"/>
    <cellStyle name="40% - Accent6 14 9" xfId="33778"/>
    <cellStyle name="40% - Accent6 15" xfId="33779"/>
    <cellStyle name="40% - Accent6 15 2" xfId="33780"/>
    <cellStyle name="40% - Accent6 15 2 2" xfId="33781"/>
    <cellStyle name="40% - Accent6 15 2 3" xfId="33782"/>
    <cellStyle name="40% - Accent6 15 2 4" xfId="33783"/>
    <cellStyle name="40% - Accent6 15 3" xfId="33784"/>
    <cellStyle name="40% - Accent6 15 3 2" xfId="33785"/>
    <cellStyle name="40% - Accent6 15 3 3" xfId="33786"/>
    <cellStyle name="40% - Accent6 15 4" xfId="33787"/>
    <cellStyle name="40% - Accent6 15 4 2" xfId="33788"/>
    <cellStyle name="40% - Accent6 15 5" xfId="33789"/>
    <cellStyle name="40% - Accent6 15 6" xfId="33790"/>
    <cellStyle name="40% - Accent6 15 7" xfId="33791"/>
    <cellStyle name="40% - Accent6 16" xfId="33792"/>
    <cellStyle name="40% - Accent6 16 2" xfId="33793"/>
    <cellStyle name="40% - Accent6 16 2 2" xfId="33794"/>
    <cellStyle name="40% - Accent6 16 2 3" xfId="33795"/>
    <cellStyle name="40% - Accent6 16 2 4" xfId="33796"/>
    <cellStyle name="40% - Accent6 16 3" xfId="33797"/>
    <cellStyle name="40% - Accent6 16 3 2" xfId="33798"/>
    <cellStyle name="40% - Accent6 16 3 3" xfId="33799"/>
    <cellStyle name="40% - Accent6 16 4" xfId="33800"/>
    <cellStyle name="40% - Accent6 16 4 2" xfId="33801"/>
    <cellStyle name="40% - Accent6 16 5" xfId="33802"/>
    <cellStyle name="40% - Accent6 16 6" xfId="33803"/>
    <cellStyle name="40% - Accent6 16 7" xfId="33804"/>
    <cellStyle name="40% - Accent6 17" xfId="33805"/>
    <cellStyle name="40% - Accent6 17 2" xfId="33806"/>
    <cellStyle name="40% - Accent6 17 2 2" xfId="33807"/>
    <cellStyle name="40% - Accent6 17 2 3" xfId="33808"/>
    <cellStyle name="40% - Accent6 17 2 4" xfId="33809"/>
    <cellStyle name="40% - Accent6 17 3" xfId="33810"/>
    <cellStyle name="40% - Accent6 17 3 2" xfId="33811"/>
    <cellStyle name="40% - Accent6 17 3 3" xfId="33812"/>
    <cellStyle name="40% - Accent6 17 4" xfId="33813"/>
    <cellStyle name="40% - Accent6 17 4 2" xfId="33814"/>
    <cellStyle name="40% - Accent6 17 5" xfId="33815"/>
    <cellStyle name="40% - Accent6 17 6" xfId="33816"/>
    <cellStyle name="40% - Accent6 17 7" xfId="33817"/>
    <cellStyle name="40% - Accent6 18" xfId="33818"/>
    <cellStyle name="40% - Accent6 18 2" xfId="33819"/>
    <cellStyle name="40% - Accent6 18 2 2" xfId="33820"/>
    <cellStyle name="40% - Accent6 18 2 3" xfId="33821"/>
    <cellStyle name="40% - Accent6 18 2 4" xfId="33822"/>
    <cellStyle name="40% - Accent6 18 3" xfId="33823"/>
    <cellStyle name="40% - Accent6 18 3 2" xfId="33824"/>
    <cellStyle name="40% - Accent6 18 3 3" xfId="33825"/>
    <cellStyle name="40% - Accent6 18 4" xfId="33826"/>
    <cellStyle name="40% - Accent6 18 4 2" xfId="33827"/>
    <cellStyle name="40% - Accent6 18 5" xfId="33828"/>
    <cellStyle name="40% - Accent6 18 6" xfId="33829"/>
    <cellStyle name="40% - Accent6 18 7" xfId="33830"/>
    <cellStyle name="40% - Accent6 19" xfId="33831"/>
    <cellStyle name="40% - Accent6 19 2" xfId="33832"/>
    <cellStyle name="40% - Accent6 19 2 2" xfId="33833"/>
    <cellStyle name="40% - Accent6 19 2 3" xfId="33834"/>
    <cellStyle name="40% - Accent6 19 2 4" xfId="33835"/>
    <cellStyle name="40% - Accent6 19 3" xfId="33836"/>
    <cellStyle name="40% - Accent6 19 3 2" xfId="33837"/>
    <cellStyle name="40% - Accent6 19 3 3" xfId="33838"/>
    <cellStyle name="40% - Accent6 19 4" xfId="33839"/>
    <cellStyle name="40% - Accent6 19 4 2" xfId="33840"/>
    <cellStyle name="40% - Accent6 19 5" xfId="33841"/>
    <cellStyle name="40% - Accent6 19 6" xfId="33842"/>
    <cellStyle name="40% - Accent6 19 7" xfId="33843"/>
    <cellStyle name="40% - Accent6 2" xfId="33844"/>
    <cellStyle name="40% - Accent6 2 10" xfId="33845"/>
    <cellStyle name="40% - Accent6 2 10 2" xfId="33846"/>
    <cellStyle name="40% - Accent6 2 10 2 2" xfId="33847"/>
    <cellStyle name="40% - Accent6 2 10 2 2 2" xfId="33848"/>
    <cellStyle name="40% - Accent6 2 10 2 2 2 2" xfId="33849"/>
    <cellStyle name="40% - Accent6 2 10 2 2 2 2 2" xfId="33850"/>
    <cellStyle name="40% - Accent6 2 10 2 2 2 2 2 2" xfId="33851"/>
    <cellStyle name="40% - Accent6 2 10 2 2 2 3" xfId="33852"/>
    <cellStyle name="40% - Accent6 2 10 2 2 2 3 2" xfId="33853"/>
    <cellStyle name="40% - Accent6 2 10 2 2 3" xfId="33854"/>
    <cellStyle name="40% - Accent6 2 10 2 2 3 2" xfId="33855"/>
    <cellStyle name="40% - Accent6 2 10 2 2 3 2 2" xfId="33856"/>
    <cellStyle name="40% - Accent6 2 10 2 2 4" xfId="33857"/>
    <cellStyle name="40% - Accent6 2 10 2 2 4 2" xfId="33858"/>
    <cellStyle name="40% - Accent6 2 10 2 3" xfId="33859"/>
    <cellStyle name="40% - Accent6 2 10 2 3 2" xfId="33860"/>
    <cellStyle name="40% - Accent6 2 10 2 3 2 2" xfId="33861"/>
    <cellStyle name="40% - Accent6 2 10 2 3 2 2 2" xfId="33862"/>
    <cellStyle name="40% - Accent6 2 10 2 3 3" xfId="33863"/>
    <cellStyle name="40% - Accent6 2 10 2 3 3 2" xfId="33864"/>
    <cellStyle name="40% - Accent6 2 10 2 4" xfId="33865"/>
    <cellStyle name="40% - Accent6 2 10 2 4 2" xfId="33866"/>
    <cellStyle name="40% - Accent6 2 10 2 4 2 2" xfId="33867"/>
    <cellStyle name="40% - Accent6 2 10 2 5" xfId="33868"/>
    <cellStyle name="40% - Accent6 2 10 2 5 2" xfId="33869"/>
    <cellStyle name="40% - Accent6 2 10 3" xfId="33870"/>
    <cellStyle name="40% - Accent6 2 10 3 2" xfId="33871"/>
    <cellStyle name="40% - Accent6 2 10 3 2 2" xfId="33872"/>
    <cellStyle name="40% - Accent6 2 10 3 2 2 2" xfId="33873"/>
    <cellStyle name="40% - Accent6 2 10 3 2 2 2 2" xfId="33874"/>
    <cellStyle name="40% - Accent6 2 10 3 2 3" xfId="33875"/>
    <cellStyle name="40% - Accent6 2 10 3 2 3 2" xfId="33876"/>
    <cellStyle name="40% - Accent6 2 10 3 3" xfId="33877"/>
    <cellStyle name="40% - Accent6 2 10 3 3 2" xfId="33878"/>
    <cellStyle name="40% - Accent6 2 10 3 3 2 2" xfId="33879"/>
    <cellStyle name="40% - Accent6 2 10 3 4" xfId="33880"/>
    <cellStyle name="40% - Accent6 2 10 3 4 2" xfId="33881"/>
    <cellStyle name="40% - Accent6 2 10 4" xfId="33882"/>
    <cellStyle name="40% - Accent6 2 10 4 2" xfId="33883"/>
    <cellStyle name="40% - Accent6 2 10 4 2 2" xfId="33884"/>
    <cellStyle name="40% - Accent6 2 10 4 2 2 2" xfId="33885"/>
    <cellStyle name="40% - Accent6 2 10 4 3" xfId="33886"/>
    <cellStyle name="40% - Accent6 2 10 4 3 2" xfId="33887"/>
    <cellStyle name="40% - Accent6 2 10 5" xfId="33888"/>
    <cellStyle name="40% - Accent6 2 10 5 2" xfId="33889"/>
    <cellStyle name="40% - Accent6 2 10 5 2 2" xfId="33890"/>
    <cellStyle name="40% - Accent6 2 10 6" xfId="33891"/>
    <cellStyle name="40% - Accent6 2 10 6 2" xfId="33892"/>
    <cellStyle name="40% - Accent6 2 11" xfId="33893"/>
    <cellStyle name="40% - Accent6 2 11 2" xfId="33894"/>
    <cellStyle name="40% - Accent6 2 11 2 2" xfId="33895"/>
    <cellStyle name="40% - Accent6 2 11 2 2 2" xfId="33896"/>
    <cellStyle name="40% - Accent6 2 11 2 2 2 2" xfId="33897"/>
    <cellStyle name="40% - Accent6 2 11 2 2 2 2 2" xfId="33898"/>
    <cellStyle name="40% - Accent6 2 11 2 2 2 2 2 2" xfId="33899"/>
    <cellStyle name="40% - Accent6 2 11 2 2 2 3" xfId="33900"/>
    <cellStyle name="40% - Accent6 2 11 2 2 2 3 2" xfId="33901"/>
    <cellStyle name="40% - Accent6 2 11 2 2 3" xfId="33902"/>
    <cellStyle name="40% - Accent6 2 11 2 2 3 2" xfId="33903"/>
    <cellStyle name="40% - Accent6 2 11 2 2 3 2 2" xfId="33904"/>
    <cellStyle name="40% - Accent6 2 11 2 2 4" xfId="33905"/>
    <cellStyle name="40% - Accent6 2 11 2 2 4 2" xfId="33906"/>
    <cellStyle name="40% - Accent6 2 11 2 3" xfId="33907"/>
    <cellStyle name="40% - Accent6 2 11 2 3 2" xfId="33908"/>
    <cellStyle name="40% - Accent6 2 11 2 3 2 2" xfId="33909"/>
    <cellStyle name="40% - Accent6 2 11 2 3 2 2 2" xfId="33910"/>
    <cellStyle name="40% - Accent6 2 11 2 3 3" xfId="33911"/>
    <cellStyle name="40% - Accent6 2 11 2 3 3 2" xfId="33912"/>
    <cellStyle name="40% - Accent6 2 11 2 4" xfId="33913"/>
    <cellStyle name="40% - Accent6 2 11 2 4 2" xfId="33914"/>
    <cellStyle name="40% - Accent6 2 11 2 4 2 2" xfId="33915"/>
    <cellStyle name="40% - Accent6 2 11 2 5" xfId="33916"/>
    <cellStyle name="40% - Accent6 2 11 2 5 2" xfId="33917"/>
    <cellStyle name="40% - Accent6 2 11 3" xfId="33918"/>
    <cellStyle name="40% - Accent6 2 11 3 2" xfId="33919"/>
    <cellStyle name="40% - Accent6 2 11 3 2 2" xfId="33920"/>
    <cellStyle name="40% - Accent6 2 11 3 2 2 2" xfId="33921"/>
    <cellStyle name="40% - Accent6 2 11 3 2 2 2 2" xfId="33922"/>
    <cellStyle name="40% - Accent6 2 11 3 2 3" xfId="33923"/>
    <cellStyle name="40% - Accent6 2 11 3 2 3 2" xfId="33924"/>
    <cellStyle name="40% - Accent6 2 11 3 3" xfId="33925"/>
    <cellStyle name="40% - Accent6 2 11 3 3 2" xfId="33926"/>
    <cellStyle name="40% - Accent6 2 11 3 3 2 2" xfId="33927"/>
    <cellStyle name="40% - Accent6 2 11 3 4" xfId="33928"/>
    <cellStyle name="40% - Accent6 2 11 3 4 2" xfId="33929"/>
    <cellStyle name="40% - Accent6 2 11 4" xfId="33930"/>
    <cellStyle name="40% - Accent6 2 11 4 2" xfId="33931"/>
    <cellStyle name="40% - Accent6 2 11 4 2 2" xfId="33932"/>
    <cellStyle name="40% - Accent6 2 11 4 2 2 2" xfId="33933"/>
    <cellStyle name="40% - Accent6 2 11 4 3" xfId="33934"/>
    <cellStyle name="40% - Accent6 2 11 4 3 2" xfId="33935"/>
    <cellStyle name="40% - Accent6 2 11 5" xfId="33936"/>
    <cellStyle name="40% - Accent6 2 11 5 2" xfId="33937"/>
    <cellStyle name="40% - Accent6 2 11 5 2 2" xfId="33938"/>
    <cellStyle name="40% - Accent6 2 11 6" xfId="33939"/>
    <cellStyle name="40% - Accent6 2 11 6 2" xfId="33940"/>
    <cellStyle name="40% - Accent6 2 12" xfId="33941"/>
    <cellStyle name="40% - Accent6 2 12 2" xfId="33942"/>
    <cellStyle name="40% - Accent6 2 12 2 2" xfId="33943"/>
    <cellStyle name="40% - Accent6 2 12 2 2 2" xfId="33944"/>
    <cellStyle name="40% - Accent6 2 12 2 2 2 2" xfId="33945"/>
    <cellStyle name="40% - Accent6 2 12 2 2 2 2 2" xfId="33946"/>
    <cellStyle name="40% - Accent6 2 12 2 2 2 2 2 2" xfId="33947"/>
    <cellStyle name="40% - Accent6 2 12 2 2 2 3" xfId="33948"/>
    <cellStyle name="40% - Accent6 2 12 2 2 2 3 2" xfId="33949"/>
    <cellStyle name="40% - Accent6 2 12 2 2 3" xfId="33950"/>
    <cellStyle name="40% - Accent6 2 12 2 2 3 2" xfId="33951"/>
    <cellStyle name="40% - Accent6 2 12 2 2 3 2 2" xfId="33952"/>
    <cellStyle name="40% - Accent6 2 12 2 2 4" xfId="33953"/>
    <cellStyle name="40% - Accent6 2 12 2 2 4 2" xfId="33954"/>
    <cellStyle name="40% - Accent6 2 12 2 3" xfId="33955"/>
    <cellStyle name="40% - Accent6 2 12 2 3 2" xfId="33956"/>
    <cellStyle name="40% - Accent6 2 12 2 3 2 2" xfId="33957"/>
    <cellStyle name="40% - Accent6 2 12 2 3 2 2 2" xfId="33958"/>
    <cellStyle name="40% - Accent6 2 12 2 3 3" xfId="33959"/>
    <cellStyle name="40% - Accent6 2 12 2 3 3 2" xfId="33960"/>
    <cellStyle name="40% - Accent6 2 12 2 4" xfId="33961"/>
    <cellStyle name="40% - Accent6 2 12 2 4 2" xfId="33962"/>
    <cellStyle name="40% - Accent6 2 12 2 4 2 2" xfId="33963"/>
    <cellStyle name="40% - Accent6 2 12 2 5" xfId="33964"/>
    <cellStyle name="40% - Accent6 2 12 2 5 2" xfId="33965"/>
    <cellStyle name="40% - Accent6 2 12 3" xfId="33966"/>
    <cellStyle name="40% - Accent6 2 12 3 2" xfId="33967"/>
    <cellStyle name="40% - Accent6 2 12 3 2 2" xfId="33968"/>
    <cellStyle name="40% - Accent6 2 12 3 2 2 2" xfId="33969"/>
    <cellStyle name="40% - Accent6 2 12 3 2 2 2 2" xfId="33970"/>
    <cellStyle name="40% - Accent6 2 12 3 2 3" xfId="33971"/>
    <cellStyle name="40% - Accent6 2 12 3 2 3 2" xfId="33972"/>
    <cellStyle name="40% - Accent6 2 12 3 3" xfId="33973"/>
    <cellStyle name="40% - Accent6 2 12 3 3 2" xfId="33974"/>
    <cellStyle name="40% - Accent6 2 12 3 3 2 2" xfId="33975"/>
    <cellStyle name="40% - Accent6 2 12 3 4" xfId="33976"/>
    <cellStyle name="40% - Accent6 2 12 3 4 2" xfId="33977"/>
    <cellStyle name="40% - Accent6 2 12 4" xfId="33978"/>
    <cellStyle name="40% - Accent6 2 12 4 2" xfId="33979"/>
    <cellStyle name="40% - Accent6 2 12 4 2 2" xfId="33980"/>
    <cellStyle name="40% - Accent6 2 12 4 2 2 2" xfId="33981"/>
    <cellStyle name="40% - Accent6 2 12 4 3" xfId="33982"/>
    <cellStyle name="40% - Accent6 2 12 4 3 2" xfId="33983"/>
    <cellStyle name="40% - Accent6 2 12 5" xfId="33984"/>
    <cellStyle name="40% - Accent6 2 12 5 2" xfId="33985"/>
    <cellStyle name="40% - Accent6 2 12 5 2 2" xfId="33986"/>
    <cellStyle name="40% - Accent6 2 12 6" xfId="33987"/>
    <cellStyle name="40% - Accent6 2 12 6 2" xfId="33988"/>
    <cellStyle name="40% - Accent6 2 13" xfId="33989"/>
    <cellStyle name="40% - Accent6 2 13 2" xfId="33990"/>
    <cellStyle name="40% - Accent6 2 13 2 2" xfId="33991"/>
    <cellStyle name="40% - Accent6 2 13 2 2 2" xfId="33992"/>
    <cellStyle name="40% - Accent6 2 13 2 2 2 2" xfId="33993"/>
    <cellStyle name="40% - Accent6 2 13 2 2 2 2 2" xfId="33994"/>
    <cellStyle name="40% - Accent6 2 13 2 2 2 2 2 2" xfId="33995"/>
    <cellStyle name="40% - Accent6 2 13 2 2 2 3" xfId="33996"/>
    <cellStyle name="40% - Accent6 2 13 2 2 2 3 2" xfId="33997"/>
    <cellStyle name="40% - Accent6 2 13 2 2 3" xfId="33998"/>
    <cellStyle name="40% - Accent6 2 13 2 2 3 2" xfId="33999"/>
    <cellStyle name="40% - Accent6 2 13 2 2 3 2 2" xfId="34000"/>
    <cellStyle name="40% - Accent6 2 13 2 2 4" xfId="34001"/>
    <cellStyle name="40% - Accent6 2 13 2 2 4 2" xfId="34002"/>
    <cellStyle name="40% - Accent6 2 13 2 3" xfId="34003"/>
    <cellStyle name="40% - Accent6 2 13 2 3 2" xfId="34004"/>
    <cellStyle name="40% - Accent6 2 13 2 3 2 2" xfId="34005"/>
    <cellStyle name="40% - Accent6 2 13 2 3 2 2 2" xfId="34006"/>
    <cellStyle name="40% - Accent6 2 13 2 3 3" xfId="34007"/>
    <cellStyle name="40% - Accent6 2 13 2 3 3 2" xfId="34008"/>
    <cellStyle name="40% - Accent6 2 13 2 4" xfId="34009"/>
    <cellStyle name="40% - Accent6 2 13 2 4 2" xfId="34010"/>
    <cellStyle name="40% - Accent6 2 13 2 4 2 2" xfId="34011"/>
    <cellStyle name="40% - Accent6 2 13 2 5" xfId="34012"/>
    <cellStyle name="40% - Accent6 2 13 2 5 2" xfId="34013"/>
    <cellStyle name="40% - Accent6 2 13 3" xfId="34014"/>
    <cellStyle name="40% - Accent6 2 13 3 2" xfId="34015"/>
    <cellStyle name="40% - Accent6 2 13 3 2 2" xfId="34016"/>
    <cellStyle name="40% - Accent6 2 13 3 2 2 2" xfId="34017"/>
    <cellStyle name="40% - Accent6 2 13 3 2 2 2 2" xfId="34018"/>
    <cellStyle name="40% - Accent6 2 13 3 2 3" xfId="34019"/>
    <cellStyle name="40% - Accent6 2 13 3 2 3 2" xfId="34020"/>
    <cellStyle name="40% - Accent6 2 13 3 3" xfId="34021"/>
    <cellStyle name="40% - Accent6 2 13 3 3 2" xfId="34022"/>
    <cellStyle name="40% - Accent6 2 13 3 3 2 2" xfId="34023"/>
    <cellStyle name="40% - Accent6 2 13 3 4" xfId="34024"/>
    <cellStyle name="40% - Accent6 2 13 3 4 2" xfId="34025"/>
    <cellStyle name="40% - Accent6 2 13 4" xfId="34026"/>
    <cellStyle name="40% - Accent6 2 13 4 2" xfId="34027"/>
    <cellStyle name="40% - Accent6 2 13 4 2 2" xfId="34028"/>
    <cellStyle name="40% - Accent6 2 13 4 2 2 2" xfId="34029"/>
    <cellStyle name="40% - Accent6 2 13 4 3" xfId="34030"/>
    <cellStyle name="40% - Accent6 2 13 4 3 2" xfId="34031"/>
    <cellStyle name="40% - Accent6 2 13 5" xfId="34032"/>
    <cellStyle name="40% - Accent6 2 13 5 2" xfId="34033"/>
    <cellStyle name="40% - Accent6 2 13 5 2 2" xfId="34034"/>
    <cellStyle name="40% - Accent6 2 13 6" xfId="34035"/>
    <cellStyle name="40% - Accent6 2 13 6 2" xfId="34036"/>
    <cellStyle name="40% - Accent6 2 14" xfId="34037"/>
    <cellStyle name="40% - Accent6 2 14 2" xfId="34038"/>
    <cellStyle name="40% - Accent6 2 14 2 2" xfId="34039"/>
    <cellStyle name="40% - Accent6 2 14 2 2 2" xfId="34040"/>
    <cellStyle name="40% - Accent6 2 14 2 2 2 2" xfId="34041"/>
    <cellStyle name="40% - Accent6 2 14 2 2 2 2 2" xfId="34042"/>
    <cellStyle name="40% - Accent6 2 14 2 2 3" xfId="34043"/>
    <cellStyle name="40% - Accent6 2 14 2 2 3 2" xfId="34044"/>
    <cellStyle name="40% - Accent6 2 14 2 3" xfId="34045"/>
    <cellStyle name="40% - Accent6 2 14 2 3 2" xfId="34046"/>
    <cellStyle name="40% - Accent6 2 14 2 3 2 2" xfId="34047"/>
    <cellStyle name="40% - Accent6 2 14 2 4" xfId="34048"/>
    <cellStyle name="40% - Accent6 2 14 2 4 2" xfId="34049"/>
    <cellStyle name="40% - Accent6 2 14 3" xfId="34050"/>
    <cellStyle name="40% - Accent6 2 14 3 2" xfId="34051"/>
    <cellStyle name="40% - Accent6 2 14 3 2 2" xfId="34052"/>
    <cellStyle name="40% - Accent6 2 14 3 2 2 2" xfId="34053"/>
    <cellStyle name="40% - Accent6 2 14 3 3" xfId="34054"/>
    <cellStyle name="40% - Accent6 2 14 3 3 2" xfId="34055"/>
    <cellStyle name="40% - Accent6 2 14 4" xfId="34056"/>
    <cellStyle name="40% - Accent6 2 14 4 2" xfId="34057"/>
    <cellStyle name="40% - Accent6 2 14 4 2 2" xfId="34058"/>
    <cellStyle name="40% - Accent6 2 14 5" xfId="34059"/>
    <cellStyle name="40% - Accent6 2 14 5 2" xfId="34060"/>
    <cellStyle name="40% - Accent6 2 15" xfId="34061"/>
    <cellStyle name="40% - Accent6 2 15 2" xfId="34062"/>
    <cellStyle name="40% - Accent6 2 15 2 2" xfId="34063"/>
    <cellStyle name="40% - Accent6 2 15 2 2 2" xfId="34064"/>
    <cellStyle name="40% - Accent6 2 15 2 2 2 2" xfId="34065"/>
    <cellStyle name="40% - Accent6 2 15 2 3" xfId="34066"/>
    <cellStyle name="40% - Accent6 2 15 2 3 2" xfId="34067"/>
    <cellStyle name="40% - Accent6 2 15 3" xfId="34068"/>
    <cellStyle name="40% - Accent6 2 15 3 2" xfId="34069"/>
    <cellStyle name="40% - Accent6 2 15 3 2 2" xfId="34070"/>
    <cellStyle name="40% - Accent6 2 15 4" xfId="34071"/>
    <cellStyle name="40% - Accent6 2 15 4 2" xfId="34072"/>
    <cellStyle name="40% - Accent6 2 16" xfId="34073"/>
    <cellStyle name="40% - Accent6 2 16 2" xfId="34074"/>
    <cellStyle name="40% - Accent6 2 16 2 2" xfId="34075"/>
    <cellStyle name="40% - Accent6 2 16 2 2 2" xfId="34076"/>
    <cellStyle name="40% - Accent6 2 16 3" xfId="34077"/>
    <cellStyle name="40% - Accent6 2 16 3 2" xfId="34078"/>
    <cellStyle name="40% - Accent6 2 17" xfId="34079"/>
    <cellStyle name="40% - Accent6 2 17 2" xfId="34080"/>
    <cellStyle name="40% - Accent6 2 17 2 2" xfId="34081"/>
    <cellStyle name="40% - Accent6 2 18" xfId="34082"/>
    <cellStyle name="40% - Accent6 2 19" xfId="34083"/>
    <cellStyle name="40% - Accent6 2 19 2" xfId="34084"/>
    <cellStyle name="40% - Accent6 2 2" xfId="34085"/>
    <cellStyle name="40% - Accent6 2 2 2" xfId="34086"/>
    <cellStyle name="40% - Accent6 2 2 2 2" xfId="34087"/>
    <cellStyle name="40% - Accent6 2 2 2 2 2" xfId="34088"/>
    <cellStyle name="40% - Accent6 2 2 2 2 2 2" xfId="34089"/>
    <cellStyle name="40% - Accent6 2 2 2 2 2 2 2" xfId="34090"/>
    <cellStyle name="40% - Accent6 2 2 2 2 2 2 2 2" xfId="34091"/>
    <cellStyle name="40% - Accent6 2 2 2 2 2 3" xfId="34092"/>
    <cellStyle name="40% - Accent6 2 2 2 2 2 3 2" xfId="34093"/>
    <cellStyle name="40% - Accent6 2 2 2 2 3" xfId="34094"/>
    <cellStyle name="40% - Accent6 2 2 2 2 3 2" xfId="34095"/>
    <cellStyle name="40% - Accent6 2 2 2 2 3 2 2" xfId="34096"/>
    <cellStyle name="40% - Accent6 2 2 2 2 4" xfId="34097"/>
    <cellStyle name="40% - Accent6 2 2 2 2 4 2" xfId="34098"/>
    <cellStyle name="40% - Accent6 2 2 2 3" xfId="34099"/>
    <cellStyle name="40% - Accent6 2 2 2 3 2" xfId="34100"/>
    <cellStyle name="40% - Accent6 2 2 2 3 2 2" xfId="34101"/>
    <cellStyle name="40% - Accent6 2 2 2 3 2 2 2" xfId="34102"/>
    <cellStyle name="40% - Accent6 2 2 2 3 3" xfId="34103"/>
    <cellStyle name="40% - Accent6 2 2 2 3 3 2" xfId="34104"/>
    <cellStyle name="40% - Accent6 2 2 2 4" xfId="34105"/>
    <cellStyle name="40% - Accent6 2 2 2 4 2" xfId="34106"/>
    <cellStyle name="40% - Accent6 2 2 2 4 2 2" xfId="34107"/>
    <cellStyle name="40% - Accent6 2 2 2 5" xfId="34108"/>
    <cellStyle name="40% - Accent6 2 2 2 5 2" xfId="34109"/>
    <cellStyle name="40% - Accent6 2 2 3" xfId="34110"/>
    <cellStyle name="40% - Accent6 2 2 3 2" xfId="34111"/>
    <cellStyle name="40% - Accent6 2 2 3 2 2" xfId="34112"/>
    <cellStyle name="40% - Accent6 2 2 3 2 2 2" xfId="34113"/>
    <cellStyle name="40% - Accent6 2 2 3 2 2 2 2" xfId="34114"/>
    <cellStyle name="40% - Accent6 2 2 3 2 3" xfId="34115"/>
    <cellStyle name="40% - Accent6 2 2 3 2 3 2" xfId="34116"/>
    <cellStyle name="40% - Accent6 2 2 3 3" xfId="34117"/>
    <cellStyle name="40% - Accent6 2 2 3 3 2" xfId="34118"/>
    <cellStyle name="40% - Accent6 2 2 3 3 2 2" xfId="34119"/>
    <cellStyle name="40% - Accent6 2 2 3 4" xfId="34120"/>
    <cellStyle name="40% - Accent6 2 2 3 4 2" xfId="34121"/>
    <cellStyle name="40% - Accent6 2 2 4" xfId="34122"/>
    <cellStyle name="40% - Accent6 2 2 4 2" xfId="34123"/>
    <cellStyle name="40% - Accent6 2 2 4 2 2" xfId="34124"/>
    <cellStyle name="40% - Accent6 2 2 4 2 2 2" xfId="34125"/>
    <cellStyle name="40% - Accent6 2 2 4 3" xfId="34126"/>
    <cellStyle name="40% - Accent6 2 2 4 3 2" xfId="34127"/>
    <cellStyle name="40% - Accent6 2 2 5" xfId="34128"/>
    <cellStyle name="40% - Accent6 2 2 5 2" xfId="34129"/>
    <cellStyle name="40% - Accent6 2 2 5 2 2" xfId="34130"/>
    <cellStyle name="40% - Accent6 2 2 6" xfId="34131"/>
    <cellStyle name="40% - Accent6 2 2 6 2" xfId="34132"/>
    <cellStyle name="40% - Accent6 2 2 7" xfId="34133"/>
    <cellStyle name="40% - Accent6 2 3" xfId="34134"/>
    <cellStyle name="40% - Accent6 2 3 2" xfId="34135"/>
    <cellStyle name="40% - Accent6 2 3 2 2" xfId="34136"/>
    <cellStyle name="40% - Accent6 2 3 2 2 2" xfId="34137"/>
    <cellStyle name="40% - Accent6 2 3 2 2 2 2" xfId="34138"/>
    <cellStyle name="40% - Accent6 2 3 2 2 2 2 2" xfId="34139"/>
    <cellStyle name="40% - Accent6 2 3 2 2 2 2 2 2" xfId="34140"/>
    <cellStyle name="40% - Accent6 2 3 2 2 2 3" xfId="34141"/>
    <cellStyle name="40% - Accent6 2 3 2 2 2 3 2" xfId="34142"/>
    <cellStyle name="40% - Accent6 2 3 2 2 3" xfId="34143"/>
    <cellStyle name="40% - Accent6 2 3 2 2 3 2" xfId="34144"/>
    <cellStyle name="40% - Accent6 2 3 2 2 3 2 2" xfId="34145"/>
    <cellStyle name="40% - Accent6 2 3 2 2 4" xfId="34146"/>
    <cellStyle name="40% - Accent6 2 3 2 2 4 2" xfId="34147"/>
    <cellStyle name="40% - Accent6 2 3 2 3" xfId="34148"/>
    <cellStyle name="40% - Accent6 2 3 2 3 2" xfId="34149"/>
    <cellStyle name="40% - Accent6 2 3 2 3 2 2" xfId="34150"/>
    <cellStyle name="40% - Accent6 2 3 2 3 2 2 2" xfId="34151"/>
    <cellStyle name="40% - Accent6 2 3 2 3 3" xfId="34152"/>
    <cellStyle name="40% - Accent6 2 3 2 3 3 2" xfId="34153"/>
    <cellStyle name="40% - Accent6 2 3 2 4" xfId="34154"/>
    <cellStyle name="40% - Accent6 2 3 2 4 2" xfId="34155"/>
    <cellStyle name="40% - Accent6 2 3 2 4 2 2" xfId="34156"/>
    <cellStyle name="40% - Accent6 2 3 2 5" xfId="34157"/>
    <cellStyle name="40% - Accent6 2 3 2 5 2" xfId="34158"/>
    <cellStyle name="40% - Accent6 2 3 3" xfId="34159"/>
    <cellStyle name="40% - Accent6 2 3 3 2" xfId="34160"/>
    <cellStyle name="40% - Accent6 2 3 3 2 2" xfId="34161"/>
    <cellStyle name="40% - Accent6 2 3 3 2 2 2" xfId="34162"/>
    <cellStyle name="40% - Accent6 2 3 3 2 2 2 2" xfId="34163"/>
    <cellStyle name="40% - Accent6 2 3 3 2 3" xfId="34164"/>
    <cellStyle name="40% - Accent6 2 3 3 2 3 2" xfId="34165"/>
    <cellStyle name="40% - Accent6 2 3 3 3" xfId="34166"/>
    <cellStyle name="40% - Accent6 2 3 3 3 2" xfId="34167"/>
    <cellStyle name="40% - Accent6 2 3 3 3 2 2" xfId="34168"/>
    <cellStyle name="40% - Accent6 2 3 3 4" xfId="34169"/>
    <cellStyle name="40% - Accent6 2 3 3 4 2" xfId="34170"/>
    <cellStyle name="40% - Accent6 2 3 4" xfId="34171"/>
    <cellStyle name="40% - Accent6 2 3 4 2" xfId="34172"/>
    <cellStyle name="40% - Accent6 2 3 4 2 2" xfId="34173"/>
    <cellStyle name="40% - Accent6 2 3 4 2 2 2" xfId="34174"/>
    <cellStyle name="40% - Accent6 2 3 4 3" xfId="34175"/>
    <cellStyle name="40% - Accent6 2 3 4 3 2" xfId="34176"/>
    <cellStyle name="40% - Accent6 2 3 5" xfId="34177"/>
    <cellStyle name="40% - Accent6 2 3 5 2" xfId="34178"/>
    <cellStyle name="40% - Accent6 2 3 5 2 2" xfId="34179"/>
    <cellStyle name="40% - Accent6 2 3 6" xfId="34180"/>
    <cellStyle name="40% - Accent6 2 3 6 2" xfId="34181"/>
    <cellStyle name="40% - Accent6 2 3 7" xfId="34182"/>
    <cellStyle name="40% - Accent6 2 4" xfId="34183"/>
    <cellStyle name="40% - Accent6 2 4 2" xfId="34184"/>
    <cellStyle name="40% - Accent6 2 4 2 2" xfId="34185"/>
    <cellStyle name="40% - Accent6 2 4 2 2 2" xfId="34186"/>
    <cellStyle name="40% - Accent6 2 4 2 2 2 2" xfId="34187"/>
    <cellStyle name="40% - Accent6 2 4 2 2 2 2 2" xfId="34188"/>
    <cellStyle name="40% - Accent6 2 4 2 2 2 2 2 2" xfId="34189"/>
    <cellStyle name="40% - Accent6 2 4 2 2 2 3" xfId="34190"/>
    <cellStyle name="40% - Accent6 2 4 2 2 2 3 2" xfId="34191"/>
    <cellStyle name="40% - Accent6 2 4 2 2 3" xfId="34192"/>
    <cellStyle name="40% - Accent6 2 4 2 2 3 2" xfId="34193"/>
    <cellStyle name="40% - Accent6 2 4 2 2 3 2 2" xfId="34194"/>
    <cellStyle name="40% - Accent6 2 4 2 2 4" xfId="34195"/>
    <cellStyle name="40% - Accent6 2 4 2 2 4 2" xfId="34196"/>
    <cellStyle name="40% - Accent6 2 4 2 3" xfId="34197"/>
    <cellStyle name="40% - Accent6 2 4 2 3 2" xfId="34198"/>
    <cellStyle name="40% - Accent6 2 4 2 3 2 2" xfId="34199"/>
    <cellStyle name="40% - Accent6 2 4 2 3 2 2 2" xfId="34200"/>
    <cellStyle name="40% - Accent6 2 4 2 3 3" xfId="34201"/>
    <cellStyle name="40% - Accent6 2 4 2 3 3 2" xfId="34202"/>
    <cellStyle name="40% - Accent6 2 4 2 4" xfId="34203"/>
    <cellStyle name="40% - Accent6 2 4 2 4 2" xfId="34204"/>
    <cellStyle name="40% - Accent6 2 4 2 4 2 2" xfId="34205"/>
    <cellStyle name="40% - Accent6 2 4 2 5" xfId="34206"/>
    <cellStyle name="40% - Accent6 2 4 2 5 2" xfId="34207"/>
    <cellStyle name="40% - Accent6 2 4 3" xfId="34208"/>
    <cellStyle name="40% - Accent6 2 4 3 2" xfId="34209"/>
    <cellStyle name="40% - Accent6 2 4 3 2 2" xfId="34210"/>
    <cellStyle name="40% - Accent6 2 4 3 2 2 2" xfId="34211"/>
    <cellStyle name="40% - Accent6 2 4 3 2 2 2 2" xfId="34212"/>
    <cellStyle name="40% - Accent6 2 4 3 2 3" xfId="34213"/>
    <cellStyle name="40% - Accent6 2 4 3 2 3 2" xfId="34214"/>
    <cellStyle name="40% - Accent6 2 4 3 3" xfId="34215"/>
    <cellStyle name="40% - Accent6 2 4 3 3 2" xfId="34216"/>
    <cellStyle name="40% - Accent6 2 4 3 3 2 2" xfId="34217"/>
    <cellStyle name="40% - Accent6 2 4 3 4" xfId="34218"/>
    <cellStyle name="40% - Accent6 2 4 3 4 2" xfId="34219"/>
    <cellStyle name="40% - Accent6 2 4 4" xfId="34220"/>
    <cellStyle name="40% - Accent6 2 4 4 2" xfId="34221"/>
    <cellStyle name="40% - Accent6 2 4 4 2 2" xfId="34222"/>
    <cellStyle name="40% - Accent6 2 4 4 2 2 2" xfId="34223"/>
    <cellStyle name="40% - Accent6 2 4 4 3" xfId="34224"/>
    <cellStyle name="40% - Accent6 2 4 4 3 2" xfId="34225"/>
    <cellStyle name="40% - Accent6 2 4 5" xfId="34226"/>
    <cellStyle name="40% - Accent6 2 4 5 2" xfId="34227"/>
    <cellStyle name="40% - Accent6 2 4 5 2 2" xfId="34228"/>
    <cellStyle name="40% - Accent6 2 4 6" xfId="34229"/>
    <cellStyle name="40% - Accent6 2 4 6 2" xfId="34230"/>
    <cellStyle name="40% - Accent6 2 4 7" xfId="34231"/>
    <cellStyle name="40% - Accent6 2 5" xfId="34232"/>
    <cellStyle name="40% - Accent6 2 5 2" xfId="34233"/>
    <cellStyle name="40% - Accent6 2 5 2 2" xfId="34234"/>
    <cellStyle name="40% - Accent6 2 5 2 2 2" xfId="34235"/>
    <cellStyle name="40% - Accent6 2 5 2 2 2 2" xfId="34236"/>
    <cellStyle name="40% - Accent6 2 5 2 2 2 2 2" xfId="34237"/>
    <cellStyle name="40% - Accent6 2 5 2 2 2 2 2 2" xfId="34238"/>
    <cellStyle name="40% - Accent6 2 5 2 2 2 3" xfId="34239"/>
    <cellStyle name="40% - Accent6 2 5 2 2 2 3 2" xfId="34240"/>
    <cellStyle name="40% - Accent6 2 5 2 2 3" xfId="34241"/>
    <cellStyle name="40% - Accent6 2 5 2 2 3 2" xfId="34242"/>
    <cellStyle name="40% - Accent6 2 5 2 2 3 2 2" xfId="34243"/>
    <cellStyle name="40% - Accent6 2 5 2 2 4" xfId="34244"/>
    <cellStyle name="40% - Accent6 2 5 2 2 4 2" xfId="34245"/>
    <cellStyle name="40% - Accent6 2 5 2 3" xfId="34246"/>
    <cellStyle name="40% - Accent6 2 5 2 3 2" xfId="34247"/>
    <cellStyle name="40% - Accent6 2 5 2 3 2 2" xfId="34248"/>
    <cellStyle name="40% - Accent6 2 5 2 3 2 2 2" xfId="34249"/>
    <cellStyle name="40% - Accent6 2 5 2 3 3" xfId="34250"/>
    <cellStyle name="40% - Accent6 2 5 2 3 3 2" xfId="34251"/>
    <cellStyle name="40% - Accent6 2 5 2 4" xfId="34252"/>
    <cellStyle name="40% - Accent6 2 5 2 4 2" xfId="34253"/>
    <cellStyle name="40% - Accent6 2 5 2 4 2 2" xfId="34254"/>
    <cellStyle name="40% - Accent6 2 5 2 5" xfId="34255"/>
    <cellStyle name="40% - Accent6 2 5 2 5 2" xfId="34256"/>
    <cellStyle name="40% - Accent6 2 5 3" xfId="34257"/>
    <cellStyle name="40% - Accent6 2 5 3 2" xfId="34258"/>
    <cellStyle name="40% - Accent6 2 5 3 2 2" xfId="34259"/>
    <cellStyle name="40% - Accent6 2 5 3 2 2 2" xfId="34260"/>
    <cellStyle name="40% - Accent6 2 5 3 2 2 2 2" xfId="34261"/>
    <cellStyle name="40% - Accent6 2 5 3 2 3" xfId="34262"/>
    <cellStyle name="40% - Accent6 2 5 3 2 3 2" xfId="34263"/>
    <cellStyle name="40% - Accent6 2 5 3 3" xfId="34264"/>
    <cellStyle name="40% - Accent6 2 5 3 3 2" xfId="34265"/>
    <cellStyle name="40% - Accent6 2 5 3 3 2 2" xfId="34266"/>
    <cellStyle name="40% - Accent6 2 5 3 4" xfId="34267"/>
    <cellStyle name="40% - Accent6 2 5 3 4 2" xfId="34268"/>
    <cellStyle name="40% - Accent6 2 5 4" xfId="34269"/>
    <cellStyle name="40% - Accent6 2 5 4 2" xfId="34270"/>
    <cellStyle name="40% - Accent6 2 5 4 2 2" xfId="34271"/>
    <cellStyle name="40% - Accent6 2 5 4 2 2 2" xfId="34272"/>
    <cellStyle name="40% - Accent6 2 5 4 3" xfId="34273"/>
    <cellStyle name="40% - Accent6 2 5 4 3 2" xfId="34274"/>
    <cellStyle name="40% - Accent6 2 5 5" xfId="34275"/>
    <cellStyle name="40% - Accent6 2 5 5 2" xfId="34276"/>
    <cellStyle name="40% - Accent6 2 5 5 2 2" xfId="34277"/>
    <cellStyle name="40% - Accent6 2 5 6" xfId="34278"/>
    <cellStyle name="40% - Accent6 2 5 6 2" xfId="34279"/>
    <cellStyle name="40% - Accent6 2 5 7" xfId="34280"/>
    <cellStyle name="40% - Accent6 2 6" xfId="34281"/>
    <cellStyle name="40% - Accent6 2 6 2" xfId="34282"/>
    <cellStyle name="40% - Accent6 2 6 2 2" xfId="34283"/>
    <cellStyle name="40% - Accent6 2 6 2 2 2" xfId="34284"/>
    <cellStyle name="40% - Accent6 2 6 2 2 2 2" xfId="34285"/>
    <cellStyle name="40% - Accent6 2 6 2 2 2 2 2" xfId="34286"/>
    <cellStyle name="40% - Accent6 2 6 2 2 2 2 2 2" xfId="34287"/>
    <cellStyle name="40% - Accent6 2 6 2 2 2 3" xfId="34288"/>
    <cellStyle name="40% - Accent6 2 6 2 2 2 3 2" xfId="34289"/>
    <cellStyle name="40% - Accent6 2 6 2 2 3" xfId="34290"/>
    <cellStyle name="40% - Accent6 2 6 2 2 3 2" xfId="34291"/>
    <cellStyle name="40% - Accent6 2 6 2 2 3 2 2" xfId="34292"/>
    <cellStyle name="40% - Accent6 2 6 2 2 4" xfId="34293"/>
    <cellStyle name="40% - Accent6 2 6 2 2 4 2" xfId="34294"/>
    <cellStyle name="40% - Accent6 2 6 2 3" xfId="34295"/>
    <cellStyle name="40% - Accent6 2 6 2 3 2" xfId="34296"/>
    <cellStyle name="40% - Accent6 2 6 2 3 2 2" xfId="34297"/>
    <cellStyle name="40% - Accent6 2 6 2 3 2 2 2" xfId="34298"/>
    <cellStyle name="40% - Accent6 2 6 2 3 3" xfId="34299"/>
    <cellStyle name="40% - Accent6 2 6 2 3 3 2" xfId="34300"/>
    <cellStyle name="40% - Accent6 2 6 2 4" xfId="34301"/>
    <cellStyle name="40% - Accent6 2 6 2 4 2" xfId="34302"/>
    <cellStyle name="40% - Accent6 2 6 2 4 2 2" xfId="34303"/>
    <cellStyle name="40% - Accent6 2 6 2 5" xfId="34304"/>
    <cellStyle name="40% - Accent6 2 6 2 5 2" xfId="34305"/>
    <cellStyle name="40% - Accent6 2 6 3" xfId="34306"/>
    <cellStyle name="40% - Accent6 2 6 3 2" xfId="34307"/>
    <cellStyle name="40% - Accent6 2 6 3 2 2" xfId="34308"/>
    <cellStyle name="40% - Accent6 2 6 3 2 2 2" xfId="34309"/>
    <cellStyle name="40% - Accent6 2 6 3 2 2 2 2" xfId="34310"/>
    <cellStyle name="40% - Accent6 2 6 3 2 3" xfId="34311"/>
    <cellStyle name="40% - Accent6 2 6 3 2 3 2" xfId="34312"/>
    <cellStyle name="40% - Accent6 2 6 3 3" xfId="34313"/>
    <cellStyle name="40% - Accent6 2 6 3 3 2" xfId="34314"/>
    <cellStyle name="40% - Accent6 2 6 3 3 2 2" xfId="34315"/>
    <cellStyle name="40% - Accent6 2 6 3 4" xfId="34316"/>
    <cellStyle name="40% - Accent6 2 6 3 4 2" xfId="34317"/>
    <cellStyle name="40% - Accent6 2 6 4" xfId="34318"/>
    <cellStyle name="40% - Accent6 2 6 4 2" xfId="34319"/>
    <cellStyle name="40% - Accent6 2 6 4 2 2" xfId="34320"/>
    <cellStyle name="40% - Accent6 2 6 4 2 2 2" xfId="34321"/>
    <cellStyle name="40% - Accent6 2 6 4 3" xfId="34322"/>
    <cellStyle name="40% - Accent6 2 6 4 3 2" xfId="34323"/>
    <cellStyle name="40% - Accent6 2 6 5" xfId="34324"/>
    <cellStyle name="40% - Accent6 2 6 5 2" xfId="34325"/>
    <cellStyle name="40% - Accent6 2 6 5 2 2" xfId="34326"/>
    <cellStyle name="40% - Accent6 2 6 6" xfId="34327"/>
    <cellStyle name="40% - Accent6 2 6 6 2" xfId="34328"/>
    <cellStyle name="40% - Accent6 2 6 7" xfId="34329"/>
    <cellStyle name="40% - Accent6 2 7" xfId="34330"/>
    <cellStyle name="40% - Accent6 2 7 2" xfId="34331"/>
    <cellStyle name="40% - Accent6 2 7 2 2" xfId="34332"/>
    <cellStyle name="40% - Accent6 2 7 2 2 2" xfId="34333"/>
    <cellStyle name="40% - Accent6 2 7 2 2 2 2" xfId="34334"/>
    <cellStyle name="40% - Accent6 2 7 2 2 2 2 2" xfId="34335"/>
    <cellStyle name="40% - Accent6 2 7 2 2 2 2 2 2" xfId="34336"/>
    <cellStyle name="40% - Accent6 2 7 2 2 2 3" xfId="34337"/>
    <cellStyle name="40% - Accent6 2 7 2 2 2 3 2" xfId="34338"/>
    <cellStyle name="40% - Accent6 2 7 2 2 3" xfId="34339"/>
    <cellStyle name="40% - Accent6 2 7 2 2 3 2" xfId="34340"/>
    <cellStyle name="40% - Accent6 2 7 2 2 3 2 2" xfId="34341"/>
    <cellStyle name="40% - Accent6 2 7 2 2 4" xfId="34342"/>
    <cellStyle name="40% - Accent6 2 7 2 2 4 2" xfId="34343"/>
    <cellStyle name="40% - Accent6 2 7 2 3" xfId="34344"/>
    <cellStyle name="40% - Accent6 2 7 2 3 2" xfId="34345"/>
    <cellStyle name="40% - Accent6 2 7 2 3 2 2" xfId="34346"/>
    <cellStyle name="40% - Accent6 2 7 2 3 2 2 2" xfId="34347"/>
    <cellStyle name="40% - Accent6 2 7 2 3 3" xfId="34348"/>
    <cellStyle name="40% - Accent6 2 7 2 3 3 2" xfId="34349"/>
    <cellStyle name="40% - Accent6 2 7 2 4" xfId="34350"/>
    <cellStyle name="40% - Accent6 2 7 2 4 2" xfId="34351"/>
    <cellStyle name="40% - Accent6 2 7 2 4 2 2" xfId="34352"/>
    <cellStyle name="40% - Accent6 2 7 2 5" xfId="34353"/>
    <cellStyle name="40% - Accent6 2 7 2 5 2" xfId="34354"/>
    <cellStyle name="40% - Accent6 2 7 3" xfId="34355"/>
    <cellStyle name="40% - Accent6 2 7 3 2" xfId="34356"/>
    <cellStyle name="40% - Accent6 2 7 3 2 2" xfId="34357"/>
    <cellStyle name="40% - Accent6 2 7 3 2 2 2" xfId="34358"/>
    <cellStyle name="40% - Accent6 2 7 3 2 2 2 2" xfId="34359"/>
    <cellStyle name="40% - Accent6 2 7 3 2 3" xfId="34360"/>
    <cellStyle name="40% - Accent6 2 7 3 2 3 2" xfId="34361"/>
    <cellStyle name="40% - Accent6 2 7 3 3" xfId="34362"/>
    <cellStyle name="40% - Accent6 2 7 3 3 2" xfId="34363"/>
    <cellStyle name="40% - Accent6 2 7 3 3 2 2" xfId="34364"/>
    <cellStyle name="40% - Accent6 2 7 3 4" xfId="34365"/>
    <cellStyle name="40% - Accent6 2 7 3 4 2" xfId="34366"/>
    <cellStyle name="40% - Accent6 2 7 4" xfId="34367"/>
    <cellStyle name="40% - Accent6 2 7 4 2" xfId="34368"/>
    <cellStyle name="40% - Accent6 2 7 4 2 2" xfId="34369"/>
    <cellStyle name="40% - Accent6 2 7 4 2 2 2" xfId="34370"/>
    <cellStyle name="40% - Accent6 2 7 4 3" xfId="34371"/>
    <cellStyle name="40% - Accent6 2 7 4 3 2" xfId="34372"/>
    <cellStyle name="40% - Accent6 2 7 5" xfId="34373"/>
    <cellStyle name="40% - Accent6 2 7 5 2" xfId="34374"/>
    <cellStyle name="40% - Accent6 2 7 5 2 2" xfId="34375"/>
    <cellStyle name="40% - Accent6 2 7 6" xfId="34376"/>
    <cellStyle name="40% - Accent6 2 7 6 2" xfId="34377"/>
    <cellStyle name="40% - Accent6 2 7 7" xfId="34378"/>
    <cellStyle name="40% - Accent6 2 8" xfId="34379"/>
    <cellStyle name="40% - Accent6 2 8 2" xfId="34380"/>
    <cellStyle name="40% - Accent6 2 8 2 2" xfId="34381"/>
    <cellStyle name="40% - Accent6 2 8 2 2 2" xfId="34382"/>
    <cellStyle name="40% - Accent6 2 8 2 2 2 2" xfId="34383"/>
    <cellStyle name="40% - Accent6 2 8 2 2 2 2 2" xfId="34384"/>
    <cellStyle name="40% - Accent6 2 8 2 2 2 2 2 2" xfId="34385"/>
    <cellStyle name="40% - Accent6 2 8 2 2 2 3" xfId="34386"/>
    <cellStyle name="40% - Accent6 2 8 2 2 2 3 2" xfId="34387"/>
    <cellStyle name="40% - Accent6 2 8 2 2 3" xfId="34388"/>
    <cellStyle name="40% - Accent6 2 8 2 2 3 2" xfId="34389"/>
    <cellStyle name="40% - Accent6 2 8 2 2 3 2 2" xfId="34390"/>
    <cellStyle name="40% - Accent6 2 8 2 2 4" xfId="34391"/>
    <cellStyle name="40% - Accent6 2 8 2 2 4 2" xfId="34392"/>
    <cellStyle name="40% - Accent6 2 8 2 3" xfId="34393"/>
    <cellStyle name="40% - Accent6 2 8 2 3 2" xfId="34394"/>
    <cellStyle name="40% - Accent6 2 8 2 3 2 2" xfId="34395"/>
    <cellStyle name="40% - Accent6 2 8 2 3 2 2 2" xfId="34396"/>
    <cellStyle name="40% - Accent6 2 8 2 3 3" xfId="34397"/>
    <cellStyle name="40% - Accent6 2 8 2 3 3 2" xfId="34398"/>
    <cellStyle name="40% - Accent6 2 8 2 4" xfId="34399"/>
    <cellStyle name="40% - Accent6 2 8 2 4 2" xfId="34400"/>
    <cellStyle name="40% - Accent6 2 8 2 4 2 2" xfId="34401"/>
    <cellStyle name="40% - Accent6 2 8 2 5" xfId="34402"/>
    <cellStyle name="40% - Accent6 2 8 2 5 2" xfId="34403"/>
    <cellStyle name="40% - Accent6 2 8 3" xfId="34404"/>
    <cellStyle name="40% - Accent6 2 8 3 2" xfId="34405"/>
    <cellStyle name="40% - Accent6 2 8 3 2 2" xfId="34406"/>
    <cellStyle name="40% - Accent6 2 8 3 2 2 2" xfId="34407"/>
    <cellStyle name="40% - Accent6 2 8 3 2 2 2 2" xfId="34408"/>
    <cellStyle name="40% - Accent6 2 8 3 2 3" xfId="34409"/>
    <cellStyle name="40% - Accent6 2 8 3 2 3 2" xfId="34410"/>
    <cellStyle name="40% - Accent6 2 8 3 3" xfId="34411"/>
    <cellStyle name="40% - Accent6 2 8 3 3 2" xfId="34412"/>
    <cellStyle name="40% - Accent6 2 8 3 3 2 2" xfId="34413"/>
    <cellStyle name="40% - Accent6 2 8 3 4" xfId="34414"/>
    <cellStyle name="40% - Accent6 2 8 3 4 2" xfId="34415"/>
    <cellStyle name="40% - Accent6 2 8 4" xfId="34416"/>
    <cellStyle name="40% - Accent6 2 8 4 2" xfId="34417"/>
    <cellStyle name="40% - Accent6 2 8 4 2 2" xfId="34418"/>
    <cellStyle name="40% - Accent6 2 8 4 2 2 2" xfId="34419"/>
    <cellStyle name="40% - Accent6 2 8 4 3" xfId="34420"/>
    <cellStyle name="40% - Accent6 2 8 4 3 2" xfId="34421"/>
    <cellStyle name="40% - Accent6 2 8 5" xfId="34422"/>
    <cellStyle name="40% - Accent6 2 8 5 2" xfId="34423"/>
    <cellStyle name="40% - Accent6 2 8 5 2 2" xfId="34424"/>
    <cellStyle name="40% - Accent6 2 8 6" xfId="34425"/>
    <cellStyle name="40% - Accent6 2 8 6 2" xfId="34426"/>
    <cellStyle name="40% - Accent6 2 8 7" xfId="34427"/>
    <cellStyle name="40% - Accent6 2 9" xfId="34428"/>
    <cellStyle name="40% - Accent6 2 9 2" xfId="34429"/>
    <cellStyle name="40% - Accent6 2 9 2 2" xfId="34430"/>
    <cellStyle name="40% - Accent6 2 9 2 2 2" xfId="34431"/>
    <cellStyle name="40% - Accent6 2 9 2 2 2 2" xfId="34432"/>
    <cellStyle name="40% - Accent6 2 9 2 2 2 2 2" xfId="34433"/>
    <cellStyle name="40% - Accent6 2 9 2 2 2 2 2 2" xfId="34434"/>
    <cellStyle name="40% - Accent6 2 9 2 2 2 3" xfId="34435"/>
    <cellStyle name="40% - Accent6 2 9 2 2 2 3 2" xfId="34436"/>
    <cellStyle name="40% - Accent6 2 9 2 2 3" xfId="34437"/>
    <cellStyle name="40% - Accent6 2 9 2 2 3 2" xfId="34438"/>
    <cellStyle name="40% - Accent6 2 9 2 2 3 2 2" xfId="34439"/>
    <cellStyle name="40% - Accent6 2 9 2 2 4" xfId="34440"/>
    <cellStyle name="40% - Accent6 2 9 2 2 4 2" xfId="34441"/>
    <cellStyle name="40% - Accent6 2 9 2 3" xfId="34442"/>
    <cellStyle name="40% - Accent6 2 9 2 3 2" xfId="34443"/>
    <cellStyle name="40% - Accent6 2 9 2 3 2 2" xfId="34444"/>
    <cellStyle name="40% - Accent6 2 9 2 3 2 2 2" xfId="34445"/>
    <cellStyle name="40% - Accent6 2 9 2 3 3" xfId="34446"/>
    <cellStyle name="40% - Accent6 2 9 2 3 3 2" xfId="34447"/>
    <cellStyle name="40% - Accent6 2 9 2 4" xfId="34448"/>
    <cellStyle name="40% - Accent6 2 9 2 4 2" xfId="34449"/>
    <cellStyle name="40% - Accent6 2 9 2 4 2 2" xfId="34450"/>
    <cellStyle name="40% - Accent6 2 9 2 5" xfId="34451"/>
    <cellStyle name="40% - Accent6 2 9 2 5 2" xfId="34452"/>
    <cellStyle name="40% - Accent6 2 9 3" xfId="34453"/>
    <cellStyle name="40% - Accent6 2 9 3 2" xfId="34454"/>
    <cellStyle name="40% - Accent6 2 9 3 2 2" xfId="34455"/>
    <cellStyle name="40% - Accent6 2 9 3 2 2 2" xfId="34456"/>
    <cellStyle name="40% - Accent6 2 9 3 2 2 2 2" xfId="34457"/>
    <cellStyle name="40% - Accent6 2 9 3 2 3" xfId="34458"/>
    <cellStyle name="40% - Accent6 2 9 3 2 3 2" xfId="34459"/>
    <cellStyle name="40% - Accent6 2 9 3 3" xfId="34460"/>
    <cellStyle name="40% - Accent6 2 9 3 3 2" xfId="34461"/>
    <cellStyle name="40% - Accent6 2 9 3 3 2 2" xfId="34462"/>
    <cellStyle name="40% - Accent6 2 9 3 4" xfId="34463"/>
    <cellStyle name="40% - Accent6 2 9 3 4 2" xfId="34464"/>
    <cellStyle name="40% - Accent6 2 9 4" xfId="34465"/>
    <cellStyle name="40% - Accent6 2 9 4 2" xfId="34466"/>
    <cellStyle name="40% - Accent6 2 9 4 2 2" xfId="34467"/>
    <cellStyle name="40% - Accent6 2 9 4 2 2 2" xfId="34468"/>
    <cellStyle name="40% - Accent6 2 9 4 3" xfId="34469"/>
    <cellStyle name="40% - Accent6 2 9 4 3 2" xfId="34470"/>
    <cellStyle name="40% - Accent6 2 9 5" xfId="34471"/>
    <cellStyle name="40% - Accent6 2 9 5 2" xfId="34472"/>
    <cellStyle name="40% - Accent6 2 9 5 2 2" xfId="34473"/>
    <cellStyle name="40% - Accent6 2 9 6" xfId="34474"/>
    <cellStyle name="40% - Accent6 2 9 6 2" xfId="34475"/>
    <cellStyle name="40% - Accent6 20" xfId="34476"/>
    <cellStyle name="40% - Accent6 20 2" xfId="34477"/>
    <cellStyle name="40% - Accent6 21" xfId="34478"/>
    <cellStyle name="40% - Accent6 21 2" xfId="34479"/>
    <cellStyle name="40% - Accent6 21 2 2" xfId="34480"/>
    <cellStyle name="40% - Accent6 21 2 2 2" xfId="34481"/>
    <cellStyle name="40% - Accent6 21 2 2 2 2" xfId="34482"/>
    <cellStyle name="40% - Accent6 21 2 2 2 2 2" xfId="34483"/>
    <cellStyle name="40% - Accent6 21 2 2 2 2 2 2" xfId="34484"/>
    <cellStyle name="40% - Accent6 21 2 2 2 3" xfId="34485"/>
    <cellStyle name="40% - Accent6 21 2 2 2 3 2" xfId="34486"/>
    <cellStyle name="40% - Accent6 21 2 2 3" xfId="34487"/>
    <cellStyle name="40% - Accent6 21 2 2 3 2" xfId="34488"/>
    <cellStyle name="40% - Accent6 21 2 2 3 2 2" xfId="34489"/>
    <cellStyle name="40% - Accent6 21 2 2 4" xfId="34490"/>
    <cellStyle name="40% - Accent6 21 2 2 4 2" xfId="34491"/>
    <cellStyle name="40% - Accent6 21 2 3" xfId="34492"/>
    <cellStyle name="40% - Accent6 21 2 3 2" xfId="34493"/>
    <cellStyle name="40% - Accent6 21 2 3 2 2" xfId="34494"/>
    <cellStyle name="40% - Accent6 21 2 3 2 2 2" xfId="34495"/>
    <cellStyle name="40% - Accent6 21 2 3 3" xfId="34496"/>
    <cellStyle name="40% - Accent6 21 2 3 3 2" xfId="34497"/>
    <cellStyle name="40% - Accent6 21 2 4" xfId="34498"/>
    <cellStyle name="40% - Accent6 21 2 4 2" xfId="34499"/>
    <cellStyle name="40% - Accent6 21 2 4 2 2" xfId="34500"/>
    <cellStyle name="40% - Accent6 21 2 5" xfId="34501"/>
    <cellStyle name="40% - Accent6 21 2 5 2" xfId="34502"/>
    <cellStyle name="40% - Accent6 21 3" xfId="34503"/>
    <cellStyle name="40% - Accent6 21 3 2" xfId="34504"/>
    <cellStyle name="40% - Accent6 21 3 2 2" xfId="34505"/>
    <cellStyle name="40% - Accent6 21 3 2 2 2" xfId="34506"/>
    <cellStyle name="40% - Accent6 21 3 2 2 2 2" xfId="34507"/>
    <cellStyle name="40% - Accent6 21 3 2 3" xfId="34508"/>
    <cellStyle name="40% - Accent6 21 3 2 3 2" xfId="34509"/>
    <cellStyle name="40% - Accent6 21 3 3" xfId="34510"/>
    <cellStyle name="40% - Accent6 21 3 3 2" xfId="34511"/>
    <cellStyle name="40% - Accent6 21 3 3 2 2" xfId="34512"/>
    <cellStyle name="40% - Accent6 21 3 4" xfId="34513"/>
    <cellStyle name="40% - Accent6 21 3 4 2" xfId="34514"/>
    <cellStyle name="40% - Accent6 21 4" xfId="34515"/>
    <cellStyle name="40% - Accent6 21 4 2" xfId="34516"/>
    <cellStyle name="40% - Accent6 21 4 2 2" xfId="34517"/>
    <cellStyle name="40% - Accent6 21 4 2 2 2" xfId="34518"/>
    <cellStyle name="40% - Accent6 21 4 3" xfId="34519"/>
    <cellStyle name="40% - Accent6 21 4 3 2" xfId="34520"/>
    <cellStyle name="40% - Accent6 21 5" xfId="34521"/>
    <cellStyle name="40% - Accent6 21 5 2" xfId="34522"/>
    <cellStyle name="40% - Accent6 21 5 2 2" xfId="34523"/>
    <cellStyle name="40% - Accent6 21 6" xfId="34524"/>
    <cellStyle name="40% - Accent6 21 6 2" xfId="34525"/>
    <cellStyle name="40% - Accent6 21 7" xfId="34526"/>
    <cellStyle name="40% - Accent6 22" xfId="34527"/>
    <cellStyle name="40% - Accent6 22 10" xfId="34528"/>
    <cellStyle name="40% - Accent6 22 2" xfId="34529"/>
    <cellStyle name="40% - Accent6 22 2 2" xfId="34530"/>
    <cellStyle name="40% - Accent6 22 2 2 2" xfId="34531"/>
    <cellStyle name="40% - Accent6 22 2 2 2 2" xfId="34532"/>
    <cellStyle name="40% - Accent6 22 2 2 2 2 2" xfId="34533"/>
    <cellStyle name="40% - Accent6 22 2 2 2 2 2 2" xfId="34534"/>
    <cellStyle name="40% - Accent6 22 2 2 2 3" xfId="34535"/>
    <cellStyle name="40% - Accent6 22 2 2 2 3 2" xfId="34536"/>
    <cellStyle name="40% - Accent6 22 2 2 3" xfId="34537"/>
    <cellStyle name="40% - Accent6 22 2 2 3 2" xfId="34538"/>
    <cellStyle name="40% - Accent6 22 2 2 3 2 2" xfId="34539"/>
    <cellStyle name="40% - Accent6 22 2 2 4" xfId="34540"/>
    <cellStyle name="40% - Accent6 22 2 2 4 2" xfId="34541"/>
    <cellStyle name="40% - Accent6 22 2 3" xfId="34542"/>
    <cellStyle name="40% - Accent6 22 2 3 2" xfId="34543"/>
    <cellStyle name="40% - Accent6 22 2 3 2 2" xfId="34544"/>
    <cellStyle name="40% - Accent6 22 2 3 2 2 2" xfId="34545"/>
    <cellStyle name="40% - Accent6 22 2 3 3" xfId="34546"/>
    <cellStyle name="40% - Accent6 22 2 3 3 2" xfId="34547"/>
    <cellStyle name="40% - Accent6 22 2 4" xfId="34548"/>
    <cellStyle name="40% - Accent6 22 2 4 2" xfId="34549"/>
    <cellStyle name="40% - Accent6 22 2 4 2 2" xfId="34550"/>
    <cellStyle name="40% - Accent6 22 2 5" xfId="34551"/>
    <cellStyle name="40% - Accent6 22 2 5 2" xfId="34552"/>
    <cellStyle name="40% - Accent6 22 2 6" xfId="34553"/>
    <cellStyle name="40% - Accent6 22 2 7" xfId="34554"/>
    <cellStyle name="40% - Accent6 22 2 8" xfId="34555"/>
    <cellStyle name="40% - Accent6 22 3" xfId="34556"/>
    <cellStyle name="40% - Accent6 22 3 2" xfId="34557"/>
    <cellStyle name="40% - Accent6 22 3 2 2" xfId="34558"/>
    <cellStyle name="40% - Accent6 22 3 2 2 2" xfId="34559"/>
    <cellStyle name="40% - Accent6 22 3 2 2 2 2" xfId="34560"/>
    <cellStyle name="40% - Accent6 22 3 2 3" xfId="34561"/>
    <cellStyle name="40% - Accent6 22 3 2 3 2" xfId="34562"/>
    <cellStyle name="40% - Accent6 22 3 3" xfId="34563"/>
    <cellStyle name="40% - Accent6 22 3 3 2" xfId="34564"/>
    <cellStyle name="40% - Accent6 22 3 3 2 2" xfId="34565"/>
    <cellStyle name="40% - Accent6 22 3 4" xfId="34566"/>
    <cellStyle name="40% - Accent6 22 3 4 2" xfId="34567"/>
    <cellStyle name="40% - Accent6 22 3 5" xfId="34568"/>
    <cellStyle name="40% - Accent6 22 3 6" xfId="34569"/>
    <cellStyle name="40% - Accent6 22 3 7" xfId="34570"/>
    <cellStyle name="40% - Accent6 22 4" xfId="34571"/>
    <cellStyle name="40% - Accent6 22 4 2" xfId="34572"/>
    <cellStyle name="40% - Accent6 22 4 2 2" xfId="34573"/>
    <cellStyle name="40% - Accent6 22 4 2 2 2" xfId="34574"/>
    <cellStyle name="40% - Accent6 22 4 3" xfId="34575"/>
    <cellStyle name="40% - Accent6 22 4 3 2" xfId="34576"/>
    <cellStyle name="40% - Accent6 22 4 4" xfId="34577"/>
    <cellStyle name="40% - Accent6 22 5" xfId="34578"/>
    <cellStyle name="40% - Accent6 22 5 2" xfId="34579"/>
    <cellStyle name="40% - Accent6 22 5 2 2" xfId="34580"/>
    <cellStyle name="40% - Accent6 22 6" xfId="34581"/>
    <cellStyle name="40% - Accent6 22 6 2" xfId="34582"/>
    <cellStyle name="40% - Accent6 22 7" xfId="34583"/>
    <cellStyle name="40% - Accent6 22 8" xfId="34584"/>
    <cellStyle name="40% - Accent6 22 9" xfId="34585"/>
    <cellStyle name="40% - Accent6 23" xfId="34586"/>
    <cellStyle name="40% - Accent6 23 2" xfId="34587"/>
    <cellStyle name="40% - Accent6 23 2 2" xfId="34588"/>
    <cellStyle name="40% - Accent6 23 2 2 2" xfId="34589"/>
    <cellStyle name="40% - Accent6 23 2 2 2 2" xfId="34590"/>
    <cellStyle name="40% - Accent6 23 2 2 2 2 2" xfId="34591"/>
    <cellStyle name="40% - Accent6 23 2 2 2 2 2 2" xfId="34592"/>
    <cellStyle name="40% - Accent6 23 2 2 2 3" xfId="34593"/>
    <cellStyle name="40% - Accent6 23 2 2 2 3 2" xfId="34594"/>
    <cellStyle name="40% - Accent6 23 2 2 3" xfId="34595"/>
    <cellStyle name="40% - Accent6 23 2 2 3 2" xfId="34596"/>
    <cellStyle name="40% - Accent6 23 2 2 3 2 2" xfId="34597"/>
    <cellStyle name="40% - Accent6 23 2 2 4" xfId="34598"/>
    <cellStyle name="40% - Accent6 23 2 2 4 2" xfId="34599"/>
    <cellStyle name="40% - Accent6 23 2 3" xfId="34600"/>
    <cellStyle name="40% - Accent6 23 2 3 2" xfId="34601"/>
    <cellStyle name="40% - Accent6 23 2 3 2 2" xfId="34602"/>
    <cellStyle name="40% - Accent6 23 2 3 2 2 2" xfId="34603"/>
    <cellStyle name="40% - Accent6 23 2 3 3" xfId="34604"/>
    <cellStyle name="40% - Accent6 23 2 3 3 2" xfId="34605"/>
    <cellStyle name="40% - Accent6 23 2 4" xfId="34606"/>
    <cellStyle name="40% - Accent6 23 2 4 2" xfId="34607"/>
    <cellStyle name="40% - Accent6 23 2 4 2 2" xfId="34608"/>
    <cellStyle name="40% - Accent6 23 2 5" xfId="34609"/>
    <cellStyle name="40% - Accent6 23 2 5 2" xfId="34610"/>
    <cellStyle name="40% - Accent6 23 3" xfId="34611"/>
    <cellStyle name="40% - Accent6 23 3 2" xfId="34612"/>
    <cellStyle name="40% - Accent6 23 3 2 2" xfId="34613"/>
    <cellStyle name="40% - Accent6 23 3 2 2 2" xfId="34614"/>
    <cellStyle name="40% - Accent6 23 3 2 2 2 2" xfId="34615"/>
    <cellStyle name="40% - Accent6 23 3 2 3" xfId="34616"/>
    <cellStyle name="40% - Accent6 23 3 2 3 2" xfId="34617"/>
    <cellStyle name="40% - Accent6 23 3 3" xfId="34618"/>
    <cellStyle name="40% - Accent6 23 3 3 2" xfId="34619"/>
    <cellStyle name="40% - Accent6 23 3 3 2 2" xfId="34620"/>
    <cellStyle name="40% - Accent6 23 3 4" xfId="34621"/>
    <cellStyle name="40% - Accent6 23 3 4 2" xfId="34622"/>
    <cellStyle name="40% - Accent6 23 4" xfId="34623"/>
    <cellStyle name="40% - Accent6 23 4 2" xfId="34624"/>
    <cellStyle name="40% - Accent6 23 4 2 2" xfId="34625"/>
    <cellStyle name="40% - Accent6 23 4 2 2 2" xfId="34626"/>
    <cellStyle name="40% - Accent6 23 4 3" xfId="34627"/>
    <cellStyle name="40% - Accent6 23 4 3 2" xfId="34628"/>
    <cellStyle name="40% - Accent6 23 5" xfId="34629"/>
    <cellStyle name="40% - Accent6 23 5 2" xfId="34630"/>
    <cellStyle name="40% - Accent6 23 5 2 2" xfId="34631"/>
    <cellStyle name="40% - Accent6 23 6" xfId="34632"/>
    <cellStyle name="40% - Accent6 23 6 2" xfId="34633"/>
    <cellStyle name="40% - Accent6 23 7" xfId="34634"/>
    <cellStyle name="40% - Accent6 24" xfId="34635"/>
    <cellStyle name="40% - Accent6 24 2" xfId="34636"/>
    <cellStyle name="40% - Accent6 24 2 2" xfId="34637"/>
    <cellStyle name="40% - Accent6 24 2 2 2" xfId="34638"/>
    <cellStyle name="40% - Accent6 24 2 2 2 2" xfId="34639"/>
    <cellStyle name="40% - Accent6 24 2 2 2 2 2" xfId="34640"/>
    <cellStyle name="40% - Accent6 24 2 2 3" xfId="34641"/>
    <cellStyle name="40% - Accent6 24 2 2 3 2" xfId="34642"/>
    <cellStyle name="40% - Accent6 24 2 3" xfId="34643"/>
    <cellStyle name="40% - Accent6 24 2 3 2" xfId="34644"/>
    <cellStyle name="40% - Accent6 24 2 3 2 2" xfId="34645"/>
    <cellStyle name="40% - Accent6 24 2 4" xfId="34646"/>
    <cellStyle name="40% - Accent6 24 2 4 2" xfId="34647"/>
    <cellStyle name="40% - Accent6 24 3" xfId="34648"/>
    <cellStyle name="40% - Accent6 24 3 2" xfId="34649"/>
    <cellStyle name="40% - Accent6 24 3 2 2" xfId="34650"/>
    <cellStyle name="40% - Accent6 24 3 2 2 2" xfId="34651"/>
    <cellStyle name="40% - Accent6 24 3 3" xfId="34652"/>
    <cellStyle name="40% - Accent6 24 3 3 2" xfId="34653"/>
    <cellStyle name="40% - Accent6 24 4" xfId="34654"/>
    <cellStyle name="40% - Accent6 24 4 2" xfId="34655"/>
    <cellStyle name="40% - Accent6 24 4 2 2" xfId="34656"/>
    <cellStyle name="40% - Accent6 24 5" xfId="34657"/>
    <cellStyle name="40% - Accent6 24 5 2" xfId="34658"/>
    <cellStyle name="40% - Accent6 24 6" xfId="34659"/>
    <cellStyle name="40% - Accent6 25" xfId="34660"/>
    <cellStyle name="40% - Accent6 25 2" xfId="34661"/>
    <cellStyle name="40% - Accent6 25 2 2" xfId="34662"/>
    <cellStyle name="40% - Accent6 25 2 2 2" xfId="34663"/>
    <cellStyle name="40% - Accent6 25 2 2 2 2" xfId="34664"/>
    <cellStyle name="40% - Accent6 25 2 2 2 2 2" xfId="34665"/>
    <cellStyle name="40% - Accent6 25 2 2 3" xfId="34666"/>
    <cellStyle name="40% - Accent6 25 2 2 3 2" xfId="34667"/>
    <cellStyle name="40% - Accent6 25 2 3" xfId="34668"/>
    <cellStyle name="40% - Accent6 25 2 3 2" xfId="34669"/>
    <cellStyle name="40% - Accent6 25 2 3 2 2" xfId="34670"/>
    <cellStyle name="40% - Accent6 25 2 4" xfId="34671"/>
    <cellStyle name="40% - Accent6 25 2 4 2" xfId="34672"/>
    <cellStyle name="40% - Accent6 25 3" xfId="34673"/>
    <cellStyle name="40% - Accent6 25 3 2" xfId="34674"/>
    <cellStyle name="40% - Accent6 25 3 2 2" xfId="34675"/>
    <cellStyle name="40% - Accent6 25 3 2 2 2" xfId="34676"/>
    <cellStyle name="40% - Accent6 25 3 3" xfId="34677"/>
    <cellStyle name="40% - Accent6 25 3 3 2" xfId="34678"/>
    <cellStyle name="40% - Accent6 25 4" xfId="34679"/>
    <cellStyle name="40% - Accent6 25 4 2" xfId="34680"/>
    <cellStyle name="40% - Accent6 25 4 2 2" xfId="34681"/>
    <cellStyle name="40% - Accent6 25 5" xfId="34682"/>
    <cellStyle name="40% - Accent6 25 5 2" xfId="34683"/>
    <cellStyle name="40% - Accent6 25 6" xfId="34684"/>
    <cellStyle name="40% - Accent6 26" xfId="34685"/>
    <cellStyle name="40% - Accent6 26 2" xfId="34686"/>
    <cellStyle name="40% - Accent6 26 2 2" xfId="34687"/>
    <cellStyle name="40% - Accent6 26 2 2 2" xfId="34688"/>
    <cellStyle name="40% - Accent6 26 2 2 2 2" xfId="34689"/>
    <cellStyle name="40% - Accent6 26 2 2 2 2 2" xfId="34690"/>
    <cellStyle name="40% - Accent6 26 2 2 3" xfId="34691"/>
    <cellStyle name="40% - Accent6 26 2 2 3 2" xfId="34692"/>
    <cellStyle name="40% - Accent6 26 2 3" xfId="34693"/>
    <cellStyle name="40% - Accent6 26 2 3 2" xfId="34694"/>
    <cellStyle name="40% - Accent6 26 2 3 2 2" xfId="34695"/>
    <cellStyle name="40% - Accent6 26 2 4" xfId="34696"/>
    <cellStyle name="40% - Accent6 26 2 4 2" xfId="34697"/>
    <cellStyle name="40% - Accent6 26 3" xfId="34698"/>
    <cellStyle name="40% - Accent6 26 3 2" xfId="34699"/>
    <cellStyle name="40% - Accent6 26 3 2 2" xfId="34700"/>
    <cellStyle name="40% - Accent6 26 3 2 2 2" xfId="34701"/>
    <cellStyle name="40% - Accent6 26 3 3" xfId="34702"/>
    <cellStyle name="40% - Accent6 26 3 3 2" xfId="34703"/>
    <cellStyle name="40% - Accent6 26 4" xfId="34704"/>
    <cellStyle name="40% - Accent6 26 4 2" xfId="34705"/>
    <cellStyle name="40% - Accent6 26 4 2 2" xfId="34706"/>
    <cellStyle name="40% - Accent6 26 5" xfId="34707"/>
    <cellStyle name="40% - Accent6 26 5 2" xfId="34708"/>
    <cellStyle name="40% - Accent6 26 6" xfId="34709"/>
    <cellStyle name="40% - Accent6 27" xfId="34710"/>
    <cellStyle name="40% - Accent6 27 2" xfId="34711"/>
    <cellStyle name="40% - Accent6 27 2 2" xfId="34712"/>
    <cellStyle name="40% - Accent6 27 2 2 2" xfId="34713"/>
    <cellStyle name="40% - Accent6 27 2 2 2 2" xfId="34714"/>
    <cellStyle name="40% - Accent6 27 2 2 2 2 2" xfId="34715"/>
    <cellStyle name="40% - Accent6 27 2 2 3" xfId="34716"/>
    <cellStyle name="40% - Accent6 27 2 2 3 2" xfId="34717"/>
    <cellStyle name="40% - Accent6 27 2 3" xfId="34718"/>
    <cellStyle name="40% - Accent6 27 2 3 2" xfId="34719"/>
    <cellStyle name="40% - Accent6 27 2 3 2 2" xfId="34720"/>
    <cellStyle name="40% - Accent6 27 2 4" xfId="34721"/>
    <cellStyle name="40% - Accent6 27 2 4 2" xfId="34722"/>
    <cellStyle name="40% - Accent6 27 3" xfId="34723"/>
    <cellStyle name="40% - Accent6 27 3 2" xfId="34724"/>
    <cellStyle name="40% - Accent6 27 3 2 2" xfId="34725"/>
    <cellStyle name="40% - Accent6 27 3 2 2 2" xfId="34726"/>
    <cellStyle name="40% - Accent6 27 3 3" xfId="34727"/>
    <cellStyle name="40% - Accent6 27 3 3 2" xfId="34728"/>
    <cellStyle name="40% - Accent6 27 4" xfId="34729"/>
    <cellStyle name="40% - Accent6 27 4 2" xfId="34730"/>
    <cellStyle name="40% - Accent6 27 4 2 2" xfId="34731"/>
    <cellStyle name="40% - Accent6 27 5" xfId="34732"/>
    <cellStyle name="40% - Accent6 27 5 2" xfId="34733"/>
    <cellStyle name="40% - Accent6 27 6" xfId="34734"/>
    <cellStyle name="40% - Accent6 28" xfId="34735"/>
    <cellStyle name="40% - Accent6 28 2" xfId="34736"/>
    <cellStyle name="40% - Accent6 28 2 2" xfId="34737"/>
    <cellStyle name="40% - Accent6 28 2 2 2" xfId="34738"/>
    <cellStyle name="40% - Accent6 28 2 2 2 2" xfId="34739"/>
    <cellStyle name="40% - Accent6 28 2 3" xfId="34740"/>
    <cellStyle name="40% - Accent6 28 2 3 2" xfId="34741"/>
    <cellStyle name="40% - Accent6 28 3" xfId="34742"/>
    <cellStyle name="40% - Accent6 28 3 2" xfId="34743"/>
    <cellStyle name="40% - Accent6 28 3 2 2" xfId="34744"/>
    <cellStyle name="40% - Accent6 28 4" xfId="34745"/>
    <cellStyle name="40% - Accent6 28 4 2" xfId="34746"/>
    <cellStyle name="40% - Accent6 28 5" xfId="34747"/>
    <cellStyle name="40% - Accent6 29" xfId="34748"/>
    <cellStyle name="40% - Accent6 29 2" xfId="34749"/>
    <cellStyle name="40% - Accent6 29 2 2" xfId="34750"/>
    <cellStyle name="40% - Accent6 29 2 2 2" xfId="34751"/>
    <cellStyle name="40% - Accent6 29 3" xfId="34752"/>
    <cellStyle name="40% - Accent6 29 3 2" xfId="34753"/>
    <cellStyle name="40% - Accent6 29 4" xfId="34754"/>
    <cellStyle name="40% - Accent6 3" xfId="34755"/>
    <cellStyle name="40% - Accent6 3 10" xfId="34756"/>
    <cellStyle name="40% - Accent6 3 10 2" xfId="34757"/>
    <cellStyle name="40% - Accent6 3 10 2 2" xfId="34758"/>
    <cellStyle name="40% - Accent6 3 10 2 2 2" xfId="34759"/>
    <cellStyle name="40% - Accent6 3 10 2 2 2 2" xfId="34760"/>
    <cellStyle name="40% - Accent6 3 10 2 2 2 2 2" xfId="34761"/>
    <cellStyle name="40% - Accent6 3 10 2 2 2 2 2 2" xfId="34762"/>
    <cellStyle name="40% - Accent6 3 10 2 2 2 3" xfId="34763"/>
    <cellStyle name="40% - Accent6 3 10 2 2 2 3 2" xfId="34764"/>
    <cellStyle name="40% - Accent6 3 10 2 2 3" xfId="34765"/>
    <cellStyle name="40% - Accent6 3 10 2 2 3 2" xfId="34766"/>
    <cellStyle name="40% - Accent6 3 10 2 2 3 2 2" xfId="34767"/>
    <cellStyle name="40% - Accent6 3 10 2 2 4" xfId="34768"/>
    <cellStyle name="40% - Accent6 3 10 2 2 4 2" xfId="34769"/>
    <cellStyle name="40% - Accent6 3 10 2 3" xfId="34770"/>
    <cellStyle name="40% - Accent6 3 10 2 3 2" xfId="34771"/>
    <cellStyle name="40% - Accent6 3 10 2 3 2 2" xfId="34772"/>
    <cellStyle name="40% - Accent6 3 10 2 3 2 2 2" xfId="34773"/>
    <cellStyle name="40% - Accent6 3 10 2 3 3" xfId="34774"/>
    <cellStyle name="40% - Accent6 3 10 2 3 3 2" xfId="34775"/>
    <cellStyle name="40% - Accent6 3 10 2 4" xfId="34776"/>
    <cellStyle name="40% - Accent6 3 10 2 4 2" xfId="34777"/>
    <cellStyle name="40% - Accent6 3 10 2 4 2 2" xfId="34778"/>
    <cellStyle name="40% - Accent6 3 10 2 5" xfId="34779"/>
    <cellStyle name="40% - Accent6 3 10 2 5 2" xfId="34780"/>
    <cellStyle name="40% - Accent6 3 10 3" xfId="34781"/>
    <cellStyle name="40% - Accent6 3 10 3 2" xfId="34782"/>
    <cellStyle name="40% - Accent6 3 10 3 2 2" xfId="34783"/>
    <cellStyle name="40% - Accent6 3 10 3 2 2 2" xfId="34784"/>
    <cellStyle name="40% - Accent6 3 10 3 2 2 2 2" xfId="34785"/>
    <cellStyle name="40% - Accent6 3 10 3 2 3" xfId="34786"/>
    <cellStyle name="40% - Accent6 3 10 3 2 3 2" xfId="34787"/>
    <cellStyle name="40% - Accent6 3 10 3 3" xfId="34788"/>
    <cellStyle name="40% - Accent6 3 10 3 3 2" xfId="34789"/>
    <cellStyle name="40% - Accent6 3 10 3 3 2 2" xfId="34790"/>
    <cellStyle name="40% - Accent6 3 10 3 4" xfId="34791"/>
    <cellStyle name="40% - Accent6 3 10 3 4 2" xfId="34792"/>
    <cellStyle name="40% - Accent6 3 10 4" xfId="34793"/>
    <cellStyle name="40% - Accent6 3 10 4 2" xfId="34794"/>
    <cellStyle name="40% - Accent6 3 10 4 2 2" xfId="34795"/>
    <cellStyle name="40% - Accent6 3 10 4 2 2 2" xfId="34796"/>
    <cellStyle name="40% - Accent6 3 10 4 3" xfId="34797"/>
    <cellStyle name="40% - Accent6 3 10 4 3 2" xfId="34798"/>
    <cellStyle name="40% - Accent6 3 10 5" xfId="34799"/>
    <cellStyle name="40% - Accent6 3 10 5 2" xfId="34800"/>
    <cellStyle name="40% - Accent6 3 10 5 2 2" xfId="34801"/>
    <cellStyle name="40% - Accent6 3 10 6" xfId="34802"/>
    <cellStyle name="40% - Accent6 3 10 6 2" xfId="34803"/>
    <cellStyle name="40% - Accent6 3 10 7" xfId="34804"/>
    <cellStyle name="40% - Accent6 3 10 8" xfId="34805"/>
    <cellStyle name="40% - Accent6 3 10 9" xfId="34806"/>
    <cellStyle name="40% - Accent6 3 11" xfId="34807"/>
    <cellStyle name="40% - Accent6 3 11 2" xfId="34808"/>
    <cellStyle name="40% - Accent6 3 11 2 2" xfId="34809"/>
    <cellStyle name="40% - Accent6 3 11 2 2 2" xfId="34810"/>
    <cellStyle name="40% - Accent6 3 11 2 2 2 2" xfId="34811"/>
    <cellStyle name="40% - Accent6 3 11 2 2 2 2 2" xfId="34812"/>
    <cellStyle name="40% - Accent6 3 11 2 2 2 2 2 2" xfId="34813"/>
    <cellStyle name="40% - Accent6 3 11 2 2 2 3" xfId="34814"/>
    <cellStyle name="40% - Accent6 3 11 2 2 2 3 2" xfId="34815"/>
    <cellStyle name="40% - Accent6 3 11 2 2 3" xfId="34816"/>
    <cellStyle name="40% - Accent6 3 11 2 2 3 2" xfId="34817"/>
    <cellStyle name="40% - Accent6 3 11 2 2 3 2 2" xfId="34818"/>
    <cellStyle name="40% - Accent6 3 11 2 2 4" xfId="34819"/>
    <cellStyle name="40% - Accent6 3 11 2 2 4 2" xfId="34820"/>
    <cellStyle name="40% - Accent6 3 11 2 3" xfId="34821"/>
    <cellStyle name="40% - Accent6 3 11 2 3 2" xfId="34822"/>
    <cellStyle name="40% - Accent6 3 11 2 3 2 2" xfId="34823"/>
    <cellStyle name="40% - Accent6 3 11 2 3 2 2 2" xfId="34824"/>
    <cellStyle name="40% - Accent6 3 11 2 3 3" xfId="34825"/>
    <cellStyle name="40% - Accent6 3 11 2 3 3 2" xfId="34826"/>
    <cellStyle name="40% - Accent6 3 11 2 4" xfId="34827"/>
    <cellStyle name="40% - Accent6 3 11 2 4 2" xfId="34828"/>
    <cellStyle name="40% - Accent6 3 11 2 4 2 2" xfId="34829"/>
    <cellStyle name="40% - Accent6 3 11 2 5" xfId="34830"/>
    <cellStyle name="40% - Accent6 3 11 2 5 2" xfId="34831"/>
    <cellStyle name="40% - Accent6 3 11 3" xfId="34832"/>
    <cellStyle name="40% - Accent6 3 11 3 2" xfId="34833"/>
    <cellStyle name="40% - Accent6 3 11 3 2 2" xfId="34834"/>
    <cellStyle name="40% - Accent6 3 11 3 2 2 2" xfId="34835"/>
    <cellStyle name="40% - Accent6 3 11 3 2 2 2 2" xfId="34836"/>
    <cellStyle name="40% - Accent6 3 11 3 2 3" xfId="34837"/>
    <cellStyle name="40% - Accent6 3 11 3 2 3 2" xfId="34838"/>
    <cellStyle name="40% - Accent6 3 11 3 3" xfId="34839"/>
    <cellStyle name="40% - Accent6 3 11 3 3 2" xfId="34840"/>
    <cellStyle name="40% - Accent6 3 11 3 3 2 2" xfId="34841"/>
    <cellStyle name="40% - Accent6 3 11 3 4" xfId="34842"/>
    <cellStyle name="40% - Accent6 3 11 3 4 2" xfId="34843"/>
    <cellStyle name="40% - Accent6 3 11 4" xfId="34844"/>
    <cellStyle name="40% - Accent6 3 11 4 2" xfId="34845"/>
    <cellStyle name="40% - Accent6 3 11 4 2 2" xfId="34846"/>
    <cellStyle name="40% - Accent6 3 11 4 2 2 2" xfId="34847"/>
    <cellStyle name="40% - Accent6 3 11 4 3" xfId="34848"/>
    <cellStyle name="40% - Accent6 3 11 4 3 2" xfId="34849"/>
    <cellStyle name="40% - Accent6 3 11 5" xfId="34850"/>
    <cellStyle name="40% - Accent6 3 11 5 2" xfId="34851"/>
    <cellStyle name="40% - Accent6 3 11 5 2 2" xfId="34852"/>
    <cellStyle name="40% - Accent6 3 11 6" xfId="34853"/>
    <cellStyle name="40% - Accent6 3 11 6 2" xfId="34854"/>
    <cellStyle name="40% - Accent6 3 11 7" xfId="34855"/>
    <cellStyle name="40% - Accent6 3 12" xfId="34856"/>
    <cellStyle name="40% - Accent6 3 12 2" xfId="34857"/>
    <cellStyle name="40% - Accent6 3 12 2 2" xfId="34858"/>
    <cellStyle name="40% - Accent6 3 12 2 2 2" xfId="34859"/>
    <cellStyle name="40% - Accent6 3 12 2 2 2 2" xfId="34860"/>
    <cellStyle name="40% - Accent6 3 12 2 2 2 2 2" xfId="34861"/>
    <cellStyle name="40% - Accent6 3 12 2 2 2 2 2 2" xfId="34862"/>
    <cellStyle name="40% - Accent6 3 12 2 2 2 3" xfId="34863"/>
    <cellStyle name="40% - Accent6 3 12 2 2 2 3 2" xfId="34864"/>
    <cellStyle name="40% - Accent6 3 12 2 2 3" xfId="34865"/>
    <cellStyle name="40% - Accent6 3 12 2 2 3 2" xfId="34866"/>
    <cellStyle name="40% - Accent6 3 12 2 2 3 2 2" xfId="34867"/>
    <cellStyle name="40% - Accent6 3 12 2 2 4" xfId="34868"/>
    <cellStyle name="40% - Accent6 3 12 2 2 4 2" xfId="34869"/>
    <cellStyle name="40% - Accent6 3 12 2 3" xfId="34870"/>
    <cellStyle name="40% - Accent6 3 12 2 3 2" xfId="34871"/>
    <cellStyle name="40% - Accent6 3 12 2 3 2 2" xfId="34872"/>
    <cellStyle name="40% - Accent6 3 12 2 3 2 2 2" xfId="34873"/>
    <cellStyle name="40% - Accent6 3 12 2 3 3" xfId="34874"/>
    <cellStyle name="40% - Accent6 3 12 2 3 3 2" xfId="34875"/>
    <cellStyle name="40% - Accent6 3 12 2 4" xfId="34876"/>
    <cellStyle name="40% - Accent6 3 12 2 4 2" xfId="34877"/>
    <cellStyle name="40% - Accent6 3 12 2 4 2 2" xfId="34878"/>
    <cellStyle name="40% - Accent6 3 12 2 5" xfId="34879"/>
    <cellStyle name="40% - Accent6 3 12 2 5 2" xfId="34880"/>
    <cellStyle name="40% - Accent6 3 12 3" xfId="34881"/>
    <cellStyle name="40% - Accent6 3 12 3 2" xfId="34882"/>
    <cellStyle name="40% - Accent6 3 12 3 2 2" xfId="34883"/>
    <cellStyle name="40% - Accent6 3 12 3 2 2 2" xfId="34884"/>
    <cellStyle name="40% - Accent6 3 12 3 2 2 2 2" xfId="34885"/>
    <cellStyle name="40% - Accent6 3 12 3 2 3" xfId="34886"/>
    <cellStyle name="40% - Accent6 3 12 3 2 3 2" xfId="34887"/>
    <cellStyle name="40% - Accent6 3 12 3 3" xfId="34888"/>
    <cellStyle name="40% - Accent6 3 12 3 3 2" xfId="34889"/>
    <cellStyle name="40% - Accent6 3 12 3 3 2 2" xfId="34890"/>
    <cellStyle name="40% - Accent6 3 12 3 4" xfId="34891"/>
    <cellStyle name="40% - Accent6 3 12 3 4 2" xfId="34892"/>
    <cellStyle name="40% - Accent6 3 12 4" xfId="34893"/>
    <cellStyle name="40% - Accent6 3 12 4 2" xfId="34894"/>
    <cellStyle name="40% - Accent6 3 12 4 2 2" xfId="34895"/>
    <cellStyle name="40% - Accent6 3 12 4 2 2 2" xfId="34896"/>
    <cellStyle name="40% - Accent6 3 12 4 3" xfId="34897"/>
    <cellStyle name="40% - Accent6 3 12 4 3 2" xfId="34898"/>
    <cellStyle name="40% - Accent6 3 12 5" xfId="34899"/>
    <cellStyle name="40% - Accent6 3 12 5 2" xfId="34900"/>
    <cellStyle name="40% - Accent6 3 12 5 2 2" xfId="34901"/>
    <cellStyle name="40% - Accent6 3 12 6" xfId="34902"/>
    <cellStyle name="40% - Accent6 3 12 6 2" xfId="34903"/>
    <cellStyle name="40% - Accent6 3 13" xfId="34904"/>
    <cellStyle name="40% - Accent6 3 13 2" xfId="34905"/>
    <cellStyle name="40% - Accent6 3 13 2 2" xfId="34906"/>
    <cellStyle name="40% - Accent6 3 13 2 2 2" xfId="34907"/>
    <cellStyle name="40% - Accent6 3 13 2 2 2 2" xfId="34908"/>
    <cellStyle name="40% - Accent6 3 13 2 2 2 2 2" xfId="34909"/>
    <cellStyle name="40% - Accent6 3 13 2 2 2 2 2 2" xfId="34910"/>
    <cellStyle name="40% - Accent6 3 13 2 2 2 3" xfId="34911"/>
    <cellStyle name="40% - Accent6 3 13 2 2 2 3 2" xfId="34912"/>
    <cellStyle name="40% - Accent6 3 13 2 2 3" xfId="34913"/>
    <cellStyle name="40% - Accent6 3 13 2 2 3 2" xfId="34914"/>
    <cellStyle name="40% - Accent6 3 13 2 2 3 2 2" xfId="34915"/>
    <cellStyle name="40% - Accent6 3 13 2 2 4" xfId="34916"/>
    <cellStyle name="40% - Accent6 3 13 2 2 4 2" xfId="34917"/>
    <cellStyle name="40% - Accent6 3 13 2 3" xfId="34918"/>
    <cellStyle name="40% - Accent6 3 13 2 3 2" xfId="34919"/>
    <cellStyle name="40% - Accent6 3 13 2 3 2 2" xfId="34920"/>
    <cellStyle name="40% - Accent6 3 13 2 3 2 2 2" xfId="34921"/>
    <cellStyle name="40% - Accent6 3 13 2 3 3" xfId="34922"/>
    <cellStyle name="40% - Accent6 3 13 2 3 3 2" xfId="34923"/>
    <cellStyle name="40% - Accent6 3 13 2 4" xfId="34924"/>
    <cellStyle name="40% - Accent6 3 13 2 4 2" xfId="34925"/>
    <cellStyle name="40% - Accent6 3 13 2 4 2 2" xfId="34926"/>
    <cellStyle name="40% - Accent6 3 13 2 5" xfId="34927"/>
    <cellStyle name="40% - Accent6 3 13 2 5 2" xfId="34928"/>
    <cellStyle name="40% - Accent6 3 13 3" xfId="34929"/>
    <cellStyle name="40% - Accent6 3 13 3 2" xfId="34930"/>
    <cellStyle name="40% - Accent6 3 13 3 2 2" xfId="34931"/>
    <cellStyle name="40% - Accent6 3 13 3 2 2 2" xfId="34932"/>
    <cellStyle name="40% - Accent6 3 13 3 2 2 2 2" xfId="34933"/>
    <cellStyle name="40% - Accent6 3 13 3 2 3" xfId="34934"/>
    <cellStyle name="40% - Accent6 3 13 3 2 3 2" xfId="34935"/>
    <cellStyle name="40% - Accent6 3 13 3 3" xfId="34936"/>
    <cellStyle name="40% - Accent6 3 13 3 3 2" xfId="34937"/>
    <cellStyle name="40% - Accent6 3 13 3 3 2 2" xfId="34938"/>
    <cellStyle name="40% - Accent6 3 13 3 4" xfId="34939"/>
    <cellStyle name="40% - Accent6 3 13 3 4 2" xfId="34940"/>
    <cellStyle name="40% - Accent6 3 13 4" xfId="34941"/>
    <cellStyle name="40% - Accent6 3 13 4 2" xfId="34942"/>
    <cellStyle name="40% - Accent6 3 13 4 2 2" xfId="34943"/>
    <cellStyle name="40% - Accent6 3 13 4 2 2 2" xfId="34944"/>
    <cellStyle name="40% - Accent6 3 13 4 3" xfId="34945"/>
    <cellStyle name="40% - Accent6 3 13 4 3 2" xfId="34946"/>
    <cellStyle name="40% - Accent6 3 13 5" xfId="34947"/>
    <cellStyle name="40% - Accent6 3 13 5 2" xfId="34948"/>
    <cellStyle name="40% - Accent6 3 13 5 2 2" xfId="34949"/>
    <cellStyle name="40% - Accent6 3 13 6" xfId="34950"/>
    <cellStyle name="40% - Accent6 3 13 6 2" xfId="34951"/>
    <cellStyle name="40% - Accent6 3 14" xfId="34952"/>
    <cellStyle name="40% - Accent6 3 14 2" xfId="34953"/>
    <cellStyle name="40% - Accent6 3 14 2 2" xfId="34954"/>
    <cellStyle name="40% - Accent6 3 14 2 2 2" xfId="34955"/>
    <cellStyle name="40% - Accent6 3 14 2 2 2 2" xfId="34956"/>
    <cellStyle name="40% - Accent6 3 14 2 2 2 2 2" xfId="34957"/>
    <cellStyle name="40% - Accent6 3 14 2 2 3" xfId="34958"/>
    <cellStyle name="40% - Accent6 3 14 2 2 3 2" xfId="34959"/>
    <cellStyle name="40% - Accent6 3 14 2 3" xfId="34960"/>
    <cellStyle name="40% - Accent6 3 14 2 3 2" xfId="34961"/>
    <cellStyle name="40% - Accent6 3 14 2 3 2 2" xfId="34962"/>
    <cellStyle name="40% - Accent6 3 14 2 4" xfId="34963"/>
    <cellStyle name="40% - Accent6 3 14 2 4 2" xfId="34964"/>
    <cellStyle name="40% - Accent6 3 14 3" xfId="34965"/>
    <cellStyle name="40% - Accent6 3 14 3 2" xfId="34966"/>
    <cellStyle name="40% - Accent6 3 14 3 2 2" xfId="34967"/>
    <cellStyle name="40% - Accent6 3 14 3 2 2 2" xfId="34968"/>
    <cellStyle name="40% - Accent6 3 14 3 3" xfId="34969"/>
    <cellStyle name="40% - Accent6 3 14 3 3 2" xfId="34970"/>
    <cellStyle name="40% - Accent6 3 14 4" xfId="34971"/>
    <cellStyle name="40% - Accent6 3 14 4 2" xfId="34972"/>
    <cellStyle name="40% - Accent6 3 14 4 2 2" xfId="34973"/>
    <cellStyle name="40% - Accent6 3 14 5" xfId="34974"/>
    <cellStyle name="40% - Accent6 3 14 5 2" xfId="34975"/>
    <cellStyle name="40% - Accent6 3 15" xfId="34976"/>
    <cellStyle name="40% - Accent6 3 15 2" xfId="34977"/>
    <cellStyle name="40% - Accent6 3 15 2 2" xfId="34978"/>
    <cellStyle name="40% - Accent6 3 15 2 2 2" xfId="34979"/>
    <cellStyle name="40% - Accent6 3 15 2 2 2 2" xfId="34980"/>
    <cellStyle name="40% - Accent6 3 15 2 3" xfId="34981"/>
    <cellStyle name="40% - Accent6 3 15 2 3 2" xfId="34982"/>
    <cellStyle name="40% - Accent6 3 15 3" xfId="34983"/>
    <cellStyle name="40% - Accent6 3 15 3 2" xfId="34984"/>
    <cellStyle name="40% - Accent6 3 15 3 2 2" xfId="34985"/>
    <cellStyle name="40% - Accent6 3 15 4" xfId="34986"/>
    <cellStyle name="40% - Accent6 3 15 4 2" xfId="34987"/>
    <cellStyle name="40% - Accent6 3 16" xfId="34988"/>
    <cellStyle name="40% - Accent6 3 16 2" xfId="34989"/>
    <cellStyle name="40% - Accent6 3 16 2 2" xfId="34990"/>
    <cellStyle name="40% - Accent6 3 16 2 2 2" xfId="34991"/>
    <cellStyle name="40% - Accent6 3 16 3" xfId="34992"/>
    <cellStyle name="40% - Accent6 3 16 3 2" xfId="34993"/>
    <cellStyle name="40% - Accent6 3 17" xfId="34994"/>
    <cellStyle name="40% - Accent6 3 17 2" xfId="34995"/>
    <cellStyle name="40% - Accent6 3 17 2 2" xfId="34996"/>
    <cellStyle name="40% - Accent6 3 18" xfId="34997"/>
    <cellStyle name="40% - Accent6 3 18 2" xfId="34998"/>
    <cellStyle name="40% - Accent6 3 19" xfId="34999"/>
    <cellStyle name="40% - Accent6 3 2" xfId="35000"/>
    <cellStyle name="40% - Accent6 3 2 10" xfId="35001"/>
    <cellStyle name="40% - Accent6 3 2 11" xfId="35002"/>
    <cellStyle name="40% - Accent6 3 2 2" xfId="35003"/>
    <cellStyle name="40% - Accent6 3 2 2 2" xfId="35004"/>
    <cellStyle name="40% - Accent6 3 2 2 2 2" xfId="35005"/>
    <cellStyle name="40% - Accent6 3 2 2 2 2 2" xfId="35006"/>
    <cellStyle name="40% - Accent6 3 2 2 2 2 2 2" xfId="35007"/>
    <cellStyle name="40% - Accent6 3 2 2 2 2 2 2 2" xfId="35008"/>
    <cellStyle name="40% - Accent6 3 2 2 2 2 3" xfId="35009"/>
    <cellStyle name="40% - Accent6 3 2 2 2 2 3 2" xfId="35010"/>
    <cellStyle name="40% - Accent6 3 2 2 2 3" xfId="35011"/>
    <cellStyle name="40% - Accent6 3 2 2 2 3 2" xfId="35012"/>
    <cellStyle name="40% - Accent6 3 2 2 2 3 2 2" xfId="35013"/>
    <cellStyle name="40% - Accent6 3 2 2 2 4" xfId="35014"/>
    <cellStyle name="40% - Accent6 3 2 2 2 4 2" xfId="35015"/>
    <cellStyle name="40% - Accent6 3 2 2 3" xfId="35016"/>
    <cellStyle name="40% - Accent6 3 2 2 3 2" xfId="35017"/>
    <cellStyle name="40% - Accent6 3 2 2 3 2 2" xfId="35018"/>
    <cellStyle name="40% - Accent6 3 2 2 3 2 2 2" xfId="35019"/>
    <cellStyle name="40% - Accent6 3 2 2 3 3" xfId="35020"/>
    <cellStyle name="40% - Accent6 3 2 2 3 3 2" xfId="35021"/>
    <cellStyle name="40% - Accent6 3 2 2 4" xfId="35022"/>
    <cellStyle name="40% - Accent6 3 2 2 4 2" xfId="35023"/>
    <cellStyle name="40% - Accent6 3 2 2 4 2 2" xfId="35024"/>
    <cellStyle name="40% - Accent6 3 2 2 5" xfId="35025"/>
    <cellStyle name="40% - Accent6 3 2 2 5 2" xfId="35026"/>
    <cellStyle name="40% - Accent6 3 2 2 6" xfId="35027"/>
    <cellStyle name="40% - Accent6 3 2 2 7" xfId="35028"/>
    <cellStyle name="40% - Accent6 3 2 2 8" xfId="35029"/>
    <cellStyle name="40% - Accent6 3 2 3" xfId="35030"/>
    <cellStyle name="40% - Accent6 3 2 3 2" xfId="35031"/>
    <cellStyle name="40% - Accent6 3 2 3 2 2" xfId="35032"/>
    <cellStyle name="40% - Accent6 3 2 3 2 2 2" xfId="35033"/>
    <cellStyle name="40% - Accent6 3 2 3 2 2 2 2" xfId="35034"/>
    <cellStyle name="40% - Accent6 3 2 3 2 3" xfId="35035"/>
    <cellStyle name="40% - Accent6 3 2 3 2 3 2" xfId="35036"/>
    <cellStyle name="40% - Accent6 3 2 3 3" xfId="35037"/>
    <cellStyle name="40% - Accent6 3 2 3 3 2" xfId="35038"/>
    <cellStyle name="40% - Accent6 3 2 3 3 2 2" xfId="35039"/>
    <cellStyle name="40% - Accent6 3 2 3 4" xfId="35040"/>
    <cellStyle name="40% - Accent6 3 2 3 4 2" xfId="35041"/>
    <cellStyle name="40% - Accent6 3 2 3 5" xfId="35042"/>
    <cellStyle name="40% - Accent6 3 2 3 6" xfId="35043"/>
    <cellStyle name="40% - Accent6 3 2 3 7" xfId="35044"/>
    <cellStyle name="40% - Accent6 3 2 4" xfId="35045"/>
    <cellStyle name="40% - Accent6 3 2 4 2" xfId="35046"/>
    <cellStyle name="40% - Accent6 3 2 4 2 2" xfId="35047"/>
    <cellStyle name="40% - Accent6 3 2 4 2 2 2" xfId="35048"/>
    <cellStyle name="40% - Accent6 3 2 4 3" xfId="35049"/>
    <cellStyle name="40% - Accent6 3 2 4 3 2" xfId="35050"/>
    <cellStyle name="40% - Accent6 3 2 4 4" xfId="35051"/>
    <cellStyle name="40% - Accent6 3 2 5" xfId="35052"/>
    <cellStyle name="40% - Accent6 3 2 5 2" xfId="35053"/>
    <cellStyle name="40% - Accent6 3 2 5 2 2" xfId="35054"/>
    <cellStyle name="40% - Accent6 3 2 6" xfId="35055"/>
    <cellStyle name="40% - Accent6 3 2 6 2" xfId="35056"/>
    <cellStyle name="40% - Accent6 3 2 7" xfId="35057"/>
    <cellStyle name="40% - Accent6 3 2 8" xfId="35058"/>
    <cellStyle name="40% - Accent6 3 2 9" xfId="35059"/>
    <cellStyle name="40% - Accent6 3 20" xfId="35060"/>
    <cellStyle name="40% - Accent6 3 21" xfId="35061"/>
    <cellStyle name="40% - Accent6 3 22" xfId="35062"/>
    <cellStyle name="40% - Accent6 3 3" xfId="35063"/>
    <cellStyle name="40% - Accent6 3 3 10" xfId="35064"/>
    <cellStyle name="40% - Accent6 3 3 11" xfId="35065"/>
    <cellStyle name="40% - Accent6 3 3 2" xfId="35066"/>
    <cellStyle name="40% - Accent6 3 3 2 2" xfId="35067"/>
    <cellStyle name="40% - Accent6 3 3 2 2 2" xfId="35068"/>
    <cellStyle name="40% - Accent6 3 3 2 2 2 2" xfId="35069"/>
    <cellStyle name="40% - Accent6 3 3 2 2 2 2 2" xfId="35070"/>
    <cellStyle name="40% - Accent6 3 3 2 2 2 2 2 2" xfId="35071"/>
    <cellStyle name="40% - Accent6 3 3 2 2 2 3" xfId="35072"/>
    <cellStyle name="40% - Accent6 3 3 2 2 2 3 2" xfId="35073"/>
    <cellStyle name="40% - Accent6 3 3 2 2 3" xfId="35074"/>
    <cellStyle name="40% - Accent6 3 3 2 2 3 2" xfId="35075"/>
    <cellStyle name="40% - Accent6 3 3 2 2 3 2 2" xfId="35076"/>
    <cellStyle name="40% - Accent6 3 3 2 2 4" xfId="35077"/>
    <cellStyle name="40% - Accent6 3 3 2 2 4 2" xfId="35078"/>
    <cellStyle name="40% - Accent6 3 3 2 3" xfId="35079"/>
    <cellStyle name="40% - Accent6 3 3 2 3 2" xfId="35080"/>
    <cellStyle name="40% - Accent6 3 3 2 3 2 2" xfId="35081"/>
    <cellStyle name="40% - Accent6 3 3 2 3 2 2 2" xfId="35082"/>
    <cellStyle name="40% - Accent6 3 3 2 3 3" xfId="35083"/>
    <cellStyle name="40% - Accent6 3 3 2 3 3 2" xfId="35084"/>
    <cellStyle name="40% - Accent6 3 3 2 4" xfId="35085"/>
    <cellStyle name="40% - Accent6 3 3 2 4 2" xfId="35086"/>
    <cellStyle name="40% - Accent6 3 3 2 4 2 2" xfId="35087"/>
    <cellStyle name="40% - Accent6 3 3 2 5" xfId="35088"/>
    <cellStyle name="40% - Accent6 3 3 2 5 2" xfId="35089"/>
    <cellStyle name="40% - Accent6 3 3 2 6" xfId="35090"/>
    <cellStyle name="40% - Accent6 3 3 2 7" xfId="35091"/>
    <cellStyle name="40% - Accent6 3 3 2 8" xfId="35092"/>
    <cellStyle name="40% - Accent6 3 3 3" xfId="35093"/>
    <cellStyle name="40% - Accent6 3 3 3 2" xfId="35094"/>
    <cellStyle name="40% - Accent6 3 3 3 2 2" xfId="35095"/>
    <cellStyle name="40% - Accent6 3 3 3 2 2 2" xfId="35096"/>
    <cellStyle name="40% - Accent6 3 3 3 2 2 2 2" xfId="35097"/>
    <cellStyle name="40% - Accent6 3 3 3 2 3" xfId="35098"/>
    <cellStyle name="40% - Accent6 3 3 3 2 3 2" xfId="35099"/>
    <cellStyle name="40% - Accent6 3 3 3 3" xfId="35100"/>
    <cellStyle name="40% - Accent6 3 3 3 3 2" xfId="35101"/>
    <cellStyle name="40% - Accent6 3 3 3 3 2 2" xfId="35102"/>
    <cellStyle name="40% - Accent6 3 3 3 4" xfId="35103"/>
    <cellStyle name="40% - Accent6 3 3 3 4 2" xfId="35104"/>
    <cellStyle name="40% - Accent6 3 3 3 5" xfId="35105"/>
    <cellStyle name="40% - Accent6 3 3 3 6" xfId="35106"/>
    <cellStyle name="40% - Accent6 3 3 3 7" xfId="35107"/>
    <cellStyle name="40% - Accent6 3 3 4" xfId="35108"/>
    <cellStyle name="40% - Accent6 3 3 4 2" xfId="35109"/>
    <cellStyle name="40% - Accent6 3 3 4 2 2" xfId="35110"/>
    <cellStyle name="40% - Accent6 3 3 4 2 2 2" xfId="35111"/>
    <cellStyle name="40% - Accent6 3 3 4 3" xfId="35112"/>
    <cellStyle name="40% - Accent6 3 3 4 3 2" xfId="35113"/>
    <cellStyle name="40% - Accent6 3 3 4 4" xfId="35114"/>
    <cellStyle name="40% - Accent6 3 3 5" xfId="35115"/>
    <cellStyle name="40% - Accent6 3 3 5 2" xfId="35116"/>
    <cellStyle name="40% - Accent6 3 3 5 2 2" xfId="35117"/>
    <cellStyle name="40% - Accent6 3 3 6" xfId="35118"/>
    <cellStyle name="40% - Accent6 3 3 6 2" xfId="35119"/>
    <cellStyle name="40% - Accent6 3 3 7" xfId="35120"/>
    <cellStyle name="40% - Accent6 3 3 8" xfId="35121"/>
    <cellStyle name="40% - Accent6 3 3 9" xfId="35122"/>
    <cellStyle name="40% - Accent6 3 4" xfId="35123"/>
    <cellStyle name="40% - Accent6 3 4 2" xfId="35124"/>
    <cellStyle name="40% - Accent6 3 4 2 2" xfId="35125"/>
    <cellStyle name="40% - Accent6 3 4 2 2 2" xfId="35126"/>
    <cellStyle name="40% - Accent6 3 4 2 2 2 2" xfId="35127"/>
    <cellStyle name="40% - Accent6 3 4 2 2 2 2 2" xfId="35128"/>
    <cellStyle name="40% - Accent6 3 4 2 2 2 2 2 2" xfId="35129"/>
    <cellStyle name="40% - Accent6 3 4 2 2 2 3" xfId="35130"/>
    <cellStyle name="40% - Accent6 3 4 2 2 2 3 2" xfId="35131"/>
    <cellStyle name="40% - Accent6 3 4 2 2 3" xfId="35132"/>
    <cellStyle name="40% - Accent6 3 4 2 2 3 2" xfId="35133"/>
    <cellStyle name="40% - Accent6 3 4 2 2 3 2 2" xfId="35134"/>
    <cellStyle name="40% - Accent6 3 4 2 2 4" xfId="35135"/>
    <cellStyle name="40% - Accent6 3 4 2 2 4 2" xfId="35136"/>
    <cellStyle name="40% - Accent6 3 4 2 3" xfId="35137"/>
    <cellStyle name="40% - Accent6 3 4 2 3 2" xfId="35138"/>
    <cellStyle name="40% - Accent6 3 4 2 3 2 2" xfId="35139"/>
    <cellStyle name="40% - Accent6 3 4 2 3 2 2 2" xfId="35140"/>
    <cellStyle name="40% - Accent6 3 4 2 3 3" xfId="35141"/>
    <cellStyle name="40% - Accent6 3 4 2 3 3 2" xfId="35142"/>
    <cellStyle name="40% - Accent6 3 4 2 4" xfId="35143"/>
    <cellStyle name="40% - Accent6 3 4 2 4 2" xfId="35144"/>
    <cellStyle name="40% - Accent6 3 4 2 4 2 2" xfId="35145"/>
    <cellStyle name="40% - Accent6 3 4 2 5" xfId="35146"/>
    <cellStyle name="40% - Accent6 3 4 2 5 2" xfId="35147"/>
    <cellStyle name="40% - Accent6 3 4 3" xfId="35148"/>
    <cellStyle name="40% - Accent6 3 4 3 2" xfId="35149"/>
    <cellStyle name="40% - Accent6 3 4 3 2 2" xfId="35150"/>
    <cellStyle name="40% - Accent6 3 4 3 2 2 2" xfId="35151"/>
    <cellStyle name="40% - Accent6 3 4 3 2 2 2 2" xfId="35152"/>
    <cellStyle name="40% - Accent6 3 4 3 2 3" xfId="35153"/>
    <cellStyle name="40% - Accent6 3 4 3 2 3 2" xfId="35154"/>
    <cellStyle name="40% - Accent6 3 4 3 3" xfId="35155"/>
    <cellStyle name="40% - Accent6 3 4 3 3 2" xfId="35156"/>
    <cellStyle name="40% - Accent6 3 4 3 3 2 2" xfId="35157"/>
    <cellStyle name="40% - Accent6 3 4 3 4" xfId="35158"/>
    <cellStyle name="40% - Accent6 3 4 3 4 2" xfId="35159"/>
    <cellStyle name="40% - Accent6 3 4 4" xfId="35160"/>
    <cellStyle name="40% - Accent6 3 4 4 2" xfId="35161"/>
    <cellStyle name="40% - Accent6 3 4 4 2 2" xfId="35162"/>
    <cellStyle name="40% - Accent6 3 4 4 2 2 2" xfId="35163"/>
    <cellStyle name="40% - Accent6 3 4 4 3" xfId="35164"/>
    <cellStyle name="40% - Accent6 3 4 4 3 2" xfId="35165"/>
    <cellStyle name="40% - Accent6 3 4 5" xfId="35166"/>
    <cellStyle name="40% - Accent6 3 4 5 2" xfId="35167"/>
    <cellStyle name="40% - Accent6 3 4 5 2 2" xfId="35168"/>
    <cellStyle name="40% - Accent6 3 4 6" xfId="35169"/>
    <cellStyle name="40% - Accent6 3 4 6 2" xfId="35170"/>
    <cellStyle name="40% - Accent6 3 4 7" xfId="35171"/>
    <cellStyle name="40% - Accent6 3 5" xfId="35172"/>
    <cellStyle name="40% - Accent6 3 5 2" xfId="35173"/>
    <cellStyle name="40% - Accent6 3 5 2 2" xfId="35174"/>
    <cellStyle name="40% - Accent6 3 5 2 2 2" xfId="35175"/>
    <cellStyle name="40% - Accent6 3 5 2 2 2 2" xfId="35176"/>
    <cellStyle name="40% - Accent6 3 5 2 2 2 2 2" xfId="35177"/>
    <cellStyle name="40% - Accent6 3 5 2 2 2 2 2 2" xfId="35178"/>
    <cellStyle name="40% - Accent6 3 5 2 2 2 3" xfId="35179"/>
    <cellStyle name="40% - Accent6 3 5 2 2 2 3 2" xfId="35180"/>
    <cellStyle name="40% - Accent6 3 5 2 2 3" xfId="35181"/>
    <cellStyle name="40% - Accent6 3 5 2 2 3 2" xfId="35182"/>
    <cellStyle name="40% - Accent6 3 5 2 2 3 2 2" xfId="35183"/>
    <cellStyle name="40% - Accent6 3 5 2 2 4" xfId="35184"/>
    <cellStyle name="40% - Accent6 3 5 2 2 4 2" xfId="35185"/>
    <cellStyle name="40% - Accent6 3 5 2 3" xfId="35186"/>
    <cellStyle name="40% - Accent6 3 5 2 3 2" xfId="35187"/>
    <cellStyle name="40% - Accent6 3 5 2 3 2 2" xfId="35188"/>
    <cellStyle name="40% - Accent6 3 5 2 3 2 2 2" xfId="35189"/>
    <cellStyle name="40% - Accent6 3 5 2 3 3" xfId="35190"/>
    <cellStyle name="40% - Accent6 3 5 2 3 3 2" xfId="35191"/>
    <cellStyle name="40% - Accent6 3 5 2 4" xfId="35192"/>
    <cellStyle name="40% - Accent6 3 5 2 4 2" xfId="35193"/>
    <cellStyle name="40% - Accent6 3 5 2 4 2 2" xfId="35194"/>
    <cellStyle name="40% - Accent6 3 5 2 5" xfId="35195"/>
    <cellStyle name="40% - Accent6 3 5 2 5 2" xfId="35196"/>
    <cellStyle name="40% - Accent6 3 5 3" xfId="35197"/>
    <cellStyle name="40% - Accent6 3 5 3 2" xfId="35198"/>
    <cellStyle name="40% - Accent6 3 5 3 2 2" xfId="35199"/>
    <cellStyle name="40% - Accent6 3 5 3 2 2 2" xfId="35200"/>
    <cellStyle name="40% - Accent6 3 5 3 2 2 2 2" xfId="35201"/>
    <cellStyle name="40% - Accent6 3 5 3 2 3" xfId="35202"/>
    <cellStyle name="40% - Accent6 3 5 3 2 3 2" xfId="35203"/>
    <cellStyle name="40% - Accent6 3 5 3 3" xfId="35204"/>
    <cellStyle name="40% - Accent6 3 5 3 3 2" xfId="35205"/>
    <cellStyle name="40% - Accent6 3 5 3 3 2 2" xfId="35206"/>
    <cellStyle name="40% - Accent6 3 5 3 4" xfId="35207"/>
    <cellStyle name="40% - Accent6 3 5 3 4 2" xfId="35208"/>
    <cellStyle name="40% - Accent6 3 5 4" xfId="35209"/>
    <cellStyle name="40% - Accent6 3 5 4 2" xfId="35210"/>
    <cellStyle name="40% - Accent6 3 5 4 2 2" xfId="35211"/>
    <cellStyle name="40% - Accent6 3 5 4 2 2 2" xfId="35212"/>
    <cellStyle name="40% - Accent6 3 5 4 3" xfId="35213"/>
    <cellStyle name="40% - Accent6 3 5 4 3 2" xfId="35214"/>
    <cellStyle name="40% - Accent6 3 5 5" xfId="35215"/>
    <cellStyle name="40% - Accent6 3 5 5 2" xfId="35216"/>
    <cellStyle name="40% - Accent6 3 5 5 2 2" xfId="35217"/>
    <cellStyle name="40% - Accent6 3 5 6" xfId="35218"/>
    <cellStyle name="40% - Accent6 3 5 6 2" xfId="35219"/>
    <cellStyle name="40% - Accent6 3 5 7" xfId="35220"/>
    <cellStyle name="40% - Accent6 3 6" xfId="35221"/>
    <cellStyle name="40% - Accent6 3 6 2" xfId="35222"/>
    <cellStyle name="40% - Accent6 3 6 2 2" xfId="35223"/>
    <cellStyle name="40% - Accent6 3 6 2 2 2" xfId="35224"/>
    <cellStyle name="40% - Accent6 3 6 2 2 2 2" xfId="35225"/>
    <cellStyle name="40% - Accent6 3 6 2 2 2 2 2" xfId="35226"/>
    <cellStyle name="40% - Accent6 3 6 2 2 2 2 2 2" xfId="35227"/>
    <cellStyle name="40% - Accent6 3 6 2 2 2 3" xfId="35228"/>
    <cellStyle name="40% - Accent6 3 6 2 2 2 3 2" xfId="35229"/>
    <cellStyle name="40% - Accent6 3 6 2 2 3" xfId="35230"/>
    <cellStyle name="40% - Accent6 3 6 2 2 3 2" xfId="35231"/>
    <cellStyle name="40% - Accent6 3 6 2 2 3 2 2" xfId="35232"/>
    <cellStyle name="40% - Accent6 3 6 2 2 4" xfId="35233"/>
    <cellStyle name="40% - Accent6 3 6 2 2 4 2" xfId="35234"/>
    <cellStyle name="40% - Accent6 3 6 2 3" xfId="35235"/>
    <cellStyle name="40% - Accent6 3 6 2 3 2" xfId="35236"/>
    <cellStyle name="40% - Accent6 3 6 2 3 2 2" xfId="35237"/>
    <cellStyle name="40% - Accent6 3 6 2 3 2 2 2" xfId="35238"/>
    <cellStyle name="40% - Accent6 3 6 2 3 3" xfId="35239"/>
    <cellStyle name="40% - Accent6 3 6 2 3 3 2" xfId="35240"/>
    <cellStyle name="40% - Accent6 3 6 2 4" xfId="35241"/>
    <cellStyle name="40% - Accent6 3 6 2 4 2" xfId="35242"/>
    <cellStyle name="40% - Accent6 3 6 2 4 2 2" xfId="35243"/>
    <cellStyle name="40% - Accent6 3 6 2 5" xfId="35244"/>
    <cellStyle name="40% - Accent6 3 6 2 5 2" xfId="35245"/>
    <cellStyle name="40% - Accent6 3 6 3" xfId="35246"/>
    <cellStyle name="40% - Accent6 3 6 3 2" xfId="35247"/>
    <cellStyle name="40% - Accent6 3 6 3 2 2" xfId="35248"/>
    <cellStyle name="40% - Accent6 3 6 3 2 2 2" xfId="35249"/>
    <cellStyle name="40% - Accent6 3 6 3 2 2 2 2" xfId="35250"/>
    <cellStyle name="40% - Accent6 3 6 3 2 3" xfId="35251"/>
    <cellStyle name="40% - Accent6 3 6 3 2 3 2" xfId="35252"/>
    <cellStyle name="40% - Accent6 3 6 3 3" xfId="35253"/>
    <cellStyle name="40% - Accent6 3 6 3 3 2" xfId="35254"/>
    <cellStyle name="40% - Accent6 3 6 3 3 2 2" xfId="35255"/>
    <cellStyle name="40% - Accent6 3 6 3 4" xfId="35256"/>
    <cellStyle name="40% - Accent6 3 6 3 4 2" xfId="35257"/>
    <cellStyle name="40% - Accent6 3 6 4" xfId="35258"/>
    <cellStyle name="40% - Accent6 3 6 4 2" xfId="35259"/>
    <cellStyle name="40% - Accent6 3 6 4 2 2" xfId="35260"/>
    <cellStyle name="40% - Accent6 3 6 4 2 2 2" xfId="35261"/>
    <cellStyle name="40% - Accent6 3 6 4 3" xfId="35262"/>
    <cellStyle name="40% - Accent6 3 6 4 3 2" xfId="35263"/>
    <cellStyle name="40% - Accent6 3 6 5" xfId="35264"/>
    <cellStyle name="40% - Accent6 3 6 5 2" xfId="35265"/>
    <cellStyle name="40% - Accent6 3 6 5 2 2" xfId="35266"/>
    <cellStyle name="40% - Accent6 3 6 6" xfId="35267"/>
    <cellStyle name="40% - Accent6 3 6 6 2" xfId="35268"/>
    <cellStyle name="40% - Accent6 3 6 7" xfId="35269"/>
    <cellStyle name="40% - Accent6 3 7" xfId="35270"/>
    <cellStyle name="40% - Accent6 3 7 2" xfId="35271"/>
    <cellStyle name="40% - Accent6 3 7 2 2" xfId="35272"/>
    <cellStyle name="40% - Accent6 3 7 2 2 2" xfId="35273"/>
    <cellStyle name="40% - Accent6 3 7 2 2 2 2" xfId="35274"/>
    <cellStyle name="40% - Accent6 3 7 2 2 2 2 2" xfId="35275"/>
    <cellStyle name="40% - Accent6 3 7 2 2 2 2 2 2" xfId="35276"/>
    <cellStyle name="40% - Accent6 3 7 2 2 2 3" xfId="35277"/>
    <cellStyle name="40% - Accent6 3 7 2 2 2 3 2" xfId="35278"/>
    <cellStyle name="40% - Accent6 3 7 2 2 3" xfId="35279"/>
    <cellStyle name="40% - Accent6 3 7 2 2 3 2" xfId="35280"/>
    <cellStyle name="40% - Accent6 3 7 2 2 3 2 2" xfId="35281"/>
    <cellStyle name="40% - Accent6 3 7 2 2 4" xfId="35282"/>
    <cellStyle name="40% - Accent6 3 7 2 2 4 2" xfId="35283"/>
    <cellStyle name="40% - Accent6 3 7 2 3" xfId="35284"/>
    <cellStyle name="40% - Accent6 3 7 2 3 2" xfId="35285"/>
    <cellStyle name="40% - Accent6 3 7 2 3 2 2" xfId="35286"/>
    <cellStyle name="40% - Accent6 3 7 2 3 2 2 2" xfId="35287"/>
    <cellStyle name="40% - Accent6 3 7 2 3 3" xfId="35288"/>
    <cellStyle name="40% - Accent6 3 7 2 3 3 2" xfId="35289"/>
    <cellStyle name="40% - Accent6 3 7 2 4" xfId="35290"/>
    <cellStyle name="40% - Accent6 3 7 2 4 2" xfId="35291"/>
    <cellStyle name="40% - Accent6 3 7 2 4 2 2" xfId="35292"/>
    <cellStyle name="40% - Accent6 3 7 2 5" xfId="35293"/>
    <cellStyle name="40% - Accent6 3 7 2 5 2" xfId="35294"/>
    <cellStyle name="40% - Accent6 3 7 3" xfId="35295"/>
    <cellStyle name="40% - Accent6 3 7 3 2" xfId="35296"/>
    <cellStyle name="40% - Accent6 3 7 3 2 2" xfId="35297"/>
    <cellStyle name="40% - Accent6 3 7 3 2 2 2" xfId="35298"/>
    <cellStyle name="40% - Accent6 3 7 3 2 2 2 2" xfId="35299"/>
    <cellStyle name="40% - Accent6 3 7 3 2 3" xfId="35300"/>
    <cellStyle name="40% - Accent6 3 7 3 2 3 2" xfId="35301"/>
    <cellStyle name="40% - Accent6 3 7 3 3" xfId="35302"/>
    <cellStyle name="40% - Accent6 3 7 3 3 2" xfId="35303"/>
    <cellStyle name="40% - Accent6 3 7 3 3 2 2" xfId="35304"/>
    <cellStyle name="40% - Accent6 3 7 3 4" xfId="35305"/>
    <cellStyle name="40% - Accent6 3 7 3 4 2" xfId="35306"/>
    <cellStyle name="40% - Accent6 3 7 4" xfId="35307"/>
    <cellStyle name="40% - Accent6 3 7 4 2" xfId="35308"/>
    <cellStyle name="40% - Accent6 3 7 4 2 2" xfId="35309"/>
    <cellStyle name="40% - Accent6 3 7 4 2 2 2" xfId="35310"/>
    <cellStyle name="40% - Accent6 3 7 4 3" xfId="35311"/>
    <cellStyle name="40% - Accent6 3 7 4 3 2" xfId="35312"/>
    <cellStyle name="40% - Accent6 3 7 5" xfId="35313"/>
    <cellStyle name="40% - Accent6 3 7 5 2" xfId="35314"/>
    <cellStyle name="40% - Accent6 3 7 5 2 2" xfId="35315"/>
    <cellStyle name="40% - Accent6 3 7 6" xfId="35316"/>
    <cellStyle name="40% - Accent6 3 7 6 2" xfId="35317"/>
    <cellStyle name="40% - Accent6 3 7 7" xfId="35318"/>
    <cellStyle name="40% - Accent6 3 8" xfId="35319"/>
    <cellStyle name="40% - Accent6 3 8 2" xfId="35320"/>
    <cellStyle name="40% - Accent6 3 8 2 2" xfId="35321"/>
    <cellStyle name="40% - Accent6 3 8 2 2 2" xfId="35322"/>
    <cellStyle name="40% - Accent6 3 8 2 2 2 2" xfId="35323"/>
    <cellStyle name="40% - Accent6 3 8 2 2 2 2 2" xfId="35324"/>
    <cellStyle name="40% - Accent6 3 8 2 2 2 2 2 2" xfId="35325"/>
    <cellStyle name="40% - Accent6 3 8 2 2 2 3" xfId="35326"/>
    <cellStyle name="40% - Accent6 3 8 2 2 2 3 2" xfId="35327"/>
    <cellStyle name="40% - Accent6 3 8 2 2 3" xfId="35328"/>
    <cellStyle name="40% - Accent6 3 8 2 2 3 2" xfId="35329"/>
    <cellStyle name="40% - Accent6 3 8 2 2 3 2 2" xfId="35330"/>
    <cellStyle name="40% - Accent6 3 8 2 2 4" xfId="35331"/>
    <cellStyle name="40% - Accent6 3 8 2 2 4 2" xfId="35332"/>
    <cellStyle name="40% - Accent6 3 8 2 3" xfId="35333"/>
    <cellStyle name="40% - Accent6 3 8 2 3 2" xfId="35334"/>
    <cellStyle name="40% - Accent6 3 8 2 3 2 2" xfId="35335"/>
    <cellStyle name="40% - Accent6 3 8 2 3 2 2 2" xfId="35336"/>
    <cellStyle name="40% - Accent6 3 8 2 3 3" xfId="35337"/>
    <cellStyle name="40% - Accent6 3 8 2 3 3 2" xfId="35338"/>
    <cellStyle name="40% - Accent6 3 8 2 4" xfId="35339"/>
    <cellStyle name="40% - Accent6 3 8 2 4 2" xfId="35340"/>
    <cellStyle name="40% - Accent6 3 8 2 4 2 2" xfId="35341"/>
    <cellStyle name="40% - Accent6 3 8 2 5" xfId="35342"/>
    <cellStyle name="40% - Accent6 3 8 2 5 2" xfId="35343"/>
    <cellStyle name="40% - Accent6 3 8 3" xfId="35344"/>
    <cellStyle name="40% - Accent6 3 8 3 2" xfId="35345"/>
    <cellStyle name="40% - Accent6 3 8 3 2 2" xfId="35346"/>
    <cellStyle name="40% - Accent6 3 8 3 2 2 2" xfId="35347"/>
    <cellStyle name="40% - Accent6 3 8 3 2 2 2 2" xfId="35348"/>
    <cellStyle name="40% - Accent6 3 8 3 2 3" xfId="35349"/>
    <cellStyle name="40% - Accent6 3 8 3 2 3 2" xfId="35350"/>
    <cellStyle name="40% - Accent6 3 8 3 3" xfId="35351"/>
    <cellStyle name="40% - Accent6 3 8 3 3 2" xfId="35352"/>
    <cellStyle name="40% - Accent6 3 8 3 3 2 2" xfId="35353"/>
    <cellStyle name="40% - Accent6 3 8 3 4" xfId="35354"/>
    <cellStyle name="40% - Accent6 3 8 3 4 2" xfId="35355"/>
    <cellStyle name="40% - Accent6 3 8 4" xfId="35356"/>
    <cellStyle name="40% - Accent6 3 8 4 2" xfId="35357"/>
    <cellStyle name="40% - Accent6 3 8 4 2 2" xfId="35358"/>
    <cellStyle name="40% - Accent6 3 8 4 2 2 2" xfId="35359"/>
    <cellStyle name="40% - Accent6 3 8 4 3" xfId="35360"/>
    <cellStyle name="40% - Accent6 3 8 4 3 2" xfId="35361"/>
    <cellStyle name="40% - Accent6 3 8 5" xfId="35362"/>
    <cellStyle name="40% - Accent6 3 8 5 2" xfId="35363"/>
    <cellStyle name="40% - Accent6 3 8 5 2 2" xfId="35364"/>
    <cellStyle name="40% - Accent6 3 8 6" xfId="35365"/>
    <cellStyle name="40% - Accent6 3 8 6 2" xfId="35366"/>
    <cellStyle name="40% - Accent6 3 8 7" xfId="35367"/>
    <cellStyle name="40% - Accent6 3 9" xfId="35368"/>
    <cellStyle name="40% - Accent6 3 9 2" xfId="35369"/>
    <cellStyle name="40% - Accent6 3 9 2 2" xfId="35370"/>
    <cellStyle name="40% - Accent6 3 9 2 2 2" xfId="35371"/>
    <cellStyle name="40% - Accent6 3 9 2 2 2 2" xfId="35372"/>
    <cellStyle name="40% - Accent6 3 9 2 2 2 2 2" xfId="35373"/>
    <cellStyle name="40% - Accent6 3 9 2 2 2 2 2 2" xfId="35374"/>
    <cellStyle name="40% - Accent6 3 9 2 2 2 3" xfId="35375"/>
    <cellStyle name="40% - Accent6 3 9 2 2 2 3 2" xfId="35376"/>
    <cellStyle name="40% - Accent6 3 9 2 2 3" xfId="35377"/>
    <cellStyle name="40% - Accent6 3 9 2 2 3 2" xfId="35378"/>
    <cellStyle name="40% - Accent6 3 9 2 2 3 2 2" xfId="35379"/>
    <cellStyle name="40% - Accent6 3 9 2 2 4" xfId="35380"/>
    <cellStyle name="40% - Accent6 3 9 2 2 4 2" xfId="35381"/>
    <cellStyle name="40% - Accent6 3 9 2 3" xfId="35382"/>
    <cellStyle name="40% - Accent6 3 9 2 3 2" xfId="35383"/>
    <cellStyle name="40% - Accent6 3 9 2 3 2 2" xfId="35384"/>
    <cellStyle name="40% - Accent6 3 9 2 3 2 2 2" xfId="35385"/>
    <cellStyle name="40% - Accent6 3 9 2 3 3" xfId="35386"/>
    <cellStyle name="40% - Accent6 3 9 2 3 3 2" xfId="35387"/>
    <cellStyle name="40% - Accent6 3 9 2 4" xfId="35388"/>
    <cellStyle name="40% - Accent6 3 9 2 4 2" xfId="35389"/>
    <cellStyle name="40% - Accent6 3 9 2 4 2 2" xfId="35390"/>
    <cellStyle name="40% - Accent6 3 9 2 5" xfId="35391"/>
    <cellStyle name="40% - Accent6 3 9 2 5 2" xfId="35392"/>
    <cellStyle name="40% - Accent6 3 9 3" xfId="35393"/>
    <cellStyle name="40% - Accent6 3 9 3 2" xfId="35394"/>
    <cellStyle name="40% - Accent6 3 9 3 2 2" xfId="35395"/>
    <cellStyle name="40% - Accent6 3 9 3 2 2 2" xfId="35396"/>
    <cellStyle name="40% - Accent6 3 9 3 2 2 2 2" xfId="35397"/>
    <cellStyle name="40% - Accent6 3 9 3 2 3" xfId="35398"/>
    <cellStyle name="40% - Accent6 3 9 3 2 3 2" xfId="35399"/>
    <cellStyle name="40% - Accent6 3 9 3 3" xfId="35400"/>
    <cellStyle name="40% - Accent6 3 9 3 3 2" xfId="35401"/>
    <cellStyle name="40% - Accent6 3 9 3 3 2 2" xfId="35402"/>
    <cellStyle name="40% - Accent6 3 9 3 4" xfId="35403"/>
    <cellStyle name="40% - Accent6 3 9 3 4 2" xfId="35404"/>
    <cellStyle name="40% - Accent6 3 9 4" xfId="35405"/>
    <cellStyle name="40% - Accent6 3 9 4 2" xfId="35406"/>
    <cellStyle name="40% - Accent6 3 9 4 2 2" xfId="35407"/>
    <cellStyle name="40% - Accent6 3 9 4 2 2 2" xfId="35408"/>
    <cellStyle name="40% - Accent6 3 9 4 3" xfId="35409"/>
    <cellStyle name="40% - Accent6 3 9 4 3 2" xfId="35410"/>
    <cellStyle name="40% - Accent6 3 9 5" xfId="35411"/>
    <cellStyle name="40% - Accent6 3 9 5 2" xfId="35412"/>
    <cellStyle name="40% - Accent6 3 9 5 2 2" xfId="35413"/>
    <cellStyle name="40% - Accent6 3 9 6" xfId="35414"/>
    <cellStyle name="40% - Accent6 3 9 6 2" xfId="35415"/>
    <cellStyle name="40% - Accent6 3 9 7" xfId="35416"/>
    <cellStyle name="40% - Accent6 3 9 8" xfId="35417"/>
    <cellStyle name="40% - Accent6 3 9 9" xfId="35418"/>
    <cellStyle name="40% - Accent6 30" xfId="35419"/>
    <cellStyle name="40% - Accent6 30 2" xfId="35420"/>
    <cellStyle name="40% - Accent6 30 2 2" xfId="35421"/>
    <cellStyle name="40% - Accent6 30 2 2 2" xfId="35422"/>
    <cellStyle name="40% - Accent6 30 3" xfId="35423"/>
    <cellStyle name="40% - Accent6 30 3 2" xfId="35424"/>
    <cellStyle name="40% - Accent6 30 4" xfId="35425"/>
    <cellStyle name="40% - Accent6 31" xfId="35426"/>
    <cellStyle name="40% - Accent6 31 2" xfId="35427"/>
    <cellStyle name="40% - Accent6 31 2 2" xfId="35428"/>
    <cellStyle name="40% - Accent6 31 2 2 2" xfId="35429"/>
    <cellStyle name="40% - Accent6 31 3" xfId="35430"/>
    <cellStyle name="40% - Accent6 31 3 2" xfId="35431"/>
    <cellStyle name="40% - Accent6 31 4" xfId="35432"/>
    <cellStyle name="40% - Accent6 32" xfId="35433"/>
    <cellStyle name="40% - Accent6 32 2" xfId="35434"/>
    <cellStyle name="40% - Accent6 32 2 2" xfId="35435"/>
    <cellStyle name="40% - Accent6 32 3" xfId="35436"/>
    <cellStyle name="40% - Accent6 33" xfId="35437"/>
    <cellStyle name="40% - Accent6 33 2" xfId="35438"/>
    <cellStyle name="40% - Accent6 33 2 2" xfId="35439"/>
    <cellStyle name="40% - Accent6 33 3" xfId="35440"/>
    <cellStyle name="40% - Accent6 34" xfId="35441"/>
    <cellStyle name="40% - Accent6 34 2" xfId="35442"/>
    <cellStyle name="40% - Accent6 34 2 2" xfId="35443"/>
    <cellStyle name="40% - Accent6 34 3" xfId="35444"/>
    <cellStyle name="40% - Accent6 35" xfId="35445"/>
    <cellStyle name="40% - Accent6 35 2" xfId="35446"/>
    <cellStyle name="40% - Accent6 35 3" xfId="35447"/>
    <cellStyle name="40% - Accent6 36" xfId="35448"/>
    <cellStyle name="40% - Accent6 36 2" xfId="35449"/>
    <cellStyle name="40% - Accent6 36 2 2" xfId="35450"/>
    <cellStyle name="40% - Accent6 36 2 3" xfId="35451"/>
    <cellStyle name="40% - Accent6 36 2 4" xfId="35452"/>
    <cellStyle name="40% - Accent6 36 3" xfId="35453"/>
    <cellStyle name="40% - Accent6 36 3 2" xfId="35454"/>
    <cellStyle name="40% - Accent6 36 3 3" xfId="35455"/>
    <cellStyle name="40% - Accent6 36 4" xfId="35456"/>
    <cellStyle name="40% - Accent6 36 4 2" xfId="35457"/>
    <cellStyle name="40% - Accent6 36 5" xfId="35458"/>
    <cellStyle name="40% - Accent6 36 6" xfId="35459"/>
    <cellStyle name="40% - Accent6 36 7" xfId="35460"/>
    <cellStyle name="40% - Accent6 37" xfId="35461"/>
    <cellStyle name="40% - Accent6 38" xfId="35462"/>
    <cellStyle name="40% - Accent6 39" xfId="35463"/>
    <cellStyle name="40% - Accent6 4" xfId="35464"/>
    <cellStyle name="40% - Accent6 4 10" xfId="35465"/>
    <cellStyle name="40% - Accent6 4 10 2" xfId="35466"/>
    <cellStyle name="40% - Accent6 4 10 2 2" xfId="35467"/>
    <cellStyle name="40% - Accent6 4 10 2 2 2" xfId="35468"/>
    <cellStyle name="40% - Accent6 4 10 2 2 2 2" xfId="35469"/>
    <cellStyle name="40% - Accent6 4 10 2 2 2 2 2" xfId="35470"/>
    <cellStyle name="40% - Accent6 4 10 2 2 2 2 2 2" xfId="35471"/>
    <cellStyle name="40% - Accent6 4 10 2 2 2 3" xfId="35472"/>
    <cellStyle name="40% - Accent6 4 10 2 2 2 3 2" xfId="35473"/>
    <cellStyle name="40% - Accent6 4 10 2 2 3" xfId="35474"/>
    <cellStyle name="40% - Accent6 4 10 2 2 3 2" xfId="35475"/>
    <cellStyle name="40% - Accent6 4 10 2 2 3 2 2" xfId="35476"/>
    <cellStyle name="40% - Accent6 4 10 2 2 4" xfId="35477"/>
    <cellStyle name="40% - Accent6 4 10 2 2 4 2" xfId="35478"/>
    <cellStyle name="40% - Accent6 4 10 2 3" xfId="35479"/>
    <cellStyle name="40% - Accent6 4 10 2 3 2" xfId="35480"/>
    <cellStyle name="40% - Accent6 4 10 2 3 2 2" xfId="35481"/>
    <cellStyle name="40% - Accent6 4 10 2 3 2 2 2" xfId="35482"/>
    <cellStyle name="40% - Accent6 4 10 2 3 3" xfId="35483"/>
    <cellStyle name="40% - Accent6 4 10 2 3 3 2" xfId="35484"/>
    <cellStyle name="40% - Accent6 4 10 2 4" xfId="35485"/>
    <cellStyle name="40% - Accent6 4 10 2 4 2" xfId="35486"/>
    <cellStyle name="40% - Accent6 4 10 2 4 2 2" xfId="35487"/>
    <cellStyle name="40% - Accent6 4 10 2 5" xfId="35488"/>
    <cellStyle name="40% - Accent6 4 10 2 5 2" xfId="35489"/>
    <cellStyle name="40% - Accent6 4 10 3" xfId="35490"/>
    <cellStyle name="40% - Accent6 4 10 3 2" xfId="35491"/>
    <cellStyle name="40% - Accent6 4 10 3 2 2" xfId="35492"/>
    <cellStyle name="40% - Accent6 4 10 3 2 2 2" xfId="35493"/>
    <cellStyle name="40% - Accent6 4 10 3 2 2 2 2" xfId="35494"/>
    <cellStyle name="40% - Accent6 4 10 3 2 3" xfId="35495"/>
    <cellStyle name="40% - Accent6 4 10 3 2 3 2" xfId="35496"/>
    <cellStyle name="40% - Accent6 4 10 3 3" xfId="35497"/>
    <cellStyle name="40% - Accent6 4 10 3 3 2" xfId="35498"/>
    <cellStyle name="40% - Accent6 4 10 3 3 2 2" xfId="35499"/>
    <cellStyle name="40% - Accent6 4 10 3 4" xfId="35500"/>
    <cellStyle name="40% - Accent6 4 10 3 4 2" xfId="35501"/>
    <cellStyle name="40% - Accent6 4 10 4" xfId="35502"/>
    <cellStyle name="40% - Accent6 4 10 4 2" xfId="35503"/>
    <cellStyle name="40% - Accent6 4 10 4 2 2" xfId="35504"/>
    <cellStyle name="40% - Accent6 4 10 4 2 2 2" xfId="35505"/>
    <cellStyle name="40% - Accent6 4 10 4 3" xfId="35506"/>
    <cellStyle name="40% - Accent6 4 10 4 3 2" xfId="35507"/>
    <cellStyle name="40% - Accent6 4 10 5" xfId="35508"/>
    <cellStyle name="40% - Accent6 4 10 5 2" xfId="35509"/>
    <cellStyle name="40% - Accent6 4 10 5 2 2" xfId="35510"/>
    <cellStyle name="40% - Accent6 4 10 6" xfId="35511"/>
    <cellStyle name="40% - Accent6 4 10 6 2" xfId="35512"/>
    <cellStyle name="40% - Accent6 4 10 7" xfId="35513"/>
    <cellStyle name="40% - Accent6 4 10 8" xfId="35514"/>
    <cellStyle name="40% - Accent6 4 10 9" xfId="35515"/>
    <cellStyle name="40% - Accent6 4 11" xfId="35516"/>
    <cellStyle name="40% - Accent6 4 11 2" xfId="35517"/>
    <cellStyle name="40% - Accent6 4 11 2 2" xfId="35518"/>
    <cellStyle name="40% - Accent6 4 11 2 2 2" xfId="35519"/>
    <cellStyle name="40% - Accent6 4 11 2 2 2 2" xfId="35520"/>
    <cellStyle name="40% - Accent6 4 11 2 2 2 2 2" xfId="35521"/>
    <cellStyle name="40% - Accent6 4 11 2 2 2 2 2 2" xfId="35522"/>
    <cellStyle name="40% - Accent6 4 11 2 2 2 3" xfId="35523"/>
    <cellStyle name="40% - Accent6 4 11 2 2 2 3 2" xfId="35524"/>
    <cellStyle name="40% - Accent6 4 11 2 2 3" xfId="35525"/>
    <cellStyle name="40% - Accent6 4 11 2 2 3 2" xfId="35526"/>
    <cellStyle name="40% - Accent6 4 11 2 2 3 2 2" xfId="35527"/>
    <cellStyle name="40% - Accent6 4 11 2 2 4" xfId="35528"/>
    <cellStyle name="40% - Accent6 4 11 2 2 4 2" xfId="35529"/>
    <cellStyle name="40% - Accent6 4 11 2 3" xfId="35530"/>
    <cellStyle name="40% - Accent6 4 11 2 3 2" xfId="35531"/>
    <cellStyle name="40% - Accent6 4 11 2 3 2 2" xfId="35532"/>
    <cellStyle name="40% - Accent6 4 11 2 3 2 2 2" xfId="35533"/>
    <cellStyle name="40% - Accent6 4 11 2 3 3" xfId="35534"/>
    <cellStyle name="40% - Accent6 4 11 2 3 3 2" xfId="35535"/>
    <cellStyle name="40% - Accent6 4 11 2 4" xfId="35536"/>
    <cellStyle name="40% - Accent6 4 11 2 4 2" xfId="35537"/>
    <cellStyle name="40% - Accent6 4 11 2 4 2 2" xfId="35538"/>
    <cellStyle name="40% - Accent6 4 11 2 5" xfId="35539"/>
    <cellStyle name="40% - Accent6 4 11 2 5 2" xfId="35540"/>
    <cellStyle name="40% - Accent6 4 11 3" xfId="35541"/>
    <cellStyle name="40% - Accent6 4 11 3 2" xfId="35542"/>
    <cellStyle name="40% - Accent6 4 11 3 2 2" xfId="35543"/>
    <cellStyle name="40% - Accent6 4 11 3 2 2 2" xfId="35544"/>
    <cellStyle name="40% - Accent6 4 11 3 2 2 2 2" xfId="35545"/>
    <cellStyle name="40% - Accent6 4 11 3 2 3" xfId="35546"/>
    <cellStyle name="40% - Accent6 4 11 3 2 3 2" xfId="35547"/>
    <cellStyle name="40% - Accent6 4 11 3 3" xfId="35548"/>
    <cellStyle name="40% - Accent6 4 11 3 3 2" xfId="35549"/>
    <cellStyle name="40% - Accent6 4 11 3 3 2 2" xfId="35550"/>
    <cellStyle name="40% - Accent6 4 11 3 4" xfId="35551"/>
    <cellStyle name="40% - Accent6 4 11 3 4 2" xfId="35552"/>
    <cellStyle name="40% - Accent6 4 11 4" xfId="35553"/>
    <cellStyle name="40% - Accent6 4 11 4 2" xfId="35554"/>
    <cellStyle name="40% - Accent6 4 11 4 2 2" xfId="35555"/>
    <cellStyle name="40% - Accent6 4 11 4 2 2 2" xfId="35556"/>
    <cellStyle name="40% - Accent6 4 11 4 3" xfId="35557"/>
    <cellStyle name="40% - Accent6 4 11 4 3 2" xfId="35558"/>
    <cellStyle name="40% - Accent6 4 11 5" xfId="35559"/>
    <cellStyle name="40% - Accent6 4 11 5 2" xfId="35560"/>
    <cellStyle name="40% - Accent6 4 11 5 2 2" xfId="35561"/>
    <cellStyle name="40% - Accent6 4 11 6" xfId="35562"/>
    <cellStyle name="40% - Accent6 4 11 6 2" xfId="35563"/>
    <cellStyle name="40% - Accent6 4 11 7" xfId="35564"/>
    <cellStyle name="40% - Accent6 4 12" xfId="35565"/>
    <cellStyle name="40% - Accent6 4 12 2" xfId="35566"/>
    <cellStyle name="40% - Accent6 4 12 2 2" xfId="35567"/>
    <cellStyle name="40% - Accent6 4 12 2 2 2" xfId="35568"/>
    <cellStyle name="40% - Accent6 4 12 2 2 2 2" xfId="35569"/>
    <cellStyle name="40% - Accent6 4 12 2 2 2 2 2" xfId="35570"/>
    <cellStyle name="40% - Accent6 4 12 2 2 2 2 2 2" xfId="35571"/>
    <cellStyle name="40% - Accent6 4 12 2 2 2 3" xfId="35572"/>
    <cellStyle name="40% - Accent6 4 12 2 2 2 3 2" xfId="35573"/>
    <cellStyle name="40% - Accent6 4 12 2 2 3" xfId="35574"/>
    <cellStyle name="40% - Accent6 4 12 2 2 3 2" xfId="35575"/>
    <cellStyle name="40% - Accent6 4 12 2 2 3 2 2" xfId="35576"/>
    <cellStyle name="40% - Accent6 4 12 2 2 4" xfId="35577"/>
    <cellStyle name="40% - Accent6 4 12 2 2 4 2" xfId="35578"/>
    <cellStyle name="40% - Accent6 4 12 2 3" xfId="35579"/>
    <cellStyle name="40% - Accent6 4 12 2 3 2" xfId="35580"/>
    <cellStyle name="40% - Accent6 4 12 2 3 2 2" xfId="35581"/>
    <cellStyle name="40% - Accent6 4 12 2 3 2 2 2" xfId="35582"/>
    <cellStyle name="40% - Accent6 4 12 2 3 3" xfId="35583"/>
    <cellStyle name="40% - Accent6 4 12 2 3 3 2" xfId="35584"/>
    <cellStyle name="40% - Accent6 4 12 2 4" xfId="35585"/>
    <cellStyle name="40% - Accent6 4 12 2 4 2" xfId="35586"/>
    <cellStyle name="40% - Accent6 4 12 2 4 2 2" xfId="35587"/>
    <cellStyle name="40% - Accent6 4 12 2 5" xfId="35588"/>
    <cellStyle name="40% - Accent6 4 12 2 5 2" xfId="35589"/>
    <cellStyle name="40% - Accent6 4 12 3" xfId="35590"/>
    <cellStyle name="40% - Accent6 4 12 3 2" xfId="35591"/>
    <cellStyle name="40% - Accent6 4 12 3 2 2" xfId="35592"/>
    <cellStyle name="40% - Accent6 4 12 3 2 2 2" xfId="35593"/>
    <cellStyle name="40% - Accent6 4 12 3 2 2 2 2" xfId="35594"/>
    <cellStyle name="40% - Accent6 4 12 3 2 3" xfId="35595"/>
    <cellStyle name="40% - Accent6 4 12 3 2 3 2" xfId="35596"/>
    <cellStyle name="40% - Accent6 4 12 3 3" xfId="35597"/>
    <cellStyle name="40% - Accent6 4 12 3 3 2" xfId="35598"/>
    <cellStyle name="40% - Accent6 4 12 3 3 2 2" xfId="35599"/>
    <cellStyle name="40% - Accent6 4 12 3 4" xfId="35600"/>
    <cellStyle name="40% - Accent6 4 12 3 4 2" xfId="35601"/>
    <cellStyle name="40% - Accent6 4 12 4" xfId="35602"/>
    <cellStyle name="40% - Accent6 4 12 4 2" xfId="35603"/>
    <cellStyle name="40% - Accent6 4 12 4 2 2" xfId="35604"/>
    <cellStyle name="40% - Accent6 4 12 4 2 2 2" xfId="35605"/>
    <cellStyle name="40% - Accent6 4 12 4 3" xfId="35606"/>
    <cellStyle name="40% - Accent6 4 12 4 3 2" xfId="35607"/>
    <cellStyle name="40% - Accent6 4 12 5" xfId="35608"/>
    <cellStyle name="40% - Accent6 4 12 5 2" xfId="35609"/>
    <cellStyle name="40% - Accent6 4 12 5 2 2" xfId="35610"/>
    <cellStyle name="40% - Accent6 4 12 6" xfId="35611"/>
    <cellStyle name="40% - Accent6 4 12 6 2" xfId="35612"/>
    <cellStyle name="40% - Accent6 4 13" xfId="35613"/>
    <cellStyle name="40% - Accent6 4 13 2" xfId="35614"/>
    <cellStyle name="40% - Accent6 4 13 2 2" xfId="35615"/>
    <cellStyle name="40% - Accent6 4 13 2 2 2" xfId="35616"/>
    <cellStyle name="40% - Accent6 4 13 2 2 2 2" xfId="35617"/>
    <cellStyle name="40% - Accent6 4 13 2 2 2 2 2" xfId="35618"/>
    <cellStyle name="40% - Accent6 4 13 2 2 2 2 2 2" xfId="35619"/>
    <cellStyle name="40% - Accent6 4 13 2 2 2 3" xfId="35620"/>
    <cellStyle name="40% - Accent6 4 13 2 2 2 3 2" xfId="35621"/>
    <cellStyle name="40% - Accent6 4 13 2 2 3" xfId="35622"/>
    <cellStyle name="40% - Accent6 4 13 2 2 3 2" xfId="35623"/>
    <cellStyle name="40% - Accent6 4 13 2 2 3 2 2" xfId="35624"/>
    <cellStyle name="40% - Accent6 4 13 2 2 4" xfId="35625"/>
    <cellStyle name="40% - Accent6 4 13 2 2 4 2" xfId="35626"/>
    <cellStyle name="40% - Accent6 4 13 2 3" xfId="35627"/>
    <cellStyle name="40% - Accent6 4 13 2 3 2" xfId="35628"/>
    <cellStyle name="40% - Accent6 4 13 2 3 2 2" xfId="35629"/>
    <cellStyle name="40% - Accent6 4 13 2 3 2 2 2" xfId="35630"/>
    <cellStyle name="40% - Accent6 4 13 2 3 3" xfId="35631"/>
    <cellStyle name="40% - Accent6 4 13 2 3 3 2" xfId="35632"/>
    <cellStyle name="40% - Accent6 4 13 2 4" xfId="35633"/>
    <cellStyle name="40% - Accent6 4 13 2 4 2" xfId="35634"/>
    <cellStyle name="40% - Accent6 4 13 2 4 2 2" xfId="35635"/>
    <cellStyle name="40% - Accent6 4 13 2 5" xfId="35636"/>
    <cellStyle name="40% - Accent6 4 13 2 5 2" xfId="35637"/>
    <cellStyle name="40% - Accent6 4 13 3" xfId="35638"/>
    <cellStyle name="40% - Accent6 4 13 3 2" xfId="35639"/>
    <cellStyle name="40% - Accent6 4 13 3 2 2" xfId="35640"/>
    <cellStyle name="40% - Accent6 4 13 3 2 2 2" xfId="35641"/>
    <cellStyle name="40% - Accent6 4 13 3 2 2 2 2" xfId="35642"/>
    <cellStyle name="40% - Accent6 4 13 3 2 3" xfId="35643"/>
    <cellStyle name="40% - Accent6 4 13 3 2 3 2" xfId="35644"/>
    <cellStyle name="40% - Accent6 4 13 3 3" xfId="35645"/>
    <cellStyle name="40% - Accent6 4 13 3 3 2" xfId="35646"/>
    <cellStyle name="40% - Accent6 4 13 3 3 2 2" xfId="35647"/>
    <cellStyle name="40% - Accent6 4 13 3 4" xfId="35648"/>
    <cellStyle name="40% - Accent6 4 13 3 4 2" xfId="35649"/>
    <cellStyle name="40% - Accent6 4 13 4" xfId="35650"/>
    <cellStyle name="40% - Accent6 4 13 4 2" xfId="35651"/>
    <cellStyle name="40% - Accent6 4 13 4 2 2" xfId="35652"/>
    <cellStyle name="40% - Accent6 4 13 4 2 2 2" xfId="35653"/>
    <cellStyle name="40% - Accent6 4 13 4 3" xfId="35654"/>
    <cellStyle name="40% - Accent6 4 13 4 3 2" xfId="35655"/>
    <cellStyle name="40% - Accent6 4 13 5" xfId="35656"/>
    <cellStyle name="40% - Accent6 4 13 5 2" xfId="35657"/>
    <cellStyle name="40% - Accent6 4 13 5 2 2" xfId="35658"/>
    <cellStyle name="40% - Accent6 4 13 6" xfId="35659"/>
    <cellStyle name="40% - Accent6 4 13 6 2" xfId="35660"/>
    <cellStyle name="40% - Accent6 4 14" xfId="35661"/>
    <cellStyle name="40% - Accent6 4 15" xfId="35662"/>
    <cellStyle name="40% - Accent6 4 16" xfId="35663"/>
    <cellStyle name="40% - Accent6 4 17" xfId="35664"/>
    <cellStyle name="40% - Accent6 4 18" xfId="35665"/>
    <cellStyle name="40% - Accent6 4 2" xfId="35666"/>
    <cellStyle name="40% - Accent6 4 2 10" xfId="35667"/>
    <cellStyle name="40% - Accent6 4 2 11" xfId="35668"/>
    <cellStyle name="40% - Accent6 4 2 2" xfId="35669"/>
    <cellStyle name="40% - Accent6 4 2 2 2" xfId="35670"/>
    <cellStyle name="40% - Accent6 4 2 2 2 2" xfId="35671"/>
    <cellStyle name="40% - Accent6 4 2 2 2 2 2" xfId="35672"/>
    <cellStyle name="40% - Accent6 4 2 2 2 2 2 2" xfId="35673"/>
    <cellStyle name="40% - Accent6 4 2 2 2 2 2 2 2" xfId="35674"/>
    <cellStyle name="40% - Accent6 4 2 2 2 2 3" xfId="35675"/>
    <cellStyle name="40% - Accent6 4 2 2 2 2 3 2" xfId="35676"/>
    <cellStyle name="40% - Accent6 4 2 2 2 3" xfId="35677"/>
    <cellStyle name="40% - Accent6 4 2 2 2 3 2" xfId="35678"/>
    <cellStyle name="40% - Accent6 4 2 2 2 3 2 2" xfId="35679"/>
    <cellStyle name="40% - Accent6 4 2 2 2 4" xfId="35680"/>
    <cellStyle name="40% - Accent6 4 2 2 2 4 2" xfId="35681"/>
    <cellStyle name="40% - Accent6 4 2 2 3" xfId="35682"/>
    <cellStyle name="40% - Accent6 4 2 2 3 2" xfId="35683"/>
    <cellStyle name="40% - Accent6 4 2 2 3 2 2" xfId="35684"/>
    <cellStyle name="40% - Accent6 4 2 2 3 2 2 2" xfId="35685"/>
    <cellStyle name="40% - Accent6 4 2 2 3 3" xfId="35686"/>
    <cellStyle name="40% - Accent6 4 2 2 3 3 2" xfId="35687"/>
    <cellStyle name="40% - Accent6 4 2 2 4" xfId="35688"/>
    <cellStyle name="40% - Accent6 4 2 2 4 2" xfId="35689"/>
    <cellStyle name="40% - Accent6 4 2 2 4 2 2" xfId="35690"/>
    <cellStyle name="40% - Accent6 4 2 2 5" xfId="35691"/>
    <cellStyle name="40% - Accent6 4 2 2 5 2" xfId="35692"/>
    <cellStyle name="40% - Accent6 4 2 2 6" xfId="35693"/>
    <cellStyle name="40% - Accent6 4 2 2 7" xfId="35694"/>
    <cellStyle name="40% - Accent6 4 2 2 8" xfId="35695"/>
    <cellStyle name="40% - Accent6 4 2 3" xfId="35696"/>
    <cellStyle name="40% - Accent6 4 2 3 2" xfId="35697"/>
    <cellStyle name="40% - Accent6 4 2 3 2 2" xfId="35698"/>
    <cellStyle name="40% - Accent6 4 2 3 2 2 2" xfId="35699"/>
    <cellStyle name="40% - Accent6 4 2 3 2 2 2 2" xfId="35700"/>
    <cellStyle name="40% - Accent6 4 2 3 2 3" xfId="35701"/>
    <cellStyle name="40% - Accent6 4 2 3 2 3 2" xfId="35702"/>
    <cellStyle name="40% - Accent6 4 2 3 3" xfId="35703"/>
    <cellStyle name="40% - Accent6 4 2 3 3 2" xfId="35704"/>
    <cellStyle name="40% - Accent6 4 2 3 3 2 2" xfId="35705"/>
    <cellStyle name="40% - Accent6 4 2 3 4" xfId="35706"/>
    <cellStyle name="40% - Accent6 4 2 3 4 2" xfId="35707"/>
    <cellStyle name="40% - Accent6 4 2 3 5" xfId="35708"/>
    <cellStyle name="40% - Accent6 4 2 3 6" xfId="35709"/>
    <cellStyle name="40% - Accent6 4 2 3 7" xfId="35710"/>
    <cellStyle name="40% - Accent6 4 2 4" xfId="35711"/>
    <cellStyle name="40% - Accent6 4 2 4 2" xfId="35712"/>
    <cellStyle name="40% - Accent6 4 2 4 2 2" xfId="35713"/>
    <cellStyle name="40% - Accent6 4 2 4 2 2 2" xfId="35714"/>
    <cellStyle name="40% - Accent6 4 2 4 3" xfId="35715"/>
    <cellStyle name="40% - Accent6 4 2 4 3 2" xfId="35716"/>
    <cellStyle name="40% - Accent6 4 2 4 4" xfId="35717"/>
    <cellStyle name="40% - Accent6 4 2 5" xfId="35718"/>
    <cellStyle name="40% - Accent6 4 2 5 2" xfId="35719"/>
    <cellStyle name="40% - Accent6 4 2 5 2 2" xfId="35720"/>
    <cellStyle name="40% - Accent6 4 2 6" xfId="35721"/>
    <cellStyle name="40% - Accent6 4 2 6 2" xfId="35722"/>
    <cellStyle name="40% - Accent6 4 2 7" xfId="35723"/>
    <cellStyle name="40% - Accent6 4 2 8" xfId="35724"/>
    <cellStyle name="40% - Accent6 4 2 9" xfId="35725"/>
    <cellStyle name="40% - Accent6 4 3" xfId="35726"/>
    <cellStyle name="40% - Accent6 4 3 10" xfId="35727"/>
    <cellStyle name="40% - Accent6 4 3 11" xfId="35728"/>
    <cellStyle name="40% - Accent6 4 3 2" xfId="35729"/>
    <cellStyle name="40% - Accent6 4 3 2 2" xfId="35730"/>
    <cellStyle name="40% - Accent6 4 3 2 2 2" xfId="35731"/>
    <cellStyle name="40% - Accent6 4 3 2 2 2 2" xfId="35732"/>
    <cellStyle name="40% - Accent6 4 3 2 2 2 2 2" xfId="35733"/>
    <cellStyle name="40% - Accent6 4 3 2 2 2 2 2 2" xfId="35734"/>
    <cellStyle name="40% - Accent6 4 3 2 2 2 3" xfId="35735"/>
    <cellStyle name="40% - Accent6 4 3 2 2 2 3 2" xfId="35736"/>
    <cellStyle name="40% - Accent6 4 3 2 2 3" xfId="35737"/>
    <cellStyle name="40% - Accent6 4 3 2 2 3 2" xfId="35738"/>
    <cellStyle name="40% - Accent6 4 3 2 2 3 2 2" xfId="35739"/>
    <cellStyle name="40% - Accent6 4 3 2 2 4" xfId="35740"/>
    <cellStyle name="40% - Accent6 4 3 2 2 4 2" xfId="35741"/>
    <cellStyle name="40% - Accent6 4 3 2 3" xfId="35742"/>
    <cellStyle name="40% - Accent6 4 3 2 3 2" xfId="35743"/>
    <cellStyle name="40% - Accent6 4 3 2 3 2 2" xfId="35744"/>
    <cellStyle name="40% - Accent6 4 3 2 3 2 2 2" xfId="35745"/>
    <cellStyle name="40% - Accent6 4 3 2 3 3" xfId="35746"/>
    <cellStyle name="40% - Accent6 4 3 2 3 3 2" xfId="35747"/>
    <cellStyle name="40% - Accent6 4 3 2 4" xfId="35748"/>
    <cellStyle name="40% - Accent6 4 3 2 4 2" xfId="35749"/>
    <cellStyle name="40% - Accent6 4 3 2 4 2 2" xfId="35750"/>
    <cellStyle name="40% - Accent6 4 3 2 5" xfId="35751"/>
    <cellStyle name="40% - Accent6 4 3 2 5 2" xfId="35752"/>
    <cellStyle name="40% - Accent6 4 3 2 6" xfId="35753"/>
    <cellStyle name="40% - Accent6 4 3 2 7" xfId="35754"/>
    <cellStyle name="40% - Accent6 4 3 2 8" xfId="35755"/>
    <cellStyle name="40% - Accent6 4 3 3" xfId="35756"/>
    <cellStyle name="40% - Accent6 4 3 3 2" xfId="35757"/>
    <cellStyle name="40% - Accent6 4 3 3 2 2" xfId="35758"/>
    <cellStyle name="40% - Accent6 4 3 3 2 2 2" xfId="35759"/>
    <cellStyle name="40% - Accent6 4 3 3 2 2 2 2" xfId="35760"/>
    <cellStyle name="40% - Accent6 4 3 3 2 3" xfId="35761"/>
    <cellStyle name="40% - Accent6 4 3 3 2 3 2" xfId="35762"/>
    <cellStyle name="40% - Accent6 4 3 3 3" xfId="35763"/>
    <cellStyle name="40% - Accent6 4 3 3 3 2" xfId="35764"/>
    <cellStyle name="40% - Accent6 4 3 3 3 2 2" xfId="35765"/>
    <cellStyle name="40% - Accent6 4 3 3 4" xfId="35766"/>
    <cellStyle name="40% - Accent6 4 3 3 4 2" xfId="35767"/>
    <cellStyle name="40% - Accent6 4 3 3 5" xfId="35768"/>
    <cellStyle name="40% - Accent6 4 3 3 6" xfId="35769"/>
    <cellStyle name="40% - Accent6 4 3 3 7" xfId="35770"/>
    <cellStyle name="40% - Accent6 4 3 4" xfId="35771"/>
    <cellStyle name="40% - Accent6 4 3 4 2" xfId="35772"/>
    <cellStyle name="40% - Accent6 4 3 4 2 2" xfId="35773"/>
    <cellStyle name="40% - Accent6 4 3 4 2 2 2" xfId="35774"/>
    <cellStyle name="40% - Accent6 4 3 4 3" xfId="35775"/>
    <cellStyle name="40% - Accent6 4 3 4 3 2" xfId="35776"/>
    <cellStyle name="40% - Accent6 4 3 4 4" xfId="35777"/>
    <cellStyle name="40% - Accent6 4 3 5" xfId="35778"/>
    <cellStyle name="40% - Accent6 4 3 5 2" xfId="35779"/>
    <cellStyle name="40% - Accent6 4 3 5 2 2" xfId="35780"/>
    <cellStyle name="40% - Accent6 4 3 6" xfId="35781"/>
    <cellStyle name="40% - Accent6 4 3 6 2" xfId="35782"/>
    <cellStyle name="40% - Accent6 4 3 7" xfId="35783"/>
    <cellStyle name="40% - Accent6 4 3 8" xfId="35784"/>
    <cellStyle name="40% - Accent6 4 3 9" xfId="35785"/>
    <cellStyle name="40% - Accent6 4 4" xfId="35786"/>
    <cellStyle name="40% - Accent6 4 4 2" xfId="35787"/>
    <cellStyle name="40% - Accent6 4 4 2 2" xfId="35788"/>
    <cellStyle name="40% - Accent6 4 4 2 2 2" xfId="35789"/>
    <cellStyle name="40% - Accent6 4 4 2 2 2 2" xfId="35790"/>
    <cellStyle name="40% - Accent6 4 4 2 2 2 2 2" xfId="35791"/>
    <cellStyle name="40% - Accent6 4 4 2 2 2 2 2 2" xfId="35792"/>
    <cellStyle name="40% - Accent6 4 4 2 2 2 3" xfId="35793"/>
    <cellStyle name="40% - Accent6 4 4 2 2 2 3 2" xfId="35794"/>
    <cellStyle name="40% - Accent6 4 4 2 2 3" xfId="35795"/>
    <cellStyle name="40% - Accent6 4 4 2 2 3 2" xfId="35796"/>
    <cellStyle name="40% - Accent6 4 4 2 2 3 2 2" xfId="35797"/>
    <cellStyle name="40% - Accent6 4 4 2 2 4" xfId="35798"/>
    <cellStyle name="40% - Accent6 4 4 2 2 4 2" xfId="35799"/>
    <cellStyle name="40% - Accent6 4 4 2 3" xfId="35800"/>
    <cellStyle name="40% - Accent6 4 4 2 3 2" xfId="35801"/>
    <cellStyle name="40% - Accent6 4 4 2 3 2 2" xfId="35802"/>
    <cellStyle name="40% - Accent6 4 4 2 3 2 2 2" xfId="35803"/>
    <cellStyle name="40% - Accent6 4 4 2 3 3" xfId="35804"/>
    <cellStyle name="40% - Accent6 4 4 2 3 3 2" xfId="35805"/>
    <cellStyle name="40% - Accent6 4 4 2 4" xfId="35806"/>
    <cellStyle name="40% - Accent6 4 4 2 4 2" xfId="35807"/>
    <cellStyle name="40% - Accent6 4 4 2 4 2 2" xfId="35808"/>
    <cellStyle name="40% - Accent6 4 4 2 5" xfId="35809"/>
    <cellStyle name="40% - Accent6 4 4 2 5 2" xfId="35810"/>
    <cellStyle name="40% - Accent6 4 4 3" xfId="35811"/>
    <cellStyle name="40% - Accent6 4 4 3 2" xfId="35812"/>
    <cellStyle name="40% - Accent6 4 4 3 2 2" xfId="35813"/>
    <cellStyle name="40% - Accent6 4 4 3 2 2 2" xfId="35814"/>
    <cellStyle name="40% - Accent6 4 4 3 2 2 2 2" xfId="35815"/>
    <cellStyle name="40% - Accent6 4 4 3 2 3" xfId="35816"/>
    <cellStyle name="40% - Accent6 4 4 3 2 3 2" xfId="35817"/>
    <cellStyle name="40% - Accent6 4 4 3 3" xfId="35818"/>
    <cellStyle name="40% - Accent6 4 4 3 3 2" xfId="35819"/>
    <cellStyle name="40% - Accent6 4 4 3 3 2 2" xfId="35820"/>
    <cellStyle name="40% - Accent6 4 4 3 4" xfId="35821"/>
    <cellStyle name="40% - Accent6 4 4 3 4 2" xfId="35822"/>
    <cellStyle name="40% - Accent6 4 4 4" xfId="35823"/>
    <cellStyle name="40% - Accent6 4 4 4 2" xfId="35824"/>
    <cellStyle name="40% - Accent6 4 4 4 2 2" xfId="35825"/>
    <cellStyle name="40% - Accent6 4 4 4 2 2 2" xfId="35826"/>
    <cellStyle name="40% - Accent6 4 4 4 3" xfId="35827"/>
    <cellStyle name="40% - Accent6 4 4 4 3 2" xfId="35828"/>
    <cellStyle name="40% - Accent6 4 4 5" xfId="35829"/>
    <cellStyle name="40% - Accent6 4 4 5 2" xfId="35830"/>
    <cellStyle name="40% - Accent6 4 4 5 2 2" xfId="35831"/>
    <cellStyle name="40% - Accent6 4 4 6" xfId="35832"/>
    <cellStyle name="40% - Accent6 4 4 6 2" xfId="35833"/>
    <cellStyle name="40% - Accent6 4 4 7" xfId="35834"/>
    <cellStyle name="40% - Accent6 4 5" xfId="35835"/>
    <cellStyle name="40% - Accent6 4 5 2" xfId="35836"/>
    <cellStyle name="40% - Accent6 4 5 2 2" xfId="35837"/>
    <cellStyle name="40% - Accent6 4 5 2 2 2" xfId="35838"/>
    <cellStyle name="40% - Accent6 4 5 2 2 2 2" xfId="35839"/>
    <cellStyle name="40% - Accent6 4 5 2 2 2 2 2" xfId="35840"/>
    <cellStyle name="40% - Accent6 4 5 2 2 2 2 2 2" xfId="35841"/>
    <cellStyle name="40% - Accent6 4 5 2 2 2 3" xfId="35842"/>
    <cellStyle name="40% - Accent6 4 5 2 2 2 3 2" xfId="35843"/>
    <cellStyle name="40% - Accent6 4 5 2 2 3" xfId="35844"/>
    <cellStyle name="40% - Accent6 4 5 2 2 3 2" xfId="35845"/>
    <cellStyle name="40% - Accent6 4 5 2 2 3 2 2" xfId="35846"/>
    <cellStyle name="40% - Accent6 4 5 2 2 4" xfId="35847"/>
    <cellStyle name="40% - Accent6 4 5 2 2 4 2" xfId="35848"/>
    <cellStyle name="40% - Accent6 4 5 2 3" xfId="35849"/>
    <cellStyle name="40% - Accent6 4 5 2 3 2" xfId="35850"/>
    <cellStyle name="40% - Accent6 4 5 2 3 2 2" xfId="35851"/>
    <cellStyle name="40% - Accent6 4 5 2 3 2 2 2" xfId="35852"/>
    <cellStyle name="40% - Accent6 4 5 2 3 3" xfId="35853"/>
    <cellStyle name="40% - Accent6 4 5 2 3 3 2" xfId="35854"/>
    <cellStyle name="40% - Accent6 4 5 2 4" xfId="35855"/>
    <cellStyle name="40% - Accent6 4 5 2 4 2" xfId="35856"/>
    <cellStyle name="40% - Accent6 4 5 2 4 2 2" xfId="35857"/>
    <cellStyle name="40% - Accent6 4 5 2 5" xfId="35858"/>
    <cellStyle name="40% - Accent6 4 5 2 5 2" xfId="35859"/>
    <cellStyle name="40% - Accent6 4 5 3" xfId="35860"/>
    <cellStyle name="40% - Accent6 4 5 3 2" xfId="35861"/>
    <cellStyle name="40% - Accent6 4 5 3 2 2" xfId="35862"/>
    <cellStyle name="40% - Accent6 4 5 3 2 2 2" xfId="35863"/>
    <cellStyle name="40% - Accent6 4 5 3 2 2 2 2" xfId="35864"/>
    <cellStyle name="40% - Accent6 4 5 3 2 3" xfId="35865"/>
    <cellStyle name="40% - Accent6 4 5 3 2 3 2" xfId="35866"/>
    <cellStyle name="40% - Accent6 4 5 3 3" xfId="35867"/>
    <cellStyle name="40% - Accent6 4 5 3 3 2" xfId="35868"/>
    <cellStyle name="40% - Accent6 4 5 3 3 2 2" xfId="35869"/>
    <cellStyle name="40% - Accent6 4 5 3 4" xfId="35870"/>
    <cellStyle name="40% - Accent6 4 5 3 4 2" xfId="35871"/>
    <cellStyle name="40% - Accent6 4 5 4" xfId="35872"/>
    <cellStyle name="40% - Accent6 4 5 4 2" xfId="35873"/>
    <cellStyle name="40% - Accent6 4 5 4 2 2" xfId="35874"/>
    <cellStyle name="40% - Accent6 4 5 4 2 2 2" xfId="35875"/>
    <cellStyle name="40% - Accent6 4 5 4 3" xfId="35876"/>
    <cellStyle name="40% - Accent6 4 5 4 3 2" xfId="35877"/>
    <cellStyle name="40% - Accent6 4 5 5" xfId="35878"/>
    <cellStyle name="40% - Accent6 4 5 5 2" xfId="35879"/>
    <cellStyle name="40% - Accent6 4 5 5 2 2" xfId="35880"/>
    <cellStyle name="40% - Accent6 4 5 6" xfId="35881"/>
    <cellStyle name="40% - Accent6 4 5 6 2" xfId="35882"/>
    <cellStyle name="40% - Accent6 4 5 7" xfId="35883"/>
    <cellStyle name="40% - Accent6 4 6" xfId="35884"/>
    <cellStyle name="40% - Accent6 4 6 2" xfId="35885"/>
    <cellStyle name="40% - Accent6 4 6 2 2" xfId="35886"/>
    <cellStyle name="40% - Accent6 4 6 2 2 2" xfId="35887"/>
    <cellStyle name="40% - Accent6 4 6 2 2 2 2" xfId="35888"/>
    <cellStyle name="40% - Accent6 4 6 2 2 2 2 2" xfId="35889"/>
    <cellStyle name="40% - Accent6 4 6 2 2 2 2 2 2" xfId="35890"/>
    <cellStyle name="40% - Accent6 4 6 2 2 2 3" xfId="35891"/>
    <cellStyle name="40% - Accent6 4 6 2 2 2 3 2" xfId="35892"/>
    <cellStyle name="40% - Accent6 4 6 2 2 3" xfId="35893"/>
    <cellStyle name="40% - Accent6 4 6 2 2 3 2" xfId="35894"/>
    <cellStyle name="40% - Accent6 4 6 2 2 3 2 2" xfId="35895"/>
    <cellStyle name="40% - Accent6 4 6 2 2 4" xfId="35896"/>
    <cellStyle name="40% - Accent6 4 6 2 2 4 2" xfId="35897"/>
    <cellStyle name="40% - Accent6 4 6 2 3" xfId="35898"/>
    <cellStyle name="40% - Accent6 4 6 2 3 2" xfId="35899"/>
    <cellStyle name="40% - Accent6 4 6 2 3 2 2" xfId="35900"/>
    <cellStyle name="40% - Accent6 4 6 2 3 2 2 2" xfId="35901"/>
    <cellStyle name="40% - Accent6 4 6 2 3 3" xfId="35902"/>
    <cellStyle name="40% - Accent6 4 6 2 3 3 2" xfId="35903"/>
    <cellStyle name="40% - Accent6 4 6 2 4" xfId="35904"/>
    <cellStyle name="40% - Accent6 4 6 2 4 2" xfId="35905"/>
    <cellStyle name="40% - Accent6 4 6 2 4 2 2" xfId="35906"/>
    <cellStyle name="40% - Accent6 4 6 2 5" xfId="35907"/>
    <cellStyle name="40% - Accent6 4 6 2 5 2" xfId="35908"/>
    <cellStyle name="40% - Accent6 4 6 3" xfId="35909"/>
    <cellStyle name="40% - Accent6 4 6 3 2" xfId="35910"/>
    <cellStyle name="40% - Accent6 4 6 3 2 2" xfId="35911"/>
    <cellStyle name="40% - Accent6 4 6 3 2 2 2" xfId="35912"/>
    <cellStyle name="40% - Accent6 4 6 3 2 2 2 2" xfId="35913"/>
    <cellStyle name="40% - Accent6 4 6 3 2 3" xfId="35914"/>
    <cellStyle name="40% - Accent6 4 6 3 2 3 2" xfId="35915"/>
    <cellStyle name="40% - Accent6 4 6 3 3" xfId="35916"/>
    <cellStyle name="40% - Accent6 4 6 3 3 2" xfId="35917"/>
    <cellStyle name="40% - Accent6 4 6 3 3 2 2" xfId="35918"/>
    <cellStyle name="40% - Accent6 4 6 3 4" xfId="35919"/>
    <cellStyle name="40% - Accent6 4 6 3 4 2" xfId="35920"/>
    <cellStyle name="40% - Accent6 4 6 4" xfId="35921"/>
    <cellStyle name="40% - Accent6 4 6 4 2" xfId="35922"/>
    <cellStyle name="40% - Accent6 4 6 4 2 2" xfId="35923"/>
    <cellStyle name="40% - Accent6 4 6 4 2 2 2" xfId="35924"/>
    <cellStyle name="40% - Accent6 4 6 4 3" xfId="35925"/>
    <cellStyle name="40% - Accent6 4 6 4 3 2" xfId="35926"/>
    <cellStyle name="40% - Accent6 4 6 5" xfId="35927"/>
    <cellStyle name="40% - Accent6 4 6 5 2" xfId="35928"/>
    <cellStyle name="40% - Accent6 4 6 5 2 2" xfId="35929"/>
    <cellStyle name="40% - Accent6 4 6 6" xfId="35930"/>
    <cellStyle name="40% - Accent6 4 6 6 2" xfId="35931"/>
    <cellStyle name="40% - Accent6 4 6 7" xfId="35932"/>
    <cellStyle name="40% - Accent6 4 7" xfId="35933"/>
    <cellStyle name="40% - Accent6 4 7 2" xfId="35934"/>
    <cellStyle name="40% - Accent6 4 7 2 2" xfId="35935"/>
    <cellStyle name="40% - Accent6 4 7 2 2 2" xfId="35936"/>
    <cellStyle name="40% - Accent6 4 7 2 2 2 2" xfId="35937"/>
    <cellStyle name="40% - Accent6 4 7 2 2 2 2 2" xfId="35938"/>
    <cellStyle name="40% - Accent6 4 7 2 2 2 2 2 2" xfId="35939"/>
    <cellStyle name="40% - Accent6 4 7 2 2 2 3" xfId="35940"/>
    <cellStyle name="40% - Accent6 4 7 2 2 2 3 2" xfId="35941"/>
    <cellStyle name="40% - Accent6 4 7 2 2 3" xfId="35942"/>
    <cellStyle name="40% - Accent6 4 7 2 2 3 2" xfId="35943"/>
    <cellStyle name="40% - Accent6 4 7 2 2 3 2 2" xfId="35944"/>
    <cellStyle name="40% - Accent6 4 7 2 2 4" xfId="35945"/>
    <cellStyle name="40% - Accent6 4 7 2 2 4 2" xfId="35946"/>
    <cellStyle name="40% - Accent6 4 7 2 3" xfId="35947"/>
    <cellStyle name="40% - Accent6 4 7 2 3 2" xfId="35948"/>
    <cellStyle name="40% - Accent6 4 7 2 3 2 2" xfId="35949"/>
    <cellStyle name="40% - Accent6 4 7 2 3 2 2 2" xfId="35950"/>
    <cellStyle name="40% - Accent6 4 7 2 3 3" xfId="35951"/>
    <cellStyle name="40% - Accent6 4 7 2 3 3 2" xfId="35952"/>
    <cellStyle name="40% - Accent6 4 7 2 4" xfId="35953"/>
    <cellStyle name="40% - Accent6 4 7 2 4 2" xfId="35954"/>
    <cellStyle name="40% - Accent6 4 7 2 4 2 2" xfId="35955"/>
    <cellStyle name="40% - Accent6 4 7 2 5" xfId="35956"/>
    <cellStyle name="40% - Accent6 4 7 2 5 2" xfId="35957"/>
    <cellStyle name="40% - Accent6 4 7 3" xfId="35958"/>
    <cellStyle name="40% - Accent6 4 7 3 2" xfId="35959"/>
    <cellStyle name="40% - Accent6 4 7 3 2 2" xfId="35960"/>
    <cellStyle name="40% - Accent6 4 7 3 2 2 2" xfId="35961"/>
    <cellStyle name="40% - Accent6 4 7 3 2 2 2 2" xfId="35962"/>
    <cellStyle name="40% - Accent6 4 7 3 2 3" xfId="35963"/>
    <cellStyle name="40% - Accent6 4 7 3 2 3 2" xfId="35964"/>
    <cellStyle name="40% - Accent6 4 7 3 3" xfId="35965"/>
    <cellStyle name="40% - Accent6 4 7 3 3 2" xfId="35966"/>
    <cellStyle name="40% - Accent6 4 7 3 3 2 2" xfId="35967"/>
    <cellStyle name="40% - Accent6 4 7 3 4" xfId="35968"/>
    <cellStyle name="40% - Accent6 4 7 3 4 2" xfId="35969"/>
    <cellStyle name="40% - Accent6 4 7 4" xfId="35970"/>
    <cellStyle name="40% - Accent6 4 7 4 2" xfId="35971"/>
    <cellStyle name="40% - Accent6 4 7 4 2 2" xfId="35972"/>
    <cellStyle name="40% - Accent6 4 7 4 2 2 2" xfId="35973"/>
    <cellStyle name="40% - Accent6 4 7 4 3" xfId="35974"/>
    <cellStyle name="40% - Accent6 4 7 4 3 2" xfId="35975"/>
    <cellStyle name="40% - Accent6 4 7 5" xfId="35976"/>
    <cellStyle name="40% - Accent6 4 7 5 2" xfId="35977"/>
    <cellStyle name="40% - Accent6 4 7 5 2 2" xfId="35978"/>
    <cellStyle name="40% - Accent6 4 7 6" xfId="35979"/>
    <cellStyle name="40% - Accent6 4 7 6 2" xfId="35980"/>
    <cellStyle name="40% - Accent6 4 7 7" xfId="35981"/>
    <cellStyle name="40% - Accent6 4 8" xfId="35982"/>
    <cellStyle name="40% - Accent6 4 8 2" xfId="35983"/>
    <cellStyle name="40% - Accent6 4 8 2 2" xfId="35984"/>
    <cellStyle name="40% - Accent6 4 8 2 2 2" xfId="35985"/>
    <cellStyle name="40% - Accent6 4 8 2 2 2 2" xfId="35986"/>
    <cellStyle name="40% - Accent6 4 8 2 2 2 2 2" xfId="35987"/>
    <cellStyle name="40% - Accent6 4 8 2 2 2 2 2 2" xfId="35988"/>
    <cellStyle name="40% - Accent6 4 8 2 2 2 3" xfId="35989"/>
    <cellStyle name="40% - Accent6 4 8 2 2 2 3 2" xfId="35990"/>
    <cellStyle name="40% - Accent6 4 8 2 2 3" xfId="35991"/>
    <cellStyle name="40% - Accent6 4 8 2 2 3 2" xfId="35992"/>
    <cellStyle name="40% - Accent6 4 8 2 2 3 2 2" xfId="35993"/>
    <cellStyle name="40% - Accent6 4 8 2 2 4" xfId="35994"/>
    <cellStyle name="40% - Accent6 4 8 2 2 4 2" xfId="35995"/>
    <cellStyle name="40% - Accent6 4 8 2 3" xfId="35996"/>
    <cellStyle name="40% - Accent6 4 8 2 3 2" xfId="35997"/>
    <cellStyle name="40% - Accent6 4 8 2 3 2 2" xfId="35998"/>
    <cellStyle name="40% - Accent6 4 8 2 3 2 2 2" xfId="35999"/>
    <cellStyle name="40% - Accent6 4 8 2 3 3" xfId="36000"/>
    <cellStyle name="40% - Accent6 4 8 2 3 3 2" xfId="36001"/>
    <cellStyle name="40% - Accent6 4 8 2 4" xfId="36002"/>
    <cellStyle name="40% - Accent6 4 8 2 4 2" xfId="36003"/>
    <cellStyle name="40% - Accent6 4 8 2 4 2 2" xfId="36004"/>
    <cellStyle name="40% - Accent6 4 8 2 5" xfId="36005"/>
    <cellStyle name="40% - Accent6 4 8 2 5 2" xfId="36006"/>
    <cellStyle name="40% - Accent6 4 8 3" xfId="36007"/>
    <cellStyle name="40% - Accent6 4 8 3 2" xfId="36008"/>
    <cellStyle name="40% - Accent6 4 8 3 2 2" xfId="36009"/>
    <cellStyle name="40% - Accent6 4 8 3 2 2 2" xfId="36010"/>
    <cellStyle name="40% - Accent6 4 8 3 2 2 2 2" xfId="36011"/>
    <cellStyle name="40% - Accent6 4 8 3 2 3" xfId="36012"/>
    <cellStyle name="40% - Accent6 4 8 3 2 3 2" xfId="36013"/>
    <cellStyle name="40% - Accent6 4 8 3 3" xfId="36014"/>
    <cellStyle name="40% - Accent6 4 8 3 3 2" xfId="36015"/>
    <cellStyle name="40% - Accent6 4 8 3 3 2 2" xfId="36016"/>
    <cellStyle name="40% - Accent6 4 8 3 4" xfId="36017"/>
    <cellStyle name="40% - Accent6 4 8 3 4 2" xfId="36018"/>
    <cellStyle name="40% - Accent6 4 8 4" xfId="36019"/>
    <cellStyle name="40% - Accent6 4 8 4 2" xfId="36020"/>
    <cellStyle name="40% - Accent6 4 8 4 2 2" xfId="36021"/>
    <cellStyle name="40% - Accent6 4 8 4 2 2 2" xfId="36022"/>
    <cellStyle name="40% - Accent6 4 8 4 3" xfId="36023"/>
    <cellStyle name="40% - Accent6 4 8 4 3 2" xfId="36024"/>
    <cellStyle name="40% - Accent6 4 8 5" xfId="36025"/>
    <cellStyle name="40% - Accent6 4 8 5 2" xfId="36026"/>
    <cellStyle name="40% - Accent6 4 8 5 2 2" xfId="36027"/>
    <cellStyle name="40% - Accent6 4 8 6" xfId="36028"/>
    <cellStyle name="40% - Accent6 4 8 6 2" xfId="36029"/>
    <cellStyle name="40% - Accent6 4 8 7" xfId="36030"/>
    <cellStyle name="40% - Accent6 4 9" xfId="36031"/>
    <cellStyle name="40% - Accent6 4 9 2" xfId="36032"/>
    <cellStyle name="40% - Accent6 4 9 2 2" xfId="36033"/>
    <cellStyle name="40% - Accent6 4 9 2 2 2" xfId="36034"/>
    <cellStyle name="40% - Accent6 4 9 2 2 2 2" xfId="36035"/>
    <cellStyle name="40% - Accent6 4 9 2 2 2 2 2" xfId="36036"/>
    <cellStyle name="40% - Accent6 4 9 2 2 2 2 2 2" xfId="36037"/>
    <cellStyle name="40% - Accent6 4 9 2 2 2 3" xfId="36038"/>
    <cellStyle name="40% - Accent6 4 9 2 2 2 3 2" xfId="36039"/>
    <cellStyle name="40% - Accent6 4 9 2 2 3" xfId="36040"/>
    <cellStyle name="40% - Accent6 4 9 2 2 3 2" xfId="36041"/>
    <cellStyle name="40% - Accent6 4 9 2 2 3 2 2" xfId="36042"/>
    <cellStyle name="40% - Accent6 4 9 2 2 4" xfId="36043"/>
    <cellStyle name="40% - Accent6 4 9 2 2 4 2" xfId="36044"/>
    <cellStyle name="40% - Accent6 4 9 2 3" xfId="36045"/>
    <cellStyle name="40% - Accent6 4 9 2 3 2" xfId="36046"/>
    <cellStyle name="40% - Accent6 4 9 2 3 2 2" xfId="36047"/>
    <cellStyle name="40% - Accent6 4 9 2 3 2 2 2" xfId="36048"/>
    <cellStyle name="40% - Accent6 4 9 2 3 3" xfId="36049"/>
    <cellStyle name="40% - Accent6 4 9 2 3 3 2" xfId="36050"/>
    <cellStyle name="40% - Accent6 4 9 2 4" xfId="36051"/>
    <cellStyle name="40% - Accent6 4 9 2 4 2" xfId="36052"/>
    <cellStyle name="40% - Accent6 4 9 2 4 2 2" xfId="36053"/>
    <cellStyle name="40% - Accent6 4 9 2 5" xfId="36054"/>
    <cellStyle name="40% - Accent6 4 9 2 5 2" xfId="36055"/>
    <cellStyle name="40% - Accent6 4 9 3" xfId="36056"/>
    <cellStyle name="40% - Accent6 4 9 3 2" xfId="36057"/>
    <cellStyle name="40% - Accent6 4 9 3 2 2" xfId="36058"/>
    <cellStyle name="40% - Accent6 4 9 3 2 2 2" xfId="36059"/>
    <cellStyle name="40% - Accent6 4 9 3 2 2 2 2" xfId="36060"/>
    <cellStyle name="40% - Accent6 4 9 3 2 3" xfId="36061"/>
    <cellStyle name="40% - Accent6 4 9 3 2 3 2" xfId="36062"/>
    <cellStyle name="40% - Accent6 4 9 3 3" xfId="36063"/>
    <cellStyle name="40% - Accent6 4 9 3 3 2" xfId="36064"/>
    <cellStyle name="40% - Accent6 4 9 3 3 2 2" xfId="36065"/>
    <cellStyle name="40% - Accent6 4 9 3 4" xfId="36066"/>
    <cellStyle name="40% - Accent6 4 9 3 4 2" xfId="36067"/>
    <cellStyle name="40% - Accent6 4 9 4" xfId="36068"/>
    <cellStyle name="40% - Accent6 4 9 4 2" xfId="36069"/>
    <cellStyle name="40% - Accent6 4 9 4 2 2" xfId="36070"/>
    <cellStyle name="40% - Accent6 4 9 4 2 2 2" xfId="36071"/>
    <cellStyle name="40% - Accent6 4 9 4 3" xfId="36072"/>
    <cellStyle name="40% - Accent6 4 9 4 3 2" xfId="36073"/>
    <cellStyle name="40% - Accent6 4 9 5" xfId="36074"/>
    <cellStyle name="40% - Accent6 4 9 5 2" xfId="36075"/>
    <cellStyle name="40% - Accent6 4 9 5 2 2" xfId="36076"/>
    <cellStyle name="40% - Accent6 4 9 6" xfId="36077"/>
    <cellStyle name="40% - Accent6 4 9 6 2" xfId="36078"/>
    <cellStyle name="40% - Accent6 4 9 7" xfId="36079"/>
    <cellStyle name="40% - Accent6 4 9 8" xfId="36080"/>
    <cellStyle name="40% - Accent6 4 9 9" xfId="36081"/>
    <cellStyle name="40% - Accent6 40" xfId="36082"/>
    <cellStyle name="40% - Accent6 40 2" xfId="36083"/>
    <cellStyle name="40% - Accent6 40 2 2" xfId="36084"/>
    <cellStyle name="40% - Accent6 40 2 3" xfId="36085"/>
    <cellStyle name="40% - Accent6 40 2 4" xfId="36086"/>
    <cellStyle name="40% - Accent6 40 3" xfId="36087"/>
    <cellStyle name="40% - Accent6 40 3 2" xfId="36088"/>
    <cellStyle name="40% - Accent6 40 3 3" xfId="36089"/>
    <cellStyle name="40% - Accent6 40 4" xfId="36090"/>
    <cellStyle name="40% - Accent6 40 4 2" xfId="36091"/>
    <cellStyle name="40% - Accent6 40 5" xfId="36092"/>
    <cellStyle name="40% - Accent6 40 6" xfId="36093"/>
    <cellStyle name="40% - Accent6 40 7" xfId="36094"/>
    <cellStyle name="40% - Accent6 41" xfId="36095"/>
    <cellStyle name="40% - Accent6 41 2" xfId="36096"/>
    <cellStyle name="40% - Accent6 41 2 2" xfId="36097"/>
    <cellStyle name="40% - Accent6 41 2 3" xfId="36098"/>
    <cellStyle name="40% - Accent6 41 2 4" xfId="36099"/>
    <cellStyle name="40% - Accent6 41 3" xfId="36100"/>
    <cellStyle name="40% - Accent6 41 3 2" xfId="36101"/>
    <cellStyle name="40% - Accent6 41 3 3" xfId="36102"/>
    <cellStyle name="40% - Accent6 41 4" xfId="36103"/>
    <cellStyle name="40% - Accent6 41 4 2" xfId="36104"/>
    <cellStyle name="40% - Accent6 41 5" xfId="36105"/>
    <cellStyle name="40% - Accent6 41 6" xfId="36106"/>
    <cellStyle name="40% - Accent6 41 7" xfId="36107"/>
    <cellStyle name="40% - Accent6 42" xfId="36108"/>
    <cellStyle name="40% - Accent6 42 2" xfId="36109"/>
    <cellStyle name="40% - Accent6 42 2 2" xfId="36110"/>
    <cellStyle name="40% - Accent6 42 2 3" xfId="36111"/>
    <cellStyle name="40% - Accent6 42 2 4" xfId="36112"/>
    <cellStyle name="40% - Accent6 42 3" xfId="36113"/>
    <cellStyle name="40% - Accent6 42 3 2" xfId="36114"/>
    <cellStyle name="40% - Accent6 42 3 3" xfId="36115"/>
    <cellStyle name="40% - Accent6 42 4" xfId="36116"/>
    <cellStyle name="40% - Accent6 42 4 2" xfId="36117"/>
    <cellStyle name="40% - Accent6 42 5" xfId="36118"/>
    <cellStyle name="40% - Accent6 42 6" xfId="36119"/>
    <cellStyle name="40% - Accent6 42 7" xfId="36120"/>
    <cellStyle name="40% - Accent6 43" xfId="36121"/>
    <cellStyle name="40% - Accent6 43 2" xfId="36122"/>
    <cellStyle name="40% - Accent6 43 2 2" xfId="36123"/>
    <cellStyle name="40% - Accent6 43 2 3" xfId="36124"/>
    <cellStyle name="40% - Accent6 43 2 4" xfId="36125"/>
    <cellStyle name="40% - Accent6 43 3" xfId="36126"/>
    <cellStyle name="40% - Accent6 43 3 2" xfId="36127"/>
    <cellStyle name="40% - Accent6 43 3 3" xfId="36128"/>
    <cellStyle name="40% - Accent6 43 4" xfId="36129"/>
    <cellStyle name="40% - Accent6 43 4 2" xfId="36130"/>
    <cellStyle name="40% - Accent6 43 5" xfId="36131"/>
    <cellStyle name="40% - Accent6 43 6" xfId="36132"/>
    <cellStyle name="40% - Accent6 43 7" xfId="36133"/>
    <cellStyle name="40% - Accent6 44" xfId="36134"/>
    <cellStyle name="40% - Accent6 44 2" xfId="36135"/>
    <cellStyle name="40% - Accent6 44 2 2" xfId="36136"/>
    <cellStyle name="40% - Accent6 44 2 3" xfId="36137"/>
    <cellStyle name="40% - Accent6 44 2 4" xfId="36138"/>
    <cellStyle name="40% - Accent6 44 3" xfId="36139"/>
    <cellStyle name="40% - Accent6 44 3 2" xfId="36140"/>
    <cellStyle name="40% - Accent6 44 3 3" xfId="36141"/>
    <cellStyle name="40% - Accent6 44 4" xfId="36142"/>
    <cellStyle name="40% - Accent6 44 4 2" xfId="36143"/>
    <cellStyle name="40% - Accent6 44 5" xfId="36144"/>
    <cellStyle name="40% - Accent6 44 6" xfId="36145"/>
    <cellStyle name="40% - Accent6 44 7" xfId="36146"/>
    <cellStyle name="40% - Accent6 45" xfId="36147"/>
    <cellStyle name="40% - Accent6 45 2" xfId="36148"/>
    <cellStyle name="40% - Accent6 45 2 2" xfId="36149"/>
    <cellStyle name="40% - Accent6 45 2 3" xfId="36150"/>
    <cellStyle name="40% - Accent6 45 2 4" xfId="36151"/>
    <cellStyle name="40% - Accent6 45 3" xfId="36152"/>
    <cellStyle name="40% - Accent6 45 3 2" xfId="36153"/>
    <cellStyle name="40% - Accent6 45 3 3" xfId="36154"/>
    <cellStyle name="40% - Accent6 45 4" xfId="36155"/>
    <cellStyle name="40% - Accent6 45 4 2" xfId="36156"/>
    <cellStyle name="40% - Accent6 45 5" xfId="36157"/>
    <cellStyle name="40% - Accent6 45 6" xfId="36158"/>
    <cellStyle name="40% - Accent6 45 7" xfId="36159"/>
    <cellStyle name="40% - Accent6 46" xfId="36160"/>
    <cellStyle name="40% - Accent6 46 2" xfId="36161"/>
    <cellStyle name="40% - Accent6 46 2 2" xfId="36162"/>
    <cellStyle name="40% - Accent6 46 2 3" xfId="36163"/>
    <cellStyle name="40% - Accent6 46 2 4" xfId="36164"/>
    <cellStyle name="40% - Accent6 46 3" xfId="36165"/>
    <cellStyle name="40% - Accent6 46 3 2" xfId="36166"/>
    <cellStyle name="40% - Accent6 46 3 3" xfId="36167"/>
    <cellStyle name="40% - Accent6 46 4" xfId="36168"/>
    <cellStyle name="40% - Accent6 46 4 2" xfId="36169"/>
    <cellStyle name="40% - Accent6 46 5" xfId="36170"/>
    <cellStyle name="40% - Accent6 46 6" xfId="36171"/>
    <cellStyle name="40% - Accent6 46 7" xfId="36172"/>
    <cellStyle name="40% - Accent6 47" xfId="36173"/>
    <cellStyle name="40% - Accent6 47 2" xfId="36174"/>
    <cellStyle name="40% - Accent6 47 2 2" xfId="36175"/>
    <cellStyle name="40% - Accent6 47 2 3" xfId="36176"/>
    <cellStyle name="40% - Accent6 47 2 4" xfId="36177"/>
    <cellStyle name="40% - Accent6 47 3" xfId="36178"/>
    <cellStyle name="40% - Accent6 47 3 2" xfId="36179"/>
    <cellStyle name="40% - Accent6 47 3 3" xfId="36180"/>
    <cellStyle name="40% - Accent6 47 4" xfId="36181"/>
    <cellStyle name="40% - Accent6 47 4 2" xfId="36182"/>
    <cellStyle name="40% - Accent6 47 5" xfId="36183"/>
    <cellStyle name="40% - Accent6 47 6" xfId="36184"/>
    <cellStyle name="40% - Accent6 47 7" xfId="36185"/>
    <cellStyle name="40% - Accent6 48" xfId="36186"/>
    <cellStyle name="40% - Accent6 48 2" xfId="36187"/>
    <cellStyle name="40% - Accent6 48 2 2" xfId="36188"/>
    <cellStyle name="40% - Accent6 48 2 3" xfId="36189"/>
    <cellStyle name="40% - Accent6 48 2 4" xfId="36190"/>
    <cellStyle name="40% - Accent6 48 3" xfId="36191"/>
    <cellStyle name="40% - Accent6 48 3 2" xfId="36192"/>
    <cellStyle name="40% - Accent6 48 3 3" xfId="36193"/>
    <cellStyle name="40% - Accent6 48 4" xfId="36194"/>
    <cellStyle name="40% - Accent6 48 4 2" xfId="36195"/>
    <cellStyle name="40% - Accent6 48 5" xfId="36196"/>
    <cellStyle name="40% - Accent6 48 6" xfId="36197"/>
    <cellStyle name="40% - Accent6 48 7" xfId="36198"/>
    <cellStyle name="40% - Accent6 49" xfId="36199"/>
    <cellStyle name="40% - Accent6 49 2" xfId="36200"/>
    <cellStyle name="40% - Accent6 49 2 2" xfId="36201"/>
    <cellStyle name="40% - Accent6 49 2 3" xfId="36202"/>
    <cellStyle name="40% - Accent6 49 2 4" xfId="36203"/>
    <cellStyle name="40% - Accent6 49 3" xfId="36204"/>
    <cellStyle name="40% - Accent6 49 3 2" xfId="36205"/>
    <cellStyle name="40% - Accent6 49 3 3" xfId="36206"/>
    <cellStyle name="40% - Accent6 49 4" xfId="36207"/>
    <cellStyle name="40% - Accent6 49 4 2" xfId="36208"/>
    <cellStyle name="40% - Accent6 49 5" xfId="36209"/>
    <cellStyle name="40% - Accent6 49 6" xfId="36210"/>
    <cellStyle name="40% - Accent6 49 7" xfId="36211"/>
    <cellStyle name="40% - Accent6 5" xfId="36212"/>
    <cellStyle name="40% - Accent6 5 2" xfId="36213"/>
    <cellStyle name="40% - Accent6 5 3" xfId="36214"/>
    <cellStyle name="40% - Accent6 5 4" xfId="36215"/>
    <cellStyle name="40% - Accent6 5 5" xfId="36216"/>
    <cellStyle name="40% - Accent6 5 6" xfId="36217"/>
    <cellStyle name="40% - Accent6 5 7" xfId="36218"/>
    <cellStyle name="40% - Accent6 5 8" xfId="36219"/>
    <cellStyle name="40% - Accent6 50" xfId="36220"/>
    <cellStyle name="40% - Accent6 50 2" xfId="36221"/>
    <cellStyle name="40% - Accent6 50 2 2" xfId="36222"/>
    <cellStyle name="40% - Accent6 50 2 3" xfId="36223"/>
    <cellStyle name="40% - Accent6 50 2 4" xfId="36224"/>
    <cellStyle name="40% - Accent6 50 3" xfId="36225"/>
    <cellStyle name="40% - Accent6 50 3 2" xfId="36226"/>
    <cellStyle name="40% - Accent6 50 3 3" xfId="36227"/>
    <cellStyle name="40% - Accent6 50 4" xfId="36228"/>
    <cellStyle name="40% - Accent6 50 4 2" xfId="36229"/>
    <cellStyle name="40% - Accent6 50 5" xfId="36230"/>
    <cellStyle name="40% - Accent6 50 6" xfId="36231"/>
    <cellStyle name="40% - Accent6 50 7" xfId="36232"/>
    <cellStyle name="40% - Accent6 51" xfId="36233"/>
    <cellStyle name="40% - Accent6 51 2" xfId="36234"/>
    <cellStyle name="40% - Accent6 51 2 2" xfId="36235"/>
    <cellStyle name="40% - Accent6 51 2 3" xfId="36236"/>
    <cellStyle name="40% - Accent6 51 2 4" xfId="36237"/>
    <cellStyle name="40% - Accent6 51 3" xfId="36238"/>
    <cellStyle name="40% - Accent6 51 3 2" xfId="36239"/>
    <cellStyle name="40% - Accent6 51 3 3" xfId="36240"/>
    <cellStyle name="40% - Accent6 51 4" xfId="36241"/>
    <cellStyle name="40% - Accent6 51 4 2" xfId="36242"/>
    <cellStyle name="40% - Accent6 51 5" xfId="36243"/>
    <cellStyle name="40% - Accent6 51 6" xfId="36244"/>
    <cellStyle name="40% - Accent6 51 7" xfId="36245"/>
    <cellStyle name="40% - Accent6 52" xfId="36246"/>
    <cellStyle name="40% - Accent6 52 2" xfId="36247"/>
    <cellStyle name="40% - Accent6 52 2 2" xfId="36248"/>
    <cellStyle name="40% - Accent6 52 2 3" xfId="36249"/>
    <cellStyle name="40% - Accent6 52 2 4" xfId="36250"/>
    <cellStyle name="40% - Accent6 52 3" xfId="36251"/>
    <cellStyle name="40% - Accent6 52 3 2" xfId="36252"/>
    <cellStyle name="40% - Accent6 52 3 3" xfId="36253"/>
    <cellStyle name="40% - Accent6 52 4" xfId="36254"/>
    <cellStyle name="40% - Accent6 52 4 2" xfId="36255"/>
    <cellStyle name="40% - Accent6 52 5" xfId="36256"/>
    <cellStyle name="40% - Accent6 52 6" xfId="36257"/>
    <cellStyle name="40% - Accent6 52 7" xfId="36258"/>
    <cellStyle name="40% - Accent6 53" xfId="36259"/>
    <cellStyle name="40% - Accent6 53 2" xfId="36260"/>
    <cellStyle name="40% - Accent6 53 2 2" xfId="36261"/>
    <cellStyle name="40% - Accent6 53 2 3" xfId="36262"/>
    <cellStyle name="40% - Accent6 53 2 4" xfId="36263"/>
    <cellStyle name="40% - Accent6 53 3" xfId="36264"/>
    <cellStyle name="40% - Accent6 53 3 2" xfId="36265"/>
    <cellStyle name="40% - Accent6 53 3 3" xfId="36266"/>
    <cellStyle name="40% - Accent6 53 4" xfId="36267"/>
    <cellStyle name="40% - Accent6 53 4 2" xfId="36268"/>
    <cellStyle name="40% - Accent6 53 5" xfId="36269"/>
    <cellStyle name="40% - Accent6 53 6" xfId="36270"/>
    <cellStyle name="40% - Accent6 53 7" xfId="36271"/>
    <cellStyle name="40% - Accent6 54" xfId="36272"/>
    <cellStyle name="40% - Accent6 54 2" xfId="36273"/>
    <cellStyle name="40% - Accent6 54 2 2" xfId="36274"/>
    <cellStyle name="40% - Accent6 54 2 3" xfId="36275"/>
    <cellStyle name="40% - Accent6 54 2 4" xfId="36276"/>
    <cellStyle name="40% - Accent6 54 3" xfId="36277"/>
    <cellStyle name="40% - Accent6 54 3 2" xfId="36278"/>
    <cellStyle name="40% - Accent6 54 3 3" xfId="36279"/>
    <cellStyle name="40% - Accent6 54 4" xfId="36280"/>
    <cellStyle name="40% - Accent6 54 4 2" xfId="36281"/>
    <cellStyle name="40% - Accent6 54 5" xfId="36282"/>
    <cellStyle name="40% - Accent6 54 6" xfId="36283"/>
    <cellStyle name="40% - Accent6 54 7" xfId="36284"/>
    <cellStyle name="40% - Accent6 55" xfId="36285"/>
    <cellStyle name="40% - Accent6 55 2" xfId="36286"/>
    <cellStyle name="40% - Accent6 55 2 2" xfId="36287"/>
    <cellStyle name="40% - Accent6 55 2 3" xfId="36288"/>
    <cellStyle name="40% - Accent6 55 2 4" xfId="36289"/>
    <cellStyle name="40% - Accent6 55 3" xfId="36290"/>
    <cellStyle name="40% - Accent6 55 3 2" xfId="36291"/>
    <cellStyle name="40% - Accent6 55 3 3" xfId="36292"/>
    <cellStyle name="40% - Accent6 55 4" xfId="36293"/>
    <cellStyle name="40% - Accent6 55 4 2" xfId="36294"/>
    <cellStyle name="40% - Accent6 55 5" xfId="36295"/>
    <cellStyle name="40% - Accent6 55 6" xfId="36296"/>
    <cellStyle name="40% - Accent6 55 7" xfId="36297"/>
    <cellStyle name="40% - Accent6 56" xfId="36298"/>
    <cellStyle name="40% - Accent6 56 2" xfId="36299"/>
    <cellStyle name="40% - Accent6 56 2 2" xfId="36300"/>
    <cellStyle name="40% - Accent6 56 2 3" xfId="36301"/>
    <cellStyle name="40% - Accent6 56 2 4" xfId="36302"/>
    <cellStyle name="40% - Accent6 56 3" xfId="36303"/>
    <cellStyle name="40% - Accent6 56 3 2" xfId="36304"/>
    <cellStyle name="40% - Accent6 56 3 3" xfId="36305"/>
    <cellStyle name="40% - Accent6 56 4" xfId="36306"/>
    <cellStyle name="40% - Accent6 56 4 2" xfId="36307"/>
    <cellStyle name="40% - Accent6 56 5" xfId="36308"/>
    <cellStyle name="40% - Accent6 56 6" xfId="36309"/>
    <cellStyle name="40% - Accent6 56 7" xfId="36310"/>
    <cellStyle name="40% - Accent6 57" xfId="36311"/>
    <cellStyle name="40% - Accent6 57 2" xfId="36312"/>
    <cellStyle name="40% - Accent6 57 2 2" xfId="36313"/>
    <cellStyle name="40% - Accent6 57 2 3" xfId="36314"/>
    <cellStyle name="40% - Accent6 57 2 4" xfId="36315"/>
    <cellStyle name="40% - Accent6 57 3" xfId="36316"/>
    <cellStyle name="40% - Accent6 57 3 2" xfId="36317"/>
    <cellStyle name="40% - Accent6 57 3 3" xfId="36318"/>
    <cellStyle name="40% - Accent6 57 4" xfId="36319"/>
    <cellStyle name="40% - Accent6 57 4 2" xfId="36320"/>
    <cellStyle name="40% - Accent6 57 5" xfId="36321"/>
    <cellStyle name="40% - Accent6 57 6" xfId="36322"/>
    <cellStyle name="40% - Accent6 57 7" xfId="36323"/>
    <cellStyle name="40% - Accent6 58" xfId="36324"/>
    <cellStyle name="40% - Accent6 59" xfId="36325"/>
    <cellStyle name="40% - Accent6 6" xfId="36326"/>
    <cellStyle name="40% - Accent6 6 10" xfId="36327"/>
    <cellStyle name="40% - Accent6 6 10 2" xfId="36328"/>
    <cellStyle name="40% - Accent6 6 10 3" xfId="36329"/>
    <cellStyle name="40% - Accent6 6 11" xfId="36330"/>
    <cellStyle name="40% - Accent6 6 11 2" xfId="36331"/>
    <cellStyle name="40% - Accent6 6 12" xfId="36332"/>
    <cellStyle name="40% - Accent6 6 13" xfId="36333"/>
    <cellStyle name="40% - Accent6 6 14" xfId="36334"/>
    <cellStyle name="40% - Accent6 6 2" xfId="36335"/>
    <cellStyle name="40% - Accent6 6 3" xfId="36336"/>
    <cellStyle name="40% - Accent6 6 4" xfId="36337"/>
    <cellStyle name="40% - Accent6 6 5" xfId="36338"/>
    <cellStyle name="40% - Accent6 6 6" xfId="36339"/>
    <cellStyle name="40% - Accent6 6 7" xfId="36340"/>
    <cellStyle name="40% - Accent6 6 8" xfId="36341"/>
    <cellStyle name="40% - Accent6 6 9" xfId="36342"/>
    <cellStyle name="40% - Accent6 6 9 2" xfId="36343"/>
    <cellStyle name="40% - Accent6 6 9 3" xfId="36344"/>
    <cellStyle name="40% - Accent6 6 9 4" xfId="36345"/>
    <cellStyle name="40% - Accent6 60" xfId="36346"/>
    <cellStyle name="40% - Accent6 61" xfId="36347"/>
    <cellStyle name="40% - Accent6 62" xfId="36348"/>
    <cellStyle name="40% - Accent6 63" xfId="36349"/>
    <cellStyle name="40% - Accent6 64" xfId="36350"/>
    <cellStyle name="40% - Accent6 65" xfId="36351"/>
    <cellStyle name="40% - Accent6 65 2" xfId="36352"/>
    <cellStyle name="40% - Accent6 65 2 2" xfId="36353"/>
    <cellStyle name="40% - Accent6 65 2 3" xfId="36354"/>
    <cellStyle name="40% - Accent6 65 2 4" xfId="36355"/>
    <cellStyle name="40% - Accent6 65 3" xfId="36356"/>
    <cellStyle name="40% - Accent6 65 3 2" xfId="36357"/>
    <cellStyle name="40% - Accent6 65 3 3" xfId="36358"/>
    <cellStyle name="40% - Accent6 65 4" xfId="36359"/>
    <cellStyle name="40% - Accent6 65 4 2" xfId="36360"/>
    <cellStyle name="40% - Accent6 65 5" xfId="36361"/>
    <cellStyle name="40% - Accent6 65 6" xfId="36362"/>
    <cellStyle name="40% - Accent6 65 7" xfId="36363"/>
    <cellStyle name="40% - Accent6 66" xfId="36364"/>
    <cellStyle name="40% - Accent6 66 2" xfId="36365"/>
    <cellStyle name="40% - Accent6 66 2 2" xfId="36366"/>
    <cellStyle name="40% - Accent6 66 2 3" xfId="36367"/>
    <cellStyle name="40% - Accent6 66 2 4" xfId="36368"/>
    <cellStyle name="40% - Accent6 66 3" xfId="36369"/>
    <cellStyle name="40% - Accent6 66 3 2" xfId="36370"/>
    <cellStyle name="40% - Accent6 66 3 3" xfId="36371"/>
    <cellStyle name="40% - Accent6 66 4" xfId="36372"/>
    <cellStyle name="40% - Accent6 66 4 2" xfId="36373"/>
    <cellStyle name="40% - Accent6 66 5" xfId="36374"/>
    <cellStyle name="40% - Accent6 66 6" xfId="36375"/>
    <cellStyle name="40% - Accent6 66 7" xfId="36376"/>
    <cellStyle name="40% - Accent6 67" xfId="36377"/>
    <cellStyle name="40% - Accent6 67 2" xfId="36378"/>
    <cellStyle name="40% - Accent6 67 2 2" xfId="36379"/>
    <cellStyle name="40% - Accent6 67 2 3" xfId="36380"/>
    <cellStyle name="40% - Accent6 67 2 4" xfId="36381"/>
    <cellStyle name="40% - Accent6 67 3" xfId="36382"/>
    <cellStyle name="40% - Accent6 67 3 2" xfId="36383"/>
    <cellStyle name="40% - Accent6 67 3 3" xfId="36384"/>
    <cellStyle name="40% - Accent6 67 4" xfId="36385"/>
    <cellStyle name="40% - Accent6 67 4 2" xfId="36386"/>
    <cellStyle name="40% - Accent6 67 5" xfId="36387"/>
    <cellStyle name="40% - Accent6 67 6" xfId="36388"/>
    <cellStyle name="40% - Accent6 67 7" xfId="36389"/>
    <cellStyle name="40% - Accent6 68" xfId="36390"/>
    <cellStyle name="40% - Accent6 68 2" xfId="36391"/>
    <cellStyle name="40% - Accent6 68 2 2" xfId="36392"/>
    <cellStyle name="40% - Accent6 68 2 3" xfId="36393"/>
    <cellStyle name="40% - Accent6 68 2 4" xfId="36394"/>
    <cellStyle name="40% - Accent6 68 3" xfId="36395"/>
    <cellStyle name="40% - Accent6 68 3 2" xfId="36396"/>
    <cellStyle name="40% - Accent6 68 3 3" xfId="36397"/>
    <cellStyle name="40% - Accent6 68 4" xfId="36398"/>
    <cellStyle name="40% - Accent6 68 4 2" xfId="36399"/>
    <cellStyle name="40% - Accent6 68 5" xfId="36400"/>
    <cellStyle name="40% - Accent6 68 6" xfId="36401"/>
    <cellStyle name="40% - Accent6 68 7" xfId="36402"/>
    <cellStyle name="40% - Accent6 69" xfId="36403"/>
    <cellStyle name="40% - Accent6 69 2" xfId="36404"/>
    <cellStyle name="40% - Accent6 69 2 2" xfId="36405"/>
    <cellStyle name="40% - Accent6 69 2 3" xfId="36406"/>
    <cellStyle name="40% - Accent6 69 2 4" xfId="36407"/>
    <cellStyle name="40% - Accent6 69 3" xfId="36408"/>
    <cellStyle name="40% - Accent6 69 3 2" xfId="36409"/>
    <cellStyle name="40% - Accent6 69 3 3" xfId="36410"/>
    <cellStyle name="40% - Accent6 69 4" xfId="36411"/>
    <cellStyle name="40% - Accent6 69 4 2" xfId="36412"/>
    <cellStyle name="40% - Accent6 69 5" xfId="36413"/>
    <cellStyle name="40% - Accent6 69 6" xfId="36414"/>
    <cellStyle name="40% - Accent6 69 7" xfId="36415"/>
    <cellStyle name="40% - Accent6 7" xfId="36416"/>
    <cellStyle name="40% - Accent6 7 2" xfId="36417"/>
    <cellStyle name="40% - Accent6 7 3" xfId="36418"/>
    <cellStyle name="40% - Accent6 7 3 2" xfId="36419"/>
    <cellStyle name="40% - Accent6 7 3 3" xfId="36420"/>
    <cellStyle name="40% - Accent6 7 3 4" xfId="36421"/>
    <cellStyle name="40% - Accent6 7 4" xfId="36422"/>
    <cellStyle name="40% - Accent6 7 4 2" xfId="36423"/>
    <cellStyle name="40% - Accent6 7 4 3" xfId="36424"/>
    <cellStyle name="40% - Accent6 7 5" xfId="36425"/>
    <cellStyle name="40% - Accent6 7 5 2" xfId="36426"/>
    <cellStyle name="40% - Accent6 7 6" xfId="36427"/>
    <cellStyle name="40% - Accent6 7 7" xfId="36428"/>
    <cellStyle name="40% - Accent6 7 8" xfId="36429"/>
    <cellStyle name="40% - Accent6 70" xfId="36430"/>
    <cellStyle name="40% - Accent6 70 2" xfId="36431"/>
    <cellStyle name="40% - Accent6 70 2 2" xfId="36432"/>
    <cellStyle name="40% - Accent6 70 2 3" xfId="36433"/>
    <cellStyle name="40% - Accent6 70 2 4" xfId="36434"/>
    <cellStyle name="40% - Accent6 70 3" xfId="36435"/>
    <cellStyle name="40% - Accent6 70 3 2" xfId="36436"/>
    <cellStyle name="40% - Accent6 70 3 3" xfId="36437"/>
    <cellStyle name="40% - Accent6 70 4" xfId="36438"/>
    <cellStyle name="40% - Accent6 70 4 2" xfId="36439"/>
    <cellStyle name="40% - Accent6 70 5" xfId="36440"/>
    <cellStyle name="40% - Accent6 70 6" xfId="36441"/>
    <cellStyle name="40% - Accent6 70 7" xfId="36442"/>
    <cellStyle name="40% - Accent6 71" xfId="36443"/>
    <cellStyle name="40% - Accent6 71 2" xfId="36444"/>
    <cellStyle name="40% - Accent6 71 2 2" xfId="36445"/>
    <cellStyle name="40% - Accent6 71 2 3" xfId="36446"/>
    <cellStyle name="40% - Accent6 71 2 4" xfId="36447"/>
    <cellStyle name="40% - Accent6 71 3" xfId="36448"/>
    <cellStyle name="40% - Accent6 71 3 2" xfId="36449"/>
    <cellStyle name="40% - Accent6 71 3 3" xfId="36450"/>
    <cellStyle name="40% - Accent6 71 4" xfId="36451"/>
    <cellStyle name="40% - Accent6 71 4 2" xfId="36452"/>
    <cellStyle name="40% - Accent6 71 5" xfId="36453"/>
    <cellStyle name="40% - Accent6 71 6" xfId="36454"/>
    <cellStyle name="40% - Accent6 71 7" xfId="36455"/>
    <cellStyle name="40% - Accent6 72" xfId="36456"/>
    <cellStyle name="40% - Accent6 72 2" xfId="36457"/>
    <cellStyle name="40% - Accent6 72 2 2" xfId="36458"/>
    <cellStyle name="40% - Accent6 72 2 3" xfId="36459"/>
    <cellStyle name="40% - Accent6 72 2 4" xfId="36460"/>
    <cellStyle name="40% - Accent6 72 3" xfId="36461"/>
    <cellStyle name="40% - Accent6 72 3 2" xfId="36462"/>
    <cellStyle name="40% - Accent6 72 3 3" xfId="36463"/>
    <cellStyle name="40% - Accent6 72 4" xfId="36464"/>
    <cellStyle name="40% - Accent6 72 4 2" xfId="36465"/>
    <cellStyle name="40% - Accent6 72 5" xfId="36466"/>
    <cellStyle name="40% - Accent6 72 6" xfId="36467"/>
    <cellStyle name="40% - Accent6 72 7" xfId="36468"/>
    <cellStyle name="40% - Accent6 73" xfId="36469"/>
    <cellStyle name="40% - Accent6 73 2" xfId="36470"/>
    <cellStyle name="40% - Accent6 73 2 2" xfId="36471"/>
    <cellStyle name="40% - Accent6 73 2 3" xfId="36472"/>
    <cellStyle name="40% - Accent6 73 2 4" xfId="36473"/>
    <cellStyle name="40% - Accent6 73 3" xfId="36474"/>
    <cellStyle name="40% - Accent6 73 3 2" xfId="36475"/>
    <cellStyle name="40% - Accent6 73 3 3" xfId="36476"/>
    <cellStyle name="40% - Accent6 73 4" xfId="36477"/>
    <cellStyle name="40% - Accent6 73 4 2" xfId="36478"/>
    <cellStyle name="40% - Accent6 73 5" xfId="36479"/>
    <cellStyle name="40% - Accent6 73 6" xfId="36480"/>
    <cellStyle name="40% - Accent6 73 7" xfId="36481"/>
    <cellStyle name="40% - Accent6 74" xfId="36482"/>
    <cellStyle name="40% - Accent6 74 2" xfId="36483"/>
    <cellStyle name="40% - Accent6 74 2 2" xfId="36484"/>
    <cellStyle name="40% - Accent6 74 2 3" xfId="36485"/>
    <cellStyle name="40% - Accent6 74 2 4" xfId="36486"/>
    <cellStyle name="40% - Accent6 74 3" xfId="36487"/>
    <cellStyle name="40% - Accent6 74 3 2" xfId="36488"/>
    <cellStyle name="40% - Accent6 74 3 3" xfId="36489"/>
    <cellStyle name="40% - Accent6 74 4" xfId="36490"/>
    <cellStyle name="40% - Accent6 74 4 2" xfId="36491"/>
    <cellStyle name="40% - Accent6 74 5" xfId="36492"/>
    <cellStyle name="40% - Accent6 74 6" xfId="36493"/>
    <cellStyle name="40% - Accent6 74 7" xfId="36494"/>
    <cellStyle name="40% - Accent6 75" xfId="36495"/>
    <cellStyle name="40% - Accent6 75 2" xfId="36496"/>
    <cellStyle name="40% - Accent6 75 2 2" xfId="36497"/>
    <cellStyle name="40% - Accent6 75 2 3" xfId="36498"/>
    <cellStyle name="40% - Accent6 75 2 4" xfId="36499"/>
    <cellStyle name="40% - Accent6 75 3" xfId="36500"/>
    <cellStyle name="40% - Accent6 75 3 2" xfId="36501"/>
    <cellStyle name="40% - Accent6 75 3 3" xfId="36502"/>
    <cellStyle name="40% - Accent6 75 4" xfId="36503"/>
    <cellStyle name="40% - Accent6 75 4 2" xfId="36504"/>
    <cellStyle name="40% - Accent6 75 5" xfId="36505"/>
    <cellStyle name="40% - Accent6 75 6" xfId="36506"/>
    <cellStyle name="40% - Accent6 75 7" xfId="36507"/>
    <cellStyle name="40% - Accent6 76" xfId="36508"/>
    <cellStyle name="40% - Accent6 76 2" xfId="36509"/>
    <cellStyle name="40% - Accent6 76 2 2" xfId="36510"/>
    <cellStyle name="40% - Accent6 76 2 3" xfId="36511"/>
    <cellStyle name="40% - Accent6 76 2 4" xfId="36512"/>
    <cellStyle name="40% - Accent6 76 3" xfId="36513"/>
    <cellStyle name="40% - Accent6 76 3 2" xfId="36514"/>
    <cellStyle name="40% - Accent6 76 3 3" xfId="36515"/>
    <cellStyle name="40% - Accent6 76 4" xfId="36516"/>
    <cellStyle name="40% - Accent6 76 4 2" xfId="36517"/>
    <cellStyle name="40% - Accent6 76 5" xfId="36518"/>
    <cellStyle name="40% - Accent6 76 6" xfId="36519"/>
    <cellStyle name="40% - Accent6 76 7" xfId="36520"/>
    <cellStyle name="40% - Accent6 77" xfId="36521"/>
    <cellStyle name="40% - Accent6 77 2" xfId="36522"/>
    <cellStyle name="40% - Accent6 77 2 2" xfId="36523"/>
    <cellStyle name="40% - Accent6 77 2 3" xfId="36524"/>
    <cellStyle name="40% - Accent6 77 2 4" xfId="36525"/>
    <cellStyle name="40% - Accent6 77 3" xfId="36526"/>
    <cellStyle name="40% - Accent6 77 3 2" xfId="36527"/>
    <cellStyle name="40% - Accent6 77 3 3" xfId="36528"/>
    <cellStyle name="40% - Accent6 77 4" xfId="36529"/>
    <cellStyle name="40% - Accent6 77 4 2" xfId="36530"/>
    <cellStyle name="40% - Accent6 77 5" xfId="36531"/>
    <cellStyle name="40% - Accent6 77 6" xfId="36532"/>
    <cellStyle name="40% - Accent6 77 7" xfId="36533"/>
    <cellStyle name="40% - Accent6 78" xfId="36534"/>
    <cellStyle name="40% - Accent6 79" xfId="36535"/>
    <cellStyle name="40% - Accent6 79 2" xfId="36536"/>
    <cellStyle name="40% - Accent6 79 3" xfId="36537"/>
    <cellStyle name="40% - Accent6 8" xfId="36538"/>
    <cellStyle name="40% - Accent6 8 10" xfId="36539"/>
    <cellStyle name="40% - Accent6 8 11" xfId="36540"/>
    <cellStyle name="40% - Accent6 8 2" xfId="36541"/>
    <cellStyle name="40% - Accent6 8 2 10" xfId="36542"/>
    <cellStyle name="40% - Accent6 8 2 2" xfId="36543"/>
    <cellStyle name="40% - Accent6 8 2 2 2" xfId="36544"/>
    <cellStyle name="40% - Accent6 8 2 2 2 2" xfId="36545"/>
    <cellStyle name="40% - Accent6 8 2 2 2 3" xfId="36546"/>
    <cellStyle name="40% - Accent6 8 2 2 2 4" xfId="36547"/>
    <cellStyle name="40% - Accent6 8 2 2 3" xfId="36548"/>
    <cellStyle name="40% - Accent6 8 2 2 3 2" xfId="36549"/>
    <cellStyle name="40% - Accent6 8 2 2 3 3" xfId="36550"/>
    <cellStyle name="40% - Accent6 8 2 2 4" xfId="36551"/>
    <cellStyle name="40% - Accent6 8 2 2 4 2" xfId="36552"/>
    <cellStyle name="40% - Accent6 8 2 2 5" xfId="36553"/>
    <cellStyle name="40% - Accent6 8 2 2 6" xfId="36554"/>
    <cellStyle name="40% - Accent6 8 2 2 7" xfId="36555"/>
    <cellStyle name="40% - Accent6 8 2 3" xfId="36556"/>
    <cellStyle name="40% - Accent6 8 2 3 2" xfId="36557"/>
    <cellStyle name="40% - Accent6 8 2 3 2 2" xfId="36558"/>
    <cellStyle name="40% - Accent6 8 2 3 2 3" xfId="36559"/>
    <cellStyle name="40% - Accent6 8 2 3 2 4" xfId="36560"/>
    <cellStyle name="40% - Accent6 8 2 3 3" xfId="36561"/>
    <cellStyle name="40% - Accent6 8 2 3 3 2" xfId="36562"/>
    <cellStyle name="40% - Accent6 8 2 3 3 3" xfId="36563"/>
    <cellStyle name="40% - Accent6 8 2 3 4" xfId="36564"/>
    <cellStyle name="40% - Accent6 8 2 3 4 2" xfId="36565"/>
    <cellStyle name="40% - Accent6 8 2 3 5" xfId="36566"/>
    <cellStyle name="40% - Accent6 8 2 3 6" xfId="36567"/>
    <cellStyle name="40% - Accent6 8 2 3 7" xfId="36568"/>
    <cellStyle name="40% - Accent6 8 2 4" xfId="36569"/>
    <cellStyle name="40% - Accent6 8 2 4 2" xfId="36570"/>
    <cellStyle name="40% - Accent6 8 2 4 2 2" xfId="36571"/>
    <cellStyle name="40% - Accent6 8 2 4 2 3" xfId="36572"/>
    <cellStyle name="40% - Accent6 8 2 4 2 4" xfId="36573"/>
    <cellStyle name="40% - Accent6 8 2 4 3" xfId="36574"/>
    <cellStyle name="40% - Accent6 8 2 4 3 2" xfId="36575"/>
    <cellStyle name="40% - Accent6 8 2 4 3 3" xfId="36576"/>
    <cellStyle name="40% - Accent6 8 2 4 4" xfId="36577"/>
    <cellStyle name="40% - Accent6 8 2 4 4 2" xfId="36578"/>
    <cellStyle name="40% - Accent6 8 2 4 5" xfId="36579"/>
    <cellStyle name="40% - Accent6 8 2 4 6" xfId="36580"/>
    <cellStyle name="40% - Accent6 8 2 4 7" xfId="36581"/>
    <cellStyle name="40% - Accent6 8 2 5" xfId="36582"/>
    <cellStyle name="40% - Accent6 8 2 5 2" xfId="36583"/>
    <cellStyle name="40% - Accent6 8 2 5 3" xfId="36584"/>
    <cellStyle name="40% - Accent6 8 2 5 4" xfId="36585"/>
    <cellStyle name="40% - Accent6 8 2 6" xfId="36586"/>
    <cellStyle name="40% - Accent6 8 2 6 2" xfId="36587"/>
    <cellStyle name="40% - Accent6 8 2 6 3" xfId="36588"/>
    <cellStyle name="40% - Accent6 8 2 7" xfId="36589"/>
    <cellStyle name="40% - Accent6 8 2 7 2" xfId="36590"/>
    <cellStyle name="40% - Accent6 8 2 8" xfId="36591"/>
    <cellStyle name="40% - Accent6 8 2 9" xfId="36592"/>
    <cellStyle name="40% - Accent6 8 3" xfId="36593"/>
    <cellStyle name="40% - Accent6 8 3 2" xfId="36594"/>
    <cellStyle name="40% - Accent6 8 3 2 2" xfId="36595"/>
    <cellStyle name="40% - Accent6 8 3 2 3" xfId="36596"/>
    <cellStyle name="40% - Accent6 8 3 2 4" xfId="36597"/>
    <cellStyle name="40% - Accent6 8 3 3" xfId="36598"/>
    <cellStyle name="40% - Accent6 8 3 3 2" xfId="36599"/>
    <cellStyle name="40% - Accent6 8 3 3 3" xfId="36600"/>
    <cellStyle name="40% - Accent6 8 3 4" xfId="36601"/>
    <cellStyle name="40% - Accent6 8 3 4 2" xfId="36602"/>
    <cellStyle name="40% - Accent6 8 3 5" xfId="36603"/>
    <cellStyle name="40% - Accent6 8 3 6" xfId="36604"/>
    <cellStyle name="40% - Accent6 8 3 7" xfId="36605"/>
    <cellStyle name="40% - Accent6 8 4" xfId="36606"/>
    <cellStyle name="40% - Accent6 8 4 2" xfId="36607"/>
    <cellStyle name="40% - Accent6 8 4 2 2" xfId="36608"/>
    <cellStyle name="40% - Accent6 8 4 2 3" xfId="36609"/>
    <cellStyle name="40% - Accent6 8 4 2 4" xfId="36610"/>
    <cellStyle name="40% - Accent6 8 4 3" xfId="36611"/>
    <cellStyle name="40% - Accent6 8 4 3 2" xfId="36612"/>
    <cellStyle name="40% - Accent6 8 4 3 3" xfId="36613"/>
    <cellStyle name="40% - Accent6 8 4 4" xfId="36614"/>
    <cellStyle name="40% - Accent6 8 4 4 2" xfId="36615"/>
    <cellStyle name="40% - Accent6 8 4 5" xfId="36616"/>
    <cellStyle name="40% - Accent6 8 4 6" xfId="36617"/>
    <cellStyle name="40% - Accent6 8 4 7" xfId="36618"/>
    <cellStyle name="40% - Accent6 8 5" xfId="36619"/>
    <cellStyle name="40% - Accent6 8 5 2" xfId="36620"/>
    <cellStyle name="40% - Accent6 8 5 2 2" xfId="36621"/>
    <cellStyle name="40% - Accent6 8 5 2 3" xfId="36622"/>
    <cellStyle name="40% - Accent6 8 5 2 4" xfId="36623"/>
    <cellStyle name="40% - Accent6 8 5 3" xfId="36624"/>
    <cellStyle name="40% - Accent6 8 5 3 2" xfId="36625"/>
    <cellStyle name="40% - Accent6 8 5 3 3" xfId="36626"/>
    <cellStyle name="40% - Accent6 8 5 4" xfId="36627"/>
    <cellStyle name="40% - Accent6 8 5 4 2" xfId="36628"/>
    <cellStyle name="40% - Accent6 8 5 5" xfId="36629"/>
    <cellStyle name="40% - Accent6 8 5 6" xfId="36630"/>
    <cellStyle name="40% - Accent6 8 5 7" xfId="36631"/>
    <cellStyle name="40% - Accent6 8 6" xfId="36632"/>
    <cellStyle name="40% - Accent6 8 6 2" xfId="36633"/>
    <cellStyle name="40% - Accent6 8 6 3" xfId="36634"/>
    <cellStyle name="40% - Accent6 8 6 4" xfId="36635"/>
    <cellStyle name="40% - Accent6 8 7" xfId="36636"/>
    <cellStyle name="40% - Accent6 8 7 2" xfId="36637"/>
    <cellStyle name="40% - Accent6 8 7 3" xfId="36638"/>
    <cellStyle name="40% - Accent6 8 8" xfId="36639"/>
    <cellStyle name="40% - Accent6 8 8 2" xfId="36640"/>
    <cellStyle name="40% - Accent6 8 9" xfId="36641"/>
    <cellStyle name="40% - Accent6 80" xfId="36642"/>
    <cellStyle name="40% - Accent6 80 2" xfId="36643"/>
    <cellStyle name="40% - Accent6 80 3" xfId="36644"/>
    <cellStyle name="40% - Accent6 81" xfId="36645"/>
    <cellStyle name="40% - Accent6 81 2" xfId="36646"/>
    <cellStyle name="40% - Accent6 82" xfId="36647"/>
    <cellStyle name="40% - Accent6 83" xfId="36648"/>
    <cellStyle name="40% - Accent6 9" xfId="36649"/>
    <cellStyle name="40% - Accent6 9 10" xfId="36650"/>
    <cellStyle name="40% - Accent6 9 2" xfId="36651"/>
    <cellStyle name="40% - Accent6 9 2 2" xfId="36652"/>
    <cellStyle name="40% - Accent6 9 2 2 2" xfId="36653"/>
    <cellStyle name="40% - Accent6 9 2 2 3" xfId="36654"/>
    <cellStyle name="40% - Accent6 9 2 2 4" xfId="36655"/>
    <cellStyle name="40% - Accent6 9 2 3" xfId="36656"/>
    <cellStyle name="40% - Accent6 9 2 3 2" xfId="36657"/>
    <cellStyle name="40% - Accent6 9 2 3 3" xfId="36658"/>
    <cellStyle name="40% - Accent6 9 2 4" xfId="36659"/>
    <cellStyle name="40% - Accent6 9 2 4 2" xfId="36660"/>
    <cellStyle name="40% - Accent6 9 2 5" xfId="36661"/>
    <cellStyle name="40% - Accent6 9 2 6" xfId="36662"/>
    <cellStyle name="40% - Accent6 9 2 7" xfId="36663"/>
    <cellStyle name="40% - Accent6 9 3" xfId="36664"/>
    <cellStyle name="40% - Accent6 9 3 2" xfId="36665"/>
    <cellStyle name="40% - Accent6 9 3 2 2" xfId="36666"/>
    <cellStyle name="40% - Accent6 9 3 2 3" xfId="36667"/>
    <cellStyle name="40% - Accent6 9 3 2 4" xfId="36668"/>
    <cellStyle name="40% - Accent6 9 3 3" xfId="36669"/>
    <cellStyle name="40% - Accent6 9 3 3 2" xfId="36670"/>
    <cellStyle name="40% - Accent6 9 3 3 3" xfId="36671"/>
    <cellStyle name="40% - Accent6 9 3 4" xfId="36672"/>
    <cellStyle name="40% - Accent6 9 3 4 2" xfId="36673"/>
    <cellStyle name="40% - Accent6 9 3 5" xfId="36674"/>
    <cellStyle name="40% - Accent6 9 3 6" xfId="36675"/>
    <cellStyle name="40% - Accent6 9 3 7" xfId="36676"/>
    <cellStyle name="40% - Accent6 9 4" xfId="36677"/>
    <cellStyle name="40% - Accent6 9 4 2" xfId="36678"/>
    <cellStyle name="40% - Accent6 9 4 2 2" xfId="36679"/>
    <cellStyle name="40% - Accent6 9 4 2 3" xfId="36680"/>
    <cellStyle name="40% - Accent6 9 4 2 4" xfId="36681"/>
    <cellStyle name="40% - Accent6 9 4 3" xfId="36682"/>
    <cellStyle name="40% - Accent6 9 4 3 2" xfId="36683"/>
    <cellStyle name="40% - Accent6 9 4 3 3" xfId="36684"/>
    <cellStyle name="40% - Accent6 9 4 4" xfId="36685"/>
    <cellStyle name="40% - Accent6 9 4 4 2" xfId="36686"/>
    <cellStyle name="40% - Accent6 9 4 5" xfId="36687"/>
    <cellStyle name="40% - Accent6 9 4 6" xfId="36688"/>
    <cellStyle name="40% - Accent6 9 4 7" xfId="36689"/>
    <cellStyle name="40% - Accent6 9 5" xfId="36690"/>
    <cellStyle name="40% - Accent6 9 5 2" xfId="36691"/>
    <cellStyle name="40% - Accent6 9 5 3" xfId="36692"/>
    <cellStyle name="40% - Accent6 9 6" xfId="36693"/>
    <cellStyle name="40% - Accent6 9 6 2" xfId="36694"/>
    <cellStyle name="40% - Accent6 9 6 3" xfId="36695"/>
    <cellStyle name="40% - Accent6 9 7" xfId="36696"/>
    <cellStyle name="40% - Accent6 9 7 2" xfId="36697"/>
    <cellStyle name="40% - Accent6 9 8" xfId="36698"/>
    <cellStyle name="40% - Accent6 9 9" xfId="36699"/>
    <cellStyle name="60% - Accent1 10" xfId="36700"/>
    <cellStyle name="60% - Accent1 10 2" xfId="36701"/>
    <cellStyle name="60% - Accent1 11" xfId="36702"/>
    <cellStyle name="60% - Accent1 11 2" xfId="36703"/>
    <cellStyle name="60% - Accent1 12" xfId="36704"/>
    <cellStyle name="60% - Accent1 12 2" xfId="36705"/>
    <cellStyle name="60% - Accent1 13" xfId="36706"/>
    <cellStyle name="60% - Accent1 13 2" xfId="36707"/>
    <cellStyle name="60% - Accent1 14" xfId="36708"/>
    <cellStyle name="60% - Accent1 14 2" xfId="36709"/>
    <cellStyle name="60% - Accent1 14 3" xfId="36710"/>
    <cellStyle name="60% - Accent1 15" xfId="36711"/>
    <cellStyle name="60% - Accent1 15 2" xfId="36712"/>
    <cellStyle name="60% - Accent1 16" xfId="36713"/>
    <cellStyle name="60% - Accent1 16 2" xfId="36714"/>
    <cellStyle name="60% - Accent1 17" xfId="36715"/>
    <cellStyle name="60% - Accent1 17 2" xfId="36716"/>
    <cellStyle name="60% - Accent1 18" xfId="36717"/>
    <cellStyle name="60% - Accent1 18 2" xfId="36718"/>
    <cellStyle name="60% - Accent1 19" xfId="36719"/>
    <cellStyle name="60% - Accent1 19 2" xfId="36720"/>
    <cellStyle name="60% - Accent1 2" xfId="36721"/>
    <cellStyle name="60% - Accent1 2 10" xfId="36722"/>
    <cellStyle name="60% - Accent1 2 11" xfId="36723"/>
    <cellStyle name="60% - Accent1 2 12" xfId="36724"/>
    <cellStyle name="60% - Accent1 2 13" xfId="36725"/>
    <cellStyle name="60% - Accent1 2 14" xfId="36726"/>
    <cellStyle name="60% - Accent1 2 2" xfId="36727"/>
    <cellStyle name="60% - Accent1 2 2 2" xfId="36728"/>
    <cellStyle name="60% - Accent1 2 3" xfId="36729"/>
    <cellStyle name="60% - Accent1 2 4" xfId="36730"/>
    <cellStyle name="60% - Accent1 2 5" xfId="36731"/>
    <cellStyle name="60% - Accent1 2 6" xfId="36732"/>
    <cellStyle name="60% - Accent1 2 7" xfId="36733"/>
    <cellStyle name="60% - Accent1 2 8" xfId="36734"/>
    <cellStyle name="60% - Accent1 2 9" xfId="36735"/>
    <cellStyle name="60% - Accent1 20" xfId="36736"/>
    <cellStyle name="60% - Accent1 21" xfId="36737"/>
    <cellStyle name="60% - Accent1 22" xfId="36738"/>
    <cellStyle name="60% - Accent1 23" xfId="36739"/>
    <cellStyle name="60% - Accent1 24" xfId="36740"/>
    <cellStyle name="60% - Accent1 25" xfId="36741"/>
    <cellStyle name="60% - Accent1 26" xfId="36742"/>
    <cellStyle name="60% - Accent1 27" xfId="36743"/>
    <cellStyle name="60% - Accent1 28" xfId="36744"/>
    <cellStyle name="60% - Accent1 29" xfId="36745"/>
    <cellStyle name="60% - Accent1 3" xfId="36746"/>
    <cellStyle name="60% - Accent1 3 2" xfId="36747"/>
    <cellStyle name="60% - Accent1 3 2 2" xfId="36748"/>
    <cellStyle name="60% - Accent1 3 3" xfId="36749"/>
    <cellStyle name="60% - Accent1 3 4" xfId="36750"/>
    <cellStyle name="60% - Accent1 30" xfId="36751"/>
    <cellStyle name="60% - Accent1 31" xfId="36752"/>
    <cellStyle name="60% - Accent1 32" xfId="36753"/>
    <cellStyle name="60% - Accent1 33" xfId="36754"/>
    <cellStyle name="60% - Accent1 34" xfId="36755"/>
    <cellStyle name="60% - Accent1 35" xfId="36756"/>
    <cellStyle name="60% - Accent1 36" xfId="36757"/>
    <cellStyle name="60% - Accent1 37" xfId="36758"/>
    <cellStyle name="60% - Accent1 38" xfId="36759"/>
    <cellStyle name="60% - Accent1 39" xfId="36760"/>
    <cellStyle name="60% - Accent1 4" xfId="36761"/>
    <cellStyle name="60% - Accent1 4 2" xfId="36762"/>
    <cellStyle name="60% - Accent1 4 3" xfId="36763"/>
    <cellStyle name="60% - Accent1 40" xfId="36764"/>
    <cellStyle name="60% - Accent1 41" xfId="36765"/>
    <cellStyle name="60% - Accent1 42" xfId="36766"/>
    <cellStyle name="60% - Accent1 43" xfId="36767"/>
    <cellStyle name="60% - Accent1 44" xfId="36768"/>
    <cellStyle name="60% - Accent1 45" xfId="36769"/>
    <cellStyle name="60% - Accent1 46" xfId="36770"/>
    <cellStyle name="60% - Accent1 47" xfId="36771"/>
    <cellStyle name="60% - Accent1 5" xfId="36772"/>
    <cellStyle name="60% - Accent1 5 2" xfId="36773"/>
    <cellStyle name="60% - Accent1 6" xfId="36774"/>
    <cellStyle name="60% - Accent1 6 2" xfId="36775"/>
    <cellStyle name="60% - Accent1 6 3" xfId="36776"/>
    <cellStyle name="60% - Accent1 7" xfId="36777"/>
    <cellStyle name="60% - Accent1 7 2" xfId="36778"/>
    <cellStyle name="60% - Accent1 7 3" xfId="36779"/>
    <cellStyle name="60% - Accent1 8" xfId="36780"/>
    <cellStyle name="60% - Accent1 8 2" xfId="36781"/>
    <cellStyle name="60% - Accent1 9" xfId="36782"/>
    <cellStyle name="60% - Accent1 9 2" xfId="36783"/>
    <cellStyle name="60% - Accent2 10" xfId="36784"/>
    <cellStyle name="60% - Accent2 10 2" xfId="36785"/>
    <cellStyle name="60% - Accent2 11" xfId="36786"/>
    <cellStyle name="60% - Accent2 11 2" xfId="36787"/>
    <cellStyle name="60% - Accent2 12" xfId="36788"/>
    <cellStyle name="60% - Accent2 12 2" xfId="36789"/>
    <cellStyle name="60% - Accent2 13" xfId="36790"/>
    <cellStyle name="60% - Accent2 13 2" xfId="36791"/>
    <cellStyle name="60% - Accent2 14" xfId="36792"/>
    <cellStyle name="60% - Accent2 14 2" xfId="36793"/>
    <cellStyle name="60% - Accent2 14 3" xfId="36794"/>
    <cellStyle name="60% - Accent2 15" xfId="36795"/>
    <cellStyle name="60% - Accent2 15 2" xfId="36796"/>
    <cellStyle name="60% - Accent2 16" xfId="36797"/>
    <cellStyle name="60% - Accent2 16 2" xfId="36798"/>
    <cellStyle name="60% - Accent2 17" xfId="36799"/>
    <cellStyle name="60% - Accent2 17 2" xfId="36800"/>
    <cellStyle name="60% - Accent2 18" xfId="36801"/>
    <cellStyle name="60% - Accent2 18 2" xfId="36802"/>
    <cellStyle name="60% - Accent2 19" xfId="36803"/>
    <cellStyle name="60% - Accent2 19 2" xfId="36804"/>
    <cellStyle name="60% - Accent2 2" xfId="36805"/>
    <cellStyle name="60% - Accent2 2 10" xfId="36806"/>
    <cellStyle name="60% - Accent2 2 11" xfId="36807"/>
    <cellStyle name="60% - Accent2 2 12" xfId="36808"/>
    <cellStyle name="60% - Accent2 2 13" xfId="36809"/>
    <cellStyle name="60% - Accent2 2 14" xfId="36810"/>
    <cellStyle name="60% - Accent2 2 2" xfId="36811"/>
    <cellStyle name="60% - Accent2 2 2 2" xfId="36812"/>
    <cellStyle name="60% - Accent2 2 3" xfId="36813"/>
    <cellStyle name="60% - Accent2 2 4" xfId="36814"/>
    <cellStyle name="60% - Accent2 2 5" xfId="36815"/>
    <cellStyle name="60% - Accent2 2 6" xfId="36816"/>
    <cellStyle name="60% - Accent2 2 7" xfId="36817"/>
    <cellStyle name="60% - Accent2 2 8" xfId="36818"/>
    <cellStyle name="60% - Accent2 2 9" xfId="36819"/>
    <cellStyle name="60% - Accent2 20" xfId="36820"/>
    <cellStyle name="60% - Accent2 21" xfId="36821"/>
    <cellStyle name="60% - Accent2 22" xfId="36822"/>
    <cellStyle name="60% - Accent2 23" xfId="36823"/>
    <cellStyle name="60% - Accent2 24" xfId="36824"/>
    <cellStyle name="60% - Accent2 25" xfId="36825"/>
    <cellStyle name="60% - Accent2 26" xfId="36826"/>
    <cellStyle name="60% - Accent2 27" xfId="36827"/>
    <cellStyle name="60% - Accent2 28" xfId="36828"/>
    <cellStyle name="60% - Accent2 29" xfId="36829"/>
    <cellStyle name="60% - Accent2 3" xfId="36830"/>
    <cellStyle name="60% - Accent2 3 2" xfId="36831"/>
    <cellStyle name="60% - Accent2 3 2 2" xfId="36832"/>
    <cellStyle name="60% - Accent2 3 3" xfId="36833"/>
    <cellStyle name="60% - Accent2 3 4" xfId="36834"/>
    <cellStyle name="60% - Accent2 30" xfId="36835"/>
    <cellStyle name="60% - Accent2 31" xfId="36836"/>
    <cellStyle name="60% - Accent2 32" xfId="36837"/>
    <cellStyle name="60% - Accent2 33" xfId="36838"/>
    <cellStyle name="60% - Accent2 34" xfId="36839"/>
    <cellStyle name="60% - Accent2 35" xfId="36840"/>
    <cellStyle name="60% - Accent2 36" xfId="36841"/>
    <cellStyle name="60% - Accent2 37" xfId="36842"/>
    <cellStyle name="60% - Accent2 38" xfId="36843"/>
    <cellStyle name="60% - Accent2 39" xfId="36844"/>
    <cellStyle name="60% - Accent2 4" xfId="36845"/>
    <cellStyle name="60% - Accent2 4 2" xfId="36846"/>
    <cellStyle name="60% - Accent2 4 3" xfId="36847"/>
    <cellStyle name="60% - Accent2 40" xfId="36848"/>
    <cellStyle name="60% - Accent2 41" xfId="36849"/>
    <cellStyle name="60% - Accent2 42" xfId="36850"/>
    <cellStyle name="60% - Accent2 43" xfId="36851"/>
    <cellStyle name="60% - Accent2 44" xfId="36852"/>
    <cellStyle name="60% - Accent2 45" xfId="36853"/>
    <cellStyle name="60% - Accent2 46" xfId="36854"/>
    <cellStyle name="60% - Accent2 47" xfId="36855"/>
    <cellStyle name="60% - Accent2 5" xfId="36856"/>
    <cellStyle name="60% - Accent2 5 2" xfId="36857"/>
    <cellStyle name="60% - Accent2 6" xfId="36858"/>
    <cellStyle name="60% - Accent2 6 2" xfId="36859"/>
    <cellStyle name="60% - Accent2 6 3" xfId="36860"/>
    <cellStyle name="60% - Accent2 7" xfId="36861"/>
    <cellStyle name="60% - Accent2 7 2" xfId="36862"/>
    <cellStyle name="60% - Accent2 7 3" xfId="36863"/>
    <cellStyle name="60% - Accent2 8" xfId="36864"/>
    <cellStyle name="60% - Accent2 8 2" xfId="36865"/>
    <cellStyle name="60% - Accent2 9" xfId="36866"/>
    <cellStyle name="60% - Accent2 9 2" xfId="36867"/>
    <cellStyle name="60% - Accent3 10" xfId="36868"/>
    <cellStyle name="60% - Accent3 10 2" xfId="36869"/>
    <cellStyle name="60% - Accent3 11" xfId="36870"/>
    <cellStyle name="60% - Accent3 11 2" xfId="36871"/>
    <cellStyle name="60% - Accent3 12" xfId="36872"/>
    <cellStyle name="60% - Accent3 12 2" xfId="36873"/>
    <cellStyle name="60% - Accent3 13" xfId="36874"/>
    <cellStyle name="60% - Accent3 13 2" xfId="36875"/>
    <cellStyle name="60% - Accent3 14" xfId="36876"/>
    <cellStyle name="60% - Accent3 14 2" xfId="36877"/>
    <cellStyle name="60% - Accent3 14 3" xfId="36878"/>
    <cellStyle name="60% - Accent3 15" xfId="36879"/>
    <cellStyle name="60% - Accent3 15 2" xfId="36880"/>
    <cellStyle name="60% - Accent3 16" xfId="36881"/>
    <cellStyle name="60% - Accent3 16 2" xfId="36882"/>
    <cellStyle name="60% - Accent3 17" xfId="36883"/>
    <cellStyle name="60% - Accent3 17 2" xfId="36884"/>
    <cellStyle name="60% - Accent3 18" xfId="36885"/>
    <cellStyle name="60% - Accent3 18 2" xfId="36886"/>
    <cellStyle name="60% - Accent3 19" xfId="36887"/>
    <cellStyle name="60% - Accent3 19 2" xfId="36888"/>
    <cellStyle name="60% - Accent3 2" xfId="36889"/>
    <cellStyle name="60% - Accent3 2 10" xfId="36890"/>
    <cellStyle name="60% - Accent3 2 11" xfId="36891"/>
    <cellStyle name="60% - Accent3 2 12" xfId="36892"/>
    <cellStyle name="60% - Accent3 2 13" xfId="36893"/>
    <cellStyle name="60% - Accent3 2 14" xfId="36894"/>
    <cellStyle name="60% - Accent3 2 2" xfId="36895"/>
    <cellStyle name="60% - Accent3 2 2 2" xfId="36896"/>
    <cellStyle name="60% - Accent3 2 3" xfId="36897"/>
    <cellStyle name="60% - Accent3 2 4" xfId="36898"/>
    <cellStyle name="60% - Accent3 2 5" xfId="36899"/>
    <cellStyle name="60% - Accent3 2 6" xfId="36900"/>
    <cellStyle name="60% - Accent3 2 7" xfId="36901"/>
    <cellStyle name="60% - Accent3 2 8" xfId="36902"/>
    <cellStyle name="60% - Accent3 2 9" xfId="36903"/>
    <cellStyle name="60% - Accent3 20" xfId="36904"/>
    <cellStyle name="60% - Accent3 21" xfId="36905"/>
    <cellStyle name="60% - Accent3 22" xfId="36906"/>
    <cellStyle name="60% - Accent3 23" xfId="36907"/>
    <cellStyle name="60% - Accent3 24" xfId="36908"/>
    <cellStyle name="60% - Accent3 25" xfId="36909"/>
    <cellStyle name="60% - Accent3 26" xfId="36910"/>
    <cellStyle name="60% - Accent3 27" xfId="36911"/>
    <cellStyle name="60% - Accent3 28" xfId="36912"/>
    <cellStyle name="60% - Accent3 29" xfId="36913"/>
    <cellStyle name="60% - Accent3 3" xfId="36914"/>
    <cellStyle name="60% - Accent3 3 2" xfId="36915"/>
    <cellStyle name="60% - Accent3 3 2 2" xfId="36916"/>
    <cellStyle name="60% - Accent3 3 3" xfId="36917"/>
    <cellStyle name="60% - Accent3 3 4" xfId="36918"/>
    <cellStyle name="60% - Accent3 30" xfId="36919"/>
    <cellStyle name="60% - Accent3 31" xfId="36920"/>
    <cellStyle name="60% - Accent3 32" xfId="36921"/>
    <cellStyle name="60% - Accent3 33" xfId="36922"/>
    <cellStyle name="60% - Accent3 34" xfId="36923"/>
    <cellStyle name="60% - Accent3 35" xfId="36924"/>
    <cellStyle name="60% - Accent3 36" xfId="36925"/>
    <cellStyle name="60% - Accent3 37" xfId="36926"/>
    <cellStyle name="60% - Accent3 38" xfId="36927"/>
    <cellStyle name="60% - Accent3 39" xfId="36928"/>
    <cellStyle name="60% - Accent3 4" xfId="36929"/>
    <cellStyle name="60% - Accent3 4 2" xfId="36930"/>
    <cellStyle name="60% - Accent3 4 3" xfId="36931"/>
    <cellStyle name="60% - Accent3 40" xfId="36932"/>
    <cellStyle name="60% - Accent3 41" xfId="36933"/>
    <cellStyle name="60% - Accent3 42" xfId="36934"/>
    <cellStyle name="60% - Accent3 43" xfId="36935"/>
    <cellStyle name="60% - Accent3 44" xfId="36936"/>
    <cellStyle name="60% - Accent3 45" xfId="36937"/>
    <cellStyle name="60% - Accent3 46" xfId="36938"/>
    <cellStyle name="60% - Accent3 47" xfId="36939"/>
    <cellStyle name="60% - Accent3 5" xfId="36940"/>
    <cellStyle name="60% - Accent3 5 2" xfId="36941"/>
    <cellStyle name="60% - Accent3 6" xfId="36942"/>
    <cellStyle name="60% - Accent3 6 2" xfId="36943"/>
    <cellStyle name="60% - Accent3 6 3" xfId="36944"/>
    <cellStyle name="60% - Accent3 7" xfId="36945"/>
    <cellStyle name="60% - Accent3 7 2" xfId="36946"/>
    <cellStyle name="60% - Accent3 7 3" xfId="36947"/>
    <cellStyle name="60% - Accent3 8" xfId="36948"/>
    <cellStyle name="60% - Accent3 8 2" xfId="36949"/>
    <cellStyle name="60% - Accent3 9" xfId="36950"/>
    <cellStyle name="60% - Accent3 9 2" xfId="36951"/>
    <cellStyle name="60% - Accent4 10" xfId="36952"/>
    <cellStyle name="60% - Accent4 10 2" xfId="36953"/>
    <cellStyle name="60% - Accent4 11" xfId="36954"/>
    <cellStyle name="60% - Accent4 11 2" xfId="36955"/>
    <cellStyle name="60% - Accent4 12" xfId="36956"/>
    <cellStyle name="60% - Accent4 12 2" xfId="36957"/>
    <cellStyle name="60% - Accent4 13" xfId="36958"/>
    <cellStyle name="60% - Accent4 13 2" xfId="36959"/>
    <cellStyle name="60% - Accent4 14" xfId="36960"/>
    <cellStyle name="60% - Accent4 14 2" xfId="36961"/>
    <cellStyle name="60% - Accent4 14 3" xfId="36962"/>
    <cellStyle name="60% - Accent4 15" xfId="36963"/>
    <cellStyle name="60% - Accent4 15 2" xfId="36964"/>
    <cellStyle name="60% - Accent4 16" xfId="36965"/>
    <cellStyle name="60% - Accent4 16 2" xfId="36966"/>
    <cellStyle name="60% - Accent4 17" xfId="36967"/>
    <cellStyle name="60% - Accent4 17 2" xfId="36968"/>
    <cellStyle name="60% - Accent4 18" xfId="36969"/>
    <cellStyle name="60% - Accent4 18 2" xfId="36970"/>
    <cellStyle name="60% - Accent4 19" xfId="36971"/>
    <cellStyle name="60% - Accent4 19 2" xfId="36972"/>
    <cellStyle name="60% - Accent4 2" xfId="36973"/>
    <cellStyle name="60% - Accent4 2 10" xfId="36974"/>
    <cellStyle name="60% - Accent4 2 11" xfId="36975"/>
    <cellStyle name="60% - Accent4 2 12" xfId="36976"/>
    <cellStyle name="60% - Accent4 2 13" xfId="36977"/>
    <cellStyle name="60% - Accent4 2 14" xfId="36978"/>
    <cellStyle name="60% - Accent4 2 2" xfId="36979"/>
    <cellStyle name="60% - Accent4 2 2 2" xfId="36980"/>
    <cellStyle name="60% - Accent4 2 3" xfId="36981"/>
    <cellStyle name="60% - Accent4 2 4" xfId="36982"/>
    <cellStyle name="60% - Accent4 2 5" xfId="36983"/>
    <cellStyle name="60% - Accent4 2 6" xfId="36984"/>
    <cellStyle name="60% - Accent4 2 7" xfId="36985"/>
    <cellStyle name="60% - Accent4 2 8" xfId="36986"/>
    <cellStyle name="60% - Accent4 2 9" xfId="36987"/>
    <cellStyle name="60% - Accent4 20" xfId="36988"/>
    <cellStyle name="60% - Accent4 21" xfId="36989"/>
    <cellStyle name="60% - Accent4 22" xfId="36990"/>
    <cellStyle name="60% - Accent4 23" xfId="36991"/>
    <cellStyle name="60% - Accent4 24" xfId="36992"/>
    <cellStyle name="60% - Accent4 25" xfId="36993"/>
    <cellStyle name="60% - Accent4 26" xfId="36994"/>
    <cellStyle name="60% - Accent4 27" xfId="36995"/>
    <cellStyle name="60% - Accent4 28" xfId="36996"/>
    <cellStyle name="60% - Accent4 29" xfId="36997"/>
    <cellStyle name="60% - Accent4 3" xfId="36998"/>
    <cellStyle name="60% - Accent4 3 2" xfId="36999"/>
    <cellStyle name="60% - Accent4 3 2 2" xfId="37000"/>
    <cellStyle name="60% - Accent4 3 3" xfId="37001"/>
    <cellStyle name="60% - Accent4 3 4" xfId="37002"/>
    <cellStyle name="60% - Accent4 30" xfId="37003"/>
    <cellStyle name="60% - Accent4 31" xfId="37004"/>
    <cellStyle name="60% - Accent4 32" xfId="37005"/>
    <cellStyle name="60% - Accent4 33" xfId="37006"/>
    <cellStyle name="60% - Accent4 34" xfId="37007"/>
    <cellStyle name="60% - Accent4 35" xfId="37008"/>
    <cellStyle name="60% - Accent4 36" xfId="37009"/>
    <cellStyle name="60% - Accent4 37" xfId="37010"/>
    <cellStyle name="60% - Accent4 38" xfId="37011"/>
    <cellStyle name="60% - Accent4 39" xfId="37012"/>
    <cellStyle name="60% - Accent4 4" xfId="37013"/>
    <cellStyle name="60% - Accent4 4 2" xfId="37014"/>
    <cellStyle name="60% - Accent4 4 3" xfId="37015"/>
    <cellStyle name="60% - Accent4 40" xfId="37016"/>
    <cellStyle name="60% - Accent4 41" xfId="37017"/>
    <cellStyle name="60% - Accent4 42" xfId="37018"/>
    <cellStyle name="60% - Accent4 43" xfId="37019"/>
    <cellStyle name="60% - Accent4 44" xfId="37020"/>
    <cellStyle name="60% - Accent4 45" xfId="37021"/>
    <cellStyle name="60% - Accent4 46" xfId="37022"/>
    <cellStyle name="60% - Accent4 47" xfId="37023"/>
    <cellStyle name="60% - Accent4 5" xfId="37024"/>
    <cellStyle name="60% - Accent4 5 2" xfId="37025"/>
    <cellStyle name="60% - Accent4 6" xfId="37026"/>
    <cellStyle name="60% - Accent4 6 2" xfId="37027"/>
    <cellStyle name="60% - Accent4 6 3" xfId="37028"/>
    <cellStyle name="60% - Accent4 7" xfId="37029"/>
    <cellStyle name="60% - Accent4 7 2" xfId="37030"/>
    <cellStyle name="60% - Accent4 7 3" xfId="37031"/>
    <cellStyle name="60% - Accent4 8" xfId="37032"/>
    <cellStyle name="60% - Accent4 8 2" xfId="37033"/>
    <cellStyle name="60% - Accent4 9" xfId="37034"/>
    <cellStyle name="60% - Accent4 9 2" xfId="37035"/>
    <cellStyle name="60% - Accent5 10" xfId="37036"/>
    <cellStyle name="60% - Accent5 10 2" xfId="37037"/>
    <cellStyle name="60% - Accent5 11" xfId="37038"/>
    <cellStyle name="60% - Accent5 11 2" xfId="37039"/>
    <cellStyle name="60% - Accent5 12" xfId="37040"/>
    <cellStyle name="60% - Accent5 12 2" xfId="37041"/>
    <cellStyle name="60% - Accent5 13" xfId="37042"/>
    <cellStyle name="60% - Accent5 13 2" xfId="37043"/>
    <cellStyle name="60% - Accent5 14" xfId="37044"/>
    <cellStyle name="60% - Accent5 14 2" xfId="37045"/>
    <cellStyle name="60% - Accent5 14 3" xfId="37046"/>
    <cellStyle name="60% - Accent5 15" xfId="37047"/>
    <cellStyle name="60% - Accent5 15 2" xfId="37048"/>
    <cellStyle name="60% - Accent5 16" xfId="37049"/>
    <cellStyle name="60% - Accent5 16 2" xfId="37050"/>
    <cellStyle name="60% - Accent5 17" xfId="37051"/>
    <cellStyle name="60% - Accent5 17 2" xfId="37052"/>
    <cellStyle name="60% - Accent5 18" xfId="37053"/>
    <cellStyle name="60% - Accent5 18 2" xfId="37054"/>
    <cellStyle name="60% - Accent5 19" xfId="37055"/>
    <cellStyle name="60% - Accent5 19 2" xfId="37056"/>
    <cellStyle name="60% - Accent5 2" xfId="37057"/>
    <cellStyle name="60% - Accent5 2 10" xfId="37058"/>
    <cellStyle name="60% - Accent5 2 11" xfId="37059"/>
    <cellStyle name="60% - Accent5 2 12" xfId="37060"/>
    <cellStyle name="60% - Accent5 2 13" xfId="37061"/>
    <cellStyle name="60% - Accent5 2 14" xfId="37062"/>
    <cellStyle name="60% - Accent5 2 2" xfId="37063"/>
    <cellStyle name="60% - Accent5 2 2 2" xfId="37064"/>
    <cellStyle name="60% - Accent5 2 3" xfId="37065"/>
    <cellStyle name="60% - Accent5 2 4" xfId="37066"/>
    <cellStyle name="60% - Accent5 2 5" xfId="37067"/>
    <cellStyle name="60% - Accent5 2 6" xfId="37068"/>
    <cellStyle name="60% - Accent5 2 7" xfId="37069"/>
    <cellStyle name="60% - Accent5 2 8" xfId="37070"/>
    <cellStyle name="60% - Accent5 2 9" xfId="37071"/>
    <cellStyle name="60% - Accent5 20" xfId="37072"/>
    <cellStyle name="60% - Accent5 21" xfId="37073"/>
    <cellStyle name="60% - Accent5 22" xfId="37074"/>
    <cellStyle name="60% - Accent5 23" xfId="37075"/>
    <cellStyle name="60% - Accent5 24" xfId="37076"/>
    <cellStyle name="60% - Accent5 25" xfId="37077"/>
    <cellStyle name="60% - Accent5 26" xfId="37078"/>
    <cellStyle name="60% - Accent5 27" xfId="37079"/>
    <cellStyle name="60% - Accent5 28" xfId="37080"/>
    <cellStyle name="60% - Accent5 29" xfId="37081"/>
    <cellStyle name="60% - Accent5 3" xfId="37082"/>
    <cellStyle name="60% - Accent5 3 2" xfId="37083"/>
    <cellStyle name="60% - Accent5 3 2 2" xfId="37084"/>
    <cellStyle name="60% - Accent5 3 3" xfId="37085"/>
    <cellStyle name="60% - Accent5 3 4" xfId="37086"/>
    <cellStyle name="60% - Accent5 30" xfId="37087"/>
    <cellStyle name="60% - Accent5 31" xfId="37088"/>
    <cellStyle name="60% - Accent5 32" xfId="37089"/>
    <cellStyle name="60% - Accent5 33" xfId="37090"/>
    <cellStyle name="60% - Accent5 34" xfId="37091"/>
    <cellStyle name="60% - Accent5 35" xfId="37092"/>
    <cellStyle name="60% - Accent5 36" xfId="37093"/>
    <cellStyle name="60% - Accent5 37" xfId="37094"/>
    <cellStyle name="60% - Accent5 38" xfId="37095"/>
    <cellStyle name="60% - Accent5 39" xfId="37096"/>
    <cellStyle name="60% - Accent5 4" xfId="37097"/>
    <cellStyle name="60% - Accent5 4 2" xfId="37098"/>
    <cellStyle name="60% - Accent5 4 3" xfId="37099"/>
    <cellStyle name="60% - Accent5 40" xfId="37100"/>
    <cellStyle name="60% - Accent5 41" xfId="37101"/>
    <cellStyle name="60% - Accent5 42" xfId="37102"/>
    <cellStyle name="60% - Accent5 43" xfId="37103"/>
    <cellStyle name="60% - Accent5 44" xfId="37104"/>
    <cellStyle name="60% - Accent5 45" xfId="37105"/>
    <cellStyle name="60% - Accent5 46" xfId="37106"/>
    <cellStyle name="60% - Accent5 47" xfId="37107"/>
    <cellStyle name="60% - Accent5 5" xfId="37108"/>
    <cellStyle name="60% - Accent5 5 2" xfId="37109"/>
    <cellStyle name="60% - Accent5 6" xfId="37110"/>
    <cellStyle name="60% - Accent5 6 2" xfId="37111"/>
    <cellStyle name="60% - Accent5 6 3" xfId="37112"/>
    <cellStyle name="60% - Accent5 7" xfId="37113"/>
    <cellStyle name="60% - Accent5 7 2" xfId="37114"/>
    <cellStyle name="60% - Accent5 7 3" xfId="37115"/>
    <cellStyle name="60% - Accent5 8" xfId="37116"/>
    <cellStyle name="60% - Accent5 8 2" xfId="37117"/>
    <cellStyle name="60% - Accent5 9" xfId="37118"/>
    <cellStyle name="60% - Accent5 9 2" xfId="37119"/>
    <cellStyle name="60% - Accent6 10" xfId="37120"/>
    <cellStyle name="60% - Accent6 10 2" xfId="37121"/>
    <cellStyle name="60% - Accent6 11" xfId="37122"/>
    <cellStyle name="60% - Accent6 11 2" xfId="37123"/>
    <cellStyle name="60% - Accent6 12" xfId="37124"/>
    <cellStyle name="60% - Accent6 12 2" xfId="37125"/>
    <cellStyle name="60% - Accent6 13" xfId="37126"/>
    <cellStyle name="60% - Accent6 13 2" xfId="37127"/>
    <cellStyle name="60% - Accent6 14" xfId="37128"/>
    <cellStyle name="60% - Accent6 14 2" xfId="37129"/>
    <cellStyle name="60% - Accent6 14 3" xfId="37130"/>
    <cellStyle name="60% - Accent6 15" xfId="37131"/>
    <cellStyle name="60% - Accent6 15 2" xfId="37132"/>
    <cellStyle name="60% - Accent6 16" xfId="37133"/>
    <cellStyle name="60% - Accent6 16 2" xfId="37134"/>
    <cellStyle name="60% - Accent6 17" xfId="37135"/>
    <cellStyle name="60% - Accent6 17 2" xfId="37136"/>
    <cellStyle name="60% - Accent6 18" xfId="37137"/>
    <cellStyle name="60% - Accent6 18 2" xfId="37138"/>
    <cellStyle name="60% - Accent6 19" xfId="37139"/>
    <cellStyle name="60% - Accent6 19 2" xfId="37140"/>
    <cellStyle name="60% - Accent6 2" xfId="37141"/>
    <cellStyle name="60% - Accent6 2 10" xfId="37142"/>
    <cellStyle name="60% - Accent6 2 11" xfId="37143"/>
    <cellStyle name="60% - Accent6 2 12" xfId="37144"/>
    <cellStyle name="60% - Accent6 2 13" xfId="37145"/>
    <cellStyle name="60% - Accent6 2 14" xfId="37146"/>
    <cellStyle name="60% - Accent6 2 2" xfId="37147"/>
    <cellStyle name="60% - Accent6 2 2 2" xfId="37148"/>
    <cellStyle name="60% - Accent6 2 3" xfId="37149"/>
    <cellStyle name="60% - Accent6 2 4" xfId="37150"/>
    <cellStyle name="60% - Accent6 2 5" xfId="37151"/>
    <cellStyle name="60% - Accent6 2 6" xfId="37152"/>
    <cellStyle name="60% - Accent6 2 7" xfId="37153"/>
    <cellStyle name="60% - Accent6 2 8" xfId="37154"/>
    <cellStyle name="60% - Accent6 2 9" xfId="37155"/>
    <cellStyle name="60% - Accent6 20" xfId="37156"/>
    <cellStyle name="60% - Accent6 21" xfId="37157"/>
    <cellStyle name="60% - Accent6 22" xfId="37158"/>
    <cellStyle name="60% - Accent6 23" xfId="37159"/>
    <cellStyle name="60% - Accent6 24" xfId="37160"/>
    <cellStyle name="60% - Accent6 25" xfId="37161"/>
    <cellStyle name="60% - Accent6 26" xfId="37162"/>
    <cellStyle name="60% - Accent6 27" xfId="37163"/>
    <cellStyle name="60% - Accent6 28" xfId="37164"/>
    <cellStyle name="60% - Accent6 29" xfId="37165"/>
    <cellStyle name="60% - Accent6 3" xfId="37166"/>
    <cellStyle name="60% - Accent6 3 2" xfId="37167"/>
    <cellStyle name="60% - Accent6 3 2 2" xfId="37168"/>
    <cellStyle name="60% - Accent6 3 3" xfId="37169"/>
    <cellStyle name="60% - Accent6 3 4" xfId="37170"/>
    <cellStyle name="60% - Accent6 30" xfId="37171"/>
    <cellStyle name="60% - Accent6 31" xfId="37172"/>
    <cellStyle name="60% - Accent6 32" xfId="37173"/>
    <cellStyle name="60% - Accent6 33" xfId="37174"/>
    <cellStyle name="60% - Accent6 34" xfId="37175"/>
    <cellStyle name="60% - Accent6 35" xfId="37176"/>
    <cellStyle name="60% - Accent6 36" xfId="37177"/>
    <cellStyle name="60% - Accent6 37" xfId="37178"/>
    <cellStyle name="60% - Accent6 38" xfId="37179"/>
    <cellStyle name="60% - Accent6 39" xfId="37180"/>
    <cellStyle name="60% - Accent6 4" xfId="37181"/>
    <cellStyle name="60% - Accent6 4 2" xfId="37182"/>
    <cellStyle name="60% - Accent6 4 3" xfId="37183"/>
    <cellStyle name="60% - Accent6 40" xfId="37184"/>
    <cellStyle name="60% - Accent6 41" xfId="37185"/>
    <cellStyle name="60% - Accent6 42" xfId="37186"/>
    <cellStyle name="60% - Accent6 43" xfId="37187"/>
    <cellStyle name="60% - Accent6 44" xfId="37188"/>
    <cellStyle name="60% - Accent6 45" xfId="37189"/>
    <cellStyle name="60% - Accent6 46" xfId="37190"/>
    <cellStyle name="60% - Accent6 47" xfId="37191"/>
    <cellStyle name="60% - Accent6 5" xfId="37192"/>
    <cellStyle name="60% - Accent6 5 2" xfId="37193"/>
    <cellStyle name="60% - Accent6 6" xfId="37194"/>
    <cellStyle name="60% - Accent6 6 2" xfId="37195"/>
    <cellStyle name="60% - Accent6 6 3" xfId="37196"/>
    <cellStyle name="60% - Accent6 7" xfId="37197"/>
    <cellStyle name="60% - Accent6 7 2" xfId="37198"/>
    <cellStyle name="60% - Accent6 7 3" xfId="37199"/>
    <cellStyle name="60% - Accent6 8" xfId="37200"/>
    <cellStyle name="60% - Accent6 8 2" xfId="37201"/>
    <cellStyle name="60% - Accent6 9" xfId="37202"/>
    <cellStyle name="60% - Accent6 9 2" xfId="37203"/>
    <cellStyle name="A3 297 x 420 mm" xfId="37204"/>
    <cellStyle name="Accent1 10" xfId="37205"/>
    <cellStyle name="Accent1 10 2" xfId="37206"/>
    <cellStyle name="Accent1 11" xfId="37207"/>
    <cellStyle name="Accent1 11 2" xfId="37208"/>
    <cellStyle name="Accent1 12" xfId="37209"/>
    <cellStyle name="Accent1 12 2" xfId="37210"/>
    <cellStyle name="Accent1 13" xfId="37211"/>
    <cellStyle name="Accent1 13 2" xfId="37212"/>
    <cellStyle name="Accent1 14" xfId="37213"/>
    <cellStyle name="Accent1 14 2" xfId="37214"/>
    <cellStyle name="Accent1 14 3" xfId="37215"/>
    <cellStyle name="Accent1 15" xfId="37216"/>
    <cellStyle name="Accent1 15 2" xfId="37217"/>
    <cellStyle name="Accent1 16" xfId="37218"/>
    <cellStyle name="Accent1 16 2" xfId="37219"/>
    <cellStyle name="Accent1 17" xfId="37220"/>
    <cellStyle name="Accent1 17 2" xfId="37221"/>
    <cellStyle name="Accent1 18" xfId="37222"/>
    <cellStyle name="Accent1 18 2" xfId="37223"/>
    <cellStyle name="Accent1 19" xfId="37224"/>
    <cellStyle name="Accent1 19 2" xfId="37225"/>
    <cellStyle name="Accent1 2" xfId="37226"/>
    <cellStyle name="Accent1 2 10" xfId="37227"/>
    <cellStyle name="Accent1 2 11" xfId="37228"/>
    <cellStyle name="Accent1 2 12" xfId="37229"/>
    <cellStyle name="Accent1 2 13" xfId="37230"/>
    <cellStyle name="Accent1 2 14" xfId="37231"/>
    <cellStyle name="Accent1 2 2" xfId="37232"/>
    <cellStyle name="Accent1 2 2 2" xfId="37233"/>
    <cellStyle name="Accent1 2 3" xfId="37234"/>
    <cellStyle name="Accent1 2 4" xfId="37235"/>
    <cellStyle name="Accent1 2 5" xfId="37236"/>
    <cellStyle name="Accent1 2 6" xfId="37237"/>
    <cellStyle name="Accent1 2 7" xfId="37238"/>
    <cellStyle name="Accent1 2 8" xfId="37239"/>
    <cellStyle name="Accent1 2 9" xfId="37240"/>
    <cellStyle name="Accent1 20" xfId="37241"/>
    <cellStyle name="Accent1 21" xfId="37242"/>
    <cellStyle name="Accent1 22" xfId="37243"/>
    <cellStyle name="Accent1 23" xfId="37244"/>
    <cellStyle name="Accent1 24" xfId="37245"/>
    <cellStyle name="Accent1 25" xfId="37246"/>
    <cellStyle name="Accent1 26" xfId="37247"/>
    <cellStyle name="Accent1 27" xfId="37248"/>
    <cellStyle name="Accent1 28" xfId="37249"/>
    <cellStyle name="Accent1 29" xfId="37250"/>
    <cellStyle name="Accent1 3" xfId="37251"/>
    <cellStyle name="Accent1 3 2" xfId="37252"/>
    <cellStyle name="Accent1 3 2 2" xfId="37253"/>
    <cellStyle name="Accent1 3 3" xfId="37254"/>
    <cellStyle name="Accent1 3 4" xfId="37255"/>
    <cellStyle name="Accent1 30" xfId="37256"/>
    <cellStyle name="Accent1 31" xfId="37257"/>
    <cellStyle name="Accent1 32" xfId="37258"/>
    <cellStyle name="Accent1 33" xfId="37259"/>
    <cellStyle name="Accent1 34" xfId="37260"/>
    <cellStyle name="Accent1 35" xfId="37261"/>
    <cellStyle name="Accent1 36" xfId="37262"/>
    <cellStyle name="Accent1 37" xfId="37263"/>
    <cellStyle name="Accent1 38" xfId="37264"/>
    <cellStyle name="Accent1 39" xfId="37265"/>
    <cellStyle name="Accent1 4" xfId="37266"/>
    <cellStyle name="Accent1 4 2" xfId="37267"/>
    <cellStyle name="Accent1 4 3" xfId="37268"/>
    <cellStyle name="Accent1 40" xfId="37269"/>
    <cellStyle name="Accent1 41" xfId="37270"/>
    <cellStyle name="Accent1 42" xfId="37271"/>
    <cellStyle name="Accent1 43" xfId="37272"/>
    <cellStyle name="Accent1 44" xfId="37273"/>
    <cellStyle name="Accent1 45" xfId="37274"/>
    <cellStyle name="Accent1 46" xfId="37275"/>
    <cellStyle name="Accent1 47" xfId="37276"/>
    <cellStyle name="Accent1 5" xfId="37277"/>
    <cellStyle name="Accent1 5 2" xfId="37278"/>
    <cellStyle name="Accent1 6" xfId="37279"/>
    <cellStyle name="Accent1 6 2" xfId="37280"/>
    <cellStyle name="Accent1 6 3" xfId="37281"/>
    <cellStyle name="Accent1 7" xfId="37282"/>
    <cellStyle name="Accent1 7 2" xfId="37283"/>
    <cellStyle name="Accent1 7 3" xfId="37284"/>
    <cellStyle name="Accent1 8" xfId="37285"/>
    <cellStyle name="Accent1 8 2" xfId="37286"/>
    <cellStyle name="Accent1 9" xfId="37287"/>
    <cellStyle name="Accent1 9 2" xfId="37288"/>
    <cellStyle name="Accent2 10" xfId="37289"/>
    <cellStyle name="Accent2 10 2" xfId="37290"/>
    <cellStyle name="Accent2 11" xfId="37291"/>
    <cellStyle name="Accent2 11 2" xfId="37292"/>
    <cellStyle name="Accent2 12" xfId="37293"/>
    <cellStyle name="Accent2 12 2" xfId="37294"/>
    <cellStyle name="Accent2 13" xfId="37295"/>
    <cellStyle name="Accent2 13 2" xfId="37296"/>
    <cellStyle name="Accent2 14" xfId="37297"/>
    <cellStyle name="Accent2 14 2" xfId="37298"/>
    <cellStyle name="Accent2 14 3" xfId="37299"/>
    <cellStyle name="Accent2 15" xfId="37300"/>
    <cellStyle name="Accent2 15 2" xfId="37301"/>
    <cellStyle name="Accent2 16" xfId="37302"/>
    <cellStyle name="Accent2 16 2" xfId="37303"/>
    <cellStyle name="Accent2 17" xfId="37304"/>
    <cellStyle name="Accent2 17 2" xfId="37305"/>
    <cellStyle name="Accent2 18" xfId="37306"/>
    <cellStyle name="Accent2 18 2" xfId="37307"/>
    <cellStyle name="Accent2 19" xfId="37308"/>
    <cellStyle name="Accent2 19 2" xfId="37309"/>
    <cellStyle name="Accent2 2" xfId="37310"/>
    <cellStyle name="Accent2 2 10" xfId="37311"/>
    <cellStyle name="Accent2 2 11" xfId="37312"/>
    <cellStyle name="Accent2 2 12" xfId="37313"/>
    <cellStyle name="Accent2 2 13" xfId="37314"/>
    <cellStyle name="Accent2 2 14" xfId="37315"/>
    <cellStyle name="Accent2 2 2" xfId="37316"/>
    <cellStyle name="Accent2 2 2 2" xfId="37317"/>
    <cellStyle name="Accent2 2 3" xfId="37318"/>
    <cellStyle name="Accent2 2 4" xfId="37319"/>
    <cellStyle name="Accent2 2 5" xfId="37320"/>
    <cellStyle name="Accent2 2 6" xfId="37321"/>
    <cellStyle name="Accent2 2 7" xfId="37322"/>
    <cellStyle name="Accent2 2 8" xfId="37323"/>
    <cellStyle name="Accent2 2 9" xfId="37324"/>
    <cellStyle name="Accent2 20" xfId="37325"/>
    <cellStyle name="Accent2 21" xfId="37326"/>
    <cellStyle name="Accent2 22" xfId="37327"/>
    <cellStyle name="Accent2 23" xfId="37328"/>
    <cellStyle name="Accent2 24" xfId="37329"/>
    <cellStyle name="Accent2 25" xfId="37330"/>
    <cellStyle name="Accent2 26" xfId="37331"/>
    <cellStyle name="Accent2 27" xfId="37332"/>
    <cellStyle name="Accent2 28" xfId="37333"/>
    <cellStyle name="Accent2 29" xfId="37334"/>
    <cellStyle name="Accent2 3" xfId="37335"/>
    <cellStyle name="Accent2 3 2" xfId="37336"/>
    <cellStyle name="Accent2 3 2 2" xfId="37337"/>
    <cellStyle name="Accent2 3 3" xfId="37338"/>
    <cellStyle name="Accent2 3 4" xfId="37339"/>
    <cellStyle name="Accent2 30" xfId="37340"/>
    <cellStyle name="Accent2 31" xfId="37341"/>
    <cellStyle name="Accent2 32" xfId="37342"/>
    <cellStyle name="Accent2 33" xfId="37343"/>
    <cellStyle name="Accent2 34" xfId="37344"/>
    <cellStyle name="Accent2 35" xfId="37345"/>
    <cellStyle name="Accent2 36" xfId="37346"/>
    <cellStyle name="Accent2 37" xfId="37347"/>
    <cellStyle name="Accent2 38" xfId="37348"/>
    <cellStyle name="Accent2 39" xfId="37349"/>
    <cellStyle name="Accent2 4" xfId="37350"/>
    <cellStyle name="Accent2 4 2" xfId="37351"/>
    <cellStyle name="Accent2 4 3" xfId="37352"/>
    <cellStyle name="Accent2 40" xfId="37353"/>
    <cellStyle name="Accent2 41" xfId="37354"/>
    <cellStyle name="Accent2 42" xfId="37355"/>
    <cellStyle name="Accent2 43" xfId="37356"/>
    <cellStyle name="Accent2 44" xfId="37357"/>
    <cellStyle name="Accent2 45" xfId="37358"/>
    <cellStyle name="Accent2 46" xfId="37359"/>
    <cellStyle name="Accent2 47" xfId="37360"/>
    <cellStyle name="Accent2 5" xfId="37361"/>
    <cellStyle name="Accent2 5 2" xfId="37362"/>
    <cellStyle name="Accent2 6" xfId="37363"/>
    <cellStyle name="Accent2 6 2" xfId="37364"/>
    <cellStyle name="Accent2 6 3" xfId="37365"/>
    <cellStyle name="Accent2 7" xfId="37366"/>
    <cellStyle name="Accent2 7 2" xfId="37367"/>
    <cellStyle name="Accent2 7 3" xfId="37368"/>
    <cellStyle name="Accent2 8" xfId="37369"/>
    <cellStyle name="Accent2 8 2" xfId="37370"/>
    <cellStyle name="Accent2 9" xfId="37371"/>
    <cellStyle name="Accent2 9 2" xfId="37372"/>
    <cellStyle name="Accent3 10" xfId="37373"/>
    <cellStyle name="Accent3 10 2" xfId="37374"/>
    <cellStyle name="Accent3 11" xfId="37375"/>
    <cellStyle name="Accent3 11 2" xfId="37376"/>
    <cellStyle name="Accent3 12" xfId="37377"/>
    <cellStyle name="Accent3 12 2" xfId="37378"/>
    <cellStyle name="Accent3 13" xfId="37379"/>
    <cellStyle name="Accent3 13 2" xfId="37380"/>
    <cellStyle name="Accent3 14" xfId="37381"/>
    <cellStyle name="Accent3 14 2" xfId="37382"/>
    <cellStyle name="Accent3 14 3" xfId="37383"/>
    <cellStyle name="Accent3 15" xfId="37384"/>
    <cellStyle name="Accent3 15 2" xfId="37385"/>
    <cellStyle name="Accent3 16" xfId="37386"/>
    <cellStyle name="Accent3 16 2" xfId="37387"/>
    <cellStyle name="Accent3 17" xfId="37388"/>
    <cellStyle name="Accent3 17 2" xfId="37389"/>
    <cellStyle name="Accent3 18" xfId="37390"/>
    <cellStyle name="Accent3 18 2" xfId="37391"/>
    <cellStyle name="Accent3 19" xfId="37392"/>
    <cellStyle name="Accent3 19 2" xfId="37393"/>
    <cellStyle name="Accent3 2" xfId="37394"/>
    <cellStyle name="Accent3 2 10" xfId="37395"/>
    <cellStyle name="Accent3 2 11" xfId="37396"/>
    <cellStyle name="Accent3 2 12" xfId="37397"/>
    <cellStyle name="Accent3 2 13" xfId="37398"/>
    <cellStyle name="Accent3 2 14" xfId="37399"/>
    <cellStyle name="Accent3 2 2" xfId="37400"/>
    <cellStyle name="Accent3 2 2 2" xfId="37401"/>
    <cellStyle name="Accent3 2 3" xfId="37402"/>
    <cellStyle name="Accent3 2 4" xfId="37403"/>
    <cellStyle name="Accent3 2 5" xfId="37404"/>
    <cellStyle name="Accent3 2 6" xfId="37405"/>
    <cellStyle name="Accent3 2 7" xfId="37406"/>
    <cellStyle name="Accent3 2 8" xfId="37407"/>
    <cellStyle name="Accent3 2 9" xfId="37408"/>
    <cellStyle name="Accent3 20" xfId="37409"/>
    <cellStyle name="Accent3 21" xfId="37410"/>
    <cellStyle name="Accent3 22" xfId="37411"/>
    <cellStyle name="Accent3 23" xfId="37412"/>
    <cellStyle name="Accent3 24" xfId="37413"/>
    <cellStyle name="Accent3 25" xfId="37414"/>
    <cellStyle name="Accent3 26" xfId="37415"/>
    <cellStyle name="Accent3 27" xfId="37416"/>
    <cellStyle name="Accent3 28" xfId="37417"/>
    <cellStyle name="Accent3 29" xfId="37418"/>
    <cellStyle name="Accent3 3" xfId="37419"/>
    <cellStyle name="Accent3 3 2" xfId="37420"/>
    <cellStyle name="Accent3 3 2 2" xfId="37421"/>
    <cellStyle name="Accent3 3 3" xfId="37422"/>
    <cellStyle name="Accent3 3 4" xfId="37423"/>
    <cellStyle name="Accent3 30" xfId="37424"/>
    <cellStyle name="Accent3 31" xfId="37425"/>
    <cellStyle name="Accent3 32" xfId="37426"/>
    <cellStyle name="Accent3 33" xfId="37427"/>
    <cellStyle name="Accent3 34" xfId="37428"/>
    <cellStyle name="Accent3 35" xfId="37429"/>
    <cellStyle name="Accent3 36" xfId="37430"/>
    <cellStyle name="Accent3 37" xfId="37431"/>
    <cellStyle name="Accent3 38" xfId="37432"/>
    <cellStyle name="Accent3 39" xfId="37433"/>
    <cellStyle name="Accent3 4" xfId="37434"/>
    <cellStyle name="Accent3 4 2" xfId="37435"/>
    <cellStyle name="Accent3 4 3" xfId="37436"/>
    <cellStyle name="Accent3 40" xfId="37437"/>
    <cellStyle name="Accent3 41" xfId="37438"/>
    <cellStyle name="Accent3 42" xfId="37439"/>
    <cellStyle name="Accent3 43" xfId="37440"/>
    <cellStyle name="Accent3 44" xfId="37441"/>
    <cellStyle name="Accent3 45" xfId="37442"/>
    <cellStyle name="Accent3 46" xfId="37443"/>
    <cellStyle name="Accent3 47" xfId="37444"/>
    <cellStyle name="Accent3 5" xfId="37445"/>
    <cellStyle name="Accent3 5 2" xfId="37446"/>
    <cellStyle name="Accent3 6" xfId="37447"/>
    <cellStyle name="Accent3 6 2" xfId="37448"/>
    <cellStyle name="Accent3 6 3" xfId="37449"/>
    <cellStyle name="Accent3 7" xfId="37450"/>
    <cellStyle name="Accent3 7 2" xfId="37451"/>
    <cellStyle name="Accent3 7 3" xfId="37452"/>
    <cellStyle name="Accent3 8" xfId="37453"/>
    <cellStyle name="Accent3 8 2" xfId="37454"/>
    <cellStyle name="Accent3 9" xfId="37455"/>
    <cellStyle name="Accent3 9 2" xfId="37456"/>
    <cellStyle name="Accent4 10" xfId="37457"/>
    <cellStyle name="Accent4 10 2" xfId="37458"/>
    <cellStyle name="Accent4 11" xfId="37459"/>
    <cellStyle name="Accent4 11 2" xfId="37460"/>
    <cellStyle name="Accent4 12" xfId="37461"/>
    <cellStyle name="Accent4 12 2" xfId="37462"/>
    <cellStyle name="Accent4 13" xfId="37463"/>
    <cellStyle name="Accent4 13 2" xfId="37464"/>
    <cellStyle name="Accent4 14" xfId="37465"/>
    <cellStyle name="Accent4 14 2" xfId="37466"/>
    <cellStyle name="Accent4 14 3" xfId="37467"/>
    <cellStyle name="Accent4 15" xfId="37468"/>
    <cellStyle name="Accent4 15 2" xfId="37469"/>
    <cellStyle name="Accent4 16" xfId="37470"/>
    <cellStyle name="Accent4 16 2" xfId="37471"/>
    <cellStyle name="Accent4 17" xfId="37472"/>
    <cellStyle name="Accent4 17 2" xfId="37473"/>
    <cellStyle name="Accent4 18" xfId="37474"/>
    <cellStyle name="Accent4 18 2" xfId="37475"/>
    <cellStyle name="Accent4 19" xfId="37476"/>
    <cellStyle name="Accent4 19 2" xfId="37477"/>
    <cellStyle name="Accent4 2" xfId="37478"/>
    <cellStyle name="Accent4 2 10" xfId="37479"/>
    <cellStyle name="Accent4 2 11" xfId="37480"/>
    <cellStyle name="Accent4 2 12" xfId="37481"/>
    <cellStyle name="Accent4 2 13" xfId="37482"/>
    <cellStyle name="Accent4 2 14" xfId="37483"/>
    <cellStyle name="Accent4 2 2" xfId="37484"/>
    <cellStyle name="Accent4 2 2 2" xfId="37485"/>
    <cellStyle name="Accent4 2 3" xfId="37486"/>
    <cellStyle name="Accent4 2 4" xfId="37487"/>
    <cellStyle name="Accent4 2 5" xfId="37488"/>
    <cellStyle name="Accent4 2 6" xfId="37489"/>
    <cellStyle name="Accent4 2 7" xfId="37490"/>
    <cellStyle name="Accent4 2 8" xfId="37491"/>
    <cellStyle name="Accent4 2 9" xfId="37492"/>
    <cellStyle name="Accent4 20" xfId="37493"/>
    <cellStyle name="Accent4 21" xfId="37494"/>
    <cellStyle name="Accent4 22" xfId="37495"/>
    <cellStyle name="Accent4 23" xfId="37496"/>
    <cellStyle name="Accent4 24" xfId="37497"/>
    <cellStyle name="Accent4 25" xfId="37498"/>
    <cellStyle name="Accent4 26" xfId="37499"/>
    <cellStyle name="Accent4 27" xfId="37500"/>
    <cellStyle name="Accent4 28" xfId="37501"/>
    <cellStyle name="Accent4 29" xfId="37502"/>
    <cellStyle name="Accent4 3" xfId="37503"/>
    <cellStyle name="Accent4 3 2" xfId="37504"/>
    <cellStyle name="Accent4 3 2 2" xfId="37505"/>
    <cellStyle name="Accent4 3 3" xfId="37506"/>
    <cellStyle name="Accent4 3 4" xfId="37507"/>
    <cellStyle name="Accent4 30" xfId="37508"/>
    <cellStyle name="Accent4 31" xfId="37509"/>
    <cellStyle name="Accent4 32" xfId="37510"/>
    <cellStyle name="Accent4 33" xfId="37511"/>
    <cellStyle name="Accent4 34" xfId="37512"/>
    <cellStyle name="Accent4 35" xfId="37513"/>
    <cellStyle name="Accent4 36" xfId="37514"/>
    <cellStyle name="Accent4 37" xfId="37515"/>
    <cellStyle name="Accent4 38" xfId="37516"/>
    <cellStyle name="Accent4 39" xfId="37517"/>
    <cellStyle name="Accent4 4" xfId="37518"/>
    <cellStyle name="Accent4 4 2" xfId="37519"/>
    <cellStyle name="Accent4 4 3" xfId="37520"/>
    <cellStyle name="Accent4 40" xfId="37521"/>
    <cellStyle name="Accent4 41" xfId="37522"/>
    <cellStyle name="Accent4 42" xfId="37523"/>
    <cellStyle name="Accent4 43" xfId="37524"/>
    <cellStyle name="Accent4 44" xfId="37525"/>
    <cellStyle name="Accent4 45" xfId="37526"/>
    <cellStyle name="Accent4 46" xfId="37527"/>
    <cellStyle name="Accent4 47" xfId="37528"/>
    <cellStyle name="Accent4 5" xfId="37529"/>
    <cellStyle name="Accent4 5 2" xfId="37530"/>
    <cellStyle name="Accent4 6" xfId="37531"/>
    <cellStyle name="Accent4 6 2" xfId="37532"/>
    <cellStyle name="Accent4 6 3" xfId="37533"/>
    <cellStyle name="Accent4 7" xfId="37534"/>
    <cellStyle name="Accent4 7 2" xfId="37535"/>
    <cellStyle name="Accent4 7 3" xfId="37536"/>
    <cellStyle name="Accent4 8" xfId="37537"/>
    <cellStyle name="Accent4 8 2" xfId="37538"/>
    <cellStyle name="Accent4 9" xfId="37539"/>
    <cellStyle name="Accent4 9 2" xfId="37540"/>
    <cellStyle name="Accent5 10" xfId="37541"/>
    <cellStyle name="Accent5 10 2" xfId="37542"/>
    <cellStyle name="Accent5 11" xfId="37543"/>
    <cellStyle name="Accent5 11 2" xfId="37544"/>
    <cellStyle name="Accent5 12" xfId="37545"/>
    <cellStyle name="Accent5 12 2" xfId="37546"/>
    <cellStyle name="Accent5 13" xfId="37547"/>
    <cellStyle name="Accent5 13 2" xfId="37548"/>
    <cellStyle name="Accent5 14" xfId="37549"/>
    <cellStyle name="Accent5 14 2" xfId="37550"/>
    <cellStyle name="Accent5 14 3" xfId="37551"/>
    <cellStyle name="Accent5 15" xfId="37552"/>
    <cellStyle name="Accent5 15 2" xfId="37553"/>
    <cellStyle name="Accent5 16" xfId="37554"/>
    <cellStyle name="Accent5 16 2" xfId="37555"/>
    <cellStyle name="Accent5 17" xfId="37556"/>
    <cellStyle name="Accent5 17 2" xfId="37557"/>
    <cellStyle name="Accent5 18" xfId="37558"/>
    <cellStyle name="Accent5 18 2" xfId="37559"/>
    <cellStyle name="Accent5 19" xfId="37560"/>
    <cellStyle name="Accent5 19 2" xfId="37561"/>
    <cellStyle name="Accent5 2" xfId="37562"/>
    <cellStyle name="Accent5 2 10" xfId="37563"/>
    <cellStyle name="Accent5 2 11" xfId="37564"/>
    <cellStyle name="Accent5 2 12" xfId="37565"/>
    <cellStyle name="Accent5 2 13" xfId="37566"/>
    <cellStyle name="Accent5 2 14" xfId="37567"/>
    <cellStyle name="Accent5 2 15" xfId="37568"/>
    <cellStyle name="Accent5 2 15 2" xfId="37569"/>
    <cellStyle name="Accent5 2 16" xfId="37570"/>
    <cellStyle name="Accent5 2 2" xfId="37571"/>
    <cellStyle name="Accent5 2 2 2" xfId="37572"/>
    <cellStyle name="Accent5 2 3" xfId="37573"/>
    <cellStyle name="Accent5 2 4" xfId="37574"/>
    <cellStyle name="Accent5 2 5" xfId="37575"/>
    <cellStyle name="Accent5 2 6" xfId="37576"/>
    <cellStyle name="Accent5 2 7" xfId="37577"/>
    <cellStyle name="Accent5 2 8" xfId="37578"/>
    <cellStyle name="Accent5 2 9" xfId="37579"/>
    <cellStyle name="Accent5 2_Northern Rock" xfId="37580"/>
    <cellStyle name="Accent5 20" xfId="37581"/>
    <cellStyle name="Accent5 21" xfId="37582"/>
    <cellStyle name="Accent5 22" xfId="37583"/>
    <cellStyle name="Accent5 23" xfId="37584"/>
    <cellStyle name="Accent5 24" xfId="37585"/>
    <cellStyle name="Accent5 25" xfId="37586"/>
    <cellStyle name="Accent5 26" xfId="37587"/>
    <cellStyle name="Accent5 27" xfId="37588"/>
    <cellStyle name="Accent5 28" xfId="37589"/>
    <cellStyle name="Accent5 29" xfId="37590"/>
    <cellStyle name="Accent5 3" xfId="37591"/>
    <cellStyle name="Accent5 3 2" xfId="37592"/>
    <cellStyle name="Accent5 3 2 2" xfId="37593"/>
    <cellStyle name="Accent5 3 3" xfId="37594"/>
    <cellStyle name="Accent5 3 4" xfId="37595"/>
    <cellStyle name="Accent5 30" xfId="37596"/>
    <cellStyle name="Accent5 31" xfId="37597"/>
    <cellStyle name="Accent5 32" xfId="37598"/>
    <cellStyle name="Accent5 33" xfId="37599"/>
    <cellStyle name="Accent5 34" xfId="37600"/>
    <cellStyle name="Accent5 35" xfId="37601"/>
    <cellStyle name="Accent5 36" xfId="37602"/>
    <cellStyle name="Accent5 37" xfId="37603"/>
    <cellStyle name="Accent5 38" xfId="37604"/>
    <cellStyle name="Accent5 39" xfId="37605"/>
    <cellStyle name="Accent5 4" xfId="37606"/>
    <cellStyle name="Accent5 4 2" xfId="37607"/>
    <cellStyle name="Accent5 4 2 2" xfId="37608"/>
    <cellStyle name="Accent5 4 3" xfId="37609"/>
    <cellStyle name="Accent5 40" xfId="37610"/>
    <cellStyle name="Accent5 41" xfId="37611"/>
    <cellStyle name="Accent5 42" xfId="37612"/>
    <cellStyle name="Accent5 43" xfId="37613"/>
    <cellStyle name="Accent5 44" xfId="37614"/>
    <cellStyle name="Accent5 45" xfId="37615"/>
    <cellStyle name="Accent5 46" xfId="37616"/>
    <cellStyle name="Accent5 47" xfId="37617"/>
    <cellStyle name="Accent5 5" xfId="37618"/>
    <cellStyle name="Accent5 5 2" xfId="37619"/>
    <cellStyle name="Accent5 6" xfId="37620"/>
    <cellStyle name="Accent5 6 2" xfId="37621"/>
    <cellStyle name="Accent5 6 3" xfId="37622"/>
    <cellStyle name="Accent5 7" xfId="37623"/>
    <cellStyle name="Accent5 7 2" xfId="37624"/>
    <cellStyle name="Accent5 7 3" xfId="37625"/>
    <cellStyle name="Accent5 8" xfId="37626"/>
    <cellStyle name="Accent5 8 2" xfId="37627"/>
    <cellStyle name="Accent5 9" xfId="37628"/>
    <cellStyle name="Accent5 9 2" xfId="37629"/>
    <cellStyle name="Accent6 10" xfId="37630"/>
    <cellStyle name="Accent6 10 2" xfId="37631"/>
    <cellStyle name="Accent6 11" xfId="37632"/>
    <cellStyle name="Accent6 11 2" xfId="37633"/>
    <cellStyle name="Accent6 12" xfId="37634"/>
    <cellStyle name="Accent6 12 2" xfId="37635"/>
    <cellStyle name="Accent6 13" xfId="37636"/>
    <cellStyle name="Accent6 13 2" xfId="37637"/>
    <cellStyle name="Accent6 14" xfId="37638"/>
    <cellStyle name="Accent6 14 2" xfId="37639"/>
    <cellStyle name="Accent6 14 3" xfId="37640"/>
    <cellStyle name="Accent6 15" xfId="37641"/>
    <cellStyle name="Accent6 15 2" xfId="37642"/>
    <cellStyle name="Accent6 16" xfId="37643"/>
    <cellStyle name="Accent6 16 2" xfId="37644"/>
    <cellStyle name="Accent6 17" xfId="37645"/>
    <cellStyle name="Accent6 17 2" xfId="37646"/>
    <cellStyle name="Accent6 18" xfId="37647"/>
    <cellStyle name="Accent6 18 2" xfId="37648"/>
    <cellStyle name="Accent6 19" xfId="37649"/>
    <cellStyle name="Accent6 19 2" xfId="37650"/>
    <cellStyle name="Accent6 2" xfId="37651"/>
    <cellStyle name="Accent6 2 10" xfId="37652"/>
    <cellStyle name="Accent6 2 11" xfId="37653"/>
    <cellStyle name="Accent6 2 12" xfId="37654"/>
    <cellStyle name="Accent6 2 13" xfId="37655"/>
    <cellStyle name="Accent6 2 14" xfId="37656"/>
    <cellStyle name="Accent6 2 2" xfId="37657"/>
    <cellStyle name="Accent6 2 2 2" xfId="37658"/>
    <cellStyle name="Accent6 2 3" xfId="37659"/>
    <cellStyle name="Accent6 2 4" xfId="37660"/>
    <cellStyle name="Accent6 2 5" xfId="37661"/>
    <cellStyle name="Accent6 2 6" xfId="37662"/>
    <cellStyle name="Accent6 2 7" xfId="37663"/>
    <cellStyle name="Accent6 2 8" xfId="37664"/>
    <cellStyle name="Accent6 2 9" xfId="37665"/>
    <cellStyle name="Accent6 20" xfId="37666"/>
    <cellStyle name="Accent6 21" xfId="37667"/>
    <cellStyle name="Accent6 22" xfId="37668"/>
    <cellStyle name="Accent6 23" xfId="37669"/>
    <cellStyle name="Accent6 24" xfId="37670"/>
    <cellStyle name="Accent6 25" xfId="37671"/>
    <cellStyle name="Accent6 26" xfId="37672"/>
    <cellStyle name="Accent6 27" xfId="37673"/>
    <cellStyle name="Accent6 28" xfId="37674"/>
    <cellStyle name="Accent6 29" xfId="37675"/>
    <cellStyle name="Accent6 3" xfId="37676"/>
    <cellStyle name="Accent6 3 2" xfId="37677"/>
    <cellStyle name="Accent6 3 2 2" xfId="37678"/>
    <cellStyle name="Accent6 3 3" xfId="37679"/>
    <cellStyle name="Accent6 3 4" xfId="37680"/>
    <cellStyle name="Accent6 30" xfId="37681"/>
    <cellStyle name="Accent6 31" xfId="37682"/>
    <cellStyle name="Accent6 32" xfId="37683"/>
    <cellStyle name="Accent6 33" xfId="37684"/>
    <cellStyle name="Accent6 34" xfId="37685"/>
    <cellStyle name="Accent6 35" xfId="37686"/>
    <cellStyle name="Accent6 36" xfId="37687"/>
    <cellStyle name="Accent6 37" xfId="37688"/>
    <cellStyle name="Accent6 38" xfId="37689"/>
    <cellStyle name="Accent6 39" xfId="37690"/>
    <cellStyle name="Accent6 4" xfId="37691"/>
    <cellStyle name="Accent6 4 2" xfId="37692"/>
    <cellStyle name="Accent6 4 3" xfId="37693"/>
    <cellStyle name="Accent6 40" xfId="37694"/>
    <cellStyle name="Accent6 41" xfId="37695"/>
    <cellStyle name="Accent6 42" xfId="37696"/>
    <cellStyle name="Accent6 43" xfId="37697"/>
    <cellStyle name="Accent6 44" xfId="37698"/>
    <cellStyle name="Accent6 45" xfId="37699"/>
    <cellStyle name="Accent6 46" xfId="37700"/>
    <cellStyle name="Accent6 47" xfId="37701"/>
    <cellStyle name="Accent6 5" xfId="37702"/>
    <cellStyle name="Accent6 5 2" xfId="37703"/>
    <cellStyle name="Accent6 6" xfId="37704"/>
    <cellStyle name="Accent6 6 2" xfId="37705"/>
    <cellStyle name="Accent6 6 3" xfId="37706"/>
    <cellStyle name="Accent6 7" xfId="37707"/>
    <cellStyle name="Accent6 7 2" xfId="37708"/>
    <cellStyle name="Accent6 7 3" xfId="37709"/>
    <cellStyle name="Accent6 8" xfId="37710"/>
    <cellStyle name="Accent6 8 2" xfId="37711"/>
    <cellStyle name="Accent6 9" xfId="37712"/>
    <cellStyle name="Accent6 9 2" xfId="37713"/>
    <cellStyle name="Bad 10" xfId="37714"/>
    <cellStyle name="Bad 10 2" xfId="37715"/>
    <cellStyle name="Bad 11" xfId="37716"/>
    <cellStyle name="Bad 11 2" xfId="37717"/>
    <cellStyle name="Bad 12" xfId="37718"/>
    <cellStyle name="Bad 12 2" xfId="37719"/>
    <cellStyle name="Bad 13" xfId="37720"/>
    <cellStyle name="Bad 13 2" xfId="37721"/>
    <cellStyle name="Bad 14" xfId="37722"/>
    <cellStyle name="Bad 14 2" xfId="37723"/>
    <cellStyle name="Bad 14 3" xfId="37724"/>
    <cellStyle name="Bad 15" xfId="37725"/>
    <cellStyle name="Bad 15 2" xfId="37726"/>
    <cellStyle name="Bad 16" xfId="37727"/>
    <cellStyle name="Bad 16 2" xfId="37728"/>
    <cellStyle name="Bad 17" xfId="37729"/>
    <cellStyle name="Bad 17 2" xfId="37730"/>
    <cellStyle name="Bad 18" xfId="37731"/>
    <cellStyle name="Bad 18 2" xfId="37732"/>
    <cellStyle name="Bad 19" xfId="37733"/>
    <cellStyle name="Bad 19 2" xfId="37734"/>
    <cellStyle name="Bad 2" xfId="37735"/>
    <cellStyle name="Bad 2 10" xfId="37736"/>
    <cellStyle name="Bad 2 11" xfId="37737"/>
    <cellStyle name="Bad 2 12" xfId="37738"/>
    <cellStyle name="Bad 2 13" xfId="37739"/>
    <cellStyle name="Bad 2 14" xfId="37740"/>
    <cellStyle name="Bad 2 14 2" xfId="37741"/>
    <cellStyle name="Bad 2 2" xfId="37742"/>
    <cellStyle name="Bad 2 2 2" xfId="37743"/>
    <cellStyle name="Bad 2 3" xfId="37744"/>
    <cellStyle name="Bad 2 4" xfId="37745"/>
    <cellStyle name="Bad 2 5" xfId="37746"/>
    <cellStyle name="Bad 2 6" xfId="37747"/>
    <cellStyle name="Bad 2 7" xfId="37748"/>
    <cellStyle name="Bad 2 8" xfId="37749"/>
    <cellStyle name="Bad 2 9" xfId="37750"/>
    <cellStyle name="Bad 2_Northern Rock" xfId="37751"/>
    <cellStyle name="Bad 20" xfId="37752"/>
    <cellStyle name="Bad 21" xfId="37753"/>
    <cellStyle name="Bad 22" xfId="37754"/>
    <cellStyle name="Bad 23" xfId="37755"/>
    <cellStyle name="Bad 24" xfId="37756"/>
    <cellStyle name="Bad 25" xfId="37757"/>
    <cellStyle name="Bad 26" xfId="37758"/>
    <cellStyle name="Bad 27" xfId="37759"/>
    <cellStyle name="Bad 28" xfId="37760"/>
    <cellStyle name="Bad 29" xfId="37761"/>
    <cellStyle name="Bad 3" xfId="37762"/>
    <cellStyle name="Bad 3 2" xfId="37763"/>
    <cellStyle name="Bad 3 2 2" xfId="37764"/>
    <cellStyle name="Bad 3 3" xfId="37765"/>
    <cellStyle name="Bad 3 4" xfId="37766"/>
    <cellStyle name="Bad 30" xfId="37767"/>
    <cellStyle name="Bad 31" xfId="37768"/>
    <cellStyle name="Bad 32" xfId="37769"/>
    <cellStyle name="Bad 33" xfId="37770"/>
    <cellStyle name="Bad 34" xfId="37771"/>
    <cellStyle name="Bad 35" xfId="37772"/>
    <cellStyle name="Bad 36" xfId="37773"/>
    <cellStyle name="Bad 37" xfId="37774"/>
    <cellStyle name="Bad 38" xfId="37775"/>
    <cellStyle name="Bad 39" xfId="37776"/>
    <cellStyle name="Bad 4" xfId="37777"/>
    <cellStyle name="Bad 4 2" xfId="37778"/>
    <cellStyle name="Bad 4 3" xfId="37779"/>
    <cellStyle name="Bad 40" xfId="37780"/>
    <cellStyle name="Bad 41" xfId="37781"/>
    <cellStyle name="Bad 42" xfId="37782"/>
    <cellStyle name="Bad 43" xfId="37783"/>
    <cellStyle name="Bad 44" xfId="37784"/>
    <cellStyle name="Bad 45" xfId="37785"/>
    <cellStyle name="Bad 46" xfId="37786"/>
    <cellStyle name="Bad 47" xfId="37787"/>
    <cellStyle name="Bad 5" xfId="37788"/>
    <cellStyle name="Bad 5 2" xfId="37789"/>
    <cellStyle name="Bad 6" xfId="37790"/>
    <cellStyle name="Bad 6 2" xfId="37791"/>
    <cellStyle name="Bad 6 3" xfId="37792"/>
    <cellStyle name="Bad 7" xfId="37793"/>
    <cellStyle name="Bad 7 2" xfId="37794"/>
    <cellStyle name="Bad 7 3" xfId="37795"/>
    <cellStyle name="Bad 8" xfId="37796"/>
    <cellStyle name="Bad 8 2" xfId="37797"/>
    <cellStyle name="Bad 9" xfId="37798"/>
    <cellStyle name="Bad 9 2" xfId="37799"/>
    <cellStyle name="Besuchter Hyperlink" xfId="37800"/>
    <cellStyle name="blue axis cells" xfId="37801"/>
    <cellStyle name="blue text cells" xfId="37802"/>
    <cellStyle name="Bottom bold border" xfId="37803"/>
    <cellStyle name="Bottom bold border 2" xfId="37804"/>
    <cellStyle name="Bottom bold border 3" xfId="37805"/>
    <cellStyle name="Bottom single border" xfId="37806"/>
    <cellStyle name="C00A" xfId="37807"/>
    <cellStyle name="C00A 2" xfId="37808"/>
    <cellStyle name="C00A 3" xfId="37809"/>
    <cellStyle name="C00A 4" xfId="37810"/>
    <cellStyle name="C00A 5" xfId="37811"/>
    <cellStyle name="C00A_As of Adjustments" xfId="37812"/>
    <cellStyle name="C00B" xfId="37813"/>
    <cellStyle name="C00B 2" xfId="37814"/>
    <cellStyle name="C00B 3" xfId="37815"/>
    <cellStyle name="C00B 4" xfId="37816"/>
    <cellStyle name="C00B 5" xfId="37817"/>
    <cellStyle name="C00B_As of Adjustments" xfId="37818"/>
    <cellStyle name="C00L" xfId="37819"/>
    <cellStyle name="C00L 2" xfId="37820"/>
    <cellStyle name="C00L 3" xfId="37821"/>
    <cellStyle name="C00L 4" xfId="37822"/>
    <cellStyle name="C00L 5" xfId="37823"/>
    <cellStyle name="C00L_As of Adjustments" xfId="37824"/>
    <cellStyle name="C01A" xfId="37825"/>
    <cellStyle name="C01B" xfId="37826"/>
    <cellStyle name="C01B 2" xfId="37827"/>
    <cellStyle name="C01B 3" xfId="37828"/>
    <cellStyle name="C01B 4" xfId="37829"/>
    <cellStyle name="C01B 5" xfId="37830"/>
    <cellStyle name="C01H" xfId="37831"/>
    <cellStyle name="C01L" xfId="37832"/>
    <cellStyle name="C02A" xfId="37833"/>
    <cellStyle name="C02B" xfId="37834"/>
    <cellStyle name="C02B 2" xfId="37835"/>
    <cellStyle name="C02B 3" xfId="37836"/>
    <cellStyle name="C02B 4" xfId="37837"/>
    <cellStyle name="C02B 5" xfId="37838"/>
    <cellStyle name="C02H" xfId="37839"/>
    <cellStyle name="C02L" xfId="37840"/>
    <cellStyle name="C03A" xfId="37841"/>
    <cellStyle name="C03B" xfId="37842"/>
    <cellStyle name="C03H" xfId="37843"/>
    <cellStyle name="C03L" xfId="37844"/>
    <cellStyle name="C04A" xfId="37845"/>
    <cellStyle name="C04A 2" xfId="37846"/>
    <cellStyle name="C04A 3" xfId="37847"/>
    <cellStyle name="C04A 4" xfId="37848"/>
    <cellStyle name="C04A 5" xfId="37849"/>
    <cellStyle name="C04B" xfId="37850"/>
    <cellStyle name="C04H" xfId="37851"/>
    <cellStyle name="C04L" xfId="37852"/>
    <cellStyle name="C04L 2" xfId="37853"/>
    <cellStyle name="C04L_CONTRACT VS MARKET VARIANCE" xfId="37854"/>
    <cellStyle name="C05A" xfId="37855"/>
    <cellStyle name="C05B" xfId="37856"/>
    <cellStyle name="C05H" xfId="37857"/>
    <cellStyle name="C05L" xfId="37858"/>
    <cellStyle name="C05L 2" xfId="37859"/>
    <cellStyle name="C05L 3" xfId="37860"/>
    <cellStyle name="C05L 4" xfId="37861"/>
    <cellStyle name="C05L 5" xfId="37862"/>
    <cellStyle name="C05L_CONTRACT VS MARKET VARIANCE" xfId="37863"/>
    <cellStyle name="C06A" xfId="37864"/>
    <cellStyle name="C06B" xfId="37865"/>
    <cellStyle name="C06H" xfId="37866"/>
    <cellStyle name="C06L" xfId="37867"/>
    <cellStyle name="C07A" xfId="37868"/>
    <cellStyle name="C07B" xfId="37869"/>
    <cellStyle name="C07H" xfId="37870"/>
    <cellStyle name="C07L" xfId="37871"/>
    <cellStyle name="Calculation 10" xfId="37872"/>
    <cellStyle name="Calculation 10 2" xfId="37873"/>
    <cellStyle name="Calculation 11" xfId="37874"/>
    <cellStyle name="Calculation 11 2" xfId="37875"/>
    <cellStyle name="Calculation 12" xfId="37876"/>
    <cellStyle name="Calculation 12 2" xfId="37877"/>
    <cellStyle name="Calculation 13" xfId="37878"/>
    <cellStyle name="Calculation 13 2" xfId="37879"/>
    <cellStyle name="Calculation 14" xfId="37880"/>
    <cellStyle name="Calculation 14 2" xfId="37881"/>
    <cellStyle name="Calculation 14 3" xfId="37882"/>
    <cellStyle name="Calculation 15" xfId="37883"/>
    <cellStyle name="Calculation 15 2" xfId="37884"/>
    <cellStyle name="Calculation 16" xfId="37885"/>
    <cellStyle name="Calculation 16 2" xfId="37886"/>
    <cellStyle name="Calculation 17" xfId="37887"/>
    <cellStyle name="Calculation 17 2" xfId="37888"/>
    <cellStyle name="Calculation 18" xfId="37889"/>
    <cellStyle name="Calculation 18 2" xfId="37890"/>
    <cellStyle name="Calculation 19" xfId="37891"/>
    <cellStyle name="Calculation 19 2" xfId="37892"/>
    <cellStyle name="Calculation 2" xfId="37893"/>
    <cellStyle name="Calculation 2 10" xfId="37894"/>
    <cellStyle name="Calculation 2 11" xfId="37895"/>
    <cellStyle name="Calculation 2 12" xfId="37896"/>
    <cellStyle name="Calculation 2 13" xfId="37897"/>
    <cellStyle name="Calculation 2 14" xfId="37898"/>
    <cellStyle name="Calculation 2 14 2" xfId="37899"/>
    <cellStyle name="Calculation 2 15" xfId="37900"/>
    <cellStyle name="Calculation 2 2" xfId="37901"/>
    <cellStyle name="Calculation 2 2 2" xfId="37902"/>
    <cellStyle name="Calculation 2 3" xfId="37903"/>
    <cellStyle name="Calculation 2 4" xfId="37904"/>
    <cellStyle name="Calculation 2 5" xfId="37905"/>
    <cellStyle name="Calculation 2 6" xfId="37906"/>
    <cellStyle name="Calculation 2 7" xfId="37907"/>
    <cellStyle name="Calculation 2 8" xfId="37908"/>
    <cellStyle name="Calculation 2 9" xfId="37909"/>
    <cellStyle name="Calculation 2_Northern Rock" xfId="37910"/>
    <cellStyle name="Calculation 20" xfId="37911"/>
    <cellStyle name="Calculation 21" xfId="37912"/>
    <cellStyle name="Calculation 22" xfId="37913"/>
    <cellStyle name="Calculation 23" xfId="37914"/>
    <cellStyle name="Calculation 24" xfId="37915"/>
    <cellStyle name="Calculation 25" xfId="37916"/>
    <cellStyle name="Calculation 26" xfId="37917"/>
    <cellStyle name="Calculation 27" xfId="37918"/>
    <cellStyle name="Calculation 28" xfId="37919"/>
    <cellStyle name="Calculation 29" xfId="37920"/>
    <cellStyle name="Calculation 3" xfId="37921"/>
    <cellStyle name="Calculation 3 2" xfId="37922"/>
    <cellStyle name="Calculation 3 2 2" xfId="37923"/>
    <cellStyle name="Calculation 3 3" xfId="37924"/>
    <cellStyle name="Calculation 3 4" xfId="37925"/>
    <cellStyle name="Calculation 30" xfId="37926"/>
    <cellStyle name="Calculation 31" xfId="37927"/>
    <cellStyle name="Calculation 32" xfId="37928"/>
    <cellStyle name="Calculation 33" xfId="37929"/>
    <cellStyle name="Calculation 34" xfId="37930"/>
    <cellStyle name="Calculation 35" xfId="37931"/>
    <cellStyle name="Calculation 36" xfId="37932"/>
    <cellStyle name="Calculation 37" xfId="37933"/>
    <cellStyle name="Calculation 38" xfId="37934"/>
    <cellStyle name="Calculation 39" xfId="37935"/>
    <cellStyle name="Calculation 4" xfId="37936"/>
    <cellStyle name="Calculation 4 2" xfId="37937"/>
    <cellStyle name="Calculation 4 3" xfId="37938"/>
    <cellStyle name="Calculation 40" xfId="37939"/>
    <cellStyle name="Calculation 41" xfId="37940"/>
    <cellStyle name="Calculation 42" xfId="37941"/>
    <cellStyle name="Calculation 43" xfId="37942"/>
    <cellStyle name="Calculation 44" xfId="37943"/>
    <cellStyle name="Calculation 45" xfId="37944"/>
    <cellStyle name="Calculation 46" xfId="37945"/>
    <cellStyle name="Calculation 47" xfId="37946"/>
    <cellStyle name="Calculation 5" xfId="37947"/>
    <cellStyle name="Calculation 5 2" xfId="37948"/>
    <cellStyle name="Calculation 6" xfId="37949"/>
    <cellStyle name="Calculation 6 2" xfId="37950"/>
    <cellStyle name="Calculation 6 3" xfId="37951"/>
    <cellStyle name="Calculation 7" xfId="37952"/>
    <cellStyle name="Calculation 7 2" xfId="37953"/>
    <cellStyle name="Calculation 7 3" xfId="37954"/>
    <cellStyle name="Calculation 8" xfId="37955"/>
    <cellStyle name="Calculation 8 2" xfId="37956"/>
    <cellStyle name="Calculation 9" xfId="37957"/>
    <cellStyle name="Calculation 9 2" xfId="37958"/>
    <cellStyle name="Check Cell 10" xfId="37959"/>
    <cellStyle name="Check Cell 10 2" xfId="37960"/>
    <cellStyle name="Check Cell 11" xfId="37961"/>
    <cellStyle name="Check Cell 11 2" xfId="37962"/>
    <cellStyle name="Check Cell 12" xfId="37963"/>
    <cellStyle name="Check Cell 12 2" xfId="37964"/>
    <cellStyle name="Check Cell 13" xfId="37965"/>
    <cellStyle name="Check Cell 13 2" xfId="37966"/>
    <cellStyle name="Check Cell 14" xfId="37967"/>
    <cellStyle name="Check Cell 14 2" xfId="37968"/>
    <cellStyle name="Check Cell 14 3" xfId="37969"/>
    <cellStyle name="Check Cell 15" xfId="37970"/>
    <cellStyle name="Check Cell 15 2" xfId="37971"/>
    <cellStyle name="Check Cell 16" xfId="37972"/>
    <cellStyle name="Check Cell 16 2" xfId="37973"/>
    <cellStyle name="Check Cell 17" xfId="37974"/>
    <cellStyle name="Check Cell 17 2" xfId="37975"/>
    <cellStyle name="Check Cell 18" xfId="37976"/>
    <cellStyle name="Check Cell 18 2" xfId="37977"/>
    <cellStyle name="Check Cell 19" xfId="37978"/>
    <cellStyle name="Check Cell 19 2" xfId="37979"/>
    <cellStyle name="Check Cell 2" xfId="37980"/>
    <cellStyle name="Check Cell 2 10" xfId="37981"/>
    <cellStyle name="Check Cell 2 11" xfId="37982"/>
    <cellStyle name="Check Cell 2 12" xfId="37983"/>
    <cellStyle name="Check Cell 2 13" xfId="37984"/>
    <cellStyle name="Check Cell 2 14" xfId="37985"/>
    <cellStyle name="Check Cell 2 14 2" xfId="37986"/>
    <cellStyle name="Check Cell 2 2" xfId="37987"/>
    <cellStyle name="Check Cell 2 2 2" xfId="37988"/>
    <cellStyle name="Check Cell 2 3" xfId="37989"/>
    <cellStyle name="Check Cell 2 4" xfId="37990"/>
    <cellStyle name="Check Cell 2 5" xfId="37991"/>
    <cellStyle name="Check Cell 2 6" xfId="37992"/>
    <cellStyle name="Check Cell 2 7" xfId="37993"/>
    <cellStyle name="Check Cell 2 8" xfId="37994"/>
    <cellStyle name="Check Cell 2 9" xfId="37995"/>
    <cellStyle name="Check Cell 2_Northern Rock" xfId="37996"/>
    <cellStyle name="Check Cell 20" xfId="37997"/>
    <cellStyle name="Check Cell 21" xfId="37998"/>
    <cellStyle name="Check Cell 22" xfId="37999"/>
    <cellStyle name="Check Cell 23" xfId="38000"/>
    <cellStyle name="Check Cell 24" xfId="38001"/>
    <cellStyle name="Check Cell 25" xfId="38002"/>
    <cellStyle name="Check Cell 26" xfId="38003"/>
    <cellStyle name="Check Cell 27" xfId="38004"/>
    <cellStyle name="Check Cell 28" xfId="38005"/>
    <cellStyle name="Check Cell 29" xfId="38006"/>
    <cellStyle name="Check Cell 3" xfId="38007"/>
    <cellStyle name="Check Cell 3 2" xfId="38008"/>
    <cellStyle name="Check Cell 3 2 2" xfId="38009"/>
    <cellStyle name="Check Cell 3 3" xfId="38010"/>
    <cellStyle name="Check Cell 3 4" xfId="38011"/>
    <cellStyle name="Check Cell 30" xfId="38012"/>
    <cellStyle name="Check Cell 31" xfId="38013"/>
    <cellStyle name="Check Cell 32" xfId="38014"/>
    <cellStyle name="Check Cell 33" xfId="38015"/>
    <cellStyle name="Check Cell 34" xfId="38016"/>
    <cellStyle name="Check Cell 35" xfId="38017"/>
    <cellStyle name="Check Cell 36" xfId="38018"/>
    <cellStyle name="Check Cell 37" xfId="38019"/>
    <cellStyle name="Check Cell 38" xfId="38020"/>
    <cellStyle name="Check Cell 39" xfId="38021"/>
    <cellStyle name="Check Cell 4" xfId="38022"/>
    <cellStyle name="Check Cell 4 2" xfId="38023"/>
    <cellStyle name="Check Cell 4 3" xfId="38024"/>
    <cellStyle name="Check Cell 40" xfId="38025"/>
    <cellStyle name="Check Cell 41" xfId="38026"/>
    <cellStyle name="Check Cell 42" xfId="38027"/>
    <cellStyle name="Check Cell 43" xfId="38028"/>
    <cellStyle name="Check Cell 44" xfId="38029"/>
    <cellStyle name="Check Cell 45" xfId="38030"/>
    <cellStyle name="Check Cell 46" xfId="38031"/>
    <cellStyle name="Check Cell 47" xfId="38032"/>
    <cellStyle name="Check Cell 5" xfId="38033"/>
    <cellStyle name="Check Cell 5 2" xfId="38034"/>
    <cellStyle name="Check Cell 6" xfId="38035"/>
    <cellStyle name="Check Cell 6 2" xfId="38036"/>
    <cellStyle name="Check Cell 6 3" xfId="38037"/>
    <cellStyle name="Check Cell 7" xfId="38038"/>
    <cellStyle name="Check Cell 7 2" xfId="38039"/>
    <cellStyle name="Check Cell 7 3" xfId="38040"/>
    <cellStyle name="Check Cell 8" xfId="38041"/>
    <cellStyle name="Check Cell 8 2" xfId="38042"/>
    <cellStyle name="Check Cell 9" xfId="38043"/>
    <cellStyle name="Check Cell 9 2" xfId="38044"/>
    <cellStyle name="checkExposure" xfId="38045"/>
    <cellStyle name="checkExposure 2" xfId="38046"/>
    <cellStyle name="checkLiq" xfId="38047"/>
    <cellStyle name="checkLiq 2" xfId="38048"/>
    <cellStyle name="Comma" xfId="1" builtinId="3"/>
    <cellStyle name="Comma  - Style1" xfId="38049"/>
    <cellStyle name="Comma  - Style2" xfId="38050"/>
    <cellStyle name="Comma  - Style3" xfId="38051"/>
    <cellStyle name="Comma  - Style4" xfId="38052"/>
    <cellStyle name="Comma  - Style5" xfId="38053"/>
    <cellStyle name="Comma  - Style6" xfId="38054"/>
    <cellStyle name="Comma  - Style7" xfId="38055"/>
    <cellStyle name="Comma  - Style8" xfId="38056"/>
    <cellStyle name="Comma [0] 2" xfId="38057"/>
    <cellStyle name="Comma 10" xfId="7"/>
    <cellStyle name="Comma 10 2" xfId="38058"/>
    <cellStyle name="Comma 10 3" xfId="38059"/>
    <cellStyle name="Comma 100" xfId="4"/>
    <cellStyle name="Comma 11" xfId="38060"/>
    <cellStyle name="Comma 11 2" xfId="38061"/>
    <cellStyle name="Comma 11 2 2" xfId="38062"/>
    <cellStyle name="Comma 11 2 2 2" xfId="38063"/>
    <cellStyle name="Comma 11 2 2 2 2" xfId="38064"/>
    <cellStyle name="Comma 11 2 2 2 2 2" xfId="38065"/>
    <cellStyle name="Comma 11 2 2 3" xfId="38066"/>
    <cellStyle name="Comma 11 2 2 3 2" xfId="38067"/>
    <cellStyle name="Comma 11 2 3" xfId="38068"/>
    <cellStyle name="Comma 11 2 3 2" xfId="38069"/>
    <cellStyle name="Comma 11 2 3 2 2" xfId="38070"/>
    <cellStyle name="Comma 11 2 4" xfId="38071"/>
    <cellStyle name="Comma 11 2 4 2" xfId="38072"/>
    <cellStyle name="Comma 11 3" xfId="38073"/>
    <cellStyle name="Comma 11 3 2" xfId="38074"/>
    <cellStyle name="Comma 11 3 2 2" xfId="38075"/>
    <cellStyle name="Comma 11 3 2 2 2" xfId="38076"/>
    <cellStyle name="Comma 11 3 3" xfId="38077"/>
    <cellStyle name="Comma 11 3 3 2" xfId="38078"/>
    <cellStyle name="Comma 11 4" xfId="38079"/>
    <cellStyle name="Comma 11 4 2" xfId="38080"/>
    <cellStyle name="Comma 11 4 2 2" xfId="38081"/>
    <cellStyle name="Comma 11 5" xfId="38082"/>
    <cellStyle name="Comma 11 5 2" xfId="38083"/>
    <cellStyle name="Comma 11 6" xfId="38084"/>
    <cellStyle name="Comma 12" xfId="38085"/>
    <cellStyle name="Comma 12 2" xfId="38086"/>
    <cellStyle name="Comma 12 3" xfId="38087"/>
    <cellStyle name="Comma 13" xfId="38088"/>
    <cellStyle name="Comma 13 2" xfId="38089"/>
    <cellStyle name="Comma 13 2 2" xfId="38090"/>
    <cellStyle name="Comma 13 2 2 2" xfId="38091"/>
    <cellStyle name="Comma 13 3" xfId="38092"/>
    <cellStyle name="Comma 13 3 2" xfId="38093"/>
    <cellStyle name="Comma 13 4" xfId="38094"/>
    <cellStyle name="Comma 13_Northern Rock" xfId="38095"/>
    <cellStyle name="Comma 14" xfId="38096"/>
    <cellStyle name="Comma 14 2" xfId="38097"/>
    <cellStyle name="Comma 14 2 2" xfId="38098"/>
    <cellStyle name="Comma 14 2 2 2" xfId="38099"/>
    <cellStyle name="Comma 14 2 3" xfId="38100"/>
    <cellStyle name="Comma 14 2 4" xfId="38101"/>
    <cellStyle name="Comma 14 2 5" xfId="38102"/>
    <cellStyle name="Comma 14 3" xfId="38103"/>
    <cellStyle name="Comma 14 3 2" xfId="38104"/>
    <cellStyle name="Comma 14 3 3" xfId="38105"/>
    <cellStyle name="Comma 14 3 4" xfId="38106"/>
    <cellStyle name="Comma 14 3 5" xfId="38107"/>
    <cellStyle name="Comma 14 4" xfId="38108"/>
    <cellStyle name="Comma 14 4 2" xfId="38109"/>
    <cellStyle name="Comma 14 5" xfId="38110"/>
    <cellStyle name="Comma 14 6" xfId="38111"/>
    <cellStyle name="Comma 14 7" xfId="38112"/>
    <cellStyle name="Comma 14_Northern Rock" xfId="38113"/>
    <cellStyle name="Comma 15" xfId="38114"/>
    <cellStyle name="Comma 15 2" xfId="38115"/>
    <cellStyle name="Comma 15 3" xfId="38116"/>
    <cellStyle name="Comma 15 4" xfId="38117"/>
    <cellStyle name="Comma 16" xfId="38118"/>
    <cellStyle name="Comma 16 2" xfId="38119"/>
    <cellStyle name="Comma 16 3" xfId="38120"/>
    <cellStyle name="Comma 16 4" xfId="38121"/>
    <cellStyle name="Comma 17" xfId="38122"/>
    <cellStyle name="Comma 17 2" xfId="38123"/>
    <cellStyle name="Comma 17 3" xfId="38124"/>
    <cellStyle name="Comma 18" xfId="38125"/>
    <cellStyle name="Comma 18 2" xfId="38126"/>
    <cellStyle name="Comma 18 2 2" xfId="38127"/>
    <cellStyle name="Comma 18 2 3" xfId="38128"/>
    <cellStyle name="Comma 18 2 4" xfId="38129"/>
    <cellStyle name="Comma 18 2 5" xfId="38130"/>
    <cellStyle name="Comma 18 3" xfId="38131"/>
    <cellStyle name="Comma 18 3 2" xfId="38132"/>
    <cellStyle name="Comma 18 3 3" xfId="38133"/>
    <cellStyle name="Comma 18 4" xfId="38134"/>
    <cellStyle name="Comma 18 4 2" xfId="38135"/>
    <cellStyle name="Comma 18 5" xfId="38136"/>
    <cellStyle name="Comma 18 6" xfId="38137"/>
    <cellStyle name="Comma 18 7" xfId="38138"/>
    <cellStyle name="Comma 19" xfId="38139"/>
    <cellStyle name="Comma 19 2" xfId="38140"/>
    <cellStyle name="Comma 19 2 2" xfId="38141"/>
    <cellStyle name="Comma 19 2 3" xfId="38142"/>
    <cellStyle name="Comma 19 3" xfId="38143"/>
    <cellStyle name="Comma 19 3 2" xfId="38144"/>
    <cellStyle name="Comma 19 4" xfId="38145"/>
    <cellStyle name="Comma 19 5" xfId="38146"/>
    <cellStyle name="Comma 2" xfId="38147"/>
    <cellStyle name="Comma 2 10" xfId="38148"/>
    <cellStyle name="Comma 2 11" xfId="38149"/>
    <cellStyle name="Comma 2 11 2" xfId="38150"/>
    <cellStyle name="Comma 2 11 2 2" xfId="38151"/>
    <cellStyle name="Comma 2 11 2 3" xfId="38152"/>
    <cellStyle name="Comma 2 11 2 4" xfId="38153"/>
    <cellStyle name="Comma 2 11 3" xfId="38154"/>
    <cellStyle name="Comma 2 11 3 2" xfId="38155"/>
    <cellStyle name="Comma 2 11 3 3" xfId="38156"/>
    <cellStyle name="Comma 2 11 4" xfId="38157"/>
    <cellStyle name="Comma 2 11 4 2" xfId="38158"/>
    <cellStyle name="Comma 2 11 5" xfId="38159"/>
    <cellStyle name="Comma 2 11 6" xfId="38160"/>
    <cellStyle name="Comma 2 11 7" xfId="38161"/>
    <cellStyle name="Comma 2 12" xfId="38162"/>
    <cellStyle name="Comma 2 12 2" xfId="38163"/>
    <cellStyle name="Comma 2 12 2 2" xfId="38164"/>
    <cellStyle name="Comma 2 12 2 3" xfId="38165"/>
    <cellStyle name="Comma 2 12 2 4" xfId="38166"/>
    <cellStyle name="Comma 2 12 3" xfId="38167"/>
    <cellStyle name="Comma 2 12 3 2" xfId="38168"/>
    <cellStyle name="Comma 2 12 3 3" xfId="38169"/>
    <cellStyle name="Comma 2 12 4" xfId="38170"/>
    <cellStyle name="Comma 2 12 4 2" xfId="38171"/>
    <cellStyle name="Comma 2 12 5" xfId="38172"/>
    <cellStyle name="Comma 2 12 6" xfId="38173"/>
    <cellStyle name="Comma 2 12 7" xfId="38174"/>
    <cellStyle name="Comma 2 12 8" xfId="38175"/>
    <cellStyle name="Comma 2 13" xfId="38176"/>
    <cellStyle name="Comma 2 13 2" xfId="38177"/>
    <cellStyle name="Comma 2 13 3" xfId="38178"/>
    <cellStyle name="Comma 2 14" xfId="38179"/>
    <cellStyle name="Comma 2 14 2" xfId="38180"/>
    <cellStyle name="Comma 2 14 3" xfId="38181"/>
    <cellStyle name="Comma 2 15" xfId="38182"/>
    <cellStyle name="Comma 2 15 2" xfId="38183"/>
    <cellStyle name="Comma 2 16" xfId="38184"/>
    <cellStyle name="Comma 2 17" xfId="38185"/>
    <cellStyle name="Comma 2 18" xfId="38186"/>
    <cellStyle name="Comma 2 19" xfId="38187"/>
    <cellStyle name="Comma 2 2" xfId="38188"/>
    <cellStyle name="Comma 2 2 10" xfId="38189"/>
    <cellStyle name="Comma 2 2 11" xfId="38190"/>
    <cellStyle name="Comma 2 2 2" xfId="38191"/>
    <cellStyle name="Comma 2 2 2 2" xfId="38192"/>
    <cellStyle name="Comma 2 2 2 3" xfId="38193"/>
    <cellStyle name="Comma 2 2 3" xfId="38194"/>
    <cellStyle name="Comma 2 2 4" xfId="38195"/>
    <cellStyle name="Comma 2 2 5" xfId="38196"/>
    <cellStyle name="Comma 2 2 5 2" xfId="38197"/>
    <cellStyle name="Comma 2 2 5 2 2" xfId="38198"/>
    <cellStyle name="Comma 2 2 5 2 3" xfId="38199"/>
    <cellStyle name="Comma 2 2 5 2 4" xfId="38200"/>
    <cellStyle name="Comma 2 2 5 3" xfId="38201"/>
    <cellStyle name="Comma 2 2 5 3 2" xfId="38202"/>
    <cellStyle name="Comma 2 2 5 3 3" xfId="38203"/>
    <cellStyle name="Comma 2 2 5 4" xfId="38204"/>
    <cellStyle name="Comma 2 2 5 4 2" xfId="38205"/>
    <cellStyle name="Comma 2 2 5 5" xfId="38206"/>
    <cellStyle name="Comma 2 2 5 6" xfId="38207"/>
    <cellStyle name="Comma 2 2 5 7" xfId="38208"/>
    <cellStyle name="Comma 2 2 6" xfId="38209"/>
    <cellStyle name="Comma 2 2 6 2" xfId="38210"/>
    <cellStyle name="Comma 2 2 6 3" xfId="38211"/>
    <cellStyle name="Comma 2 2 7" xfId="38212"/>
    <cellStyle name="Comma 2 2 7 2" xfId="38213"/>
    <cellStyle name="Comma 2 2 7 3" xfId="38214"/>
    <cellStyle name="Comma 2 2 8" xfId="38215"/>
    <cellStyle name="Comma 2 2 8 2" xfId="38216"/>
    <cellStyle name="Comma 2 2 9" xfId="38217"/>
    <cellStyle name="Comma 2 3" xfId="38218"/>
    <cellStyle name="Comma 2 3 2" xfId="38219"/>
    <cellStyle name="Comma 2 3 2 2" xfId="38220"/>
    <cellStyle name="Comma 2 3 3" xfId="38221"/>
    <cellStyle name="Comma 2 3 4" xfId="38222"/>
    <cellStyle name="Comma 2 3 5" xfId="38223"/>
    <cellStyle name="Comma 2 4" xfId="38224"/>
    <cellStyle name="Comma 2 4 2" xfId="38225"/>
    <cellStyle name="Comma 2 4 3" xfId="38226"/>
    <cellStyle name="Comma 2 5" xfId="38227"/>
    <cellStyle name="Comma 2 5 2" xfId="38228"/>
    <cellStyle name="Comma 2 5 3" xfId="38229"/>
    <cellStyle name="Comma 2 6" xfId="38230"/>
    <cellStyle name="Comma 2 6 2" xfId="38231"/>
    <cellStyle name="Comma 2 6 3" xfId="38232"/>
    <cellStyle name="Comma 2 7" xfId="38233"/>
    <cellStyle name="Comma 2 7 2" xfId="38234"/>
    <cellStyle name="Comma 2 7 3" xfId="38235"/>
    <cellStyle name="Comma 2 8" xfId="38236"/>
    <cellStyle name="Comma 2 8 2" xfId="38237"/>
    <cellStyle name="Comma 2 9" xfId="38238"/>
    <cellStyle name="Comma 2 9 2" xfId="38239"/>
    <cellStyle name="Comma 2_Northern Rock" xfId="38240"/>
    <cellStyle name="Comma 20" xfId="38241"/>
    <cellStyle name="Comma 20 2" xfId="38242"/>
    <cellStyle name="Comma 21" xfId="38243"/>
    <cellStyle name="Comma 21 2" xfId="38244"/>
    <cellStyle name="Comma 21 2 2" xfId="38245"/>
    <cellStyle name="Comma 22" xfId="38246"/>
    <cellStyle name="Comma 22 2" xfId="38247"/>
    <cellStyle name="Comma 22 2 2" xfId="38248"/>
    <cellStyle name="Comma 23" xfId="38249"/>
    <cellStyle name="Comma 24" xfId="38250"/>
    <cellStyle name="Comma 25" xfId="38251"/>
    <cellStyle name="Comma 26" xfId="38252"/>
    <cellStyle name="Comma 27" xfId="38253"/>
    <cellStyle name="Comma 27 2" xfId="38254"/>
    <cellStyle name="Comma 28" xfId="38255"/>
    <cellStyle name="Comma 28 2" xfId="38256"/>
    <cellStyle name="Comma 29" xfId="38257"/>
    <cellStyle name="Comma 29 2" xfId="38258"/>
    <cellStyle name="Comma 29 3" xfId="38259"/>
    <cellStyle name="Comma 3" xfId="38260"/>
    <cellStyle name="Comma 3 10" xfId="38261"/>
    <cellStyle name="Comma 3 10 2" xfId="38262"/>
    <cellStyle name="Comma 3 10 3" xfId="38263"/>
    <cellStyle name="Comma 3 11" xfId="38264"/>
    <cellStyle name="Comma 3 11 2" xfId="38265"/>
    <cellStyle name="Comma 3 12" xfId="38266"/>
    <cellStyle name="Comma 3 13" xfId="38267"/>
    <cellStyle name="Comma 3 14" xfId="38268"/>
    <cellStyle name="Comma 3 15" xfId="38269"/>
    <cellStyle name="Comma 3 2" xfId="38270"/>
    <cellStyle name="Comma 3 2 2" xfId="38271"/>
    <cellStyle name="Comma 3 2 2 2" xfId="38272"/>
    <cellStyle name="Comma 3 2 2 2 2" xfId="38273"/>
    <cellStyle name="Comma 3 2 3" xfId="38274"/>
    <cellStyle name="Comma 3 2 3 2" xfId="38275"/>
    <cellStyle name="Comma 3 2 3 3" xfId="38276"/>
    <cellStyle name="Comma 3 3" xfId="38277"/>
    <cellStyle name="Comma 3 3 2" xfId="38278"/>
    <cellStyle name="Comma 3 3 3" xfId="38279"/>
    <cellStyle name="Comma 3 3 3 2" xfId="38280"/>
    <cellStyle name="Comma 3 4" xfId="38281"/>
    <cellStyle name="Comma 3 4 2" xfId="38282"/>
    <cellStyle name="Comma 3 5" xfId="38283"/>
    <cellStyle name="Comma 3 5 2" xfId="38284"/>
    <cellStyle name="Comma 3 5 3" xfId="38285"/>
    <cellStyle name="Comma 3 6" xfId="38286"/>
    <cellStyle name="Comma 3 6 2" xfId="38287"/>
    <cellStyle name="Comma 3 7" xfId="38288"/>
    <cellStyle name="Comma 3 7 2" xfId="38289"/>
    <cellStyle name="Comma 3 8" xfId="38290"/>
    <cellStyle name="Comma 3 9" xfId="38291"/>
    <cellStyle name="Comma 3 9 2" xfId="38292"/>
    <cellStyle name="Comma 3 9 3" xfId="38293"/>
    <cellStyle name="Comma 30" xfId="38294"/>
    <cellStyle name="Comma 30 2" xfId="38295"/>
    <cellStyle name="Comma 31" xfId="38296"/>
    <cellStyle name="Comma 32" xfId="38297"/>
    <cellStyle name="Comma 32 2" xfId="38298"/>
    <cellStyle name="Comma 33" xfId="38299"/>
    <cellStyle name="Comma 34" xfId="38300"/>
    <cellStyle name="Comma 35" xfId="38301"/>
    <cellStyle name="Comma 36" xfId="38302"/>
    <cellStyle name="Comma 37" xfId="38303"/>
    <cellStyle name="Comma 37 2" xfId="38304"/>
    <cellStyle name="Comma 38" xfId="38305"/>
    <cellStyle name="Comma 38 2" xfId="38306"/>
    <cellStyle name="Comma 39" xfId="38307"/>
    <cellStyle name="Comma 39 2" xfId="38308"/>
    <cellStyle name="Comma 4" xfId="38309"/>
    <cellStyle name="Comma 4 10" xfId="38310"/>
    <cellStyle name="Comma 4 11" xfId="38311"/>
    <cellStyle name="Comma 4 12" xfId="38312"/>
    <cellStyle name="Comma 4 13" xfId="38313"/>
    <cellStyle name="Comma 4 13 2" xfId="38314"/>
    <cellStyle name="Comma 4 13 2 2" xfId="38315"/>
    <cellStyle name="Comma 4 13 2 3" xfId="38316"/>
    <cellStyle name="Comma 4 13 2 4" xfId="38317"/>
    <cellStyle name="Comma 4 13 3" xfId="38318"/>
    <cellStyle name="Comma 4 13 3 2" xfId="38319"/>
    <cellStyle name="Comma 4 13 3 3" xfId="38320"/>
    <cellStyle name="Comma 4 13 4" xfId="38321"/>
    <cellStyle name="Comma 4 13 4 2" xfId="38322"/>
    <cellStyle name="Comma 4 13 5" xfId="38323"/>
    <cellStyle name="Comma 4 13 6" xfId="38324"/>
    <cellStyle name="Comma 4 13 7" xfId="38325"/>
    <cellStyle name="Comma 4 14" xfId="38326"/>
    <cellStyle name="Comma 4 14 2" xfId="38327"/>
    <cellStyle name="Comma 4 15" xfId="38328"/>
    <cellStyle name="Comma 4 2" xfId="38329"/>
    <cellStyle name="Comma 4 2 2" xfId="38330"/>
    <cellStyle name="Comma 4 2 3" xfId="38331"/>
    <cellStyle name="Comma 4 2 3 2" xfId="38332"/>
    <cellStyle name="Comma 4 2 3 2 2" xfId="38333"/>
    <cellStyle name="Comma 4 2 3 2 3" xfId="38334"/>
    <cellStyle name="Comma 4 2 3 2 4" xfId="38335"/>
    <cellStyle name="Comma 4 2 3 3" xfId="38336"/>
    <cellStyle name="Comma 4 2 3 3 2" xfId="38337"/>
    <cellStyle name="Comma 4 2 3 3 3" xfId="38338"/>
    <cellStyle name="Comma 4 2 3 4" xfId="38339"/>
    <cellStyle name="Comma 4 2 3 4 2" xfId="38340"/>
    <cellStyle name="Comma 4 2 3 5" xfId="38341"/>
    <cellStyle name="Comma 4 2 3 6" xfId="38342"/>
    <cellStyle name="Comma 4 2 3 7" xfId="38343"/>
    <cellStyle name="Comma 4 2 4" xfId="38344"/>
    <cellStyle name="Comma 4 3" xfId="38345"/>
    <cellStyle name="Comma 4 3 2" xfId="38346"/>
    <cellStyle name="Comma 4 3 3" xfId="38347"/>
    <cellStyle name="Comma 4 4" xfId="38348"/>
    <cellStyle name="Comma 4 4 2" xfId="38349"/>
    <cellStyle name="Comma 4 5" xfId="38350"/>
    <cellStyle name="Comma 4 5 2" xfId="38351"/>
    <cellStyle name="Comma 4 6" xfId="38352"/>
    <cellStyle name="Comma 4 6 2" xfId="38353"/>
    <cellStyle name="Comma 4 7" xfId="38354"/>
    <cellStyle name="Comma 4 7 2" xfId="38355"/>
    <cellStyle name="Comma 4 8" xfId="38356"/>
    <cellStyle name="Comma 4 9" xfId="38357"/>
    <cellStyle name="Comma 4_Northern Rock" xfId="38358"/>
    <cellStyle name="Comma 40" xfId="38359"/>
    <cellStyle name="Comma 41" xfId="38360"/>
    <cellStyle name="Comma 41 2" xfId="38361"/>
    <cellStyle name="Comma 42" xfId="38362"/>
    <cellStyle name="Comma 43" xfId="38363"/>
    <cellStyle name="Comma 43 2" xfId="38364"/>
    <cellStyle name="Comma 44" xfId="38365"/>
    <cellStyle name="Comma 44 2" xfId="38366"/>
    <cellStyle name="Comma 45" xfId="38367"/>
    <cellStyle name="Comma 46" xfId="38368"/>
    <cellStyle name="Comma 47" xfId="38369"/>
    <cellStyle name="Comma 48" xfId="38370"/>
    <cellStyle name="Comma 49" xfId="38371"/>
    <cellStyle name="Comma 5" xfId="38372"/>
    <cellStyle name="Comma 5 10" xfId="38373"/>
    <cellStyle name="Comma 5 10 2" xfId="38374"/>
    <cellStyle name="Comma 5 10 3" xfId="38375"/>
    <cellStyle name="Comma 5 11" xfId="38376"/>
    <cellStyle name="Comma 5 11 2" xfId="38377"/>
    <cellStyle name="Comma 5 12" xfId="38378"/>
    <cellStyle name="Comma 5 13" xfId="38379"/>
    <cellStyle name="Comma 5 14" xfId="38380"/>
    <cellStyle name="Comma 5 2" xfId="38381"/>
    <cellStyle name="Comma 5 2 2" xfId="38382"/>
    <cellStyle name="Comma 5 2 2 10" xfId="38383"/>
    <cellStyle name="Comma 5 2 2 2" xfId="38384"/>
    <cellStyle name="Comma 5 2 2 2 2" xfId="38385"/>
    <cellStyle name="Comma 5 2 2 2 2 2" xfId="38386"/>
    <cellStyle name="Comma 5 2 2 2 2 3" xfId="38387"/>
    <cellStyle name="Comma 5 2 2 2 2 4" xfId="38388"/>
    <cellStyle name="Comma 5 2 2 2 3" xfId="38389"/>
    <cellStyle name="Comma 5 2 2 2 3 2" xfId="38390"/>
    <cellStyle name="Comma 5 2 2 2 3 3" xfId="38391"/>
    <cellStyle name="Comma 5 2 2 2 4" xfId="38392"/>
    <cellStyle name="Comma 5 2 2 2 4 2" xfId="38393"/>
    <cellStyle name="Comma 5 2 2 2 5" xfId="38394"/>
    <cellStyle name="Comma 5 2 2 2 6" xfId="38395"/>
    <cellStyle name="Comma 5 2 2 2 7" xfId="38396"/>
    <cellStyle name="Comma 5 2 2 3" xfId="38397"/>
    <cellStyle name="Comma 5 2 2 3 2" xfId="38398"/>
    <cellStyle name="Comma 5 2 2 3 2 2" xfId="38399"/>
    <cellStyle name="Comma 5 2 2 3 2 3" xfId="38400"/>
    <cellStyle name="Comma 5 2 2 3 2 4" xfId="38401"/>
    <cellStyle name="Comma 5 2 2 3 3" xfId="38402"/>
    <cellStyle name="Comma 5 2 2 3 3 2" xfId="38403"/>
    <cellStyle name="Comma 5 2 2 3 3 3" xfId="38404"/>
    <cellStyle name="Comma 5 2 2 3 4" xfId="38405"/>
    <cellStyle name="Comma 5 2 2 3 4 2" xfId="38406"/>
    <cellStyle name="Comma 5 2 2 3 5" xfId="38407"/>
    <cellStyle name="Comma 5 2 2 3 6" xfId="38408"/>
    <cellStyle name="Comma 5 2 2 3 7" xfId="38409"/>
    <cellStyle name="Comma 5 2 2 4" xfId="38410"/>
    <cellStyle name="Comma 5 2 2 4 2" xfId="38411"/>
    <cellStyle name="Comma 5 2 2 4 2 2" xfId="38412"/>
    <cellStyle name="Comma 5 2 2 4 2 3" xfId="38413"/>
    <cellStyle name="Comma 5 2 2 4 2 4" xfId="38414"/>
    <cellStyle name="Comma 5 2 2 4 3" xfId="38415"/>
    <cellStyle name="Comma 5 2 2 4 3 2" xfId="38416"/>
    <cellStyle name="Comma 5 2 2 4 3 3" xfId="38417"/>
    <cellStyle name="Comma 5 2 2 4 4" xfId="38418"/>
    <cellStyle name="Comma 5 2 2 4 4 2" xfId="38419"/>
    <cellStyle name="Comma 5 2 2 4 5" xfId="38420"/>
    <cellStyle name="Comma 5 2 2 4 6" xfId="38421"/>
    <cellStyle name="Comma 5 2 2 4 7" xfId="38422"/>
    <cellStyle name="Comma 5 2 2 5" xfId="38423"/>
    <cellStyle name="Comma 5 2 2 5 2" xfId="38424"/>
    <cellStyle name="Comma 5 2 2 5 3" xfId="38425"/>
    <cellStyle name="Comma 5 2 2 5 4" xfId="38426"/>
    <cellStyle name="Comma 5 2 2 6" xfId="38427"/>
    <cellStyle name="Comma 5 2 2 6 2" xfId="38428"/>
    <cellStyle name="Comma 5 2 2 6 3" xfId="38429"/>
    <cellStyle name="Comma 5 2 2 7" xfId="38430"/>
    <cellStyle name="Comma 5 2 2 7 2" xfId="38431"/>
    <cellStyle name="Comma 5 2 2 8" xfId="38432"/>
    <cellStyle name="Comma 5 2 2 9" xfId="38433"/>
    <cellStyle name="Comma 5 2 3" xfId="38434"/>
    <cellStyle name="Comma 5 2 3 2" xfId="38435"/>
    <cellStyle name="Comma 5 2 3 2 2" xfId="38436"/>
    <cellStyle name="Comma 5 2 3 2 3" xfId="38437"/>
    <cellStyle name="Comma 5 2 3 2 4" xfId="38438"/>
    <cellStyle name="Comma 5 2 3 3" xfId="38439"/>
    <cellStyle name="Comma 5 2 3 3 2" xfId="38440"/>
    <cellStyle name="Comma 5 2 3 3 3" xfId="38441"/>
    <cellStyle name="Comma 5 2 3 4" xfId="38442"/>
    <cellStyle name="Comma 5 2 3 4 2" xfId="38443"/>
    <cellStyle name="Comma 5 2 3 5" xfId="38444"/>
    <cellStyle name="Comma 5 2 3 6" xfId="38445"/>
    <cellStyle name="Comma 5 2 3 7" xfId="38446"/>
    <cellStyle name="Comma 5 2 4" xfId="38447"/>
    <cellStyle name="Comma 5 2 4 2" xfId="38448"/>
    <cellStyle name="Comma 5 2 4 2 2" xfId="38449"/>
    <cellStyle name="Comma 5 2 4 2 3" xfId="38450"/>
    <cellStyle name="Comma 5 2 4 2 4" xfId="38451"/>
    <cellStyle name="Comma 5 2 4 3" xfId="38452"/>
    <cellStyle name="Comma 5 2 4 3 2" xfId="38453"/>
    <cellStyle name="Comma 5 2 4 3 3" xfId="38454"/>
    <cellStyle name="Comma 5 2 4 4" xfId="38455"/>
    <cellStyle name="Comma 5 2 4 4 2" xfId="38456"/>
    <cellStyle name="Comma 5 2 4 5" xfId="38457"/>
    <cellStyle name="Comma 5 2 4 6" xfId="38458"/>
    <cellStyle name="Comma 5 2 4 7" xfId="38459"/>
    <cellStyle name="Comma 5 2 5" xfId="38460"/>
    <cellStyle name="Comma 5 2 5 2" xfId="38461"/>
    <cellStyle name="Comma 5 2 5 2 2" xfId="38462"/>
    <cellStyle name="Comma 5 2 5 2 3" xfId="38463"/>
    <cellStyle name="Comma 5 2 5 2 4" xfId="38464"/>
    <cellStyle name="Comma 5 2 5 3" xfId="38465"/>
    <cellStyle name="Comma 5 2 5 3 2" xfId="38466"/>
    <cellStyle name="Comma 5 2 5 3 3" xfId="38467"/>
    <cellStyle name="Comma 5 2 5 4" xfId="38468"/>
    <cellStyle name="Comma 5 2 5 4 2" xfId="38469"/>
    <cellStyle name="Comma 5 2 5 5" xfId="38470"/>
    <cellStyle name="Comma 5 2 5 6" xfId="38471"/>
    <cellStyle name="Comma 5 2 5 7" xfId="38472"/>
    <cellStyle name="Comma 5 2 6" xfId="38473"/>
    <cellStyle name="Comma 5 2 7" xfId="38474"/>
    <cellStyle name="Comma 5 3" xfId="38475"/>
    <cellStyle name="Comma 5 3 10" xfId="38476"/>
    <cellStyle name="Comma 5 3 2" xfId="38477"/>
    <cellStyle name="Comma 5 3 2 2" xfId="38478"/>
    <cellStyle name="Comma 5 3 2 2 2" xfId="38479"/>
    <cellStyle name="Comma 5 3 2 2 3" xfId="38480"/>
    <cellStyle name="Comma 5 3 2 2 4" xfId="38481"/>
    <cellStyle name="Comma 5 3 2 3" xfId="38482"/>
    <cellStyle name="Comma 5 3 2 3 2" xfId="38483"/>
    <cellStyle name="Comma 5 3 2 3 3" xfId="38484"/>
    <cellStyle name="Comma 5 3 2 4" xfId="38485"/>
    <cellStyle name="Comma 5 3 2 4 2" xfId="38486"/>
    <cellStyle name="Comma 5 3 2 5" xfId="38487"/>
    <cellStyle name="Comma 5 3 2 6" xfId="38488"/>
    <cellStyle name="Comma 5 3 2 7" xfId="38489"/>
    <cellStyle name="Comma 5 3 3" xfId="38490"/>
    <cellStyle name="Comma 5 3 3 2" xfId="38491"/>
    <cellStyle name="Comma 5 3 3 2 2" xfId="38492"/>
    <cellStyle name="Comma 5 3 3 2 3" xfId="38493"/>
    <cellStyle name="Comma 5 3 3 2 4" xfId="38494"/>
    <cellStyle name="Comma 5 3 3 3" xfId="38495"/>
    <cellStyle name="Comma 5 3 3 3 2" xfId="38496"/>
    <cellStyle name="Comma 5 3 3 3 3" xfId="38497"/>
    <cellStyle name="Comma 5 3 3 4" xfId="38498"/>
    <cellStyle name="Comma 5 3 3 4 2" xfId="38499"/>
    <cellStyle name="Comma 5 3 3 5" xfId="38500"/>
    <cellStyle name="Comma 5 3 3 6" xfId="38501"/>
    <cellStyle name="Comma 5 3 3 7" xfId="38502"/>
    <cellStyle name="Comma 5 3 4" xfId="38503"/>
    <cellStyle name="Comma 5 3 4 2" xfId="38504"/>
    <cellStyle name="Comma 5 3 4 2 2" xfId="38505"/>
    <cellStyle name="Comma 5 3 4 2 3" xfId="38506"/>
    <cellStyle name="Comma 5 3 4 2 4" xfId="38507"/>
    <cellStyle name="Comma 5 3 4 3" xfId="38508"/>
    <cellStyle name="Comma 5 3 4 3 2" xfId="38509"/>
    <cellStyle name="Comma 5 3 4 3 3" xfId="38510"/>
    <cellStyle name="Comma 5 3 4 4" xfId="38511"/>
    <cellStyle name="Comma 5 3 4 4 2" xfId="38512"/>
    <cellStyle name="Comma 5 3 4 5" xfId="38513"/>
    <cellStyle name="Comma 5 3 4 6" xfId="38514"/>
    <cellStyle name="Comma 5 3 4 7" xfId="38515"/>
    <cellStyle name="Comma 5 3 5" xfId="38516"/>
    <cellStyle name="Comma 5 3 5 2" xfId="38517"/>
    <cellStyle name="Comma 5 3 5 3" xfId="38518"/>
    <cellStyle name="Comma 5 3 5 4" xfId="38519"/>
    <cellStyle name="Comma 5 3 6" xfId="38520"/>
    <cellStyle name="Comma 5 3 6 2" xfId="38521"/>
    <cellStyle name="Comma 5 3 6 3" xfId="38522"/>
    <cellStyle name="Comma 5 3 7" xfId="38523"/>
    <cellStyle name="Comma 5 3 7 2" xfId="38524"/>
    <cellStyle name="Comma 5 3 8" xfId="38525"/>
    <cellStyle name="Comma 5 3 9" xfId="38526"/>
    <cellStyle name="Comma 5 4" xfId="38527"/>
    <cellStyle name="Comma 5 4 2" xfId="38528"/>
    <cellStyle name="Comma 5 4 2 2" xfId="38529"/>
    <cellStyle name="Comma 5 4 2 3" xfId="38530"/>
    <cellStyle name="Comma 5 4 2 4" xfId="38531"/>
    <cellStyle name="Comma 5 4 3" xfId="38532"/>
    <cellStyle name="Comma 5 4 3 2" xfId="38533"/>
    <cellStyle name="Comma 5 4 3 3" xfId="38534"/>
    <cellStyle name="Comma 5 4 4" xfId="38535"/>
    <cellStyle name="Comma 5 4 4 2" xfId="38536"/>
    <cellStyle name="Comma 5 4 5" xfId="38537"/>
    <cellStyle name="Comma 5 4 6" xfId="38538"/>
    <cellStyle name="Comma 5 4 7" xfId="38539"/>
    <cellStyle name="Comma 5 5" xfId="38540"/>
    <cellStyle name="Comma 5 5 2" xfId="38541"/>
    <cellStyle name="Comma 5 5 2 2" xfId="38542"/>
    <cellStyle name="Comma 5 5 2 3" xfId="38543"/>
    <cellStyle name="Comma 5 5 2 4" xfId="38544"/>
    <cellStyle name="Comma 5 5 3" xfId="38545"/>
    <cellStyle name="Comma 5 5 3 2" xfId="38546"/>
    <cellStyle name="Comma 5 5 3 3" xfId="38547"/>
    <cellStyle name="Comma 5 5 4" xfId="38548"/>
    <cellStyle name="Comma 5 5 4 2" xfId="38549"/>
    <cellStyle name="Comma 5 5 5" xfId="38550"/>
    <cellStyle name="Comma 5 5 6" xfId="38551"/>
    <cellStyle name="Comma 5 5 7" xfId="38552"/>
    <cellStyle name="Comma 5 6" xfId="38553"/>
    <cellStyle name="Comma 5 6 2" xfId="38554"/>
    <cellStyle name="Comma 5 6 2 2" xfId="38555"/>
    <cellStyle name="Comma 5 6 2 3" xfId="38556"/>
    <cellStyle name="Comma 5 6 2 4" xfId="38557"/>
    <cellStyle name="Comma 5 6 3" xfId="38558"/>
    <cellStyle name="Comma 5 6 3 2" xfId="38559"/>
    <cellStyle name="Comma 5 6 3 3" xfId="38560"/>
    <cellStyle name="Comma 5 6 4" xfId="38561"/>
    <cellStyle name="Comma 5 6 4 2" xfId="38562"/>
    <cellStyle name="Comma 5 6 5" xfId="38563"/>
    <cellStyle name="Comma 5 6 6" xfId="38564"/>
    <cellStyle name="Comma 5 6 7" xfId="38565"/>
    <cellStyle name="Comma 5 7" xfId="38566"/>
    <cellStyle name="Comma 5 7 2" xfId="38567"/>
    <cellStyle name="Comma 5 7 2 2" xfId="38568"/>
    <cellStyle name="Comma 5 7 2 3" xfId="38569"/>
    <cellStyle name="Comma 5 7 2 4" xfId="38570"/>
    <cellStyle name="Comma 5 7 3" xfId="38571"/>
    <cellStyle name="Comma 5 7 3 2" xfId="38572"/>
    <cellStyle name="Comma 5 7 3 3" xfId="38573"/>
    <cellStyle name="Comma 5 7 4" xfId="38574"/>
    <cellStyle name="Comma 5 7 4 2" xfId="38575"/>
    <cellStyle name="Comma 5 7 5" xfId="38576"/>
    <cellStyle name="Comma 5 7 6" xfId="38577"/>
    <cellStyle name="Comma 5 7 7" xfId="38578"/>
    <cellStyle name="Comma 5 8" xfId="38579"/>
    <cellStyle name="Comma 5 9" xfId="38580"/>
    <cellStyle name="Comma 5 9 2" xfId="38581"/>
    <cellStyle name="Comma 5 9 3" xfId="38582"/>
    <cellStyle name="Comma 50" xfId="38583"/>
    <cellStyle name="Comma 51" xfId="38584"/>
    <cellStyle name="Comma 52" xfId="38585"/>
    <cellStyle name="Comma 53" xfId="38586"/>
    <cellStyle name="Comma 54" xfId="38587"/>
    <cellStyle name="Comma 55" xfId="38588"/>
    <cellStyle name="Comma 56" xfId="38589"/>
    <cellStyle name="Comma 57" xfId="38590"/>
    <cellStyle name="Comma 58" xfId="38591"/>
    <cellStyle name="Comma 59" xfId="38592"/>
    <cellStyle name="Comma 6" xfId="38593"/>
    <cellStyle name="Comma 6 10" xfId="38594"/>
    <cellStyle name="Comma 6 2" xfId="38595"/>
    <cellStyle name="Comma 6 2 2" xfId="38596"/>
    <cellStyle name="Comma 6 3" xfId="38597"/>
    <cellStyle name="Comma 6 3 2" xfId="38598"/>
    <cellStyle name="Comma 6 4" xfId="38599"/>
    <cellStyle name="Comma 6 4 2" xfId="38600"/>
    <cellStyle name="Comma 6 5" xfId="38601"/>
    <cellStyle name="Comma 6 5 2" xfId="38602"/>
    <cellStyle name="Comma 6 6" xfId="38603"/>
    <cellStyle name="Comma 6 6 2" xfId="38604"/>
    <cellStyle name="Comma 6 7" xfId="38605"/>
    <cellStyle name="Comma 6 7 2" xfId="38606"/>
    <cellStyle name="Comma 6 8" xfId="38607"/>
    <cellStyle name="Comma 6 9" xfId="38608"/>
    <cellStyle name="Comma 6 9 2" xfId="38609"/>
    <cellStyle name="Comma 6 9 2 2" xfId="38610"/>
    <cellStyle name="Comma 6 9 2 3" xfId="38611"/>
    <cellStyle name="Comma 6 9 2 4" xfId="38612"/>
    <cellStyle name="Comma 6 9 3" xfId="38613"/>
    <cellStyle name="Comma 6 9 3 2" xfId="38614"/>
    <cellStyle name="Comma 6 9 3 3" xfId="38615"/>
    <cellStyle name="Comma 6 9 4" xfId="38616"/>
    <cellStyle name="Comma 6 9 4 2" xfId="38617"/>
    <cellStyle name="Comma 6 9 5" xfId="38618"/>
    <cellStyle name="Comma 6 9 6" xfId="38619"/>
    <cellStyle name="Comma 6 9 7" xfId="38620"/>
    <cellStyle name="Comma 60" xfId="38621"/>
    <cellStyle name="Comma 61" xfId="38622"/>
    <cellStyle name="Comma 62" xfId="38623"/>
    <cellStyle name="Comma 63" xfId="38624"/>
    <cellStyle name="Comma 63 2" xfId="38625"/>
    <cellStyle name="Comma 63 3" xfId="38626"/>
    <cellStyle name="Comma 64" xfId="38627"/>
    <cellStyle name="Comma 65" xfId="38628"/>
    <cellStyle name="Comma 66" xfId="38629"/>
    <cellStyle name="Comma 67" xfId="38630"/>
    <cellStyle name="Comma 68" xfId="38631"/>
    <cellStyle name="Comma 69" xfId="38632"/>
    <cellStyle name="Comma 7" xfId="38633"/>
    <cellStyle name="Comma 7 10" xfId="38634"/>
    <cellStyle name="Comma 7 2" xfId="38635"/>
    <cellStyle name="Comma 7 2 2" xfId="38636"/>
    <cellStyle name="Comma 7 3" xfId="38637"/>
    <cellStyle name="Comma 7 3 2" xfId="38638"/>
    <cellStyle name="Comma 7 3 3" xfId="38639"/>
    <cellStyle name="Comma 7 4" xfId="38640"/>
    <cellStyle name="Comma 7 4 2" xfId="38641"/>
    <cellStyle name="Comma 7 5" xfId="38642"/>
    <cellStyle name="Comma 7 6" xfId="38643"/>
    <cellStyle name="Comma 7 7" xfId="38644"/>
    <cellStyle name="Comma 7 8" xfId="38645"/>
    <cellStyle name="Comma 7 8 2" xfId="38646"/>
    <cellStyle name="Comma 7 9" xfId="38647"/>
    <cellStyle name="Comma 70" xfId="38648"/>
    <cellStyle name="Comma 71" xfId="38649"/>
    <cellStyle name="Comma 72" xfId="38650"/>
    <cellStyle name="Comma 73" xfId="38651"/>
    <cellStyle name="Comma 74" xfId="38652"/>
    <cellStyle name="Comma 75" xfId="38653"/>
    <cellStyle name="Comma 76" xfId="38654"/>
    <cellStyle name="Comma 77" xfId="38655"/>
    <cellStyle name="Comma 77 2" xfId="38656"/>
    <cellStyle name="Comma 78" xfId="38657"/>
    <cellStyle name="Comma 79" xfId="38658"/>
    <cellStyle name="Comma 8" xfId="38659"/>
    <cellStyle name="Comma 8 10" xfId="38660"/>
    <cellStyle name="Comma 8 10 2" xfId="38661"/>
    <cellStyle name="Comma 8 2" xfId="38662"/>
    <cellStyle name="Comma 8 2 2" xfId="38663"/>
    <cellStyle name="Comma 8 3" xfId="38664"/>
    <cellStyle name="Comma 8 3 2" xfId="38665"/>
    <cellStyle name="Comma 8 3 3" xfId="38666"/>
    <cellStyle name="Comma 8 4" xfId="38667"/>
    <cellStyle name="Comma 8 4 2" xfId="38668"/>
    <cellStyle name="Comma 8 5" xfId="38669"/>
    <cellStyle name="Comma 8 5 2" xfId="38670"/>
    <cellStyle name="Comma 8 6" xfId="38671"/>
    <cellStyle name="Comma 8 6 2" xfId="38672"/>
    <cellStyle name="Comma 8 7" xfId="38673"/>
    <cellStyle name="Comma 8 7 2" xfId="38674"/>
    <cellStyle name="Comma 8 8" xfId="38675"/>
    <cellStyle name="Comma 8 9" xfId="38676"/>
    <cellStyle name="Comma 8 9 2" xfId="38677"/>
    <cellStyle name="Comma 8 9 2 2" xfId="38678"/>
    <cellStyle name="Comma 8 9 2 3" xfId="38679"/>
    <cellStyle name="Comma 8 9 2 4" xfId="38680"/>
    <cellStyle name="Comma 8 9 3" xfId="38681"/>
    <cellStyle name="Comma 8 9 3 2" xfId="38682"/>
    <cellStyle name="Comma 8 9 3 3" xfId="38683"/>
    <cellStyle name="Comma 8 9 4" xfId="38684"/>
    <cellStyle name="Comma 8 9 4 2" xfId="38685"/>
    <cellStyle name="Comma 8 9 5" xfId="38686"/>
    <cellStyle name="Comma 8 9 6" xfId="38687"/>
    <cellStyle name="Comma 8 9 7" xfId="38688"/>
    <cellStyle name="Comma 80" xfId="38689"/>
    <cellStyle name="Comma 81" xfId="38690"/>
    <cellStyle name="Comma 82" xfId="38691"/>
    <cellStyle name="Comma 83" xfId="38692"/>
    <cellStyle name="Comma 84" xfId="38693"/>
    <cellStyle name="Comma 85" xfId="38694"/>
    <cellStyle name="Comma 86" xfId="38695"/>
    <cellStyle name="Comma 87" xfId="38696"/>
    <cellStyle name="Comma 88" xfId="38697"/>
    <cellStyle name="Comma 89" xfId="38698"/>
    <cellStyle name="Comma 9" xfId="38699"/>
    <cellStyle name="Comma 9 10" xfId="38700"/>
    <cellStyle name="Comma 9 2" xfId="38701"/>
    <cellStyle name="Comma 9 2 2" xfId="38702"/>
    <cellStyle name="Comma 9 2 3" xfId="38703"/>
    <cellStyle name="Comma 9 2 3 2" xfId="38704"/>
    <cellStyle name="Comma 9 2 3 2 2" xfId="38705"/>
    <cellStyle name="Comma 9 2 3 2 3" xfId="38706"/>
    <cellStyle name="Comma 9 2 3 2 4" xfId="38707"/>
    <cellStyle name="Comma 9 2 3 3" xfId="38708"/>
    <cellStyle name="Comma 9 2 3 3 2" xfId="38709"/>
    <cellStyle name="Comma 9 2 3 3 3" xfId="38710"/>
    <cellStyle name="Comma 9 2 3 4" xfId="38711"/>
    <cellStyle name="Comma 9 2 3 4 2" xfId="38712"/>
    <cellStyle name="Comma 9 2 3 5" xfId="38713"/>
    <cellStyle name="Comma 9 2 3 6" xfId="38714"/>
    <cellStyle name="Comma 9 2 3 7" xfId="38715"/>
    <cellStyle name="Comma 9 3" xfId="38716"/>
    <cellStyle name="Comma 9 3 2" xfId="38717"/>
    <cellStyle name="Comma 9 3 3" xfId="38718"/>
    <cellStyle name="Comma 9 4" xfId="38719"/>
    <cellStyle name="Comma 9 4 2" xfId="38720"/>
    <cellStyle name="Comma 9 5" xfId="38721"/>
    <cellStyle name="Comma 9 5 2" xfId="38722"/>
    <cellStyle name="Comma 9 6" xfId="38723"/>
    <cellStyle name="Comma 9 6 2" xfId="38724"/>
    <cellStyle name="Comma 9 7" xfId="38725"/>
    <cellStyle name="Comma 9 7 2" xfId="38726"/>
    <cellStyle name="Comma 9 8" xfId="38727"/>
    <cellStyle name="Comma 9 9" xfId="38728"/>
    <cellStyle name="Comma 9 9 2" xfId="38729"/>
    <cellStyle name="Comma 9 9 2 2" xfId="38730"/>
    <cellStyle name="Comma 9 9 2 3" xfId="38731"/>
    <cellStyle name="Comma 9 9 2 4" xfId="38732"/>
    <cellStyle name="Comma 9 9 3" xfId="38733"/>
    <cellStyle name="Comma 9 9 3 2" xfId="38734"/>
    <cellStyle name="Comma 9 9 3 3" xfId="38735"/>
    <cellStyle name="Comma 9 9 4" xfId="38736"/>
    <cellStyle name="Comma 9 9 4 2" xfId="38737"/>
    <cellStyle name="Comma 9 9 5" xfId="38738"/>
    <cellStyle name="Comma 9 9 6" xfId="38739"/>
    <cellStyle name="Comma 9 9 7" xfId="38740"/>
    <cellStyle name="Comma 90" xfId="38741"/>
    <cellStyle name="Comma 91" xfId="38742"/>
    <cellStyle name="Comma 92" xfId="38743"/>
    <cellStyle name="Comma 93" xfId="38744"/>
    <cellStyle name="Comma 94" xfId="38745"/>
    <cellStyle name="Comma 95" xfId="38746"/>
    <cellStyle name="Comma 96" xfId="38747"/>
    <cellStyle name="Comma 97" xfId="38748"/>
    <cellStyle name="Comma 98" xfId="38749"/>
    <cellStyle name="Comma 99" xfId="38750"/>
    <cellStyle name="Comma0" xfId="38751"/>
    <cellStyle name="Comma0 2" xfId="38752"/>
    <cellStyle name="Comment" xfId="38753"/>
    <cellStyle name="CS" xfId="38754"/>
    <cellStyle name="Currency [0] 2" xfId="38755"/>
    <cellStyle name="Currency 10" xfId="38756"/>
    <cellStyle name="Currency 11" xfId="38757"/>
    <cellStyle name="Currency 12" xfId="38758"/>
    <cellStyle name="Currency 13" xfId="38759"/>
    <cellStyle name="Currency 14" xfId="38760"/>
    <cellStyle name="Currency 15" xfId="38761"/>
    <cellStyle name="Currency 16" xfId="38762"/>
    <cellStyle name="Currency 17" xfId="38763"/>
    <cellStyle name="Currency 18" xfId="38764"/>
    <cellStyle name="Currency 19" xfId="38765"/>
    <cellStyle name="Currency 2" xfId="38766"/>
    <cellStyle name="Currency 2 2" xfId="38767"/>
    <cellStyle name="Currency 2 2 2" xfId="38768"/>
    <cellStyle name="Currency 2 2 3" xfId="38769"/>
    <cellStyle name="Currency 2 2 4" xfId="38770"/>
    <cellStyle name="Currency 2 2 5" xfId="38771"/>
    <cellStyle name="Currency 2 3" xfId="38772"/>
    <cellStyle name="Currency 2 3 2" xfId="38773"/>
    <cellStyle name="Currency 2 3 3" xfId="38774"/>
    <cellStyle name="Currency 2 3 4" xfId="38775"/>
    <cellStyle name="Currency 2 4" xfId="38776"/>
    <cellStyle name="Currency 2 4 2" xfId="38777"/>
    <cellStyle name="Currency 2 5" xfId="38778"/>
    <cellStyle name="Currency 2 6" xfId="38779"/>
    <cellStyle name="Currency 2 7" xfId="38780"/>
    <cellStyle name="Currency 2 8" xfId="38781"/>
    <cellStyle name="Currency 20" xfId="38782"/>
    <cellStyle name="Currency 21" xfId="38783"/>
    <cellStyle name="Currency 22" xfId="38784"/>
    <cellStyle name="Currency 23" xfId="38785"/>
    <cellStyle name="Currency 24" xfId="38786"/>
    <cellStyle name="Currency 25" xfId="38787"/>
    <cellStyle name="Currency 26" xfId="38788"/>
    <cellStyle name="Currency 27" xfId="38789"/>
    <cellStyle name="Currency 28" xfId="38790"/>
    <cellStyle name="Currency 29" xfId="38791"/>
    <cellStyle name="Currency 3" xfId="38792"/>
    <cellStyle name="Currency 3 2" xfId="38793"/>
    <cellStyle name="Currency 3 2 2" xfId="38794"/>
    <cellStyle name="Currency 3 2 3" xfId="38795"/>
    <cellStyle name="Currency 3 2 4" xfId="38796"/>
    <cellStyle name="Currency 3 2 5" xfId="38797"/>
    <cellStyle name="Currency 3 3" xfId="38798"/>
    <cellStyle name="Currency 3 3 2" xfId="38799"/>
    <cellStyle name="Currency 3 3 3" xfId="38800"/>
    <cellStyle name="Currency 3 3 4" xfId="38801"/>
    <cellStyle name="Currency 3 3 5" xfId="38802"/>
    <cellStyle name="Currency 3 4" xfId="38803"/>
    <cellStyle name="Currency 3 4 2" xfId="38804"/>
    <cellStyle name="Currency 3 5" xfId="38805"/>
    <cellStyle name="Currency 3 6" xfId="38806"/>
    <cellStyle name="Currency 3 7" xfId="38807"/>
    <cellStyle name="Currency 4" xfId="38808"/>
    <cellStyle name="Currency 4 2" xfId="38809"/>
    <cellStyle name="Currency 5" xfId="38810"/>
    <cellStyle name="Currency 6" xfId="38811"/>
    <cellStyle name="Currency 7" xfId="38812"/>
    <cellStyle name="Currency 8" xfId="38813"/>
    <cellStyle name="Currency 9" xfId="38814"/>
    <cellStyle name="Currency0" xfId="38815"/>
    <cellStyle name="Currency0 2" xfId="38816"/>
    <cellStyle name="CustomField- CCIP Data Elements Framework 20100329" xfId="38817"/>
    <cellStyle name="Date" xfId="38818"/>
    <cellStyle name="Date 2" xfId="38819"/>
    <cellStyle name="date title" xfId="38820"/>
    <cellStyle name="Dezimal [0]_Abflusssteuer - und Abwasserhebeanlagen" xfId="38821"/>
    <cellStyle name="Dezimal_Abflusssteuer - und Abwasserhebeanlagen" xfId="38822"/>
    <cellStyle name="DS 0" xfId="38823"/>
    <cellStyle name="DS 1" xfId="38824"/>
    <cellStyle name="DS 2" xfId="38825"/>
    <cellStyle name="DS 3" xfId="38826"/>
    <cellStyle name="DS 4" xfId="38827"/>
    <cellStyle name="DS 5" xfId="38828"/>
    <cellStyle name="DS 6" xfId="38829"/>
    <cellStyle name="DS 7" xfId="38830"/>
    <cellStyle name="DS 8" xfId="38831"/>
    <cellStyle name="Euro" xfId="38832"/>
    <cellStyle name="Euro 2" xfId="38833"/>
    <cellStyle name="Euro 2 2" xfId="38834"/>
    <cellStyle name="Euro 3" xfId="38835"/>
    <cellStyle name="Explanatory Text 10" xfId="38836"/>
    <cellStyle name="Explanatory Text 10 2" xfId="38837"/>
    <cellStyle name="Explanatory Text 11" xfId="38838"/>
    <cellStyle name="Explanatory Text 11 2" xfId="38839"/>
    <cellStyle name="Explanatory Text 12" xfId="38840"/>
    <cellStyle name="Explanatory Text 12 2" xfId="38841"/>
    <cellStyle name="Explanatory Text 13" xfId="38842"/>
    <cellStyle name="Explanatory Text 13 2" xfId="38843"/>
    <cellStyle name="Explanatory Text 14" xfId="38844"/>
    <cellStyle name="Explanatory Text 14 2" xfId="38845"/>
    <cellStyle name="Explanatory Text 14 3" xfId="38846"/>
    <cellStyle name="Explanatory Text 15" xfId="38847"/>
    <cellStyle name="Explanatory Text 15 2" xfId="38848"/>
    <cellStyle name="Explanatory Text 16" xfId="38849"/>
    <cellStyle name="Explanatory Text 16 2" xfId="38850"/>
    <cellStyle name="Explanatory Text 17" xfId="38851"/>
    <cellStyle name="Explanatory Text 17 2" xfId="38852"/>
    <cellStyle name="Explanatory Text 18" xfId="38853"/>
    <cellStyle name="Explanatory Text 18 2" xfId="38854"/>
    <cellStyle name="Explanatory Text 19" xfId="38855"/>
    <cellStyle name="Explanatory Text 19 2" xfId="38856"/>
    <cellStyle name="Explanatory Text 2" xfId="38857"/>
    <cellStyle name="Explanatory Text 2 10" xfId="38858"/>
    <cellStyle name="Explanatory Text 2 11" xfId="38859"/>
    <cellStyle name="Explanatory Text 2 12" xfId="38860"/>
    <cellStyle name="Explanatory Text 2 13" xfId="38861"/>
    <cellStyle name="Explanatory Text 2 14" xfId="38862"/>
    <cellStyle name="Explanatory Text 2 14 2" xfId="38863"/>
    <cellStyle name="Explanatory Text 2 2" xfId="38864"/>
    <cellStyle name="Explanatory Text 2 2 2" xfId="38865"/>
    <cellStyle name="Explanatory Text 2 3" xfId="38866"/>
    <cellStyle name="Explanatory Text 2 4" xfId="38867"/>
    <cellStyle name="Explanatory Text 2 5" xfId="38868"/>
    <cellStyle name="Explanatory Text 2 6" xfId="38869"/>
    <cellStyle name="Explanatory Text 2 7" xfId="38870"/>
    <cellStyle name="Explanatory Text 2 8" xfId="38871"/>
    <cellStyle name="Explanatory Text 2 9" xfId="38872"/>
    <cellStyle name="Explanatory Text 2_Northern Rock" xfId="38873"/>
    <cellStyle name="Explanatory Text 20" xfId="38874"/>
    <cellStyle name="Explanatory Text 21" xfId="38875"/>
    <cellStyle name="Explanatory Text 22" xfId="38876"/>
    <cellStyle name="Explanatory Text 23" xfId="38877"/>
    <cellStyle name="Explanatory Text 24" xfId="38878"/>
    <cellStyle name="Explanatory Text 25" xfId="38879"/>
    <cellStyle name="Explanatory Text 26" xfId="38880"/>
    <cellStyle name="Explanatory Text 27" xfId="38881"/>
    <cellStyle name="Explanatory Text 28" xfId="38882"/>
    <cellStyle name="Explanatory Text 29" xfId="38883"/>
    <cellStyle name="Explanatory Text 3" xfId="38884"/>
    <cellStyle name="Explanatory Text 3 2" xfId="38885"/>
    <cellStyle name="Explanatory Text 3 2 2" xfId="38886"/>
    <cellStyle name="Explanatory Text 3 3" xfId="38887"/>
    <cellStyle name="Explanatory Text 3 4" xfId="38888"/>
    <cellStyle name="Explanatory Text 30" xfId="38889"/>
    <cellStyle name="Explanatory Text 31" xfId="38890"/>
    <cellStyle name="Explanatory Text 32" xfId="38891"/>
    <cellStyle name="Explanatory Text 33" xfId="38892"/>
    <cellStyle name="Explanatory Text 34" xfId="38893"/>
    <cellStyle name="Explanatory Text 35" xfId="38894"/>
    <cellStyle name="Explanatory Text 36" xfId="38895"/>
    <cellStyle name="Explanatory Text 37" xfId="38896"/>
    <cellStyle name="Explanatory Text 38" xfId="38897"/>
    <cellStyle name="Explanatory Text 39" xfId="38898"/>
    <cellStyle name="Explanatory Text 4" xfId="38899"/>
    <cellStyle name="Explanatory Text 4 2" xfId="38900"/>
    <cellStyle name="Explanatory Text 4 3" xfId="38901"/>
    <cellStyle name="Explanatory Text 40" xfId="38902"/>
    <cellStyle name="Explanatory Text 41" xfId="38903"/>
    <cellStyle name="Explanatory Text 42" xfId="38904"/>
    <cellStyle name="Explanatory Text 43" xfId="38905"/>
    <cellStyle name="Explanatory Text 44" xfId="38906"/>
    <cellStyle name="Explanatory Text 45" xfId="38907"/>
    <cellStyle name="Explanatory Text 46" xfId="38908"/>
    <cellStyle name="Explanatory Text 47" xfId="38909"/>
    <cellStyle name="Explanatory Text 5" xfId="38910"/>
    <cellStyle name="Explanatory Text 5 2" xfId="38911"/>
    <cellStyle name="Explanatory Text 6" xfId="38912"/>
    <cellStyle name="Explanatory Text 6 2" xfId="38913"/>
    <cellStyle name="Explanatory Text 6 3" xfId="38914"/>
    <cellStyle name="Explanatory Text 7" xfId="38915"/>
    <cellStyle name="Explanatory Text 7 2" xfId="38916"/>
    <cellStyle name="Explanatory Text 7 3" xfId="38917"/>
    <cellStyle name="Explanatory Text 8" xfId="38918"/>
    <cellStyle name="Explanatory Text 8 2" xfId="38919"/>
    <cellStyle name="Explanatory Text 9" xfId="38920"/>
    <cellStyle name="Explanatory Text 9 2" xfId="38921"/>
    <cellStyle name="financial" xfId="38922"/>
    <cellStyle name="Fixed" xfId="38923"/>
    <cellStyle name="Fixed 2" xfId="38924"/>
    <cellStyle name="Format Number Column" xfId="38925"/>
    <cellStyle name="Format Number Column 2" xfId="38926"/>
    <cellStyle name="Good 10" xfId="38927"/>
    <cellStyle name="Good 10 2" xfId="38928"/>
    <cellStyle name="Good 11" xfId="38929"/>
    <cellStyle name="Good 11 2" xfId="38930"/>
    <cellStyle name="Good 12" xfId="38931"/>
    <cellStyle name="Good 12 2" xfId="38932"/>
    <cellStyle name="Good 13" xfId="38933"/>
    <cellStyle name="Good 13 2" xfId="38934"/>
    <cellStyle name="Good 14" xfId="38935"/>
    <cellStyle name="Good 14 2" xfId="38936"/>
    <cellStyle name="Good 14 3" xfId="38937"/>
    <cellStyle name="Good 15" xfId="38938"/>
    <cellStyle name="Good 15 2" xfId="38939"/>
    <cellStyle name="Good 16" xfId="38940"/>
    <cellStyle name="Good 16 2" xfId="38941"/>
    <cellStyle name="Good 17" xfId="38942"/>
    <cellStyle name="Good 17 2" xfId="38943"/>
    <cellStyle name="Good 18" xfId="38944"/>
    <cellStyle name="Good 18 2" xfId="38945"/>
    <cellStyle name="Good 19" xfId="38946"/>
    <cellStyle name="Good 19 2" xfId="38947"/>
    <cellStyle name="Good 2" xfId="38948"/>
    <cellStyle name="Good 2 10" xfId="38949"/>
    <cellStyle name="Good 2 11" xfId="38950"/>
    <cellStyle name="Good 2 12" xfId="38951"/>
    <cellStyle name="Good 2 13" xfId="38952"/>
    <cellStyle name="Good 2 14" xfId="38953"/>
    <cellStyle name="Good 2 14 2" xfId="38954"/>
    <cellStyle name="Good 2 2" xfId="38955"/>
    <cellStyle name="Good 2 2 2" xfId="38956"/>
    <cellStyle name="Good 2 3" xfId="38957"/>
    <cellStyle name="Good 2 4" xfId="38958"/>
    <cellStyle name="Good 2 5" xfId="38959"/>
    <cellStyle name="Good 2 6" xfId="38960"/>
    <cellStyle name="Good 2 7" xfId="38961"/>
    <cellStyle name="Good 2 8" xfId="38962"/>
    <cellStyle name="Good 2 9" xfId="38963"/>
    <cellStyle name="Good 2_Northern Rock" xfId="38964"/>
    <cellStyle name="Good 20" xfId="38965"/>
    <cellStyle name="Good 21" xfId="38966"/>
    <cellStyle name="Good 22" xfId="38967"/>
    <cellStyle name="Good 23" xfId="38968"/>
    <cellStyle name="Good 24" xfId="38969"/>
    <cellStyle name="Good 25" xfId="38970"/>
    <cellStyle name="Good 26" xfId="38971"/>
    <cellStyle name="Good 27" xfId="38972"/>
    <cellStyle name="Good 28" xfId="38973"/>
    <cellStyle name="Good 29" xfId="38974"/>
    <cellStyle name="Good 3" xfId="38975"/>
    <cellStyle name="Good 3 2" xfId="38976"/>
    <cellStyle name="Good 3 2 2" xfId="38977"/>
    <cellStyle name="Good 3 3" xfId="38978"/>
    <cellStyle name="Good 3 4" xfId="38979"/>
    <cellStyle name="Good 30" xfId="38980"/>
    <cellStyle name="Good 31" xfId="38981"/>
    <cellStyle name="Good 32" xfId="38982"/>
    <cellStyle name="Good 33" xfId="38983"/>
    <cellStyle name="Good 34" xfId="38984"/>
    <cellStyle name="Good 35" xfId="38985"/>
    <cellStyle name="Good 36" xfId="38986"/>
    <cellStyle name="Good 37" xfId="38987"/>
    <cellStyle name="Good 38" xfId="38988"/>
    <cellStyle name="Good 39" xfId="38989"/>
    <cellStyle name="Good 4" xfId="38990"/>
    <cellStyle name="Good 4 2" xfId="38991"/>
    <cellStyle name="Good 4 3" xfId="38992"/>
    <cellStyle name="Good 40" xfId="38993"/>
    <cellStyle name="Good 41" xfId="38994"/>
    <cellStyle name="Good 42" xfId="38995"/>
    <cellStyle name="Good 43" xfId="38996"/>
    <cellStyle name="Good 44" xfId="38997"/>
    <cellStyle name="Good 45" xfId="38998"/>
    <cellStyle name="Good 46" xfId="38999"/>
    <cellStyle name="Good 47" xfId="39000"/>
    <cellStyle name="Good 5" xfId="39001"/>
    <cellStyle name="Good 5 2" xfId="39002"/>
    <cellStyle name="Good 6" xfId="39003"/>
    <cellStyle name="Good 6 2" xfId="39004"/>
    <cellStyle name="Good 6 3" xfId="39005"/>
    <cellStyle name="Good 7" xfId="39006"/>
    <cellStyle name="Good 7 2" xfId="39007"/>
    <cellStyle name="Good 7 3" xfId="39008"/>
    <cellStyle name="Good 8" xfId="39009"/>
    <cellStyle name="Good 8 2" xfId="39010"/>
    <cellStyle name="Good 9" xfId="39011"/>
    <cellStyle name="Good 9 2" xfId="39012"/>
    <cellStyle name="gray text cells" xfId="39013"/>
    <cellStyle name="greyed" xfId="39014"/>
    <cellStyle name="greyed 2" xfId="39015"/>
    <cellStyle name="greyed 2 2" xfId="39016"/>
    <cellStyle name="greyed 2 2 2" xfId="39017"/>
    <cellStyle name="greyed 3" xfId="39018"/>
    <cellStyle name="greyed 4" xfId="39019"/>
    <cellStyle name="greyed 5" xfId="39020"/>
    <cellStyle name="greyed_Northern Rock" xfId="39021"/>
    <cellStyle name="headerStyle" xfId="39022"/>
    <cellStyle name="Heading 1 10" xfId="39023"/>
    <cellStyle name="Heading 1 10 2" xfId="39024"/>
    <cellStyle name="Heading 1 11" xfId="39025"/>
    <cellStyle name="Heading 1 11 2" xfId="39026"/>
    <cellStyle name="Heading 1 12" xfId="39027"/>
    <cellStyle name="Heading 1 12 2" xfId="39028"/>
    <cellStyle name="Heading 1 13" xfId="39029"/>
    <cellStyle name="Heading 1 13 2" xfId="39030"/>
    <cellStyle name="Heading 1 14" xfId="39031"/>
    <cellStyle name="Heading 1 14 2" xfId="39032"/>
    <cellStyle name="Heading 1 14 3" xfId="39033"/>
    <cellStyle name="Heading 1 15" xfId="39034"/>
    <cellStyle name="Heading 1 15 2" xfId="39035"/>
    <cellStyle name="Heading 1 16" xfId="39036"/>
    <cellStyle name="Heading 1 16 2" xfId="39037"/>
    <cellStyle name="Heading 1 17" xfId="39038"/>
    <cellStyle name="Heading 1 17 2" xfId="39039"/>
    <cellStyle name="Heading 1 18" xfId="39040"/>
    <cellStyle name="Heading 1 18 2" xfId="39041"/>
    <cellStyle name="Heading 1 19" xfId="39042"/>
    <cellStyle name="Heading 1 19 2" xfId="39043"/>
    <cellStyle name="Heading 1 2" xfId="39044"/>
    <cellStyle name="Heading 1 2 10" xfId="39045"/>
    <cellStyle name="Heading 1 2 11" xfId="39046"/>
    <cellStyle name="Heading 1 2 12" xfId="39047"/>
    <cellStyle name="Heading 1 2 13" xfId="39048"/>
    <cellStyle name="Heading 1 2 14" xfId="39049"/>
    <cellStyle name="Heading 1 2 14 2" xfId="39050"/>
    <cellStyle name="Heading 1 2 2" xfId="39051"/>
    <cellStyle name="Heading 1 2 2 2" xfId="39052"/>
    <cellStyle name="Heading 1 2 3" xfId="39053"/>
    <cellStyle name="Heading 1 2 4" xfId="39054"/>
    <cellStyle name="Heading 1 2 5" xfId="39055"/>
    <cellStyle name="Heading 1 2 6" xfId="39056"/>
    <cellStyle name="Heading 1 2 7" xfId="39057"/>
    <cellStyle name="Heading 1 2 8" xfId="39058"/>
    <cellStyle name="Heading 1 2 9" xfId="39059"/>
    <cellStyle name="Heading 1 2_Northern Rock" xfId="39060"/>
    <cellStyle name="Heading 1 20" xfId="39061"/>
    <cellStyle name="Heading 1 20 2" xfId="39062"/>
    <cellStyle name="Heading 1 21" xfId="39063"/>
    <cellStyle name="Heading 1 22" xfId="39064"/>
    <cellStyle name="Heading 1 23" xfId="39065"/>
    <cellStyle name="Heading 1 24" xfId="39066"/>
    <cellStyle name="Heading 1 25" xfId="39067"/>
    <cellStyle name="Heading 1 26" xfId="39068"/>
    <cellStyle name="Heading 1 27" xfId="39069"/>
    <cellStyle name="Heading 1 28" xfId="39070"/>
    <cellStyle name="Heading 1 29" xfId="39071"/>
    <cellStyle name="Heading 1 3" xfId="39072"/>
    <cellStyle name="Heading 1 3 2" xfId="39073"/>
    <cellStyle name="Heading 1 3 2 2" xfId="39074"/>
    <cellStyle name="Heading 1 3 3" xfId="39075"/>
    <cellStyle name="Heading 1 3 4" xfId="39076"/>
    <cellStyle name="Heading 1 30" xfId="39077"/>
    <cellStyle name="Heading 1 31" xfId="39078"/>
    <cellStyle name="Heading 1 32" xfId="39079"/>
    <cellStyle name="Heading 1 33" xfId="39080"/>
    <cellStyle name="Heading 1 34" xfId="39081"/>
    <cellStyle name="Heading 1 35" xfId="39082"/>
    <cellStyle name="Heading 1 36" xfId="39083"/>
    <cellStyle name="Heading 1 37" xfId="39084"/>
    <cellStyle name="Heading 1 38" xfId="39085"/>
    <cellStyle name="Heading 1 39" xfId="39086"/>
    <cellStyle name="Heading 1 4" xfId="39087"/>
    <cellStyle name="Heading 1 4 2" xfId="39088"/>
    <cellStyle name="Heading 1 4 2 2" xfId="39089"/>
    <cellStyle name="Heading 1 4 3" xfId="39090"/>
    <cellStyle name="Heading 1 40" xfId="39091"/>
    <cellStyle name="Heading 1 41" xfId="39092"/>
    <cellStyle name="Heading 1 42" xfId="39093"/>
    <cellStyle name="Heading 1 43" xfId="39094"/>
    <cellStyle name="Heading 1 44" xfId="39095"/>
    <cellStyle name="Heading 1 45" xfId="39096"/>
    <cellStyle name="Heading 1 46" xfId="39097"/>
    <cellStyle name="Heading 1 47" xfId="39098"/>
    <cellStyle name="Heading 1 5" xfId="39099"/>
    <cellStyle name="Heading 1 5 2" xfId="39100"/>
    <cellStyle name="Heading 1 6" xfId="39101"/>
    <cellStyle name="Heading 1 6 2" xfId="39102"/>
    <cellStyle name="Heading 1 6 3" xfId="39103"/>
    <cellStyle name="Heading 1 7" xfId="39104"/>
    <cellStyle name="Heading 1 7 2" xfId="39105"/>
    <cellStyle name="Heading 1 7 3" xfId="39106"/>
    <cellStyle name="Heading 1 8" xfId="39107"/>
    <cellStyle name="Heading 1 8 2" xfId="39108"/>
    <cellStyle name="Heading 1 9" xfId="39109"/>
    <cellStyle name="Heading 1 9 2" xfId="39110"/>
    <cellStyle name="Heading 2 10" xfId="39111"/>
    <cellStyle name="Heading 2 10 2" xfId="39112"/>
    <cellStyle name="Heading 2 11" xfId="39113"/>
    <cellStyle name="Heading 2 11 2" xfId="39114"/>
    <cellStyle name="Heading 2 12" xfId="39115"/>
    <cellStyle name="Heading 2 12 2" xfId="39116"/>
    <cellStyle name="Heading 2 13" xfId="39117"/>
    <cellStyle name="Heading 2 13 2" xfId="39118"/>
    <cellStyle name="Heading 2 14" xfId="39119"/>
    <cellStyle name="Heading 2 14 2" xfId="39120"/>
    <cellStyle name="Heading 2 14 3" xfId="39121"/>
    <cellStyle name="Heading 2 15" xfId="39122"/>
    <cellStyle name="Heading 2 15 2" xfId="39123"/>
    <cellStyle name="Heading 2 16" xfId="39124"/>
    <cellStyle name="Heading 2 16 2" xfId="39125"/>
    <cellStyle name="Heading 2 17" xfId="39126"/>
    <cellStyle name="Heading 2 17 2" xfId="39127"/>
    <cellStyle name="Heading 2 18" xfId="39128"/>
    <cellStyle name="Heading 2 18 2" xfId="39129"/>
    <cellStyle name="Heading 2 19" xfId="39130"/>
    <cellStyle name="Heading 2 19 2" xfId="39131"/>
    <cellStyle name="Heading 2 2" xfId="39132"/>
    <cellStyle name="Heading 2 2 10" xfId="39133"/>
    <cellStyle name="Heading 2 2 11" xfId="39134"/>
    <cellStyle name="Heading 2 2 12" xfId="39135"/>
    <cellStyle name="Heading 2 2 13" xfId="39136"/>
    <cellStyle name="Heading 2 2 14" xfId="39137"/>
    <cellStyle name="Heading 2 2 14 2" xfId="39138"/>
    <cellStyle name="Heading 2 2 2" xfId="39139"/>
    <cellStyle name="Heading 2 2 2 2" xfId="39140"/>
    <cellStyle name="Heading 2 2 3" xfId="39141"/>
    <cellStyle name="Heading 2 2 4" xfId="39142"/>
    <cellStyle name="Heading 2 2 5" xfId="39143"/>
    <cellStyle name="Heading 2 2 6" xfId="39144"/>
    <cellStyle name="Heading 2 2 7" xfId="39145"/>
    <cellStyle name="Heading 2 2 8" xfId="39146"/>
    <cellStyle name="Heading 2 2 9" xfId="39147"/>
    <cellStyle name="Heading 2 2_Northern Rock" xfId="39148"/>
    <cellStyle name="Heading 2 20" xfId="39149"/>
    <cellStyle name="Heading 2 20 2" xfId="39150"/>
    <cellStyle name="Heading 2 21" xfId="39151"/>
    <cellStyle name="Heading 2 22" xfId="39152"/>
    <cellStyle name="Heading 2 23" xfId="39153"/>
    <cellStyle name="Heading 2 24" xfId="39154"/>
    <cellStyle name="Heading 2 25" xfId="39155"/>
    <cellStyle name="Heading 2 26" xfId="39156"/>
    <cellStyle name="Heading 2 27" xfId="39157"/>
    <cellStyle name="Heading 2 28" xfId="39158"/>
    <cellStyle name="Heading 2 29" xfId="39159"/>
    <cellStyle name="Heading 2 3" xfId="39160"/>
    <cellStyle name="Heading 2 3 2" xfId="39161"/>
    <cellStyle name="Heading 2 3 2 2" xfId="39162"/>
    <cellStyle name="Heading 2 3 3" xfId="39163"/>
    <cellStyle name="Heading 2 3 4" xfId="39164"/>
    <cellStyle name="Heading 2 30" xfId="39165"/>
    <cellStyle name="Heading 2 31" xfId="39166"/>
    <cellStyle name="Heading 2 32" xfId="39167"/>
    <cellStyle name="Heading 2 33" xfId="39168"/>
    <cellStyle name="Heading 2 34" xfId="39169"/>
    <cellStyle name="Heading 2 35" xfId="39170"/>
    <cellStyle name="Heading 2 36" xfId="39171"/>
    <cellStyle name="Heading 2 37" xfId="39172"/>
    <cellStyle name="Heading 2 38" xfId="39173"/>
    <cellStyle name="Heading 2 39" xfId="39174"/>
    <cellStyle name="Heading 2 4" xfId="39175"/>
    <cellStyle name="Heading 2 4 2" xfId="39176"/>
    <cellStyle name="Heading 2 4 2 2" xfId="39177"/>
    <cellStyle name="Heading 2 4 3" xfId="39178"/>
    <cellStyle name="Heading 2 40" xfId="39179"/>
    <cellStyle name="Heading 2 41" xfId="39180"/>
    <cellStyle name="Heading 2 42" xfId="39181"/>
    <cellStyle name="Heading 2 43" xfId="39182"/>
    <cellStyle name="Heading 2 44" xfId="39183"/>
    <cellStyle name="Heading 2 45" xfId="39184"/>
    <cellStyle name="Heading 2 46" xfId="39185"/>
    <cellStyle name="Heading 2 47" xfId="39186"/>
    <cellStyle name="Heading 2 5" xfId="39187"/>
    <cellStyle name="Heading 2 5 2" xfId="39188"/>
    <cellStyle name="Heading 2 6" xfId="39189"/>
    <cellStyle name="Heading 2 6 2" xfId="39190"/>
    <cellStyle name="Heading 2 6 3" xfId="39191"/>
    <cellStyle name="Heading 2 7" xfId="39192"/>
    <cellStyle name="Heading 2 7 2" xfId="39193"/>
    <cellStyle name="Heading 2 7 3" xfId="39194"/>
    <cellStyle name="Heading 2 8" xfId="39195"/>
    <cellStyle name="Heading 2 8 2" xfId="39196"/>
    <cellStyle name="Heading 2 9" xfId="39197"/>
    <cellStyle name="Heading 2 9 2" xfId="39198"/>
    <cellStyle name="Heading 3 10" xfId="39199"/>
    <cellStyle name="Heading 3 10 2" xfId="39200"/>
    <cellStyle name="Heading 3 11" xfId="39201"/>
    <cellStyle name="Heading 3 11 2" xfId="39202"/>
    <cellStyle name="Heading 3 12" xfId="39203"/>
    <cellStyle name="Heading 3 12 2" xfId="39204"/>
    <cellStyle name="Heading 3 13" xfId="39205"/>
    <cellStyle name="Heading 3 13 2" xfId="39206"/>
    <cellStyle name="Heading 3 14" xfId="39207"/>
    <cellStyle name="Heading 3 14 2" xfId="39208"/>
    <cellStyle name="Heading 3 14 3" xfId="39209"/>
    <cellStyle name="Heading 3 15" xfId="39210"/>
    <cellStyle name="Heading 3 15 2" xfId="39211"/>
    <cellStyle name="Heading 3 16" xfId="39212"/>
    <cellStyle name="Heading 3 16 2" xfId="39213"/>
    <cellStyle name="Heading 3 17" xfId="39214"/>
    <cellStyle name="Heading 3 17 2" xfId="39215"/>
    <cellStyle name="Heading 3 18" xfId="39216"/>
    <cellStyle name="Heading 3 18 2" xfId="39217"/>
    <cellStyle name="Heading 3 19" xfId="39218"/>
    <cellStyle name="Heading 3 19 2" xfId="39219"/>
    <cellStyle name="Heading 3 2" xfId="39220"/>
    <cellStyle name="Heading 3 2 10" xfId="39221"/>
    <cellStyle name="Heading 3 2 11" xfId="39222"/>
    <cellStyle name="Heading 3 2 12" xfId="39223"/>
    <cellStyle name="Heading 3 2 13" xfId="39224"/>
    <cellStyle name="Heading 3 2 14" xfId="39225"/>
    <cellStyle name="Heading 3 2 14 2" xfId="39226"/>
    <cellStyle name="Heading 3 2 2" xfId="39227"/>
    <cellStyle name="Heading 3 2 2 2" xfId="39228"/>
    <cellStyle name="Heading 3 2 3" xfId="39229"/>
    <cellStyle name="Heading 3 2 4" xfId="39230"/>
    <cellStyle name="Heading 3 2 5" xfId="39231"/>
    <cellStyle name="Heading 3 2 6" xfId="39232"/>
    <cellStyle name="Heading 3 2 7" xfId="39233"/>
    <cellStyle name="Heading 3 2 8" xfId="39234"/>
    <cellStyle name="Heading 3 2 9" xfId="39235"/>
    <cellStyle name="Heading 3 2_Northern Rock" xfId="39236"/>
    <cellStyle name="Heading 3 20" xfId="39237"/>
    <cellStyle name="Heading 3 21" xfId="39238"/>
    <cellStyle name="Heading 3 22" xfId="39239"/>
    <cellStyle name="Heading 3 23" xfId="39240"/>
    <cellStyle name="Heading 3 24" xfId="39241"/>
    <cellStyle name="Heading 3 25" xfId="39242"/>
    <cellStyle name="Heading 3 26" xfId="39243"/>
    <cellStyle name="Heading 3 27" xfId="39244"/>
    <cellStyle name="Heading 3 28" xfId="39245"/>
    <cellStyle name="Heading 3 29" xfId="39246"/>
    <cellStyle name="Heading 3 3" xfId="39247"/>
    <cellStyle name="Heading 3 3 2" xfId="39248"/>
    <cellStyle name="Heading 3 3 2 2" xfId="39249"/>
    <cellStyle name="Heading 3 3 3" xfId="39250"/>
    <cellStyle name="Heading 3 3 4" xfId="39251"/>
    <cellStyle name="Heading 3 30" xfId="39252"/>
    <cellStyle name="Heading 3 31" xfId="39253"/>
    <cellStyle name="Heading 3 32" xfId="39254"/>
    <cellStyle name="Heading 3 33" xfId="39255"/>
    <cellStyle name="Heading 3 34" xfId="39256"/>
    <cellStyle name="Heading 3 35" xfId="39257"/>
    <cellStyle name="Heading 3 36" xfId="39258"/>
    <cellStyle name="Heading 3 37" xfId="39259"/>
    <cellStyle name="Heading 3 38" xfId="39260"/>
    <cellStyle name="Heading 3 39" xfId="39261"/>
    <cellStyle name="Heading 3 4" xfId="39262"/>
    <cellStyle name="Heading 3 4 2" xfId="39263"/>
    <cellStyle name="Heading 3 4 3" xfId="39264"/>
    <cellStyle name="Heading 3 40" xfId="39265"/>
    <cellStyle name="Heading 3 41" xfId="39266"/>
    <cellStyle name="Heading 3 42" xfId="39267"/>
    <cellStyle name="Heading 3 43" xfId="39268"/>
    <cellStyle name="Heading 3 44" xfId="39269"/>
    <cellStyle name="Heading 3 45" xfId="39270"/>
    <cellStyle name="Heading 3 46" xfId="39271"/>
    <cellStyle name="Heading 3 47" xfId="39272"/>
    <cellStyle name="Heading 3 5" xfId="39273"/>
    <cellStyle name="Heading 3 5 2" xfId="39274"/>
    <cellStyle name="Heading 3 6" xfId="39275"/>
    <cellStyle name="Heading 3 6 2" xfId="39276"/>
    <cellStyle name="Heading 3 6 3" xfId="39277"/>
    <cellStyle name="Heading 3 7" xfId="39278"/>
    <cellStyle name="Heading 3 7 2" xfId="39279"/>
    <cellStyle name="Heading 3 7 3" xfId="39280"/>
    <cellStyle name="Heading 3 8" xfId="39281"/>
    <cellStyle name="Heading 3 8 2" xfId="39282"/>
    <cellStyle name="Heading 3 9" xfId="39283"/>
    <cellStyle name="Heading 3 9 2" xfId="39284"/>
    <cellStyle name="Heading 4 10" xfId="39285"/>
    <cellStyle name="Heading 4 10 2" xfId="39286"/>
    <cellStyle name="Heading 4 11" xfId="39287"/>
    <cellStyle name="Heading 4 11 2" xfId="39288"/>
    <cellStyle name="Heading 4 12" xfId="39289"/>
    <cellStyle name="Heading 4 12 2" xfId="39290"/>
    <cellStyle name="Heading 4 13" xfId="39291"/>
    <cellStyle name="Heading 4 13 2" xfId="39292"/>
    <cellStyle name="Heading 4 14" xfId="39293"/>
    <cellStyle name="Heading 4 14 2" xfId="39294"/>
    <cellStyle name="Heading 4 14 3" xfId="39295"/>
    <cellStyle name="Heading 4 15" xfId="39296"/>
    <cellStyle name="Heading 4 15 2" xfId="39297"/>
    <cellStyle name="Heading 4 16" xfId="39298"/>
    <cellStyle name="Heading 4 16 2" xfId="39299"/>
    <cellStyle name="Heading 4 17" xfId="39300"/>
    <cellStyle name="Heading 4 17 2" xfId="39301"/>
    <cellStyle name="Heading 4 18" xfId="39302"/>
    <cellStyle name="Heading 4 18 2" xfId="39303"/>
    <cellStyle name="Heading 4 19" xfId="39304"/>
    <cellStyle name="Heading 4 19 2" xfId="39305"/>
    <cellStyle name="Heading 4 2" xfId="39306"/>
    <cellStyle name="Heading 4 2 10" xfId="39307"/>
    <cellStyle name="Heading 4 2 11" xfId="39308"/>
    <cellStyle name="Heading 4 2 12" xfId="39309"/>
    <cellStyle name="Heading 4 2 13" xfId="39310"/>
    <cellStyle name="Heading 4 2 14" xfId="39311"/>
    <cellStyle name="Heading 4 2 14 2" xfId="39312"/>
    <cellStyle name="Heading 4 2 2" xfId="39313"/>
    <cellStyle name="Heading 4 2 2 2" xfId="39314"/>
    <cellStyle name="Heading 4 2 3" xfId="39315"/>
    <cellStyle name="Heading 4 2 4" xfId="39316"/>
    <cellStyle name="Heading 4 2 5" xfId="39317"/>
    <cellStyle name="Heading 4 2 6" xfId="39318"/>
    <cellStyle name="Heading 4 2 7" xfId="39319"/>
    <cellStyle name="Heading 4 2 8" xfId="39320"/>
    <cellStyle name="Heading 4 2 9" xfId="39321"/>
    <cellStyle name="Heading 4 2_Northern Rock" xfId="39322"/>
    <cellStyle name="Heading 4 20" xfId="39323"/>
    <cellStyle name="Heading 4 21" xfId="39324"/>
    <cellStyle name="Heading 4 22" xfId="39325"/>
    <cellStyle name="Heading 4 23" xfId="39326"/>
    <cellStyle name="Heading 4 24" xfId="39327"/>
    <cellStyle name="Heading 4 25" xfId="39328"/>
    <cellStyle name="Heading 4 26" xfId="39329"/>
    <cellStyle name="Heading 4 27" xfId="39330"/>
    <cellStyle name="Heading 4 28" xfId="39331"/>
    <cellStyle name="Heading 4 29" xfId="39332"/>
    <cellStyle name="Heading 4 3" xfId="39333"/>
    <cellStyle name="Heading 4 3 2" xfId="39334"/>
    <cellStyle name="Heading 4 3 2 2" xfId="39335"/>
    <cellStyle name="Heading 4 3 3" xfId="39336"/>
    <cellStyle name="Heading 4 3 4" xfId="39337"/>
    <cellStyle name="Heading 4 30" xfId="39338"/>
    <cellStyle name="Heading 4 31" xfId="39339"/>
    <cellStyle name="Heading 4 32" xfId="39340"/>
    <cellStyle name="Heading 4 33" xfId="39341"/>
    <cellStyle name="Heading 4 34" xfId="39342"/>
    <cellStyle name="Heading 4 35" xfId="39343"/>
    <cellStyle name="Heading 4 36" xfId="39344"/>
    <cellStyle name="Heading 4 37" xfId="39345"/>
    <cellStyle name="Heading 4 38" xfId="39346"/>
    <cellStyle name="Heading 4 39" xfId="39347"/>
    <cellStyle name="Heading 4 4" xfId="39348"/>
    <cellStyle name="Heading 4 4 2" xfId="39349"/>
    <cellStyle name="Heading 4 4 3" xfId="39350"/>
    <cellStyle name="Heading 4 40" xfId="39351"/>
    <cellStyle name="Heading 4 41" xfId="39352"/>
    <cellStyle name="Heading 4 42" xfId="39353"/>
    <cellStyle name="Heading 4 43" xfId="39354"/>
    <cellStyle name="Heading 4 44" xfId="39355"/>
    <cellStyle name="Heading 4 45" xfId="39356"/>
    <cellStyle name="Heading 4 46" xfId="39357"/>
    <cellStyle name="Heading 4 47" xfId="39358"/>
    <cellStyle name="Heading 4 5" xfId="39359"/>
    <cellStyle name="Heading 4 5 2" xfId="39360"/>
    <cellStyle name="Heading 4 6" xfId="39361"/>
    <cellStyle name="Heading 4 6 2" xfId="39362"/>
    <cellStyle name="Heading 4 6 3" xfId="39363"/>
    <cellStyle name="Heading 4 7" xfId="39364"/>
    <cellStyle name="Heading 4 7 2" xfId="39365"/>
    <cellStyle name="Heading 4 7 3" xfId="39366"/>
    <cellStyle name="Heading 4 8" xfId="39367"/>
    <cellStyle name="Heading 4 8 2" xfId="39368"/>
    <cellStyle name="Heading 4 9" xfId="39369"/>
    <cellStyle name="Heading 4 9 2" xfId="39370"/>
    <cellStyle name="HeadingTable" xfId="39371"/>
    <cellStyle name="highlightExposure" xfId="39372"/>
    <cellStyle name="highlightExposure 2" xfId="39373"/>
    <cellStyle name="highlightExposure 2 2" xfId="39374"/>
    <cellStyle name="highlightExposure 2 3" xfId="39375"/>
    <cellStyle name="highlightExposure 3" xfId="39376"/>
    <cellStyle name="highlightExposure 4" xfId="39377"/>
    <cellStyle name="highlightPD" xfId="39378"/>
    <cellStyle name="highlightPD 2" xfId="39379"/>
    <cellStyle name="highlightPD 3" xfId="39380"/>
    <cellStyle name="highlightPercentage" xfId="39381"/>
    <cellStyle name="highlightPercentage 2" xfId="39382"/>
    <cellStyle name="highlightPercentage 2 2" xfId="39383"/>
    <cellStyle name="highlightPercentage 2 3" xfId="39384"/>
    <cellStyle name="highlightPercentage 3" xfId="39385"/>
    <cellStyle name="highlightPercentage 4" xfId="39386"/>
    <cellStyle name="highlightText" xfId="39387"/>
    <cellStyle name="highlightText 2" xfId="39388"/>
    <cellStyle name="highlightText 2 2" xfId="39389"/>
    <cellStyle name="highlightText 3" xfId="39390"/>
    <cellStyle name="highlightText 4" xfId="39391"/>
    <cellStyle name="Hyperlink" xfId="46293" builtinId="8"/>
    <cellStyle name="Hyperlink 2" xfId="39392"/>
    <cellStyle name="Hyperlink 2 2" xfId="39393"/>
    <cellStyle name="Hyperlink 2 3" xfId="39394"/>
    <cellStyle name="Hyperlink 3" xfId="39395"/>
    <cellStyle name="Hyperlink 4" xfId="39396"/>
    <cellStyle name="In CAPTransaction" xfId="39397"/>
    <cellStyle name="Input 10" xfId="39398"/>
    <cellStyle name="Input 10 2" xfId="39399"/>
    <cellStyle name="Input 11" xfId="39400"/>
    <cellStyle name="Input 11 2" xfId="39401"/>
    <cellStyle name="Input 12" xfId="39402"/>
    <cellStyle name="Input 12 2" xfId="39403"/>
    <cellStyle name="Input 13" xfId="39404"/>
    <cellStyle name="Input 13 2" xfId="39405"/>
    <cellStyle name="Input 14" xfId="39406"/>
    <cellStyle name="Input 14 2" xfId="39407"/>
    <cellStyle name="Input 14 3" xfId="39408"/>
    <cellStyle name="Input 15" xfId="39409"/>
    <cellStyle name="Input 15 2" xfId="39410"/>
    <cellStyle name="Input 16" xfId="39411"/>
    <cellStyle name="Input 16 2" xfId="39412"/>
    <cellStyle name="Input 17" xfId="39413"/>
    <cellStyle name="Input 17 2" xfId="39414"/>
    <cellStyle name="Input 18" xfId="39415"/>
    <cellStyle name="Input 18 2" xfId="39416"/>
    <cellStyle name="Input 19" xfId="39417"/>
    <cellStyle name="Input 19 2" xfId="39418"/>
    <cellStyle name="Input 2" xfId="39419"/>
    <cellStyle name="Input 2 10" xfId="39420"/>
    <cellStyle name="Input 2 11" xfId="39421"/>
    <cellStyle name="Input 2 12" xfId="39422"/>
    <cellStyle name="Input 2 13" xfId="39423"/>
    <cellStyle name="Input 2 14" xfId="39424"/>
    <cellStyle name="Input 2 14 2" xfId="39425"/>
    <cellStyle name="Input 2 15" xfId="39426"/>
    <cellStyle name="Input 2 2" xfId="39427"/>
    <cellStyle name="Input 2 2 2" xfId="39428"/>
    <cellStyle name="Input 2 3" xfId="39429"/>
    <cellStyle name="Input 2 4" xfId="39430"/>
    <cellStyle name="Input 2 5" xfId="39431"/>
    <cellStyle name="Input 2 6" xfId="39432"/>
    <cellStyle name="Input 2 7" xfId="39433"/>
    <cellStyle name="Input 2 8" xfId="39434"/>
    <cellStyle name="Input 2 9" xfId="39435"/>
    <cellStyle name="Input 2_Northern Rock" xfId="39436"/>
    <cellStyle name="Input 20" xfId="39437"/>
    <cellStyle name="Input 21" xfId="39438"/>
    <cellStyle name="Input 22" xfId="39439"/>
    <cellStyle name="Input 23" xfId="39440"/>
    <cellStyle name="Input 24" xfId="39441"/>
    <cellStyle name="Input 25" xfId="39442"/>
    <cellStyle name="Input 26" xfId="39443"/>
    <cellStyle name="Input 27" xfId="39444"/>
    <cellStyle name="Input 28" xfId="39445"/>
    <cellStyle name="Input 29" xfId="39446"/>
    <cellStyle name="Input 3" xfId="39447"/>
    <cellStyle name="Input 3 2" xfId="39448"/>
    <cellStyle name="Input 3 2 2" xfId="39449"/>
    <cellStyle name="Input 3 3" xfId="39450"/>
    <cellStyle name="Input 3 4" xfId="39451"/>
    <cellStyle name="Input 30" xfId="39452"/>
    <cellStyle name="Input 31" xfId="39453"/>
    <cellStyle name="Input 32" xfId="39454"/>
    <cellStyle name="Input 33" xfId="39455"/>
    <cellStyle name="Input 34" xfId="39456"/>
    <cellStyle name="Input 35" xfId="39457"/>
    <cellStyle name="Input 36" xfId="39458"/>
    <cellStyle name="Input 37" xfId="39459"/>
    <cellStyle name="Input 38" xfId="39460"/>
    <cellStyle name="Input 39" xfId="39461"/>
    <cellStyle name="Input 4" xfId="39462"/>
    <cellStyle name="Input 4 2" xfId="39463"/>
    <cellStyle name="Input 4 3" xfId="39464"/>
    <cellStyle name="Input 40" xfId="39465"/>
    <cellStyle name="Input 41" xfId="39466"/>
    <cellStyle name="Input 42" xfId="39467"/>
    <cellStyle name="Input 43" xfId="39468"/>
    <cellStyle name="Input 44" xfId="39469"/>
    <cellStyle name="Input 45" xfId="39470"/>
    <cellStyle name="Input 46" xfId="39471"/>
    <cellStyle name="Input 47" xfId="39472"/>
    <cellStyle name="Input 5" xfId="39473"/>
    <cellStyle name="Input 5 2" xfId="39474"/>
    <cellStyle name="Input 6" xfId="39475"/>
    <cellStyle name="Input 6 2" xfId="39476"/>
    <cellStyle name="Input 6 3" xfId="39477"/>
    <cellStyle name="Input 7" xfId="39478"/>
    <cellStyle name="Input 7 2" xfId="39479"/>
    <cellStyle name="Input 7 3" xfId="39480"/>
    <cellStyle name="Input 8" xfId="39481"/>
    <cellStyle name="Input 8 2" xfId="39482"/>
    <cellStyle name="Input 9" xfId="39483"/>
    <cellStyle name="Input 9 2" xfId="39484"/>
    <cellStyle name="inputDate" xfId="39485"/>
    <cellStyle name="inputDate 2" xfId="39486"/>
    <cellStyle name="inputDate 3" xfId="39487"/>
    <cellStyle name="inputExposure" xfId="39488"/>
    <cellStyle name="inputExposure 2" xfId="39489"/>
    <cellStyle name="inputExposure 2 2" xfId="39490"/>
    <cellStyle name="inputExposure 2 3" xfId="39491"/>
    <cellStyle name="inputExposure 3" xfId="39492"/>
    <cellStyle name="inputExposure 4" xfId="39493"/>
    <cellStyle name="inputExposure 5" xfId="39494"/>
    <cellStyle name="inputExposure 6" xfId="39495"/>
    <cellStyle name="inputExposure_Northern Rock" xfId="39496"/>
    <cellStyle name="inputMaturity" xfId="39497"/>
    <cellStyle name="inputMaturity 2" xfId="39498"/>
    <cellStyle name="inputMaturity 3" xfId="39499"/>
    <cellStyle name="inputParameterE" xfId="39500"/>
    <cellStyle name="inputParameterE 2" xfId="39501"/>
    <cellStyle name="inputParameterE 3" xfId="39502"/>
    <cellStyle name="inputPD" xfId="39503"/>
    <cellStyle name="inputPD 2" xfId="39504"/>
    <cellStyle name="inputPD 3" xfId="39505"/>
    <cellStyle name="inputPercentage" xfId="39506"/>
    <cellStyle name="inputPercentage 2" xfId="39507"/>
    <cellStyle name="inputPercentage 3" xfId="39508"/>
    <cellStyle name="inputPercentageL" xfId="39509"/>
    <cellStyle name="inputPercentageL 2" xfId="39510"/>
    <cellStyle name="inputPercentageL 3" xfId="39511"/>
    <cellStyle name="inputPercentageS" xfId="39512"/>
    <cellStyle name="inputPercentageS 2" xfId="39513"/>
    <cellStyle name="inputPercentageS 3" xfId="39514"/>
    <cellStyle name="inputSelection" xfId="39515"/>
    <cellStyle name="inputSelection 2" xfId="39516"/>
    <cellStyle name="inputSelection 3" xfId="39517"/>
    <cellStyle name="inputText" xfId="39518"/>
    <cellStyle name="inputText 2" xfId="39519"/>
    <cellStyle name="inputText 3" xfId="39520"/>
    <cellStyle name="Komma0" xfId="39521"/>
    <cellStyle name="Level1" xfId="39522"/>
    <cellStyle name="Lines" xfId="39523"/>
    <cellStyle name="Lines 2" xfId="39524"/>
    <cellStyle name="Lines 3" xfId="39525"/>
    <cellStyle name="Lines 4" xfId="39526"/>
    <cellStyle name="Lines 5" xfId="39527"/>
    <cellStyle name="Lines 6" xfId="39528"/>
    <cellStyle name="Lines_As of Adjustments" xfId="39529"/>
    <cellStyle name="Linked Cell 10" xfId="39530"/>
    <cellStyle name="Linked Cell 10 2" xfId="39531"/>
    <cellStyle name="Linked Cell 11" xfId="39532"/>
    <cellStyle name="Linked Cell 11 2" xfId="39533"/>
    <cellStyle name="Linked Cell 12" xfId="39534"/>
    <cellStyle name="Linked Cell 12 2" xfId="39535"/>
    <cellStyle name="Linked Cell 13" xfId="39536"/>
    <cellStyle name="Linked Cell 13 2" xfId="39537"/>
    <cellStyle name="Linked Cell 14" xfId="39538"/>
    <cellStyle name="Linked Cell 14 2" xfId="39539"/>
    <cellStyle name="Linked Cell 14 3" xfId="39540"/>
    <cellStyle name="Linked Cell 15" xfId="39541"/>
    <cellStyle name="Linked Cell 15 2" xfId="39542"/>
    <cellStyle name="Linked Cell 16" xfId="39543"/>
    <cellStyle name="Linked Cell 16 2" xfId="39544"/>
    <cellStyle name="Linked Cell 17" xfId="39545"/>
    <cellStyle name="Linked Cell 17 2" xfId="39546"/>
    <cellStyle name="Linked Cell 18" xfId="39547"/>
    <cellStyle name="Linked Cell 18 2" xfId="39548"/>
    <cellStyle name="Linked Cell 19" xfId="39549"/>
    <cellStyle name="Linked Cell 19 2" xfId="39550"/>
    <cellStyle name="Linked Cell 2" xfId="39551"/>
    <cellStyle name="Linked Cell 2 10" xfId="39552"/>
    <cellStyle name="Linked Cell 2 11" xfId="39553"/>
    <cellStyle name="Linked Cell 2 12" xfId="39554"/>
    <cellStyle name="Linked Cell 2 13" xfId="39555"/>
    <cellStyle name="Linked Cell 2 14" xfId="39556"/>
    <cellStyle name="Linked Cell 2 14 2" xfId="39557"/>
    <cellStyle name="Linked Cell 2 2" xfId="39558"/>
    <cellStyle name="Linked Cell 2 2 2" xfId="39559"/>
    <cellStyle name="Linked Cell 2 3" xfId="39560"/>
    <cellStyle name="Linked Cell 2 4" xfId="39561"/>
    <cellStyle name="Linked Cell 2 5" xfId="39562"/>
    <cellStyle name="Linked Cell 2 6" xfId="39563"/>
    <cellStyle name="Linked Cell 2 7" xfId="39564"/>
    <cellStyle name="Linked Cell 2 8" xfId="39565"/>
    <cellStyle name="Linked Cell 2 9" xfId="39566"/>
    <cellStyle name="Linked Cell 2_Northern Rock" xfId="39567"/>
    <cellStyle name="Linked Cell 20" xfId="39568"/>
    <cellStyle name="Linked Cell 21" xfId="39569"/>
    <cellStyle name="Linked Cell 22" xfId="39570"/>
    <cellStyle name="Linked Cell 23" xfId="39571"/>
    <cellStyle name="Linked Cell 24" xfId="39572"/>
    <cellStyle name="Linked Cell 25" xfId="39573"/>
    <cellStyle name="Linked Cell 26" xfId="39574"/>
    <cellStyle name="Linked Cell 27" xfId="39575"/>
    <cellStyle name="Linked Cell 28" xfId="39576"/>
    <cellStyle name="Linked Cell 29" xfId="39577"/>
    <cellStyle name="Linked Cell 3" xfId="39578"/>
    <cellStyle name="Linked Cell 3 2" xfId="39579"/>
    <cellStyle name="Linked Cell 3 2 2" xfId="39580"/>
    <cellStyle name="Linked Cell 3 3" xfId="39581"/>
    <cellStyle name="Linked Cell 3 4" xfId="39582"/>
    <cellStyle name="Linked Cell 30" xfId="39583"/>
    <cellStyle name="Linked Cell 31" xfId="39584"/>
    <cellStyle name="Linked Cell 32" xfId="39585"/>
    <cellStyle name="Linked Cell 33" xfId="39586"/>
    <cellStyle name="Linked Cell 34" xfId="39587"/>
    <cellStyle name="Linked Cell 35" xfId="39588"/>
    <cellStyle name="Linked Cell 36" xfId="39589"/>
    <cellStyle name="Linked Cell 37" xfId="39590"/>
    <cellStyle name="Linked Cell 38" xfId="39591"/>
    <cellStyle name="Linked Cell 39" xfId="39592"/>
    <cellStyle name="Linked Cell 4" xfId="39593"/>
    <cellStyle name="Linked Cell 4 2" xfId="39594"/>
    <cellStyle name="Linked Cell 4 3" xfId="39595"/>
    <cellStyle name="Linked Cell 40" xfId="39596"/>
    <cellStyle name="Linked Cell 41" xfId="39597"/>
    <cellStyle name="Linked Cell 42" xfId="39598"/>
    <cellStyle name="Linked Cell 43" xfId="39599"/>
    <cellStyle name="Linked Cell 44" xfId="39600"/>
    <cellStyle name="Linked Cell 45" xfId="39601"/>
    <cellStyle name="Linked Cell 46" xfId="39602"/>
    <cellStyle name="Linked Cell 47" xfId="39603"/>
    <cellStyle name="Linked Cell 5" xfId="39604"/>
    <cellStyle name="Linked Cell 5 2" xfId="39605"/>
    <cellStyle name="Linked Cell 6" xfId="39606"/>
    <cellStyle name="Linked Cell 6 2" xfId="39607"/>
    <cellStyle name="Linked Cell 6 3" xfId="39608"/>
    <cellStyle name="Linked Cell 7" xfId="39609"/>
    <cellStyle name="Linked Cell 7 2" xfId="39610"/>
    <cellStyle name="Linked Cell 7 3" xfId="39611"/>
    <cellStyle name="Linked Cell 8" xfId="39612"/>
    <cellStyle name="Linked Cell 8 2" xfId="39613"/>
    <cellStyle name="Linked Cell 9" xfId="39614"/>
    <cellStyle name="Linked Cell 9 2" xfId="39615"/>
    <cellStyle name="Migliaia 2" xfId="39616"/>
    <cellStyle name="Money" xfId="39617"/>
    <cellStyle name="Neutral 10" xfId="39618"/>
    <cellStyle name="Neutral 10 2" xfId="39619"/>
    <cellStyle name="Neutral 11" xfId="39620"/>
    <cellStyle name="Neutral 11 2" xfId="39621"/>
    <cellStyle name="Neutral 12" xfId="39622"/>
    <cellStyle name="Neutral 12 2" xfId="39623"/>
    <cellStyle name="Neutral 13" xfId="39624"/>
    <cellStyle name="Neutral 13 2" xfId="39625"/>
    <cellStyle name="Neutral 14" xfId="39626"/>
    <cellStyle name="Neutral 14 2" xfId="39627"/>
    <cellStyle name="Neutral 14 3" xfId="39628"/>
    <cellStyle name="Neutral 15" xfId="39629"/>
    <cellStyle name="Neutral 15 2" xfId="39630"/>
    <cellStyle name="Neutral 16" xfId="39631"/>
    <cellStyle name="Neutral 16 2" xfId="39632"/>
    <cellStyle name="Neutral 17" xfId="39633"/>
    <cellStyle name="Neutral 17 2" xfId="39634"/>
    <cellStyle name="Neutral 18" xfId="39635"/>
    <cellStyle name="Neutral 18 2" xfId="39636"/>
    <cellStyle name="Neutral 19" xfId="39637"/>
    <cellStyle name="Neutral 19 2" xfId="39638"/>
    <cellStyle name="Neutral 2" xfId="39639"/>
    <cellStyle name="Neutral 2 10" xfId="39640"/>
    <cellStyle name="Neutral 2 11" xfId="39641"/>
    <cellStyle name="Neutral 2 12" xfId="39642"/>
    <cellStyle name="Neutral 2 13" xfId="39643"/>
    <cellStyle name="Neutral 2 14" xfId="39644"/>
    <cellStyle name="Neutral 2 14 2" xfId="39645"/>
    <cellStyle name="Neutral 2 2" xfId="39646"/>
    <cellStyle name="Neutral 2 2 2" xfId="39647"/>
    <cellStyle name="Neutral 2 3" xfId="39648"/>
    <cellStyle name="Neutral 2 4" xfId="39649"/>
    <cellStyle name="Neutral 2 5" xfId="39650"/>
    <cellStyle name="Neutral 2 6" xfId="39651"/>
    <cellStyle name="Neutral 2 7" xfId="39652"/>
    <cellStyle name="Neutral 2 8" xfId="39653"/>
    <cellStyle name="Neutral 2 9" xfId="39654"/>
    <cellStyle name="Neutral 2_Northern Rock" xfId="39655"/>
    <cellStyle name="Neutral 20" xfId="39656"/>
    <cellStyle name="Neutral 21" xfId="39657"/>
    <cellStyle name="Neutral 22" xfId="39658"/>
    <cellStyle name="Neutral 23" xfId="39659"/>
    <cellStyle name="Neutral 24" xfId="39660"/>
    <cellStyle name="Neutral 25" xfId="39661"/>
    <cellStyle name="Neutral 26" xfId="39662"/>
    <cellStyle name="Neutral 27" xfId="39663"/>
    <cellStyle name="Neutral 28" xfId="39664"/>
    <cellStyle name="Neutral 29" xfId="39665"/>
    <cellStyle name="Neutral 3" xfId="39666"/>
    <cellStyle name="Neutral 3 2" xfId="39667"/>
    <cellStyle name="Neutral 3 2 2" xfId="39668"/>
    <cellStyle name="Neutral 3 3" xfId="39669"/>
    <cellStyle name="Neutral 3 4" xfId="39670"/>
    <cellStyle name="Neutral 30" xfId="39671"/>
    <cellStyle name="Neutral 31" xfId="39672"/>
    <cellStyle name="Neutral 32" xfId="39673"/>
    <cellStyle name="Neutral 33" xfId="39674"/>
    <cellStyle name="Neutral 34" xfId="39675"/>
    <cellStyle name="Neutral 35" xfId="39676"/>
    <cellStyle name="Neutral 36" xfId="39677"/>
    <cellStyle name="Neutral 37" xfId="39678"/>
    <cellStyle name="Neutral 38" xfId="39679"/>
    <cellStyle name="Neutral 39" xfId="39680"/>
    <cellStyle name="Neutral 4" xfId="39681"/>
    <cellStyle name="Neutral 4 2" xfId="39682"/>
    <cellStyle name="Neutral 4 3" xfId="39683"/>
    <cellStyle name="Neutral 40" xfId="39684"/>
    <cellStyle name="Neutral 41" xfId="39685"/>
    <cellStyle name="Neutral 42" xfId="39686"/>
    <cellStyle name="Neutral 43" xfId="39687"/>
    <cellStyle name="Neutral 44" xfId="39688"/>
    <cellStyle name="Neutral 45" xfId="39689"/>
    <cellStyle name="Neutral 46" xfId="39690"/>
    <cellStyle name="Neutral 47" xfId="39691"/>
    <cellStyle name="Neutral 5" xfId="39692"/>
    <cellStyle name="Neutral 5 2" xfId="39693"/>
    <cellStyle name="Neutral 6" xfId="39694"/>
    <cellStyle name="Neutral 6 2" xfId="39695"/>
    <cellStyle name="Neutral 6 3" xfId="39696"/>
    <cellStyle name="Neutral 7" xfId="39697"/>
    <cellStyle name="Neutral 7 2" xfId="39698"/>
    <cellStyle name="Neutral 7 3" xfId="39699"/>
    <cellStyle name="Neutral 8" xfId="39700"/>
    <cellStyle name="Neutral 8 2" xfId="39701"/>
    <cellStyle name="Neutral 9" xfId="39702"/>
    <cellStyle name="Neutral 9 2" xfId="39703"/>
    <cellStyle name="No Border" xfId="39704"/>
    <cellStyle name="Normal" xfId="0" builtinId="0"/>
    <cellStyle name="Normal - Style1" xfId="39705"/>
    <cellStyle name="Normal - Style1 2" xfId="39706"/>
    <cellStyle name="Normal 10" xfId="39707"/>
    <cellStyle name="Normal 10 10" xfId="39708"/>
    <cellStyle name="Normal 10 10 2" xfId="39709"/>
    <cellStyle name="Normal 10 10 3" xfId="39710"/>
    <cellStyle name="Normal 10 11" xfId="39711"/>
    <cellStyle name="Normal 10 11 2" xfId="39712"/>
    <cellStyle name="Normal 10 12" xfId="39713"/>
    <cellStyle name="Normal 10 13" xfId="39714"/>
    <cellStyle name="Normal 10 14" xfId="39715"/>
    <cellStyle name="Normal 10 2" xfId="39716"/>
    <cellStyle name="Normal 10 2 10" xfId="39717"/>
    <cellStyle name="Normal 10 2 11" xfId="39718"/>
    <cellStyle name="Normal 10 2 2" xfId="39719"/>
    <cellStyle name="Normal 10 2 2 10" xfId="39720"/>
    <cellStyle name="Normal 10 2 2 2" xfId="39721"/>
    <cellStyle name="Normal 10 2 2 2 2" xfId="39722"/>
    <cellStyle name="Normal 10 2 2 2 2 2" xfId="39723"/>
    <cellStyle name="Normal 10 2 2 2 2 3" xfId="39724"/>
    <cellStyle name="Normal 10 2 2 2 2 4" xfId="39725"/>
    <cellStyle name="Normal 10 2 2 2 2 5" xfId="39726"/>
    <cellStyle name="Normal 10 2 2 2 3" xfId="39727"/>
    <cellStyle name="Normal 10 2 2 2 3 2" xfId="39728"/>
    <cellStyle name="Normal 10 2 2 2 3 3" xfId="39729"/>
    <cellStyle name="Normal 10 2 2 2 4" xfId="39730"/>
    <cellStyle name="Normal 10 2 2 2 4 2" xfId="39731"/>
    <cellStyle name="Normal 10 2 2 2 5" xfId="39732"/>
    <cellStyle name="Normal 10 2 2 2 6" xfId="39733"/>
    <cellStyle name="Normal 10 2 2 2 7" xfId="39734"/>
    <cellStyle name="Normal 10 2 2 3" xfId="39735"/>
    <cellStyle name="Normal 10 2 2 3 2" xfId="39736"/>
    <cellStyle name="Normal 10 2 2 3 2 2" xfId="39737"/>
    <cellStyle name="Normal 10 2 2 3 2 3" xfId="39738"/>
    <cellStyle name="Normal 10 2 2 3 2 4" xfId="39739"/>
    <cellStyle name="Normal 10 2 2 3 3" xfId="39740"/>
    <cellStyle name="Normal 10 2 2 3 3 2" xfId="39741"/>
    <cellStyle name="Normal 10 2 2 3 3 3" xfId="39742"/>
    <cellStyle name="Normal 10 2 2 3 4" xfId="39743"/>
    <cellStyle name="Normal 10 2 2 3 4 2" xfId="39744"/>
    <cellStyle name="Normal 10 2 2 3 5" xfId="39745"/>
    <cellStyle name="Normal 10 2 2 3 6" xfId="39746"/>
    <cellStyle name="Normal 10 2 2 3 7" xfId="39747"/>
    <cellStyle name="Normal 10 2 2 4" xfId="39748"/>
    <cellStyle name="Normal 10 2 2 4 2" xfId="39749"/>
    <cellStyle name="Normal 10 2 2 4 2 2" xfId="39750"/>
    <cellStyle name="Normal 10 2 2 4 2 3" xfId="39751"/>
    <cellStyle name="Normal 10 2 2 4 2 4" xfId="39752"/>
    <cellStyle name="Normal 10 2 2 4 3" xfId="39753"/>
    <cellStyle name="Normal 10 2 2 4 3 2" xfId="39754"/>
    <cellStyle name="Normal 10 2 2 4 3 3" xfId="39755"/>
    <cellStyle name="Normal 10 2 2 4 4" xfId="39756"/>
    <cellStyle name="Normal 10 2 2 4 4 2" xfId="39757"/>
    <cellStyle name="Normal 10 2 2 4 5" xfId="39758"/>
    <cellStyle name="Normal 10 2 2 4 6" xfId="39759"/>
    <cellStyle name="Normal 10 2 2 4 7" xfId="39760"/>
    <cellStyle name="Normal 10 2 2 5" xfId="39761"/>
    <cellStyle name="Normal 10 2 2 5 2" xfId="39762"/>
    <cellStyle name="Normal 10 2 2 5 3" xfId="39763"/>
    <cellStyle name="Normal 10 2 2 6" xfId="39764"/>
    <cellStyle name="Normal 10 2 2 6 2" xfId="39765"/>
    <cellStyle name="Normal 10 2 2 6 3" xfId="39766"/>
    <cellStyle name="Normal 10 2 2 7" xfId="39767"/>
    <cellStyle name="Normal 10 2 2 7 2" xfId="39768"/>
    <cellStyle name="Normal 10 2 2 8" xfId="39769"/>
    <cellStyle name="Normal 10 2 2 9" xfId="39770"/>
    <cellStyle name="Normal 10 2 3" xfId="39771"/>
    <cellStyle name="Normal 10 2 3 2" xfId="39772"/>
    <cellStyle name="Normal 10 2 3 2 2" xfId="39773"/>
    <cellStyle name="Normal 10 2 3 2 3" xfId="39774"/>
    <cellStyle name="Normal 10 2 3 2 4" xfId="39775"/>
    <cellStyle name="Normal 10 2 3 2 5" xfId="39776"/>
    <cellStyle name="Normal 10 2 3 3" xfId="39777"/>
    <cellStyle name="Normal 10 2 3 3 2" xfId="39778"/>
    <cellStyle name="Normal 10 2 3 3 3" xfId="39779"/>
    <cellStyle name="Normal 10 2 3 4" xfId="39780"/>
    <cellStyle name="Normal 10 2 3 4 2" xfId="39781"/>
    <cellStyle name="Normal 10 2 3 5" xfId="39782"/>
    <cellStyle name="Normal 10 2 3 6" xfId="39783"/>
    <cellStyle name="Normal 10 2 3 7" xfId="39784"/>
    <cellStyle name="Normal 10 2 4" xfId="39785"/>
    <cellStyle name="Normal 10 2 4 2" xfId="39786"/>
    <cellStyle name="Normal 10 2 4 2 2" xfId="39787"/>
    <cellStyle name="Normal 10 2 4 2 3" xfId="39788"/>
    <cellStyle name="Normal 10 2 4 2 4" xfId="39789"/>
    <cellStyle name="Normal 10 2 4 3" xfId="39790"/>
    <cellStyle name="Normal 10 2 4 3 2" xfId="39791"/>
    <cellStyle name="Normal 10 2 4 3 3" xfId="39792"/>
    <cellStyle name="Normal 10 2 4 4" xfId="39793"/>
    <cellStyle name="Normal 10 2 4 4 2" xfId="39794"/>
    <cellStyle name="Normal 10 2 4 5" xfId="39795"/>
    <cellStyle name="Normal 10 2 4 6" xfId="39796"/>
    <cellStyle name="Normal 10 2 4 7" xfId="39797"/>
    <cellStyle name="Normal 10 2 5" xfId="39798"/>
    <cellStyle name="Normal 10 2 5 2" xfId="39799"/>
    <cellStyle name="Normal 10 2 5 2 2" xfId="39800"/>
    <cellStyle name="Normal 10 2 5 2 3" xfId="39801"/>
    <cellStyle name="Normal 10 2 5 2 4" xfId="39802"/>
    <cellStyle name="Normal 10 2 5 3" xfId="39803"/>
    <cellStyle name="Normal 10 2 5 3 2" xfId="39804"/>
    <cellStyle name="Normal 10 2 5 3 3" xfId="39805"/>
    <cellStyle name="Normal 10 2 5 4" xfId="39806"/>
    <cellStyle name="Normal 10 2 5 4 2" xfId="39807"/>
    <cellStyle name="Normal 10 2 5 5" xfId="39808"/>
    <cellStyle name="Normal 10 2 5 6" xfId="39809"/>
    <cellStyle name="Normal 10 2 5 7" xfId="39810"/>
    <cellStyle name="Normal 10 2 6" xfId="39811"/>
    <cellStyle name="Normal 10 2 6 2" xfId="39812"/>
    <cellStyle name="Normal 10 2 6 3" xfId="39813"/>
    <cellStyle name="Normal 10 2 7" xfId="39814"/>
    <cellStyle name="Normal 10 2 7 2" xfId="39815"/>
    <cellStyle name="Normal 10 2 7 3" xfId="39816"/>
    <cellStyle name="Normal 10 2 8" xfId="39817"/>
    <cellStyle name="Normal 10 2 8 2" xfId="39818"/>
    <cellStyle name="Normal 10 2 9" xfId="39819"/>
    <cellStyle name="Normal 10 3" xfId="39820"/>
    <cellStyle name="Normal 10 3 10" xfId="39821"/>
    <cellStyle name="Normal 10 3 2" xfId="39822"/>
    <cellStyle name="Normal 10 3 2 2" xfId="39823"/>
    <cellStyle name="Normal 10 3 2 2 2" xfId="39824"/>
    <cellStyle name="Normal 10 3 2 2 3" xfId="39825"/>
    <cellStyle name="Normal 10 3 2 2 4" xfId="39826"/>
    <cellStyle name="Normal 10 3 2 2 5" xfId="39827"/>
    <cellStyle name="Normal 10 3 2 3" xfId="39828"/>
    <cellStyle name="Normal 10 3 2 3 2" xfId="39829"/>
    <cellStyle name="Normal 10 3 2 3 3" xfId="39830"/>
    <cellStyle name="Normal 10 3 2 4" xfId="39831"/>
    <cellStyle name="Normal 10 3 2 4 2" xfId="39832"/>
    <cellStyle name="Normal 10 3 2 5" xfId="39833"/>
    <cellStyle name="Normal 10 3 2 6" xfId="39834"/>
    <cellStyle name="Normal 10 3 2 7" xfId="39835"/>
    <cellStyle name="Normal 10 3 3" xfId="39836"/>
    <cellStyle name="Normal 10 3 3 2" xfId="39837"/>
    <cellStyle name="Normal 10 3 3 2 2" xfId="39838"/>
    <cellStyle name="Normal 10 3 3 2 3" xfId="39839"/>
    <cellStyle name="Normal 10 3 3 2 4" xfId="39840"/>
    <cellStyle name="Normal 10 3 3 3" xfId="39841"/>
    <cellStyle name="Normal 10 3 3 3 2" xfId="39842"/>
    <cellStyle name="Normal 10 3 3 3 3" xfId="39843"/>
    <cellStyle name="Normal 10 3 3 4" xfId="39844"/>
    <cellStyle name="Normal 10 3 3 4 2" xfId="39845"/>
    <cellStyle name="Normal 10 3 3 5" xfId="39846"/>
    <cellStyle name="Normal 10 3 3 6" xfId="39847"/>
    <cellStyle name="Normal 10 3 3 7" xfId="39848"/>
    <cellStyle name="Normal 10 3 4" xfId="39849"/>
    <cellStyle name="Normal 10 3 4 2" xfId="39850"/>
    <cellStyle name="Normal 10 3 4 2 2" xfId="39851"/>
    <cellStyle name="Normal 10 3 4 2 3" xfId="39852"/>
    <cellStyle name="Normal 10 3 4 2 4" xfId="39853"/>
    <cellStyle name="Normal 10 3 4 3" xfId="39854"/>
    <cellStyle name="Normal 10 3 4 3 2" xfId="39855"/>
    <cellStyle name="Normal 10 3 4 3 3" xfId="39856"/>
    <cellStyle name="Normal 10 3 4 4" xfId="39857"/>
    <cellStyle name="Normal 10 3 4 4 2" xfId="39858"/>
    <cellStyle name="Normal 10 3 4 5" xfId="39859"/>
    <cellStyle name="Normal 10 3 4 6" xfId="39860"/>
    <cellStyle name="Normal 10 3 4 7" xfId="39861"/>
    <cellStyle name="Normal 10 3 5" xfId="39862"/>
    <cellStyle name="Normal 10 3 5 2" xfId="39863"/>
    <cellStyle name="Normal 10 3 5 3" xfId="39864"/>
    <cellStyle name="Normal 10 3 6" xfId="39865"/>
    <cellStyle name="Normal 10 3 6 2" xfId="39866"/>
    <cellStyle name="Normal 10 3 6 3" xfId="39867"/>
    <cellStyle name="Normal 10 3 7" xfId="39868"/>
    <cellStyle name="Normal 10 3 7 2" xfId="39869"/>
    <cellStyle name="Normal 10 3 8" xfId="39870"/>
    <cellStyle name="Normal 10 3 9" xfId="39871"/>
    <cellStyle name="Normal 10 4" xfId="39872"/>
    <cellStyle name="Normal 10 4 2" xfId="39873"/>
    <cellStyle name="Normal 10 4 2 2" xfId="39874"/>
    <cellStyle name="Normal 10 4 2 3" xfId="39875"/>
    <cellStyle name="Normal 10 4 2 4" xfId="39876"/>
    <cellStyle name="Normal 10 4 2 5" xfId="39877"/>
    <cellStyle name="Normal 10 4 3" xfId="39878"/>
    <cellStyle name="Normal 10 4 3 2" xfId="39879"/>
    <cellStyle name="Normal 10 4 3 3" xfId="39880"/>
    <cellStyle name="Normal 10 4 4" xfId="39881"/>
    <cellStyle name="Normal 10 4 4 2" xfId="39882"/>
    <cellStyle name="Normal 10 4 5" xfId="39883"/>
    <cellStyle name="Normal 10 4 6" xfId="39884"/>
    <cellStyle name="Normal 10 4 7" xfId="39885"/>
    <cellStyle name="Normal 10 5" xfId="39886"/>
    <cellStyle name="Normal 10 5 2" xfId="5"/>
    <cellStyle name="Normal 10 5 2 2" xfId="39887"/>
    <cellStyle name="Normal 10 5 2 3" xfId="39888"/>
    <cellStyle name="Normal 10 5 2 4" xfId="39889"/>
    <cellStyle name="Normal 10 5 3" xfId="39890"/>
    <cellStyle name="Normal 10 5 3 2" xfId="39891"/>
    <cellStyle name="Normal 10 5 3 3" xfId="39892"/>
    <cellStyle name="Normal 10 5 3 4" xfId="39893"/>
    <cellStyle name="Normal 10 5 4" xfId="39894"/>
    <cellStyle name="Normal 10 5 4 2" xfId="39895"/>
    <cellStyle name="Normal 10 5 5" xfId="39896"/>
    <cellStyle name="Normal 10 5 6" xfId="39897"/>
    <cellStyle name="Normal 10 5 7" xfId="39898"/>
    <cellStyle name="Normal 10 6" xfId="39899"/>
    <cellStyle name="Normal 10 6 2" xfId="39900"/>
    <cellStyle name="Normal 10 6 2 2" xfId="39901"/>
    <cellStyle name="Normal 10 6 2 3" xfId="39902"/>
    <cellStyle name="Normal 10 6 2 4" xfId="39903"/>
    <cellStyle name="Normal 10 6 3" xfId="39904"/>
    <cellStyle name="Normal 10 6 3 2" xfId="39905"/>
    <cellStyle name="Normal 10 6 3 3" xfId="39906"/>
    <cellStyle name="Normal 10 6 4" xfId="39907"/>
    <cellStyle name="Normal 10 6 4 2" xfId="39908"/>
    <cellStyle name="Normal 10 6 5" xfId="39909"/>
    <cellStyle name="Normal 10 6 6" xfId="39910"/>
    <cellStyle name="Normal 10 6 7" xfId="39911"/>
    <cellStyle name="Normal 10 7" xfId="39912"/>
    <cellStyle name="Normal 10 7 2" xfId="39913"/>
    <cellStyle name="Normal 10 7 2 2" xfId="39914"/>
    <cellStyle name="Normal 10 7 2 3" xfId="39915"/>
    <cellStyle name="Normal 10 7 2 4" xfId="39916"/>
    <cellStyle name="Normal 10 7 3" xfId="39917"/>
    <cellStyle name="Normal 10 7 3 2" xfId="39918"/>
    <cellStyle name="Normal 10 7 3 3" xfId="39919"/>
    <cellStyle name="Normal 10 7 4" xfId="39920"/>
    <cellStyle name="Normal 10 7 4 2" xfId="39921"/>
    <cellStyle name="Normal 10 7 5" xfId="39922"/>
    <cellStyle name="Normal 10 7 6" xfId="39923"/>
    <cellStyle name="Normal 10 7 7" xfId="39924"/>
    <cellStyle name="Normal 10 8" xfId="39925"/>
    <cellStyle name="Normal 10 8 2" xfId="39926"/>
    <cellStyle name="Normal 10 8 2 2" xfId="39927"/>
    <cellStyle name="Normal 10 8 2 3" xfId="39928"/>
    <cellStyle name="Normal 10 8 2 4" xfId="39929"/>
    <cellStyle name="Normal 10 8 3" xfId="39930"/>
    <cellStyle name="Normal 10 8 3 2" xfId="39931"/>
    <cellStyle name="Normal 10 8 3 3" xfId="39932"/>
    <cellStyle name="Normal 10 8 4" xfId="39933"/>
    <cellStyle name="Normal 10 8 4 2" xfId="39934"/>
    <cellStyle name="Normal 10 8 5" xfId="39935"/>
    <cellStyle name="Normal 10 8 6" xfId="39936"/>
    <cellStyle name="Normal 10 8 7" xfId="39937"/>
    <cellStyle name="Normal 10 8 8" xfId="39938"/>
    <cellStyle name="Normal 10 9" xfId="39939"/>
    <cellStyle name="Normal 10 9 2" xfId="39940"/>
    <cellStyle name="Normal 10 9 3" xfId="39941"/>
    <cellStyle name="Normal 10_Northern Rock" xfId="39942"/>
    <cellStyle name="Normal 100" xfId="39943"/>
    <cellStyle name="Normal 101" xfId="39944"/>
    <cellStyle name="Normal 102" xfId="39945"/>
    <cellStyle name="Normal 103" xfId="39946"/>
    <cellStyle name="Normal 104" xfId="39947"/>
    <cellStyle name="Normal 105" xfId="39948"/>
    <cellStyle name="Normal 106" xfId="39949"/>
    <cellStyle name="Normal 107" xfId="39950"/>
    <cellStyle name="Normal 108" xfId="39951"/>
    <cellStyle name="Normal 109" xfId="39952"/>
    <cellStyle name="Normal 11" xfId="39953"/>
    <cellStyle name="Normal 11 10" xfId="39954"/>
    <cellStyle name="Normal 11 2" xfId="39955"/>
    <cellStyle name="Normal 11 2 2" xfId="39956"/>
    <cellStyle name="Normal 11 2 2 2" xfId="39957"/>
    <cellStyle name="Normal 11 2 2 2 2" xfId="39958"/>
    <cellStyle name="Normal 11 2 2 2 2 2" xfId="39959"/>
    <cellStyle name="Normal 11 2 2 3" xfId="39960"/>
    <cellStyle name="Normal 11 2 2 3 2" xfId="39961"/>
    <cellStyle name="Normal 11 2 3" xfId="39962"/>
    <cellStyle name="Normal 11 2 3 2" xfId="39963"/>
    <cellStyle name="Normal 11 2 3 2 2" xfId="39964"/>
    <cellStyle name="Normal 11 2 4" xfId="39965"/>
    <cellStyle name="Normal 11 2 4 2" xfId="39966"/>
    <cellStyle name="Normal 11 2 5" xfId="39967"/>
    <cellStyle name="Normal 11 3" xfId="39968"/>
    <cellStyle name="Normal 11 3 2" xfId="39969"/>
    <cellStyle name="Normal 11 3 2 2" xfId="39970"/>
    <cellStyle name="Normal 11 3 2 2 2" xfId="39971"/>
    <cellStyle name="Normal 11 3 3" xfId="39972"/>
    <cellStyle name="Normal 11 3 3 2" xfId="39973"/>
    <cellStyle name="Normal 11 3 4" xfId="39974"/>
    <cellStyle name="Normal 11 4" xfId="39975"/>
    <cellStyle name="Normal 11 4 2" xfId="39976"/>
    <cellStyle name="Normal 11 4 2 2" xfId="39977"/>
    <cellStyle name="Normal 11 4 3" xfId="39978"/>
    <cellStyle name="Normal 11 4 4" xfId="39979"/>
    <cellStyle name="Normal 11 4 5" xfId="39980"/>
    <cellStyle name="Normal 11 5" xfId="39981"/>
    <cellStyle name="Normal 11 5 2" xfId="39982"/>
    <cellStyle name="Normal 11 5 3" xfId="39983"/>
    <cellStyle name="Normal 11 5 4" xfId="39984"/>
    <cellStyle name="Normal 11 5 5" xfId="39985"/>
    <cellStyle name="Normal 11 6" xfId="39986"/>
    <cellStyle name="Normal 11 6 2" xfId="39987"/>
    <cellStyle name="Normal 11 7" xfId="39988"/>
    <cellStyle name="Normal 11 8" xfId="39989"/>
    <cellStyle name="Normal 11 9" xfId="39990"/>
    <cellStyle name="Normal 11_Northern Rock" xfId="39991"/>
    <cellStyle name="Normal 110" xfId="39992"/>
    <cellStyle name="Normal 111" xfId="39993"/>
    <cellStyle name="Normal 112" xfId="39994"/>
    <cellStyle name="Normal 113" xfId="39995"/>
    <cellStyle name="Normal 114" xfId="39996"/>
    <cellStyle name="Normal 115" xfId="39997"/>
    <cellStyle name="Normal 116" xfId="39998"/>
    <cellStyle name="Normal 117" xfId="39999"/>
    <cellStyle name="Normal 118" xfId="40000"/>
    <cellStyle name="Normal 119" xfId="40001"/>
    <cellStyle name="Normal 12" xfId="40002"/>
    <cellStyle name="Normal 12 2" xfId="40003"/>
    <cellStyle name="Normal 12 3" xfId="40004"/>
    <cellStyle name="Normal 120" xfId="40005"/>
    <cellStyle name="Normal 121" xfId="40006"/>
    <cellStyle name="Normal 122" xfId="40007"/>
    <cellStyle name="Normal 123" xfId="40008"/>
    <cellStyle name="Normal 124" xfId="40009"/>
    <cellStyle name="Normal 125" xfId="40010"/>
    <cellStyle name="Normal 126" xfId="40011"/>
    <cellStyle name="Normal 127" xfId="40012"/>
    <cellStyle name="Normal 128" xfId="40013"/>
    <cellStyle name="Normal 129" xfId="40014"/>
    <cellStyle name="Normal 13" xfId="40015"/>
    <cellStyle name="Normal 13 10" xfId="40016"/>
    <cellStyle name="Normal 13 11" xfId="40017"/>
    <cellStyle name="Normal 13 2" xfId="40018"/>
    <cellStyle name="Normal 13 2 10" xfId="40019"/>
    <cellStyle name="Normal 13 2 2" xfId="40020"/>
    <cellStyle name="Normal 13 2 2 2" xfId="40021"/>
    <cellStyle name="Normal 13 2 2 2 2" xfId="40022"/>
    <cellStyle name="Normal 13 2 2 2 3" xfId="40023"/>
    <cellStyle name="Normal 13 2 2 2 4" xfId="40024"/>
    <cellStyle name="Normal 13 2 2 3" xfId="40025"/>
    <cellStyle name="Normal 13 2 2 3 2" xfId="40026"/>
    <cellStyle name="Normal 13 2 2 3 3" xfId="40027"/>
    <cellStyle name="Normal 13 2 2 4" xfId="40028"/>
    <cellStyle name="Normal 13 2 2 4 2" xfId="40029"/>
    <cellStyle name="Normal 13 2 2 5" xfId="40030"/>
    <cellStyle name="Normal 13 2 2 6" xfId="40031"/>
    <cellStyle name="Normal 13 2 2 7" xfId="40032"/>
    <cellStyle name="Normal 13 2 3" xfId="40033"/>
    <cellStyle name="Normal 13 2 3 2" xfId="40034"/>
    <cellStyle name="Normal 13 2 3 2 2" xfId="40035"/>
    <cellStyle name="Normal 13 2 3 2 3" xfId="40036"/>
    <cellStyle name="Normal 13 2 3 2 4" xfId="40037"/>
    <cellStyle name="Normal 13 2 3 3" xfId="40038"/>
    <cellStyle name="Normal 13 2 3 3 2" xfId="40039"/>
    <cellStyle name="Normal 13 2 3 3 3" xfId="40040"/>
    <cellStyle name="Normal 13 2 3 4" xfId="40041"/>
    <cellStyle name="Normal 13 2 3 4 2" xfId="40042"/>
    <cellStyle name="Normal 13 2 3 5" xfId="40043"/>
    <cellStyle name="Normal 13 2 3 6" xfId="40044"/>
    <cellStyle name="Normal 13 2 3 7" xfId="40045"/>
    <cellStyle name="Normal 13 2 4" xfId="40046"/>
    <cellStyle name="Normal 13 2 4 2" xfId="40047"/>
    <cellStyle name="Normal 13 2 4 2 2" xfId="40048"/>
    <cellStyle name="Normal 13 2 4 2 3" xfId="40049"/>
    <cellStyle name="Normal 13 2 4 2 4" xfId="40050"/>
    <cellStyle name="Normal 13 2 4 3" xfId="40051"/>
    <cellStyle name="Normal 13 2 4 3 2" xfId="40052"/>
    <cellStyle name="Normal 13 2 4 3 3" xfId="40053"/>
    <cellStyle name="Normal 13 2 4 4" xfId="40054"/>
    <cellStyle name="Normal 13 2 4 4 2" xfId="40055"/>
    <cellStyle name="Normal 13 2 4 5" xfId="40056"/>
    <cellStyle name="Normal 13 2 4 6" xfId="40057"/>
    <cellStyle name="Normal 13 2 4 7" xfId="40058"/>
    <cellStyle name="Normal 13 2 5" xfId="40059"/>
    <cellStyle name="Normal 13 2 5 2" xfId="40060"/>
    <cellStyle name="Normal 13 2 5 3" xfId="40061"/>
    <cellStyle name="Normal 13 2 6" xfId="40062"/>
    <cellStyle name="Normal 13 2 6 2" xfId="40063"/>
    <cellStyle name="Normal 13 2 6 3" xfId="40064"/>
    <cellStyle name="Normal 13 2 7" xfId="40065"/>
    <cellStyle name="Normal 13 2 7 2" xfId="40066"/>
    <cellStyle name="Normal 13 2 8" xfId="40067"/>
    <cellStyle name="Normal 13 2 9" xfId="40068"/>
    <cellStyle name="Normal 13 3" xfId="40069"/>
    <cellStyle name="Normal 13 3 2" xfId="40070"/>
    <cellStyle name="Normal 13 3 2 2" xfId="40071"/>
    <cellStyle name="Normal 13 3 2 3" xfId="40072"/>
    <cellStyle name="Normal 13 3 2 4" xfId="40073"/>
    <cellStyle name="Normal 13 3 3" xfId="40074"/>
    <cellStyle name="Normal 13 3 3 2" xfId="40075"/>
    <cellStyle name="Normal 13 3 3 3" xfId="40076"/>
    <cellStyle name="Normal 13 3 4" xfId="40077"/>
    <cellStyle name="Normal 13 3 4 2" xfId="40078"/>
    <cellStyle name="Normal 13 3 5" xfId="40079"/>
    <cellStyle name="Normal 13 3 6" xfId="40080"/>
    <cellStyle name="Normal 13 3 7" xfId="40081"/>
    <cellStyle name="Normal 13 4" xfId="40082"/>
    <cellStyle name="Normal 13 4 2" xfId="40083"/>
    <cellStyle name="Normal 13 4 2 2" xfId="40084"/>
    <cellStyle name="Normal 13 4 2 3" xfId="40085"/>
    <cellStyle name="Normal 13 4 2 4" xfId="40086"/>
    <cellStyle name="Normal 13 4 3" xfId="40087"/>
    <cellStyle name="Normal 13 4 3 2" xfId="40088"/>
    <cellStyle name="Normal 13 4 3 3" xfId="40089"/>
    <cellStyle name="Normal 13 4 4" xfId="40090"/>
    <cellStyle name="Normal 13 4 4 2" xfId="40091"/>
    <cellStyle name="Normal 13 4 5" xfId="40092"/>
    <cellStyle name="Normal 13 4 6" xfId="40093"/>
    <cellStyle name="Normal 13 4 7" xfId="40094"/>
    <cellStyle name="Normal 13 5" xfId="40095"/>
    <cellStyle name="Normal 13 5 2" xfId="40096"/>
    <cellStyle name="Normal 13 5 2 2" xfId="40097"/>
    <cellStyle name="Normal 13 5 2 3" xfId="40098"/>
    <cellStyle name="Normal 13 5 2 4" xfId="40099"/>
    <cellStyle name="Normal 13 5 3" xfId="40100"/>
    <cellStyle name="Normal 13 5 3 2" xfId="40101"/>
    <cellStyle name="Normal 13 5 3 3" xfId="40102"/>
    <cellStyle name="Normal 13 5 4" xfId="40103"/>
    <cellStyle name="Normal 13 5 4 2" xfId="40104"/>
    <cellStyle name="Normal 13 5 5" xfId="40105"/>
    <cellStyle name="Normal 13 5 6" xfId="40106"/>
    <cellStyle name="Normal 13 5 7" xfId="40107"/>
    <cellStyle name="Normal 13 6" xfId="40108"/>
    <cellStyle name="Normal 13 6 2" xfId="40109"/>
    <cellStyle name="Normal 13 6 3" xfId="40110"/>
    <cellStyle name="Normal 13 7" xfId="40111"/>
    <cellStyle name="Normal 13 7 2" xfId="40112"/>
    <cellStyle name="Normal 13 7 3" xfId="40113"/>
    <cellStyle name="Normal 13 8" xfId="40114"/>
    <cellStyle name="Normal 13 8 2" xfId="40115"/>
    <cellStyle name="Normal 13 9" xfId="40116"/>
    <cellStyle name="Normal 13_Northern Rock" xfId="40117"/>
    <cellStyle name="Normal 130" xfId="40118"/>
    <cellStyle name="Normal 131" xfId="40119"/>
    <cellStyle name="Normal 132" xfId="40120"/>
    <cellStyle name="Normal 133" xfId="40121"/>
    <cellStyle name="Normal 134" xfId="40122"/>
    <cellStyle name="Normal 135" xfId="40123"/>
    <cellStyle name="Normal 136" xfId="40124"/>
    <cellStyle name="Normal 137" xfId="40125"/>
    <cellStyle name="Normal 138" xfId="3"/>
    <cellStyle name="Normal 14" xfId="40126"/>
    <cellStyle name="Normal 14 10" xfId="40127"/>
    <cellStyle name="Normal 14 11" xfId="40128"/>
    <cellStyle name="Normal 14 2" xfId="40129"/>
    <cellStyle name="Normal 14 2 10" xfId="40130"/>
    <cellStyle name="Normal 14 2 2" xfId="40131"/>
    <cellStyle name="Normal 14 2 2 2" xfId="40132"/>
    <cellStyle name="Normal 14 2 2 2 2" xfId="40133"/>
    <cellStyle name="Normal 14 2 2 2 3" xfId="40134"/>
    <cellStyle name="Normal 14 2 2 2 4" xfId="40135"/>
    <cellStyle name="Normal 14 2 2 3" xfId="40136"/>
    <cellStyle name="Normal 14 2 2 3 2" xfId="40137"/>
    <cellStyle name="Normal 14 2 2 3 3" xfId="40138"/>
    <cellStyle name="Normal 14 2 2 4" xfId="40139"/>
    <cellStyle name="Normal 14 2 2 4 2" xfId="40140"/>
    <cellStyle name="Normal 14 2 2 5" xfId="40141"/>
    <cellStyle name="Normal 14 2 2 6" xfId="40142"/>
    <cellStyle name="Normal 14 2 2 7" xfId="40143"/>
    <cellStyle name="Normal 14 2 3" xfId="40144"/>
    <cellStyle name="Normal 14 2 3 2" xfId="40145"/>
    <cellStyle name="Normal 14 2 3 2 2" xfId="40146"/>
    <cellStyle name="Normal 14 2 3 2 3" xfId="40147"/>
    <cellStyle name="Normal 14 2 3 2 4" xfId="40148"/>
    <cellStyle name="Normal 14 2 3 3" xfId="40149"/>
    <cellStyle name="Normal 14 2 3 3 2" xfId="40150"/>
    <cellStyle name="Normal 14 2 3 3 3" xfId="40151"/>
    <cellStyle name="Normal 14 2 3 4" xfId="40152"/>
    <cellStyle name="Normal 14 2 3 4 2" xfId="40153"/>
    <cellStyle name="Normal 14 2 3 5" xfId="40154"/>
    <cellStyle name="Normal 14 2 3 6" xfId="40155"/>
    <cellStyle name="Normal 14 2 3 7" xfId="40156"/>
    <cellStyle name="Normal 14 2 4" xfId="40157"/>
    <cellStyle name="Normal 14 2 4 2" xfId="40158"/>
    <cellStyle name="Normal 14 2 4 2 2" xfId="40159"/>
    <cellStyle name="Normal 14 2 4 2 3" xfId="40160"/>
    <cellStyle name="Normal 14 2 4 2 4" xfId="40161"/>
    <cellStyle name="Normal 14 2 4 3" xfId="40162"/>
    <cellStyle name="Normal 14 2 4 3 2" xfId="40163"/>
    <cellStyle name="Normal 14 2 4 3 3" xfId="40164"/>
    <cellStyle name="Normal 14 2 4 4" xfId="40165"/>
    <cellStyle name="Normal 14 2 4 4 2" xfId="40166"/>
    <cellStyle name="Normal 14 2 4 5" xfId="40167"/>
    <cellStyle name="Normal 14 2 4 6" xfId="40168"/>
    <cellStyle name="Normal 14 2 4 7" xfId="40169"/>
    <cellStyle name="Normal 14 2 5" xfId="40170"/>
    <cellStyle name="Normal 14 2 5 2" xfId="40171"/>
    <cellStyle name="Normal 14 2 5 3" xfId="40172"/>
    <cellStyle name="Normal 14 2 6" xfId="40173"/>
    <cellStyle name="Normal 14 2 6 2" xfId="40174"/>
    <cellStyle name="Normal 14 2 6 3" xfId="40175"/>
    <cellStyle name="Normal 14 2 7" xfId="40176"/>
    <cellStyle name="Normal 14 2 7 2" xfId="40177"/>
    <cellStyle name="Normal 14 2 8" xfId="40178"/>
    <cellStyle name="Normal 14 2 9" xfId="40179"/>
    <cellStyle name="Normal 14 3" xfId="40180"/>
    <cellStyle name="Normal 14 3 2" xfId="40181"/>
    <cellStyle name="Normal 14 3 2 2" xfId="40182"/>
    <cellStyle name="Normal 14 3 2 3" xfId="40183"/>
    <cellStyle name="Normal 14 3 2 4" xfId="40184"/>
    <cellStyle name="Normal 14 3 3" xfId="40185"/>
    <cellStyle name="Normal 14 3 3 2" xfId="40186"/>
    <cellStyle name="Normal 14 3 3 3" xfId="40187"/>
    <cellStyle name="Normal 14 3 4" xfId="40188"/>
    <cellStyle name="Normal 14 3 4 2" xfId="40189"/>
    <cellStyle name="Normal 14 3 5" xfId="40190"/>
    <cellStyle name="Normal 14 3 6" xfId="40191"/>
    <cellStyle name="Normal 14 3 7" xfId="40192"/>
    <cellStyle name="Normal 14 4" xfId="40193"/>
    <cellStyle name="Normal 14 4 2" xfId="40194"/>
    <cellStyle name="Normal 14 4 2 2" xfId="40195"/>
    <cellStyle name="Normal 14 4 2 3" xfId="40196"/>
    <cellStyle name="Normal 14 4 2 4" xfId="40197"/>
    <cellStyle name="Normal 14 4 3" xfId="40198"/>
    <cellStyle name="Normal 14 4 3 2" xfId="40199"/>
    <cellStyle name="Normal 14 4 3 3" xfId="40200"/>
    <cellStyle name="Normal 14 4 4" xfId="40201"/>
    <cellStyle name="Normal 14 4 4 2" xfId="40202"/>
    <cellStyle name="Normal 14 4 5" xfId="40203"/>
    <cellStyle name="Normal 14 4 6" xfId="40204"/>
    <cellStyle name="Normal 14 4 7" xfId="40205"/>
    <cellStyle name="Normal 14 5" xfId="40206"/>
    <cellStyle name="Normal 14 5 2" xfId="40207"/>
    <cellStyle name="Normal 14 5 2 2" xfId="40208"/>
    <cellStyle name="Normal 14 5 2 3" xfId="40209"/>
    <cellStyle name="Normal 14 5 2 4" xfId="40210"/>
    <cellStyle name="Normal 14 5 3" xfId="40211"/>
    <cellStyle name="Normal 14 5 3 2" xfId="40212"/>
    <cellStyle name="Normal 14 5 3 3" xfId="40213"/>
    <cellStyle name="Normal 14 5 4" xfId="40214"/>
    <cellStyle name="Normal 14 5 4 2" xfId="40215"/>
    <cellStyle name="Normal 14 5 5" xfId="40216"/>
    <cellStyle name="Normal 14 5 6" xfId="40217"/>
    <cellStyle name="Normal 14 5 7" xfId="40218"/>
    <cellStyle name="Normal 14 6" xfId="40219"/>
    <cellStyle name="Normal 14 6 2" xfId="40220"/>
    <cellStyle name="Normal 14 6 3" xfId="40221"/>
    <cellStyle name="Normal 14 7" xfId="40222"/>
    <cellStyle name="Normal 14 7 2" xfId="40223"/>
    <cellStyle name="Normal 14 7 3" xfId="40224"/>
    <cellStyle name="Normal 14 8" xfId="40225"/>
    <cellStyle name="Normal 14 8 2" xfId="40226"/>
    <cellStyle name="Normal 14 9" xfId="40227"/>
    <cellStyle name="Normal 14_Northern Rock" xfId="40228"/>
    <cellStyle name="Normal 15" xfId="40229"/>
    <cellStyle name="Normal 15 10" xfId="40230"/>
    <cellStyle name="Normal 15 11" xfId="40231"/>
    <cellStyle name="Normal 15 2" xfId="40232"/>
    <cellStyle name="Normal 15 2 10" xfId="40233"/>
    <cellStyle name="Normal 15 2 2" xfId="40234"/>
    <cellStyle name="Normal 15 2 2 2" xfId="40235"/>
    <cellStyle name="Normal 15 2 2 2 2" xfId="40236"/>
    <cellStyle name="Normal 15 2 2 2 3" xfId="40237"/>
    <cellStyle name="Normal 15 2 2 2 4" xfId="40238"/>
    <cellStyle name="Normal 15 2 2 3" xfId="40239"/>
    <cellStyle name="Normal 15 2 2 3 2" xfId="40240"/>
    <cellStyle name="Normal 15 2 2 3 3" xfId="40241"/>
    <cellStyle name="Normal 15 2 2 4" xfId="40242"/>
    <cellStyle name="Normal 15 2 2 4 2" xfId="40243"/>
    <cellStyle name="Normal 15 2 2 5" xfId="40244"/>
    <cellStyle name="Normal 15 2 2 6" xfId="40245"/>
    <cellStyle name="Normal 15 2 2 7" xfId="40246"/>
    <cellStyle name="Normal 15 2 3" xfId="40247"/>
    <cellStyle name="Normal 15 2 3 2" xfId="40248"/>
    <cellStyle name="Normal 15 2 3 2 2" xfId="40249"/>
    <cellStyle name="Normal 15 2 3 2 3" xfId="40250"/>
    <cellStyle name="Normal 15 2 3 2 4" xfId="40251"/>
    <cellStyle name="Normal 15 2 3 3" xfId="40252"/>
    <cellStyle name="Normal 15 2 3 3 2" xfId="40253"/>
    <cellStyle name="Normal 15 2 3 3 3" xfId="40254"/>
    <cellStyle name="Normal 15 2 3 4" xfId="40255"/>
    <cellStyle name="Normal 15 2 3 4 2" xfId="40256"/>
    <cellStyle name="Normal 15 2 3 5" xfId="40257"/>
    <cellStyle name="Normal 15 2 3 6" xfId="40258"/>
    <cellStyle name="Normal 15 2 3 7" xfId="40259"/>
    <cellStyle name="Normal 15 2 4" xfId="40260"/>
    <cellStyle name="Normal 15 2 4 2" xfId="40261"/>
    <cellStyle name="Normal 15 2 4 2 2" xfId="40262"/>
    <cellStyle name="Normal 15 2 4 2 3" xfId="40263"/>
    <cellStyle name="Normal 15 2 4 2 4" xfId="40264"/>
    <cellStyle name="Normal 15 2 4 3" xfId="40265"/>
    <cellStyle name="Normal 15 2 4 3 2" xfId="40266"/>
    <cellStyle name="Normal 15 2 4 3 3" xfId="40267"/>
    <cellStyle name="Normal 15 2 4 4" xfId="40268"/>
    <cellStyle name="Normal 15 2 4 4 2" xfId="40269"/>
    <cellStyle name="Normal 15 2 4 5" xfId="40270"/>
    <cellStyle name="Normal 15 2 4 6" xfId="40271"/>
    <cellStyle name="Normal 15 2 4 7" xfId="40272"/>
    <cellStyle name="Normal 15 2 5" xfId="40273"/>
    <cellStyle name="Normal 15 2 5 2" xfId="40274"/>
    <cellStyle name="Normal 15 2 5 3" xfId="40275"/>
    <cellStyle name="Normal 15 2 6" xfId="40276"/>
    <cellStyle name="Normal 15 2 6 2" xfId="40277"/>
    <cellStyle name="Normal 15 2 6 3" xfId="40278"/>
    <cellStyle name="Normal 15 2 7" xfId="40279"/>
    <cellStyle name="Normal 15 2 7 2" xfId="40280"/>
    <cellStyle name="Normal 15 2 8" xfId="40281"/>
    <cellStyle name="Normal 15 2 9" xfId="40282"/>
    <cellStyle name="Normal 15 3" xfId="40283"/>
    <cellStyle name="Normal 15 3 2" xfId="40284"/>
    <cellStyle name="Normal 15 3 2 2" xfId="40285"/>
    <cellStyle name="Normal 15 3 2 3" xfId="40286"/>
    <cellStyle name="Normal 15 3 2 4" xfId="40287"/>
    <cellStyle name="Normal 15 3 3" xfId="40288"/>
    <cellStyle name="Normal 15 3 3 2" xfId="40289"/>
    <cellStyle name="Normal 15 3 3 3" xfId="40290"/>
    <cellStyle name="Normal 15 3 4" xfId="40291"/>
    <cellStyle name="Normal 15 3 4 2" xfId="40292"/>
    <cellStyle name="Normal 15 3 5" xfId="40293"/>
    <cellStyle name="Normal 15 3 6" xfId="40294"/>
    <cellStyle name="Normal 15 3 7" xfId="40295"/>
    <cellStyle name="Normal 15 4" xfId="40296"/>
    <cellStyle name="Normal 15 4 2" xfId="40297"/>
    <cellStyle name="Normal 15 4 2 2" xfId="40298"/>
    <cellStyle name="Normal 15 4 2 3" xfId="40299"/>
    <cellStyle name="Normal 15 4 2 4" xfId="40300"/>
    <cellStyle name="Normal 15 4 3" xfId="40301"/>
    <cellStyle name="Normal 15 4 3 2" xfId="40302"/>
    <cellStyle name="Normal 15 4 3 3" xfId="40303"/>
    <cellStyle name="Normal 15 4 4" xfId="40304"/>
    <cellStyle name="Normal 15 4 4 2" xfId="40305"/>
    <cellStyle name="Normal 15 4 5" xfId="40306"/>
    <cellStyle name="Normal 15 4 6" xfId="40307"/>
    <cellStyle name="Normal 15 4 7" xfId="40308"/>
    <cellStyle name="Normal 15 5" xfId="40309"/>
    <cellStyle name="Normal 15 5 2" xfId="40310"/>
    <cellStyle name="Normal 15 5 2 2" xfId="40311"/>
    <cellStyle name="Normal 15 5 2 3" xfId="40312"/>
    <cellStyle name="Normal 15 5 2 4" xfId="40313"/>
    <cellStyle name="Normal 15 5 3" xfId="40314"/>
    <cellStyle name="Normal 15 5 3 2" xfId="40315"/>
    <cellStyle name="Normal 15 5 3 3" xfId="40316"/>
    <cellStyle name="Normal 15 5 4" xfId="40317"/>
    <cellStyle name="Normal 15 5 4 2" xfId="40318"/>
    <cellStyle name="Normal 15 5 5" xfId="40319"/>
    <cellStyle name="Normal 15 5 6" xfId="40320"/>
    <cellStyle name="Normal 15 5 7" xfId="40321"/>
    <cellStyle name="Normal 15 6" xfId="40322"/>
    <cellStyle name="Normal 15 6 2" xfId="40323"/>
    <cellStyle name="Normal 15 6 3" xfId="40324"/>
    <cellStyle name="Normal 15 7" xfId="40325"/>
    <cellStyle name="Normal 15 7 2" xfId="40326"/>
    <cellStyle name="Normal 15 7 3" xfId="40327"/>
    <cellStyle name="Normal 15 8" xfId="40328"/>
    <cellStyle name="Normal 15 8 2" xfId="40329"/>
    <cellStyle name="Normal 15 9" xfId="40330"/>
    <cellStyle name="Normal 15_Northern Rock" xfId="40331"/>
    <cellStyle name="Normal 16" xfId="40332"/>
    <cellStyle name="Normal 16 10" xfId="40333"/>
    <cellStyle name="Normal 16 2" xfId="40334"/>
    <cellStyle name="Normal 16 2 2" xfId="40335"/>
    <cellStyle name="Normal 16 2 2 2" xfId="40336"/>
    <cellStyle name="Normal 16 2 2 3" xfId="40337"/>
    <cellStyle name="Normal 16 2 2 4" xfId="40338"/>
    <cellStyle name="Normal 16 2 2 5" xfId="40339"/>
    <cellStyle name="Normal 16 2 3" xfId="40340"/>
    <cellStyle name="Normal 16 2 3 2" xfId="40341"/>
    <cellStyle name="Normal 16 2 3 3" xfId="40342"/>
    <cellStyle name="Normal 16 2 4" xfId="40343"/>
    <cellStyle name="Normal 16 2 4 2" xfId="40344"/>
    <cellStyle name="Normal 16 2 5" xfId="40345"/>
    <cellStyle name="Normal 16 2 6" xfId="40346"/>
    <cellStyle name="Normal 16 2 7" xfId="40347"/>
    <cellStyle name="Normal 16 3" xfId="40348"/>
    <cellStyle name="Normal 16 3 2" xfId="40349"/>
    <cellStyle name="Normal 16 3 2 2" xfId="40350"/>
    <cellStyle name="Normal 16 3 2 3" xfId="40351"/>
    <cellStyle name="Normal 16 3 2 4" xfId="40352"/>
    <cellStyle name="Normal 16 3 3" xfId="40353"/>
    <cellStyle name="Normal 16 3 3 2" xfId="40354"/>
    <cellStyle name="Normal 16 3 3 3" xfId="40355"/>
    <cellStyle name="Normal 16 3 4" xfId="40356"/>
    <cellStyle name="Normal 16 3 4 2" xfId="40357"/>
    <cellStyle name="Normal 16 3 5" xfId="40358"/>
    <cellStyle name="Normal 16 3 6" xfId="40359"/>
    <cellStyle name="Normal 16 3 7" xfId="40360"/>
    <cellStyle name="Normal 16 4" xfId="40361"/>
    <cellStyle name="Normal 16 4 2" xfId="40362"/>
    <cellStyle name="Normal 16 4 2 2" xfId="40363"/>
    <cellStyle name="Normal 16 4 2 3" xfId="40364"/>
    <cellStyle name="Normal 16 4 2 4" xfId="40365"/>
    <cellStyle name="Normal 16 4 3" xfId="40366"/>
    <cellStyle name="Normal 16 4 3 2" xfId="40367"/>
    <cellStyle name="Normal 16 4 3 3" xfId="40368"/>
    <cellStyle name="Normal 16 4 4" xfId="40369"/>
    <cellStyle name="Normal 16 4 4 2" xfId="40370"/>
    <cellStyle name="Normal 16 4 5" xfId="40371"/>
    <cellStyle name="Normal 16 4 6" xfId="40372"/>
    <cellStyle name="Normal 16 4 7" xfId="40373"/>
    <cellStyle name="Normal 16 5" xfId="40374"/>
    <cellStyle name="Normal 16 5 2" xfId="40375"/>
    <cellStyle name="Normal 16 5 3" xfId="40376"/>
    <cellStyle name="Normal 16 6" xfId="40377"/>
    <cellStyle name="Normal 16 6 2" xfId="40378"/>
    <cellStyle name="Normal 16 6 3" xfId="40379"/>
    <cellStyle name="Normal 16 7" xfId="40380"/>
    <cellStyle name="Normal 16 7 2" xfId="40381"/>
    <cellStyle name="Normal 16 8" xfId="40382"/>
    <cellStyle name="Normal 16 9" xfId="40383"/>
    <cellStyle name="Normal 16_Northern Rock" xfId="40384"/>
    <cellStyle name="Normal 17" xfId="40385"/>
    <cellStyle name="Normal 17 2" xfId="40386"/>
    <cellStyle name="Normal 17 3" xfId="40387"/>
    <cellStyle name="Normal 17 4" xfId="40388"/>
    <cellStyle name="Normal 17 5" xfId="40389"/>
    <cellStyle name="Normal 18" xfId="40390"/>
    <cellStyle name="Normal 18 2" xfId="40391"/>
    <cellStyle name="Normal 18 2 2" xfId="40392"/>
    <cellStyle name="Normal 18 2 2 2" xfId="40393"/>
    <cellStyle name="Normal 18 2 2 3" xfId="40394"/>
    <cellStyle name="Normal 18 2 2 4" xfId="40395"/>
    <cellStyle name="Normal 18 2 3" xfId="40396"/>
    <cellStyle name="Normal 18 2 3 2" xfId="40397"/>
    <cellStyle name="Normal 18 2 3 3" xfId="40398"/>
    <cellStyle name="Normal 18 2 4" xfId="40399"/>
    <cellStyle name="Normal 18 2 4 2" xfId="40400"/>
    <cellStyle name="Normal 18 2 5" xfId="40401"/>
    <cellStyle name="Normal 18 2 6" xfId="40402"/>
    <cellStyle name="Normal 18 2 7" xfId="40403"/>
    <cellStyle name="Normal 18 3" xfId="40404"/>
    <cellStyle name="Normal 18 3 2" xfId="40405"/>
    <cellStyle name="Normal 18 3 2 2" xfId="40406"/>
    <cellStyle name="Normal 18 3 2 3" xfId="40407"/>
    <cellStyle name="Normal 18 3 2 4" xfId="40408"/>
    <cellStyle name="Normal 18 3 3" xfId="40409"/>
    <cellStyle name="Normal 18 3 3 2" xfId="40410"/>
    <cellStyle name="Normal 18 3 3 3" xfId="40411"/>
    <cellStyle name="Normal 18 3 4" xfId="40412"/>
    <cellStyle name="Normal 18 3 4 2" xfId="40413"/>
    <cellStyle name="Normal 18 3 5" xfId="40414"/>
    <cellStyle name="Normal 18 3 6" xfId="40415"/>
    <cellStyle name="Normal 18 3 7" xfId="40416"/>
    <cellStyle name="Normal 18 4" xfId="40417"/>
    <cellStyle name="Normal 18 4 2" xfId="40418"/>
    <cellStyle name="Normal 18 4 3" xfId="40419"/>
    <cellStyle name="Normal 18 4 4" xfId="40420"/>
    <cellStyle name="Normal 18 5" xfId="40421"/>
    <cellStyle name="Normal 18 5 2" xfId="40422"/>
    <cellStyle name="Normal 18 5 3" xfId="40423"/>
    <cellStyle name="Normal 18 6" xfId="40424"/>
    <cellStyle name="Normal 18 6 2" xfId="40425"/>
    <cellStyle name="Normal 18 7" xfId="40426"/>
    <cellStyle name="Normal 18 8" xfId="40427"/>
    <cellStyle name="Normal 18 9" xfId="40428"/>
    <cellStyle name="Normal 19" xfId="40429"/>
    <cellStyle name="Normal 19 2" xfId="40430"/>
    <cellStyle name="Normal 19 2 2" xfId="40431"/>
    <cellStyle name="Normal 19 2 3" xfId="40432"/>
    <cellStyle name="Normal 19 2 4" xfId="40433"/>
    <cellStyle name="Normal 19 3" xfId="40434"/>
    <cellStyle name="Normal 19 3 2" xfId="40435"/>
    <cellStyle name="Normal 19 3 3" xfId="40436"/>
    <cellStyle name="Normal 19 4" xfId="40437"/>
    <cellStyle name="Normal 19 4 2" xfId="40438"/>
    <cellStyle name="Normal 19 5" xfId="40439"/>
    <cellStyle name="Normal 19 6" xfId="40440"/>
    <cellStyle name="Normal 19 7" xfId="40441"/>
    <cellStyle name="Normal 2" xfId="40442"/>
    <cellStyle name="Normal 2 10" xfId="40443"/>
    <cellStyle name="Normal 2 10 2" xfId="40444"/>
    <cellStyle name="Normal 2 11" xfId="40445"/>
    <cellStyle name="Normal 2 11 2" xfId="40446"/>
    <cellStyle name="Normal 2 11 3" xfId="40447"/>
    <cellStyle name="Normal 2 12" xfId="40448"/>
    <cellStyle name="Normal 2 13" xfId="40449"/>
    <cellStyle name="Normal 2 13 2" xfId="40450"/>
    <cellStyle name="Normal 2 13 3" xfId="40451"/>
    <cellStyle name="Normal 2 14" xfId="40452"/>
    <cellStyle name="Normal 2 14 2" xfId="40453"/>
    <cellStyle name="Normal 2 14 3" xfId="40454"/>
    <cellStyle name="Normal 2 15" xfId="40455"/>
    <cellStyle name="Normal 2 15 2" xfId="40456"/>
    <cellStyle name="Normal 2 16" xfId="40457"/>
    <cellStyle name="Normal 2 17" xfId="40458"/>
    <cellStyle name="Normal 2 18" xfId="40459"/>
    <cellStyle name="Normal 2 2" xfId="40460"/>
    <cellStyle name="Normal 2 2 10" xfId="40461"/>
    <cellStyle name="Normal 2 2 2" xfId="40462"/>
    <cellStyle name="Normal 2 2 2 2" xfId="40463"/>
    <cellStyle name="Normal 2 2 2 2 2" xfId="40464"/>
    <cellStyle name="Normal 2 2 2 2 2 2" xfId="40465"/>
    <cellStyle name="Normal 2 2 2 2 2 3" xfId="40466"/>
    <cellStyle name="Normal 2 2 2 2 2 4" xfId="40467"/>
    <cellStyle name="Normal 2 2 2 2 3" xfId="40468"/>
    <cellStyle name="Normal 2 2 2 2 3 2" xfId="40469"/>
    <cellStyle name="Normal 2 2 2 2 3 3" xfId="40470"/>
    <cellStyle name="Normal 2 2 2 2 3 4" xfId="40471"/>
    <cellStyle name="Normal 2 2 2 2 4" xfId="40472"/>
    <cellStyle name="Normal 2 2 2 2 4 2" xfId="40473"/>
    <cellStyle name="Normal 2 2 2 2 5" xfId="40474"/>
    <cellStyle name="Normal 2 2 2 2 6" xfId="40475"/>
    <cellStyle name="Normal 2 2 2 2 7" xfId="40476"/>
    <cellStyle name="Normal 2 2 2 2 8" xfId="40477"/>
    <cellStyle name="Normal 2 2 2 3" xfId="40478"/>
    <cellStyle name="Normal 2 2 2 3 2" xfId="40479"/>
    <cellStyle name="Normal 2 2 2 3 3" xfId="40480"/>
    <cellStyle name="Normal 2 2 2 3 4" xfId="40481"/>
    <cellStyle name="Normal 2 2 2 4" xfId="40482"/>
    <cellStyle name="Normal 2 2 2 4 2" xfId="40483"/>
    <cellStyle name="Normal 2 2 2 4 3" xfId="40484"/>
    <cellStyle name="Normal 2 2 2 4 4" xfId="40485"/>
    <cellStyle name="Normal 2 2 2 5" xfId="40486"/>
    <cellStyle name="Normal 2 2 2 5 2" xfId="40487"/>
    <cellStyle name="Normal 2 2 2 6" xfId="40488"/>
    <cellStyle name="Normal 2 2 2 7" xfId="40489"/>
    <cellStyle name="Normal 2 2 2 8" xfId="40490"/>
    <cellStyle name="Normal 2 2 3" xfId="40491"/>
    <cellStyle name="Normal 2 2 3 2" xfId="40492"/>
    <cellStyle name="Normal 2 2 3 2 2" xfId="40493"/>
    <cellStyle name="Normal 2 2 3 2 3" xfId="40494"/>
    <cellStyle name="Normal 2 2 3 2 4" xfId="40495"/>
    <cellStyle name="Normal 2 2 3 3" xfId="40496"/>
    <cellStyle name="Normal 2 2 3 3 2" xfId="40497"/>
    <cellStyle name="Normal 2 2 3 3 3" xfId="40498"/>
    <cellStyle name="Normal 2 2 3 3 4" xfId="40499"/>
    <cellStyle name="Normal 2 2 3 4" xfId="40500"/>
    <cellStyle name="Normal 2 2 3 4 2" xfId="40501"/>
    <cellStyle name="Normal 2 2 3 5" xfId="40502"/>
    <cellStyle name="Normal 2 2 3 6" xfId="40503"/>
    <cellStyle name="Normal 2 2 3 7" xfId="40504"/>
    <cellStyle name="Normal 2 2 3 8" xfId="40505"/>
    <cellStyle name="Normal 2 2 4" xfId="40506"/>
    <cellStyle name="Normal 2 2 4 2" xfId="40507"/>
    <cellStyle name="Normal 2 2 4 3" xfId="40508"/>
    <cellStyle name="Normal 2 2 4 4" xfId="40509"/>
    <cellStyle name="Normal 2 2 5" xfId="40510"/>
    <cellStyle name="Normal 2 2 5 2" xfId="40511"/>
    <cellStyle name="Normal 2 2 5 3" xfId="40512"/>
    <cellStyle name="Normal 2 2 5 4" xfId="40513"/>
    <cellStyle name="Normal 2 2 6" xfId="40514"/>
    <cellStyle name="Normal 2 2 6 2" xfId="40515"/>
    <cellStyle name="Normal 2 2 7" xfId="40516"/>
    <cellStyle name="Normal 2 2 8" xfId="40517"/>
    <cellStyle name="Normal 2 2 9" xfId="40518"/>
    <cellStyle name="Normal 2 3" xfId="40519"/>
    <cellStyle name="Normal 2 3 2" xfId="40520"/>
    <cellStyle name="Normal 2 3 2 2" xfId="40521"/>
    <cellStyle name="Normal 2 3 2 2 2" xfId="40522"/>
    <cellStyle name="Normal 2 3 2 2 3" xfId="40523"/>
    <cellStyle name="Normal 2 3 2 2 4" xfId="40524"/>
    <cellStyle name="Normal 2 3 2 2 5" xfId="40525"/>
    <cellStyle name="Normal 2 3 2 3" xfId="40526"/>
    <cellStyle name="Normal 2 3 2 3 2" xfId="40527"/>
    <cellStyle name="Normal 2 3 2 3 3" xfId="40528"/>
    <cellStyle name="Normal 2 3 2 3 4" xfId="40529"/>
    <cellStyle name="Normal 2 3 2 4" xfId="40530"/>
    <cellStyle name="Normal 2 3 2 4 2" xfId="40531"/>
    <cellStyle name="Normal 2 3 2 5" xfId="40532"/>
    <cellStyle name="Normal 2 3 2 6" xfId="40533"/>
    <cellStyle name="Normal 2 3 2 7" xfId="40534"/>
    <cellStyle name="Normal 2 3 3" xfId="40535"/>
    <cellStyle name="Normal 2 3 3 2" xfId="40536"/>
    <cellStyle name="Normal 2 3 4" xfId="40537"/>
    <cellStyle name="Normal 2 3 4 2" xfId="40538"/>
    <cellStyle name="Normal 2 3 4 3" xfId="40539"/>
    <cellStyle name="Normal 2 3 4 4" xfId="40540"/>
    <cellStyle name="Normal 2 3 4 5" xfId="40541"/>
    <cellStyle name="Normal 2 3 5" xfId="40542"/>
    <cellStyle name="Normal 2 3 5 2" xfId="40543"/>
    <cellStyle name="Normal 2 3 5 3" xfId="40544"/>
    <cellStyle name="Normal 2 3 6" xfId="40545"/>
    <cellStyle name="Normal 2 3 6 2" xfId="40546"/>
    <cellStyle name="Normal 2 3 7" xfId="40547"/>
    <cellStyle name="Normal 2 3 8" xfId="40548"/>
    <cellStyle name="Normal 2 3 9" xfId="40549"/>
    <cellStyle name="Normal 2 4" xfId="40550"/>
    <cellStyle name="Normal 2 4 2" xfId="40551"/>
    <cellStyle name="Normal 2 4 2 2" xfId="40552"/>
    <cellStyle name="Normal 2 4 3" xfId="40553"/>
    <cellStyle name="Normal 2 4 3 2" xfId="40554"/>
    <cellStyle name="Normal 2 4 4" xfId="40555"/>
    <cellStyle name="Normal 2 4 4 2" xfId="40556"/>
    <cellStyle name="Normal 2 4 4 3" xfId="40557"/>
    <cellStyle name="Normal 2 4 4 4" xfId="40558"/>
    <cellStyle name="Normal 2 4 5" xfId="40559"/>
    <cellStyle name="Normal 2 4 5 2" xfId="40560"/>
    <cellStyle name="Normal 2 4 5 3" xfId="40561"/>
    <cellStyle name="Normal 2 4 6" xfId="40562"/>
    <cellStyle name="Normal 2 4 6 2" xfId="40563"/>
    <cellStyle name="Normal 2 4 7" xfId="40564"/>
    <cellStyle name="Normal 2 4 8" xfId="40565"/>
    <cellStyle name="Normal 2 4 9" xfId="40566"/>
    <cellStyle name="Normal 2 5" xfId="40567"/>
    <cellStyle name="Normal 2 5 2" xfId="40568"/>
    <cellStyle name="Normal 2 5 2 2" xfId="40569"/>
    <cellStyle name="Normal 2 5 3" xfId="40570"/>
    <cellStyle name="Normal 2 5 3 2" xfId="40571"/>
    <cellStyle name="Normal 2 5 4" xfId="40572"/>
    <cellStyle name="Normal 2 5 4 2" xfId="40573"/>
    <cellStyle name="Normal 2 5 4 3" xfId="40574"/>
    <cellStyle name="Normal 2 5 4 4" xfId="40575"/>
    <cellStyle name="Normal 2 5 5" xfId="40576"/>
    <cellStyle name="Normal 2 5 5 2" xfId="40577"/>
    <cellStyle name="Normal 2 5 5 3" xfId="40578"/>
    <cellStyle name="Normal 2 5 6" xfId="40579"/>
    <cellStyle name="Normal 2 5 6 2" xfId="40580"/>
    <cellStyle name="Normal 2 5 7" xfId="40581"/>
    <cellStyle name="Normal 2 5 8" xfId="40582"/>
    <cellStyle name="Normal 2 5 9" xfId="40583"/>
    <cellStyle name="Normal 2 6" xfId="40584"/>
    <cellStyle name="Normal 2 6 2" xfId="40585"/>
    <cellStyle name="Normal 2 6 2 2" xfId="40586"/>
    <cellStyle name="Normal 2 6 3" xfId="40587"/>
    <cellStyle name="Normal 2 7" xfId="40588"/>
    <cellStyle name="Normal 2 7 2" xfId="40589"/>
    <cellStyle name="Normal 2 7 2 2" xfId="40590"/>
    <cellStyle name="Normal 2 7 3" xfId="40591"/>
    <cellStyle name="Normal 2 8" xfId="40592"/>
    <cellStyle name="Normal 2 8 2" xfId="40593"/>
    <cellStyle name="Normal 2 8 2 2" xfId="40594"/>
    <cellStyle name="Normal 2 9" xfId="40595"/>
    <cellStyle name="Normal 2 9 2" xfId="40596"/>
    <cellStyle name="Normal 2_Feb 13 Details" xfId="40597"/>
    <cellStyle name="Normal 20" xfId="40598"/>
    <cellStyle name="Normal 20 2" xfId="40599"/>
    <cellStyle name="Normal 20 2 2" xfId="40600"/>
    <cellStyle name="Normal 20 2 3" xfId="40601"/>
    <cellStyle name="Normal 20 2 4" xfId="40602"/>
    <cellStyle name="Normal 20 2 5" xfId="40603"/>
    <cellStyle name="Normal 20 3" xfId="40604"/>
    <cellStyle name="Normal 20 3 2" xfId="40605"/>
    <cellStyle name="Normal 20 3 3" xfId="40606"/>
    <cellStyle name="Normal 20 3 4" xfId="40607"/>
    <cellStyle name="Normal 20 3 5" xfId="40608"/>
    <cellStyle name="Normal 20 4" xfId="40609"/>
    <cellStyle name="Normal 20 4 2" xfId="40610"/>
    <cellStyle name="Normal 20 5" xfId="40611"/>
    <cellStyle name="Normal 20 6" xfId="40612"/>
    <cellStyle name="Normal 20 7" xfId="40613"/>
    <cellStyle name="Normal 21" xfId="40614"/>
    <cellStyle name="Normal 21 2" xfId="40615"/>
    <cellStyle name="Normal 21 2 2" xfId="40616"/>
    <cellStyle name="Normal 21 2 3" xfId="40617"/>
    <cellStyle name="Normal 21 2 4" xfId="40618"/>
    <cellStyle name="Normal 21 3" xfId="40619"/>
    <cellStyle name="Normal 21 3 2" xfId="40620"/>
    <cellStyle name="Normal 21 3 3" xfId="40621"/>
    <cellStyle name="Normal 21 4" xfId="40622"/>
    <cellStyle name="Normal 21 4 2" xfId="40623"/>
    <cellStyle name="Normal 21 5" xfId="40624"/>
    <cellStyle name="Normal 21 6" xfId="40625"/>
    <cellStyle name="Normal 21 7" xfId="40626"/>
    <cellStyle name="Normal 22" xfId="40627"/>
    <cellStyle name="Normal 22 2" xfId="40628"/>
    <cellStyle name="Normal 22 2 2" xfId="40629"/>
    <cellStyle name="Normal 22 3" xfId="40630"/>
    <cellStyle name="Normal 23" xfId="40631"/>
    <cellStyle name="Normal 23 2" xfId="40632"/>
    <cellStyle name="Normal 23 2 2" xfId="40633"/>
    <cellStyle name="Normal 23 2 3" xfId="40634"/>
    <cellStyle name="Normal 23 2 4" xfId="40635"/>
    <cellStyle name="Normal 23 3" xfId="40636"/>
    <cellStyle name="Normal 23 3 2" xfId="40637"/>
    <cellStyle name="Normal 23 3 3" xfId="40638"/>
    <cellStyle name="Normal 23 3 4" xfId="40639"/>
    <cellStyle name="Normal 23 4" xfId="40640"/>
    <cellStyle name="Normal 23 4 2" xfId="40641"/>
    <cellStyle name="Normal 23 5" xfId="40642"/>
    <cellStyle name="Normal 23 6" xfId="40643"/>
    <cellStyle name="Normal 23 7" xfId="40644"/>
    <cellStyle name="Normal 24" xfId="40645"/>
    <cellStyle name="Normal 24 2" xfId="40646"/>
    <cellStyle name="Normal 24 2 2" xfId="40647"/>
    <cellStyle name="Normal 24 3" xfId="40648"/>
    <cellStyle name="Normal 25" xfId="40649"/>
    <cellStyle name="Normal 25 2" xfId="40650"/>
    <cellStyle name="Normal 25 2 2" xfId="40651"/>
    <cellStyle name="Normal 25 2 3" xfId="40652"/>
    <cellStyle name="Normal 25 2 4" xfId="40653"/>
    <cellStyle name="Normal 25 3" xfId="40654"/>
    <cellStyle name="Normal 25 3 2" xfId="40655"/>
    <cellStyle name="Normal 25 3 3" xfId="40656"/>
    <cellStyle name="Normal 25 3 4" xfId="40657"/>
    <cellStyle name="Normal 25 4" xfId="40658"/>
    <cellStyle name="Normal 25 4 2" xfId="40659"/>
    <cellStyle name="Normal 25 5" xfId="40660"/>
    <cellStyle name="Normal 25 6" xfId="40661"/>
    <cellStyle name="Normal 25 7" xfId="40662"/>
    <cellStyle name="Normal 26" xfId="40663"/>
    <cellStyle name="Normal 26 2" xfId="40664"/>
    <cellStyle name="Normal 26 2 2" xfId="40665"/>
    <cellStyle name="Normal 26 3" xfId="40666"/>
    <cellStyle name="Normal 27" xfId="40667"/>
    <cellStyle name="Normal 27 2" xfId="40668"/>
    <cellStyle name="Normal 27 2 2" xfId="40669"/>
    <cellStyle name="Normal 27 2 3" xfId="40670"/>
    <cellStyle name="Normal 27 3" xfId="40671"/>
    <cellStyle name="Normal 27 4" xfId="40672"/>
    <cellStyle name="Normal 28" xfId="40673"/>
    <cellStyle name="Normal 28 2" xfId="40674"/>
    <cellStyle name="Normal 29" xfId="40675"/>
    <cellStyle name="Normal 29 2" xfId="40676"/>
    <cellStyle name="Normal 29 3" xfId="40677"/>
    <cellStyle name="Normal 3" xfId="40678"/>
    <cellStyle name="Normal 3 10" xfId="40679"/>
    <cellStyle name="Normal 3 10 2" xfId="40680"/>
    <cellStyle name="Normal 3 10 3" xfId="40681"/>
    <cellStyle name="Normal 3 11" xfId="40682"/>
    <cellStyle name="Normal 3 11 2" xfId="40683"/>
    <cellStyle name="Normal 3 12" xfId="40684"/>
    <cellStyle name="Normal 3 12 2" xfId="40685"/>
    <cellStyle name="Normal 3 12 3" xfId="40686"/>
    <cellStyle name="Normal 3 13" xfId="40687"/>
    <cellStyle name="Normal 3 14" xfId="40688"/>
    <cellStyle name="Normal 3 2" xfId="40689"/>
    <cellStyle name="Normal 3 2 10" xfId="40690"/>
    <cellStyle name="Normal 3 2 11" xfId="40691"/>
    <cellStyle name="Normal 3 2 12" xfId="40692"/>
    <cellStyle name="Normal 3 2 2" xfId="40693"/>
    <cellStyle name="Normal 3 2 2 10" xfId="40694"/>
    <cellStyle name="Normal 3 2 2 2" xfId="40695"/>
    <cellStyle name="Normal 3 2 2 2 2" xfId="40696"/>
    <cellStyle name="Normal 3 2 2 2 2 2" xfId="40697"/>
    <cellStyle name="Normal 3 2 2 2 2 3" xfId="40698"/>
    <cellStyle name="Normal 3 2 2 2 2 4" xfId="40699"/>
    <cellStyle name="Normal 3 2 2 2 3" xfId="40700"/>
    <cellStyle name="Normal 3 2 2 2 3 2" xfId="40701"/>
    <cellStyle name="Normal 3 2 2 2 3 3" xfId="40702"/>
    <cellStyle name="Normal 3 2 2 2 4" xfId="40703"/>
    <cellStyle name="Normal 3 2 2 2 4 2" xfId="40704"/>
    <cellStyle name="Normal 3 2 2 2 5" xfId="40705"/>
    <cellStyle name="Normal 3 2 2 2 6" xfId="40706"/>
    <cellStyle name="Normal 3 2 2 2 7" xfId="40707"/>
    <cellStyle name="Normal 3 2 2 3" xfId="40708"/>
    <cellStyle name="Normal 3 2 2 3 2" xfId="40709"/>
    <cellStyle name="Normal 3 2 2 3 2 2" xfId="40710"/>
    <cellStyle name="Normal 3 2 2 3 2 3" xfId="40711"/>
    <cellStyle name="Normal 3 2 2 3 2 4" xfId="40712"/>
    <cellStyle name="Normal 3 2 2 3 3" xfId="40713"/>
    <cellStyle name="Normal 3 2 2 3 3 2" xfId="40714"/>
    <cellStyle name="Normal 3 2 2 3 3 3" xfId="40715"/>
    <cellStyle name="Normal 3 2 2 3 4" xfId="40716"/>
    <cellStyle name="Normal 3 2 2 3 4 2" xfId="40717"/>
    <cellStyle name="Normal 3 2 2 3 5" xfId="40718"/>
    <cellStyle name="Normal 3 2 2 3 6" xfId="40719"/>
    <cellStyle name="Normal 3 2 2 3 7" xfId="40720"/>
    <cellStyle name="Normal 3 2 2 4" xfId="40721"/>
    <cellStyle name="Normal 3 2 2 4 2" xfId="40722"/>
    <cellStyle name="Normal 3 2 2 4 2 2" xfId="40723"/>
    <cellStyle name="Normal 3 2 2 4 2 3" xfId="40724"/>
    <cellStyle name="Normal 3 2 2 4 2 4" xfId="40725"/>
    <cellStyle name="Normal 3 2 2 4 3" xfId="40726"/>
    <cellStyle name="Normal 3 2 2 4 3 2" xfId="40727"/>
    <cellStyle name="Normal 3 2 2 4 3 3" xfId="40728"/>
    <cellStyle name="Normal 3 2 2 4 4" xfId="40729"/>
    <cellStyle name="Normal 3 2 2 4 4 2" xfId="40730"/>
    <cellStyle name="Normal 3 2 2 4 5" xfId="40731"/>
    <cellStyle name="Normal 3 2 2 4 6" xfId="40732"/>
    <cellStyle name="Normal 3 2 2 4 7" xfId="40733"/>
    <cellStyle name="Normal 3 2 2 5" xfId="40734"/>
    <cellStyle name="Normal 3 2 2 5 2" xfId="40735"/>
    <cellStyle name="Normal 3 2 2 5 3" xfId="40736"/>
    <cellStyle name="Normal 3 2 2 5 4" xfId="40737"/>
    <cellStyle name="Normal 3 2 2 6" xfId="40738"/>
    <cellStyle name="Normal 3 2 2 6 2" xfId="40739"/>
    <cellStyle name="Normal 3 2 2 6 3" xfId="40740"/>
    <cellStyle name="Normal 3 2 2 7" xfId="40741"/>
    <cellStyle name="Normal 3 2 2 7 2" xfId="40742"/>
    <cellStyle name="Normal 3 2 2 8" xfId="40743"/>
    <cellStyle name="Normal 3 2 2 9" xfId="40744"/>
    <cellStyle name="Normal 3 2 3" xfId="40745"/>
    <cellStyle name="Normal 3 2 3 2" xfId="40746"/>
    <cellStyle name="Normal 3 2 3 2 2" xfId="40747"/>
    <cellStyle name="Normal 3 2 3 2 3" xfId="40748"/>
    <cellStyle name="Normal 3 2 3 2 4" xfId="40749"/>
    <cellStyle name="Normal 3 2 3 3" xfId="40750"/>
    <cellStyle name="Normal 3 2 3 3 2" xfId="40751"/>
    <cellStyle name="Normal 3 2 3 3 3" xfId="40752"/>
    <cellStyle name="Normal 3 2 3 4" xfId="40753"/>
    <cellStyle name="Normal 3 2 3 4 2" xfId="40754"/>
    <cellStyle name="Normal 3 2 3 5" xfId="40755"/>
    <cellStyle name="Normal 3 2 3 6" xfId="40756"/>
    <cellStyle name="Normal 3 2 3 7" xfId="40757"/>
    <cellStyle name="Normal 3 2 4" xfId="40758"/>
    <cellStyle name="Normal 3 2 4 2" xfId="40759"/>
    <cellStyle name="Normal 3 2 4 2 2" xfId="40760"/>
    <cellStyle name="Normal 3 2 4 2 3" xfId="40761"/>
    <cellStyle name="Normal 3 2 4 2 4" xfId="40762"/>
    <cellStyle name="Normal 3 2 4 3" xfId="40763"/>
    <cellStyle name="Normal 3 2 4 3 2" xfId="40764"/>
    <cellStyle name="Normal 3 2 4 3 3" xfId="40765"/>
    <cellStyle name="Normal 3 2 4 4" xfId="40766"/>
    <cellStyle name="Normal 3 2 4 4 2" xfId="40767"/>
    <cellStyle name="Normal 3 2 4 5" xfId="40768"/>
    <cellStyle name="Normal 3 2 4 6" xfId="40769"/>
    <cellStyle name="Normal 3 2 4 7" xfId="40770"/>
    <cellStyle name="Normal 3 2 5" xfId="40771"/>
    <cellStyle name="Normal 3 2 5 2" xfId="40772"/>
    <cellStyle name="Normal 3 2 5 2 2" xfId="40773"/>
    <cellStyle name="Normal 3 2 5 2 3" xfId="40774"/>
    <cellStyle name="Normal 3 2 5 2 4" xfId="40775"/>
    <cellStyle name="Normal 3 2 5 3" xfId="40776"/>
    <cellStyle name="Normal 3 2 5 3 2" xfId="40777"/>
    <cellStyle name="Normal 3 2 5 3 3" xfId="40778"/>
    <cellStyle name="Normal 3 2 5 4" xfId="40779"/>
    <cellStyle name="Normal 3 2 5 4 2" xfId="40780"/>
    <cellStyle name="Normal 3 2 5 5" xfId="40781"/>
    <cellStyle name="Normal 3 2 5 6" xfId="40782"/>
    <cellStyle name="Normal 3 2 5 7" xfId="40783"/>
    <cellStyle name="Normal 3 2 6" xfId="40784"/>
    <cellStyle name="Normal 3 2 7" xfId="40785"/>
    <cellStyle name="Normal 3 2 7 2" xfId="40786"/>
    <cellStyle name="Normal 3 2 7 3" xfId="40787"/>
    <cellStyle name="Normal 3 2 8" xfId="40788"/>
    <cellStyle name="Normal 3 2 8 2" xfId="40789"/>
    <cellStyle name="Normal 3 2 8 3" xfId="40790"/>
    <cellStyle name="Normal 3 2 9" xfId="40791"/>
    <cellStyle name="Normal 3 2 9 2" xfId="40792"/>
    <cellStyle name="Normal 3 3" xfId="40793"/>
    <cellStyle name="Normal 3 3 10" xfId="40794"/>
    <cellStyle name="Normal 3 3 11" xfId="40795"/>
    <cellStyle name="Normal 3 3 2" xfId="40796"/>
    <cellStyle name="Normal 3 3 2 2" xfId="40797"/>
    <cellStyle name="Normal 3 3 2 2 2" xfId="40798"/>
    <cellStyle name="Normal 3 3 2 2 3" xfId="40799"/>
    <cellStyle name="Normal 3 3 2 2 4" xfId="40800"/>
    <cellStyle name="Normal 3 3 2 3" xfId="40801"/>
    <cellStyle name="Normal 3 3 2 3 2" xfId="40802"/>
    <cellStyle name="Normal 3 3 2 3 3" xfId="40803"/>
    <cellStyle name="Normal 3 3 2 4" xfId="40804"/>
    <cellStyle name="Normal 3 3 2 4 2" xfId="40805"/>
    <cellStyle name="Normal 3 3 2 5" xfId="40806"/>
    <cellStyle name="Normal 3 3 2 6" xfId="40807"/>
    <cellStyle name="Normal 3 3 2 7" xfId="40808"/>
    <cellStyle name="Normal 3 3 3" xfId="40809"/>
    <cellStyle name="Normal 3 3 3 2" xfId="40810"/>
    <cellStyle name="Normal 3 3 3 2 2" xfId="40811"/>
    <cellStyle name="Normal 3 3 3 2 3" xfId="40812"/>
    <cellStyle name="Normal 3 3 3 2 4" xfId="40813"/>
    <cellStyle name="Normal 3 3 3 3" xfId="40814"/>
    <cellStyle name="Normal 3 3 3 3 2" xfId="40815"/>
    <cellStyle name="Normal 3 3 3 3 3" xfId="40816"/>
    <cellStyle name="Normal 3 3 3 4" xfId="40817"/>
    <cellStyle name="Normal 3 3 3 4 2" xfId="40818"/>
    <cellStyle name="Normal 3 3 3 5" xfId="40819"/>
    <cellStyle name="Normal 3 3 3 6" xfId="40820"/>
    <cellStyle name="Normal 3 3 3 7" xfId="40821"/>
    <cellStyle name="Normal 3 3 4" xfId="40822"/>
    <cellStyle name="Normal 3 3 4 2" xfId="40823"/>
    <cellStyle name="Normal 3 3 4 2 2" xfId="40824"/>
    <cellStyle name="Normal 3 3 4 2 3" xfId="40825"/>
    <cellStyle name="Normal 3 3 4 2 4" xfId="40826"/>
    <cellStyle name="Normal 3 3 4 3" xfId="40827"/>
    <cellStyle name="Normal 3 3 4 3 2" xfId="40828"/>
    <cellStyle name="Normal 3 3 4 3 3" xfId="40829"/>
    <cellStyle name="Normal 3 3 4 4" xfId="40830"/>
    <cellStyle name="Normal 3 3 4 4 2" xfId="40831"/>
    <cellStyle name="Normal 3 3 4 5" xfId="40832"/>
    <cellStyle name="Normal 3 3 4 6" xfId="40833"/>
    <cellStyle name="Normal 3 3 4 7" xfId="40834"/>
    <cellStyle name="Normal 3 3 5" xfId="40835"/>
    <cellStyle name="Normal 3 3 6" xfId="40836"/>
    <cellStyle name="Normal 3 3 6 2" xfId="40837"/>
    <cellStyle name="Normal 3 3 6 3" xfId="40838"/>
    <cellStyle name="Normal 3 3 7" xfId="40839"/>
    <cellStyle name="Normal 3 3 7 2" xfId="40840"/>
    <cellStyle name="Normal 3 3 7 3" xfId="40841"/>
    <cellStyle name="Normal 3 3 8" xfId="40842"/>
    <cellStyle name="Normal 3 3 8 2" xfId="40843"/>
    <cellStyle name="Normal 3 3 9" xfId="40844"/>
    <cellStyle name="Normal 3 4" xfId="40845"/>
    <cellStyle name="Normal 3 4 2" xfId="40846"/>
    <cellStyle name="Normal 3 4 2 2" xfId="40847"/>
    <cellStyle name="Normal 3 4 2 2 2" xfId="40848"/>
    <cellStyle name="Normal 3 4 2 2 3" xfId="40849"/>
    <cellStyle name="Normal 3 4 2 2 4" xfId="40850"/>
    <cellStyle name="Normal 3 4 2 3" xfId="40851"/>
    <cellStyle name="Normal 3 4 2 3 2" xfId="40852"/>
    <cellStyle name="Normal 3 4 2 3 3" xfId="40853"/>
    <cellStyle name="Normal 3 4 2 4" xfId="40854"/>
    <cellStyle name="Normal 3 4 2 4 2" xfId="40855"/>
    <cellStyle name="Normal 3 4 2 5" xfId="40856"/>
    <cellStyle name="Normal 3 4 2 6" xfId="40857"/>
    <cellStyle name="Normal 3 4 2 7" xfId="40858"/>
    <cellStyle name="Normal 3 4 3" xfId="40859"/>
    <cellStyle name="Normal 3 4 3 2" xfId="40860"/>
    <cellStyle name="Normal 3 4 3 3" xfId="40861"/>
    <cellStyle name="Normal 3 4 4" xfId="40862"/>
    <cellStyle name="Normal 3 4 4 2" xfId="40863"/>
    <cellStyle name="Normal 3 4 4 3" xfId="40864"/>
    <cellStyle name="Normal 3 4 5" xfId="40865"/>
    <cellStyle name="Normal 3 4 5 2" xfId="40866"/>
    <cellStyle name="Normal 3 4 6" xfId="40867"/>
    <cellStyle name="Normal 3 4 7" xfId="40868"/>
    <cellStyle name="Normal 3 4 8" xfId="40869"/>
    <cellStyle name="Normal 3 5" xfId="40870"/>
    <cellStyle name="Normal 3 5 2" xfId="40871"/>
    <cellStyle name="Normal 3 5 3" xfId="40872"/>
    <cellStyle name="Normal 3 5 3 2" xfId="40873"/>
    <cellStyle name="Normal 3 5 3 3" xfId="40874"/>
    <cellStyle name="Normal 3 5 3 4" xfId="40875"/>
    <cellStyle name="Normal 3 5 4" xfId="40876"/>
    <cellStyle name="Normal 3 5 4 2" xfId="40877"/>
    <cellStyle name="Normal 3 5 4 3" xfId="40878"/>
    <cellStyle name="Normal 3 5 5" xfId="40879"/>
    <cellStyle name="Normal 3 5 5 2" xfId="40880"/>
    <cellStyle name="Normal 3 5 6" xfId="40881"/>
    <cellStyle name="Normal 3 5 7" xfId="40882"/>
    <cellStyle name="Normal 3 5 8" xfId="40883"/>
    <cellStyle name="Normal 3 6" xfId="40884"/>
    <cellStyle name="Normal 3 6 10" xfId="40885"/>
    <cellStyle name="Normal 3 6 2" xfId="40886"/>
    <cellStyle name="Normal 3 6 2 2" xfId="40887"/>
    <cellStyle name="Normal 3 6 2 2 2" xfId="40888"/>
    <cellStyle name="Normal 3 6 2 2 2 2" xfId="40889"/>
    <cellStyle name="Normal 3 6 2 2 2 2 2" xfId="40890"/>
    <cellStyle name="Normal 3 6 2 2 3" xfId="40891"/>
    <cellStyle name="Normal 3 6 2 2 3 2" xfId="40892"/>
    <cellStyle name="Normal 3 6 2 3" xfId="40893"/>
    <cellStyle name="Normal 3 6 2 3 2" xfId="40894"/>
    <cellStyle name="Normal 3 6 2 3 2 2" xfId="40895"/>
    <cellStyle name="Normal 3 6 2 4" xfId="40896"/>
    <cellStyle name="Normal 3 6 2 4 2" xfId="40897"/>
    <cellStyle name="Normal 3 6 2 5" xfId="40898"/>
    <cellStyle name="Normal 3 6 3" xfId="40899"/>
    <cellStyle name="Normal 3 6 3 2" xfId="40900"/>
    <cellStyle name="Normal 3 6 3 2 2" xfId="40901"/>
    <cellStyle name="Normal 3 6 3 2 2 2" xfId="40902"/>
    <cellStyle name="Normal 3 6 3 3" xfId="40903"/>
    <cellStyle name="Normal 3 6 3 3 2" xfId="40904"/>
    <cellStyle name="Normal 3 6 3 4" xfId="40905"/>
    <cellStyle name="Normal 3 6 3 5" xfId="40906"/>
    <cellStyle name="Normal 3 6 3 6" xfId="40907"/>
    <cellStyle name="Normal 3 6 4" xfId="40908"/>
    <cellStyle name="Normal 3 6 4 2" xfId="40909"/>
    <cellStyle name="Normal 3 6 4 2 2" xfId="40910"/>
    <cellStyle name="Normal 3 6 4 3" xfId="40911"/>
    <cellStyle name="Normal 3 6 4 4" xfId="40912"/>
    <cellStyle name="Normal 3 6 4 5" xfId="40913"/>
    <cellStyle name="Normal 3 6 5" xfId="40914"/>
    <cellStyle name="Normal 3 6 5 2" xfId="40915"/>
    <cellStyle name="Normal 3 6 5 3" xfId="40916"/>
    <cellStyle name="Normal 3 6 6" xfId="40917"/>
    <cellStyle name="Normal 3 6 7" xfId="40918"/>
    <cellStyle name="Normal 3 6 8" xfId="40919"/>
    <cellStyle name="Normal 3 6 9" xfId="40920"/>
    <cellStyle name="Normal 3 7" xfId="40921"/>
    <cellStyle name="Normal 3 7 2" xfId="40922"/>
    <cellStyle name="Normal 3 7 2 2" xfId="40923"/>
    <cellStyle name="Normal 3 7 2 2 2" xfId="40924"/>
    <cellStyle name="Normal 3 7 2 2 2 2" xfId="40925"/>
    <cellStyle name="Normal 3 7 2 3" xfId="40926"/>
    <cellStyle name="Normal 3 7 2 3 2" xfId="40927"/>
    <cellStyle name="Normal 3 7 2 4" xfId="40928"/>
    <cellStyle name="Normal 3 7 3" xfId="40929"/>
    <cellStyle name="Normal 3 7 3 2" xfId="40930"/>
    <cellStyle name="Normal 3 7 3 2 2" xfId="40931"/>
    <cellStyle name="Normal 3 7 3 3" xfId="40932"/>
    <cellStyle name="Normal 3 7 3 4" xfId="40933"/>
    <cellStyle name="Normal 3 7 3 5" xfId="40934"/>
    <cellStyle name="Normal 3 7 4" xfId="40935"/>
    <cellStyle name="Normal 3 7 4 2" xfId="40936"/>
    <cellStyle name="Normal 3 7 4 3" xfId="40937"/>
    <cellStyle name="Normal 3 7 4 4" xfId="40938"/>
    <cellStyle name="Normal 3 7 4 5" xfId="40939"/>
    <cellStyle name="Normal 3 7 5" xfId="40940"/>
    <cellStyle name="Normal 3 7 5 2" xfId="40941"/>
    <cellStyle name="Normal 3 7 6" xfId="40942"/>
    <cellStyle name="Normal 3 7 7" xfId="40943"/>
    <cellStyle name="Normal 3 7 8" xfId="40944"/>
    <cellStyle name="Normal 3 8" xfId="40945"/>
    <cellStyle name="Normal 3 8 2" xfId="40946"/>
    <cellStyle name="Normal 3 8 2 2" xfId="40947"/>
    <cellStyle name="Normal 3 8 2 2 2" xfId="40948"/>
    <cellStyle name="Normal 3 8 2 3" xfId="40949"/>
    <cellStyle name="Normal 3 8 3" xfId="40950"/>
    <cellStyle name="Normal 3 8 3 2" xfId="40951"/>
    <cellStyle name="Normal 3 8 3 2 2" xfId="40952"/>
    <cellStyle name="Normal 3 8 3 2 3" xfId="40953"/>
    <cellStyle name="Normal 3 8 3 2 4" xfId="40954"/>
    <cellStyle name="Normal 3 8 3 3" xfId="40955"/>
    <cellStyle name="Normal 3 8 3 3 2" xfId="40956"/>
    <cellStyle name="Normal 3 8 3 3 3" xfId="40957"/>
    <cellStyle name="Normal 3 8 3 4" xfId="40958"/>
    <cellStyle name="Normal 3 8 3 4 2" xfId="40959"/>
    <cellStyle name="Normal 3 8 3 5" xfId="40960"/>
    <cellStyle name="Normal 3 8 3 6" xfId="40961"/>
    <cellStyle name="Normal 3 8 3 7" xfId="40962"/>
    <cellStyle name="Normal 3 8 4" xfId="40963"/>
    <cellStyle name="Normal 3 9" xfId="40964"/>
    <cellStyle name="Normal 3 9 2" xfId="40965"/>
    <cellStyle name="Normal 3 9 2 2" xfId="40966"/>
    <cellStyle name="Normal 3 9 2 2 2" xfId="40967"/>
    <cellStyle name="Normal 3 9 2 2 3" xfId="40968"/>
    <cellStyle name="Normal 3 9 2 2 4" xfId="40969"/>
    <cellStyle name="Normal 3 9 2 3" xfId="40970"/>
    <cellStyle name="Normal 3 9 2 3 2" xfId="40971"/>
    <cellStyle name="Normal 3 9 2 3 3" xfId="40972"/>
    <cellStyle name="Normal 3 9 2 4" xfId="40973"/>
    <cellStyle name="Normal 3 9 2 4 2" xfId="40974"/>
    <cellStyle name="Normal 3 9 2 5" xfId="40975"/>
    <cellStyle name="Normal 3 9 2 6" xfId="40976"/>
    <cellStyle name="Normal 3 9 2 7" xfId="40977"/>
    <cellStyle name="Normal 3 9 3" xfId="40978"/>
    <cellStyle name="Normal 3_Feb 13 Details" xfId="40979"/>
    <cellStyle name="Normal 30" xfId="40980"/>
    <cellStyle name="Normal 30 2" xfId="40981"/>
    <cellStyle name="Normal 30 2 2" xfId="40982"/>
    <cellStyle name="Normal 30 3" xfId="40983"/>
    <cellStyle name="Normal 31" xfId="40984"/>
    <cellStyle name="Normal 31 2" xfId="40985"/>
    <cellStyle name="Normal 31 3" xfId="40986"/>
    <cellStyle name="Normal 32" xfId="40987"/>
    <cellStyle name="Normal 32 2" xfId="40988"/>
    <cellStyle name="Normal 33" xfId="40989"/>
    <cellStyle name="Normal 33 2" xfId="40990"/>
    <cellStyle name="Normal 34" xfId="40991"/>
    <cellStyle name="Normal 34 2" xfId="40992"/>
    <cellStyle name="Normal 35" xfId="40993"/>
    <cellStyle name="Normal 35 2" xfId="40994"/>
    <cellStyle name="Normal 36" xfId="40995"/>
    <cellStyle name="Normal 36 2" xfId="40996"/>
    <cellStyle name="Normal 37" xfId="40997"/>
    <cellStyle name="Normal 37 2" xfId="40998"/>
    <cellStyle name="Normal 37 3" xfId="40999"/>
    <cellStyle name="Normal 38" xfId="41000"/>
    <cellStyle name="Normal 38 2" xfId="41001"/>
    <cellStyle name="Normal 38 2 2" xfId="41002"/>
    <cellStyle name="Normal 38 2 3" xfId="41003"/>
    <cellStyle name="Normal 38 2 4" xfId="41004"/>
    <cellStyle name="Normal 38 3" xfId="41005"/>
    <cellStyle name="Normal 38 3 2" xfId="41006"/>
    <cellStyle name="Normal 38 3 3" xfId="41007"/>
    <cellStyle name="Normal 38 4" xfId="41008"/>
    <cellStyle name="Normal 38 4 2" xfId="41009"/>
    <cellStyle name="Normal 38 5" xfId="41010"/>
    <cellStyle name="Normal 38 6" xfId="41011"/>
    <cellStyle name="Normal 38 7" xfId="41012"/>
    <cellStyle name="Normal 39" xfId="41013"/>
    <cellStyle name="Normal 39 2" xfId="41014"/>
    <cellStyle name="Normal 4" xfId="41015"/>
    <cellStyle name="Normal 4 10" xfId="41016"/>
    <cellStyle name="Normal 4 10 2" xfId="41017"/>
    <cellStyle name="Normal 4 10 2 2" xfId="41018"/>
    <cellStyle name="Normal 4 10 2 2 2" xfId="41019"/>
    <cellStyle name="Normal 4 10 2 2 2 2" xfId="41020"/>
    <cellStyle name="Normal 4 10 2 2 2 2 2" xfId="41021"/>
    <cellStyle name="Normal 4 10 2 2 2 2 2 2" xfId="41022"/>
    <cellStyle name="Normal 4 10 2 2 2 3" xfId="41023"/>
    <cellStyle name="Normal 4 10 2 2 2 3 2" xfId="41024"/>
    <cellStyle name="Normal 4 10 2 2 3" xfId="41025"/>
    <cellStyle name="Normal 4 10 2 2 3 2" xfId="41026"/>
    <cellStyle name="Normal 4 10 2 2 3 2 2" xfId="41027"/>
    <cellStyle name="Normal 4 10 2 2 4" xfId="41028"/>
    <cellStyle name="Normal 4 10 2 2 4 2" xfId="41029"/>
    <cellStyle name="Normal 4 10 2 3" xfId="41030"/>
    <cellStyle name="Normal 4 10 2 3 2" xfId="41031"/>
    <cellStyle name="Normal 4 10 2 3 2 2" xfId="41032"/>
    <cellStyle name="Normal 4 10 2 3 2 2 2" xfId="41033"/>
    <cellStyle name="Normal 4 10 2 3 3" xfId="41034"/>
    <cellStyle name="Normal 4 10 2 3 3 2" xfId="41035"/>
    <cellStyle name="Normal 4 10 2 4" xfId="41036"/>
    <cellStyle name="Normal 4 10 2 4 2" xfId="41037"/>
    <cellStyle name="Normal 4 10 2 4 2 2" xfId="41038"/>
    <cellStyle name="Normal 4 10 2 5" xfId="41039"/>
    <cellStyle name="Normal 4 10 2 5 2" xfId="41040"/>
    <cellStyle name="Normal 4 10 3" xfId="41041"/>
    <cellStyle name="Normal 4 10 3 2" xfId="41042"/>
    <cellStyle name="Normal 4 10 3 2 2" xfId="41043"/>
    <cellStyle name="Normal 4 10 3 2 2 2" xfId="41044"/>
    <cellStyle name="Normal 4 10 3 2 2 2 2" xfId="41045"/>
    <cellStyle name="Normal 4 10 3 2 3" xfId="41046"/>
    <cellStyle name="Normal 4 10 3 2 3 2" xfId="41047"/>
    <cellStyle name="Normal 4 10 3 3" xfId="41048"/>
    <cellStyle name="Normal 4 10 3 3 2" xfId="41049"/>
    <cellStyle name="Normal 4 10 3 3 2 2" xfId="41050"/>
    <cellStyle name="Normal 4 10 3 4" xfId="41051"/>
    <cellStyle name="Normal 4 10 3 4 2" xfId="41052"/>
    <cellStyle name="Normal 4 10 4" xfId="41053"/>
    <cellStyle name="Normal 4 10 4 2" xfId="41054"/>
    <cellStyle name="Normal 4 10 4 2 2" xfId="41055"/>
    <cellStyle name="Normal 4 10 4 2 2 2" xfId="41056"/>
    <cellStyle name="Normal 4 10 4 3" xfId="41057"/>
    <cellStyle name="Normal 4 10 4 3 2" xfId="41058"/>
    <cellStyle name="Normal 4 10 5" xfId="41059"/>
    <cellStyle name="Normal 4 10 5 2" xfId="41060"/>
    <cellStyle name="Normal 4 10 5 2 2" xfId="41061"/>
    <cellStyle name="Normal 4 10 6" xfId="41062"/>
    <cellStyle name="Normal 4 10 6 2" xfId="41063"/>
    <cellStyle name="Normal 4 11" xfId="41064"/>
    <cellStyle name="Normal 4 11 2" xfId="41065"/>
    <cellStyle name="Normal 4 11 2 2" xfId="41066"/>
    <cellStyle name="Normal 4 11 2 2 2" xfId="41067"/>
    <cellStyle name="Normal 4 11 2 2 2 2" xfId="41068"/>
    <cellStyle name="Normal 4 11 2 2 2 2 2" xfId="41069"/>
    <cellStyle name="Normal 4 11 2 2 2 2 2 2" xfId="41070"/>
    <cellStyle name="Normal 4 11 2 2 2 3" xfId="41071"/>
    <cellStyle name="Normal 4 11 2 2 2 3 2" xfId="41072"/>
    <cellStyle name="Normal 4 11 2 2 3" xfId="41073"/>
    <cellStyle name="Normal 4 11 2 2 3 2" xfId="41074"/>
    <cellStyle name="Normal 4 11 2 2 3 2 2" xfId="41075"/>
    <cellStyle name="Normal 4 11 2 2 4" xfId="41076"/>
    <cellStyle name="Normal 4 11 2 2 4 2" xfId="41077"/>
    <cellStyle name="Normal 4 11 2 3" xfId="41078"/>
    <cellStyle name="Normal 4 11 2 3 2" xfId="41079"/>
    <cellStyle name="Normal 4 11 2 3 2 2" xfId="41080"/>
    <cellStyle name="Normal 4 11 2 3 2 2 2" xfId="41081"/>
    <cellStyle name="Normal 4 11 2 3 3" xfId="41082"/>
    <cellStyle name="Normal 4 11 2 3 3 2" xfId="41083"/>
    <cellStyle name="Normal 4 11 2 4" xfId="41084"/>
    <cellStyle name="Normal 4 11 2 4 2" xfId="41085"/>
    <cellStyle name="Normal 4 11 2 4 2 2" xfId="41086"/>
    <cellStyle name="Normal 4 11 2 5" xfId="41087"/>
    <cellStyle name="Normal 4 11 2 5 2" xfId="41088"/>
    <cellStyle name="Normal 4 11 3" xfId="41089"/>
    <cellStyle name="Normal 4 11 3 2" xfId="41090"/>
    <cellStyle name="Normal 4 11 3 2 2" xfId="41091"/>
    <cellStyle name="Normal 4 11 3 2 2 2" xfId="41092"/>
    <cellStyle name="Normal 4 11 3 2 2 2 2" xfId="41093"/>
    <cellStyle name="Normal 4 11 3 2 3" xfId="41094"/>
    <cellStyle name="Normal 4 11 3 2 3 2" xfId="41095"/>
    <cellStyle name="Normal 4 11 3 3" xfId="41096"/>
    <cellStyle name="Normal 4 11 3 3 2" xfId="41097"/>
    <cellStyle name="Normal 4 11 3 3 2 2" xfId="41098"/>
    <cellStyle name="Normal 4 11 3 4" xfId="41099"/>
    <cellStyle name="Normal 4 11 3 4 2" xfId="41100"/>
    <cellStyle name="Normal 4 11 4" xfId="41101"/>
    <cellStyle name="Normal 4 11 4 2" xfId="41102"/>
    <cellStyle name="Normal 4 11 4 2 2" xfId="41103"/>
    <cellStyle name="Normal 4 11 4 2 2 2" xfId="41104"/>
    <cellStyle name="Normal 4 11 4 3" xfId="41105"/>
    <cellStyle name="Normal 4 11 4 3 2" xfId="41106"/>
    <cellStyle name="Normal 4 11 5" xfId="41107"/>
    <cellStyle name="Normal 4 11 5 2" xfId="41108"/>
    <cellStyle name="Normal 4 11 5 2 2" xfId="41109"/>
    <cellStyle name="Normal 4 11 6" xfId="41110"/>
    <cellStyle name="Normal 4 11 6 2" xfId="41111"/>
    <cellStyle name="Normal 4 12" xfId="41112"/>
    <cellStyle name="Normal 4 12 2" xfId="41113"/>
    <cellStyle name="Normal 4 12 2 2" xfId="41114"/>
    <cellStyle name="Normal 4 12 2 2 2" xfId="41115"/>
    <cellStyle name="Normal 4 12 2 2 2 2" xfId="41116"/>
    <cellStyle name="Normal 4 12 2 2 2 2 2" xfId="41117"/>
    <cellStyle name="Normal 4 12 2 2 2 2 2 2" xfId="41118"/>
    <cellStyle name="Normal 4 12 2 2 2 3" xfId="41119"/>
    <cellStyle name="Normal 4 12 2 2 2 3 2" xfId="41120"/>
    <cellStyle name="Normal 4 12 2 2 3" xfId="41121"/>
    <cellStyle name="Normal 4 12 2 2 3 2" xfId="41122"/>
    <cellStyle name="Normal 4 12 2 2 3 2 2" xfId="41123"/>
    <cellStyle name="Normal 4 12 2 2 4" xfId="41124"/>
    <cellStyle name="Normal 4 12 2 2 4 2" xfId="41125"/>
    <cellStyle name="Normal 4 12 2 3" xfId="41126"/>
    <cellStyle name="Normal 4 12 2 3 2" xfId="41127"/>
    <cellStyle name="Normal 4 12 2 3 2 2" xfId="41128"/>
    <cellStyle name="Normal 4 12 2 3 2 2 2" xfId="41129"/>
    <cellStyle name="Normal 4 12 2 3 3" xfId="41130"/>
    <cellStyle name="Normal 4 12 2 3 3 2" xfId="41131"/>
    <cellStyle name="Normal 4 12 2 4" xfId="41132"/>
    <cellStyle name="Normal 4 12 2 4 2" xfId="41133"/>
    <cellStyle name="Normal 4 12 2 4 2 2" xfId="41134"/>
    <cellStyle name="Normal 4 12 2 5" xfId="41135"/>
    <cellStyle name="Normal 4 12 2 5 2" xfId="41136"/>
    <cellStyle name="Normal 4 12 3" xfId="41137"/>
    <cellStyle name="Normal 4 12 3 2" xfId="41138"/>
    <cellStyle name="Normal 4 12 3 2 2" xfId="41139"/>
    <cellStyle name="Normal 4 12 3 2 2 2" xfId="41140"/>
    <cellStyle name="Normal 4 12 3 2 2 2 2" xfId="41141"/>
    <cellStyle name="Normal 4 12 3 2 3" xfId="41142"/>
    <cellStyle name="Normal 4 12 3 2 3 2" xfId="41143"/>
    <cellStyle name="Normal 4 12 3 3" xfId="41144"/>
    <cellStyle name="Normal 4 12 3 3 2" xfId="41145"/>
    <cellStyle name="Normal 4 12 3 3 2 2" xfId="41146"/>
    <cellStyle name="Normal 4 12 3 4" xfId="41147"/>
    <cellStyle name="Normal 4 12 3 4 2" xfId="41148"/>
    <cellStyle name="Normal 4 12 4" xfId="41149"/>
    <cellStyle name="Normal 4 12 4 2" xfId="41150"/>
    <cellStyle name="Normal 4 12 4 2 2" xfId="41151"/>
    <cellStyle name="Normal 4 12 4 2 2 2" xfId="41152"/>
    <cellStyle name="Normal 4 12 4 3" xfId="41153"/>
    <cellStyle name="Normal 4 12 4 3 2" xfId="41154"/>
    <cellStyle name="Normal 4 12 5" xfId="41155"/>
    <cellStyle name="Normal 4 12 5 2" xfId="41156"/>
    <cellStyle name="Normal 4 12 5 2 2" xfId="41157"/>
    <cellStyle name="Normal 4 12 6" xfId="41158"/>
    <cellStyle name="Normal 4 12 6 2" xfId="41159"/>
    <cellStyle name="Normal 4 13" xfId="41160"/>
    <cellStyle name="Normal 4 13 2" xfId="41161"/>
    <cellStyle name="Normal 4 13 2 2" xfId="41162"/>
    <cellStyle name="Normal 4 13 2 2 2" xfId="41163"/>
    <cellStyle name="Normal 4 13 2 2 2 2" xfId="41164"/>
    <cellStyle name="Normal 4 13 2 2 2 2 2" xfId="41165"/>
    <cellStyle name="Normal 4 13 2 2 2 2 2 2" xfId="41166"/>
    <cellStyle name="Normal 4 13 2 2 2 3" xfId="41167"/>
    <cellStyle name="Normal 4 13 2 2 2 3 2" xfId="41168"/>
    <cellStyle name="Normal 4 13 2 2 3" xfId="41169"/>
    <cellStyle name="Normal 4 13 2 2 3 2" xfId="41170"/>
    <cellStyle name="Normal 4 13 2 2 3 2 2" xfId="41171"/>
    <cellStyle name="Normal 4 13 2 2 4" xfId="41172"/>
    <cellStyle name="Normal 4 13 2 2 4 2" xfId="41173"/>
    <cellStyle name="Normal 4 13 2 3" xfId="41174"/>
    <cellStyle name="Normal 4 13 2 3 2" xfId="41175"/>
    <cellStyle name="Normal 4 13 2 3 2 2" xfId="41176"/>
    <cellStyle name="Normal 4 13 2 3 2 2 2" xfId="41177"/>
    <cellStyle name="Normal 4 13 2 3 3" xfId="41178"/>
    <cellStyle name="Normal 4 13 2 3 3 2" xfId="41179"/>
    <cellStyle name="Normal 4 13 2 4" xfId="41180"/>
    <cellStyle name="Normal 4 13 2 4 2" xfId="41181"/>
    <cellStyle name="Normal 4 13 2 4 2 2" xfId="41182"/>
    <cellStyle name="Normal 4 13 2 5" xfId="41183"/>
    <cellStyle name="Normal 4 13 2 5 2" xfId="41184"/>
    <cellStyle name="Normal 4 13 3" xfId="41185"/>
    <cellStyle name="Normal 4 13 3 2" xfId="41186"/>
    <cellStyle name="Normal 4 13 3 2 2" xfId="41187"/>
    <cellStyle name="Normal 4 13 3 2 2 2" xfId="41188"/>
    <cellStyle name="Normal 4 13 3 2 2 2 2" xfId="41189"/>
    <cellStyle name="Normal 4 13 3 2 3" xfId="41190"/>
    <cellStyle name="Normal 4 13 3 2 3 2" xfId="41191"/>
    <cellStyle name="Normal 4 13 3 3" xfId="41192"/>
    <cellStyle name="Normal 4 13 3 3 2" xfId="41193"/>
    <cellStyle name="Normal 4 13 3 3 2 2" xfId="41194"/>
    <cellStyle name="Normal 4 13 3 4" xfId="41195"/>
    <cellStyle name="Normal 4 13 3 4 2" xfId="41196"/>
    <cellStyle name="Normal 4 13 4" xfId="41197"/>
    <cellStyle name="Normal 4 13 4 2" xfId="41198"/>
    <cellStyle name="Normal 4 13 4 2 2" xfId="41199"/>
    <cellStyle name="Normal 4 13 4 2 2 2" xfId="41200"/>
    <cellStyle name="Normal 4 13 4 3" xfId="41201"/>
    <cellStyle name="Normal 4 13 4 3 2" xfId="41202"/>
    <cellStyle name="Normal 4 13 5" xfId="41203"/>
    <cellStyle name="Normal 4 13 5 2" xfId="41204"/>
    <cellStyle name="Normal 4 13 5 2 2" xfId="41205"/>
    <cellStyle name="Normal 4 13 6" xfId="41206"/>
    <cellStyle name="Normal 4 13 6 2" xfId="41207"/>
    <cellStyle name="Normal 4 14" xfId="41208"/>
    <cellStyle name="Normal 4 14 2" xfId="41209"/>
    <cellStyle name="Normal 4 14 2 2" xfId="41210"/>
    <cellStyle name="Normal 4 14 2 2 2" xfId="41211"/>
    <cellStyle name="Normal 4 14 2 2 2 2" xfId="41212"/>
    <cellStyle name="Normal 4 14 2 2 2 2 2" xfId="41213"/>
    <cellStyle name="Normal 4 14 2 2 2 2 2 2" xfId="41214"/>
    <cellStyle name="Normal 4 14 2 2 2 3" xfId="41215"/>
    <cellStyle name="Normal 4 14 2 2 2 3 2" xfId="41216"/>
    <cellStyle name="Normal 4 14 2 2 3" xfId="41217"/>
    <cellStyle name="Normal 4 14 2 2 3 2" xfId="41218"/>
    <cellStyle name="Normal 4 14 2 2 3 2 2" xfId="41219"/>
    <cellStyle name="Normal 4 14 2 2 4" xfId="41220"/>
    <cellStyle name="Normal 4 14 2 2 4 2" xfId="41221"/>
    <cellStyle name="Normal 4 14 2 3" xfId="41222"/>
    <cellStyle name="Normal 4 14 2 3 2" xfId="41223"/>
    <cellStyle name="Normal 4 14 2 3 2 2" xfId="41224"/>
    <cellStyle name="Normal 4 14 2 3 2 2 2" xfId="41225"/>
    <cellStyle name="Normal 4 14 2 3 3" xfId="41226"/>
    <cellStyle name="Normal 4 14 2 3 3 2" xfId="41227"/>
    <cellStyle name="Normal 4 14 2 4" xfId="41228"/>
    <cellStyle name="Normal 4 14 2 4 2" xfId="41229"/>
    <cellStyle name="Normal 4 14 2 4 2 2" xfId="41230"/>
    <cellStyle name="Normal 4 14 2 5" xfId="41231"/>
    <cellStyle name="Normal 4 14 2 5 2" xfId="41232"/>
    <cellStyle name="Normal 4 14 3" xfId="41233"/>
    <cellStyle name="Normal 4 14 3 2" xfId="41234"/>
    <cellStyle name="Normal 4 14 3 2 2" xfId="41235"/>
    <cellStyle name="Normal 4 14 3 2 2 2" xfId="41236"/>
    <cellStyle name="Normal 4 14 3 2 2 2 2" xfId="41237"/>
    <cellStyle name="Normal 4 14 3 2 3" xfId="41238"/>
    <cellStyle name="Normal 4 14 3 2 3 2" xfId="41239"/>
    <cellStyle name="Normal 4 14 3 3" xfId="41240"/>
    <cellStyle name="Normal 4 14 3 3 2" xfId="41241"/>
    <cellStyle name="Normal 4 14 3 3 2 2" xfId="41242"/>
    <cellStyle name="Normal 4 14 3 4" xfId="41243"/>
    <cellStyle name="Normal 4 14 3 4 2" xfId="41244"/>
    <cellStyle name="Normal 4 14 4" xfId="41245"/>
    <cellStyle name="Normal 4 14 4 2" xfId="41246"/>
    <cellStyle name="Normal 4 14 4 2 2" xfId="41247"/>
    <cellStyle name="Normal 4 14 4 2 2 2" xfId="41248"/>
    <cellStyle name="Normal 4 14 4 3" xfId="41249"/>
    <cellStyle name="Normal 4 14 4 3 2" xfId="41250"/>
    <cellStyle name="Normal 4 14 5" xfId="41251"/>
    <cellStyle name="Normal 4 14 5 2" xfId="41252"/>
    <cellStyle name="Normal 4 14 5 2 2" xfId="41253"/>
    <cellStyle name="Normal 4 14 6" xfId="41254"/>
    <cellStyle name="Normal 4 14 6 2" xfId="41255"/>
    <cellStyle name="Normal 4 15" xfId="41256"/>
    <cellStyle name="Normal 4 15 2" xfId="41257"/>
    <cellStyle name="Normal 4 15 2 2" xfId="41258"/>
    <cellStyle name="Normal 4 15 2 2 2" xfId="41259"/>
    <cellStyle name="Normal 4 15 2 2 2 2" xfId="41260"/>
    <cellStyle name="Normal 4 15 2 2 2 2 2" xfId="41261"/>
    <cellStyle name="Normal 4 15 2 2 2 2 2 2" xfId="41262"/>
    <cellStyle name="Normal 4 15 2 2 2 3" xfId="41263"/>
    <cellStyle name="Normal 4 15 2 2 2 3 2" xfId="41264"/>
    <cellStyle name="Normal 4 15 2 2 3" xfId="41265"/>
    <cellStyle name="Normal 4 15 2 2 3 2" xfId="41266"/>
    <cellStyle name="Normal 4 15 2 2 3 2 2" xfId="41267"/>
    <cellStyle name="Normal 4 15 2 2 4" xfId="41268"/>
    <cellStyle name="Normal 4 15 2 2 4 2" xfId="41269"/>
    <cellStyle name="Normal 4 15 2 3" xfId="41270"/>
    <cellStyle name="Normal 4 15 2 3 2" xfId="41271"/>
    <cellStyle name="Normal 4 15 2 3 2 2" xfId="41272"/>
    <cellStyle name="Normal 4 15 2 3 2 2 2" xfId="41273"/>
    <cellStyle name="Normal 4 15 2 3 3" xfId="41274"/>
    <cellStyle name="Normal 4 15 2 3 3 2" xfId="41275"/>
    <cellStyle name="Normal 4 15 2 4" xfId="41276"/>
    <cellStyle name="Normal 4 15 2 4 2" xfId="41277"/>
    <cellStyle name="Normal 4 15 2 4 2 2" xfId="41278"/>
    <cellStyle name="Normal 4 15 2 5" xfId="41279"/>
    <cellStyle name="Normal 4 15 2 5 2" xfId="41280"/>
    <cellStyle name="Normal 4 15 3" xfId="41281"/>
    <cellStyle name="Normal 4 15 3 2" xfId="41282"/>
    <cellStyle name="Normal 4 15 3 2 2" xfId="41283"/>
    <cellStyle name="Normal 4 15 3 2 2 2" xfId="41284"/>
    <cellStyle name="Normal 4 15 3 2 2 2 2" xfId="41285"/>
    <cellStyle name="Normal 4 15 3 2 3" xfId="41286"/>
    <cellStyle name="Normal 4 15 3 2 3 2" xfId="41287"/>
    <cellStyle name="Normal 4 15 3 3" xfId="41288"/>
    <cellStyle name="Normal 4 15 3 3 2" xfId="41289"/>
    <cellStyle name="Normal 4 15 3 3 2 2" xfId="41290"/>
    <cellStyle name="Normal 4 15 3 4" xfId="41291"/>
    <cellStyle name="Normal 4 15 3 4 2" xfId="41292"/>
    <cellStyle name="Normal 4 15 4" xfId="41293"/>
    <cellStyle name="Normal 4 15 4 2" xfId="41294"/>
    <cellStyle name="Normal 4 15 4 2 2" xfId="41295"/>
    <cellStyle name="Normal 4 15 4 2 2 2" xfId="41296"/>
    <cellStyle name="Normal 4 15 4 3" xfId="41297"/>
    <cellStyle name="Normal 4 15 4 3 2" xfId="41298"/>
    <cellStyle name="Normal 4 15 5" xfId="41299"/>
    <cellStyle name="Normal 4 15 5 2" xfId="41300"/>
    <cellStyle name="Normal 4 15 5 2 2" xfId="41301"/>
    <cellStyle name="Normal 4 15 6" xfId="41302"/>
    <cellStyle name="Normal 4 15 6 2" xfId="41303"/>
    <cellStyle name="Normal 4 16" xfId="41304"/>
    <cellStyle name="Normal 4 16 2" xfId="41305"/>
    <cellStyle name="Normal 4 16 2 2" xfId="41306"/>
    <cellStyle name="Normal 4 16 2 2 2" xfId="41307"/>
    <cellStyle name="Normal 4 16 2 2 2 2" xfId="41308"/>
    <cellStyle name="Normal 4 16 2 2 2 2 2" xfId="41309"/>
    <cellStyle name="Normal 4 16 2 2 2 2 2 2" xfId="41310"/>
    <cellStyle name="Normal 4 16 2 2 2 3" xfId="41311"/>
    <cellStyle name="Normal 4 16 2 2 2 3 2" xfId="41312"/>
    <cellStyle name="Normal 4 16 2 2 3" xfId="41313"/>
    <cellStyle name="Normal 4 16 2 2 3 2" xfId="41314"/>
    <cellStyle name="Normal 4 16 2 2 3 2 2" xfId="41315"/>
    <cellStyle name="Normal 4 16 2 2 4" xfId="41316"/>
    <cellStyle name="Normal 4 16 2 2 4 2" xfId="41317"/>
    <cellStyle name="Normal 4 16 2 3" xfId="41318"/>
    <cellStyle name="Normal 4 16 2 3 2" xfId="41319"/>
    <cellStyle name="Normal 4 16 2 3 2 2" xfId="41320"/>
    <cellStyle name="Normal 4 16 2 3 2 2 2" xfId="41321"/>
    <cellStyle name="Normal 4 16 2 3 3" xfId="41322"/>
    <cellStyle name="Normal 4 16 2 3 3 2" xfId="41323"/>
    <cellStyle name="Normal 4 16 2 4" xfId="41324"/>
    <cellStyle name="Normal 4 16 2 4 2" xfId="41325"/>
    <cellStyle name="Normal 4 16 2 4 2 2" xfId="41326"/>
    <cellStyle name="Normal 4 16 2 5" xfId="41327"/>
    <cellStyle name="Normal 4 16 2 5 2" xfId="41328"/>
    <cellStyle name="Normal 4 16 3" xfId="41329"/>
    <cellStyle name="Normal 4 16 3 2" xfId="41330"/>
    <cellStyle name="Normal 4 16 3 2 2" xfId="41331"/>
    <cellStyle name="Normal 4 16 3 2 2 2" xfId="41332"/>
    <cellStyle name="Normal 4 16 3 2 2 2 2" xfId="41333"/>
    <cellStyle name="Normal 4 16 3 2 3" xfId="41334"/>
    <cellStyle name="Normal 4 16 3 2 3 2" xfId="41335"/>
    <cellStyle name="Normal 4 16 3 3" xfId="41336"/>
    <cellStyle name="Normal 4 16 3 3 2" xfId="41337"/>
    <cellStyle name="Normal 4 16 3 3 2 2" xfId="41338"/>
    <cellStyle name="Normal 4 16 3 4" xfId="41339"/>
    <cellStyle name="Normal 4 16 3 4 2" xfId="41340"/>
    <cellStyle name="Normal 4 16 4" xfId="41341"/>
    <cellStyle name="Normal 4 16 4 2" xfId="41342"/>
    <cellStyle name="Normal 4 16 4 2 2" xfId="41343"/>
    <cellStyle name="Normal 4 16 4 2 2 2" xfId="41344"/>
    <cellStyle name="Normal 4 16 4 3" xfId="41345"/>
    <cellStyle name="Normal 4 16 4 3 2" xfId="41346"/>
    <cellStyle name="Normal 4 16 5" xfId="41347"/>
    <cellStyle name="Normal 4 16 5 2" xfId="41348"/>
    <cellStyle name="Normal 4 16 5 2 2" xfId="41349"/>
    <cellStyle name="Normal 4 16 6" xfId="41350"/>
    <cellStyle name="Normal 4 16 6 2" xfId="41351"/>
    <cellStyle name="Normal 4 17" xfId="41352"/>
    <cellStyle name="Normal 4 17 2" xfId="41353"/>
    <cellStyle name="Normal 4 17 2 2" xfId="41354"/>
    <cellStyle name="Normal 4 17 2 2 2" xfId="41355"/>
    <cellStyle name="Normal 4 17 2 2 2 2" xfId="41356"/>
    <cellStyle name="Normal 4 17 2 2 2 2 2" xfId="41357"/>
    <cellStyle name="Normal 4 17 2 2 3" xfId="41358"/>
    <cellStyle name="Normal 4 17 2 2 3 2" xfId="41359"/>
    <cellStyle name="Normal 4 17 2 3" xfId="41360"/>
    <cellStyle name="Normal 4 17 2 3 2" xfId="41361"/>
    <cellStyle name="Normal 4 17 2 3 2 2" xfId="41362"/>
    <cellStyle name="Normal 4 17 2 4" xfId="41363"/>
    <cellStyle name="Normal 4 17 2 4 2" xfId="41364"/>
    <cellStyle name="Normal 4 17 3" xfId="41365"/>
    <cellStyle name="Normal 4 17 3 2" xfId="41366"/>
    <cellStyle name="Normal 4 17 3 2 2" xfId="41367"/>
    <cellStyle name="Normal 4 17 3 2 2 2" xfId="41368"/>
    <cellStyle name="Normal 4 17 3 3" xfId="41369"/>
    <cellStyle name="Normal 4 17 3 3 2" xfId="41370"/>
    <cellStyle name="Normal 4 17 4" xfId="41371"/>
    <cellStyle name="Normal 4 17 4 2" xfId="41372"/>
    <cellStyle name="Normal 4 17 4 2 2" xfId="41373"/>
    <cellStyle name="Normal 4 17 5" xfId="41374"/>
    <cellStyle name="Normal 4 17 5 2" xfId="41375"/>
    <cellStyle name="Normal 4 18" xfId="41376"/>
    <cellStyle name="Normal 4 18 2" xfId="41377"/>
    <cellStyle name="Normal 4 18 2 2" xfId="41378"/>
    <cellStyle name="Normal 4 18 2 2 2" xfId="41379"/>
    <cellStyle name="Normal 4 18 2 2 2 2" xfId="41380"/>
    <cellStyle name="Normal 4 18 2 3" xfId="41381"/>
    <cellStyle name="Normal 4 18 2 3 2" xfId="41382"/>
    <cellStyle name="Normal 4 18 3" xfId="41383"/>
    <cellStyle name="Normal 4 18 3 2" xfId="41384"/>
    <cellStyle name="Normal 4 18 3 2 2" xfId="41385"/>
    <cellStyle name="Normal 4 18 4" xfId="41386"/>
    <cellStyle name="Normal 4 18 4 2" xfId="41387"/>
    <cellStyle name="Normal 4 19" xfId="41388"/>
    <cellStyle name="Normal 4 19 2" xfId="41389"/>
    <cellStyle name="Normal 4 19 2 2" xfId="41390"/>
    <cellStyle name="Normal 4 19 2 2 2" xfId="41391"/>
    <cellStyle name="Normal 4 19 3" xfId="41392"/>
    <cellStyle name="Normal 4 19 3 2" xfId="41393"/>
    <cellStyle name="Normal 4 2" xfId="41394"/>
    <cellStyle name="Normal 4 2 10" xfId="41395"/>
    <cellStyle name="Normal 4 2 11" xfId="41396"/>
    <cellStyle name="Normal 4 2 12" xfId="41397"/>
    <cellStyle name="Normal 4 2 13" xfId="41398"/>
    <cellStyle name="Normal 4 2 14" xfId="41399"/>
    <cellStyle name="Normal 4 2 14 2" xfId="41400"/>
    <cellStyle name="Normal 4 2 14 2 2" xfId="41401"/>
    <cellStyle name="Normal 4 2 14 2 2 2" xfId="41402"/>
    <cellStyle name="Normal 4 2 14 2 2 2 2" xfId="41403"/>
    <cellStyle name="Normal 4 2 14 2 2 2 2 2" xfId="41404"/>
    <cellStyle name="Normal 4 2 14 2 2 3" xfId="41405"/>
    <cellStyle name="Normal 4 2 14 2 2 3 2" xfId="41406"/>
    <cellStyle name="Normal 4 2 14 2 3" xfId="41407"/>
    <cellStyle name="Normal 4 2 14 2 3 2" xfId="41408"/>
    <cellStyle name="Normal 4 2 14 2 3 2 2" xfId="41409"/>
    <cellStyle name="Normal 4 2 14 2 4" xfId="41410"/>
    <cellStyle name="Normal 4 2 14 2 4 2" xfId="41411"/>
    <cellStyle name="Normal 4 2 14 3" xfId="41412"/>
    <cellStyle name="Normal 4 2 14 3 2" xfId="41413"/>
    <cellStyle name="Normal 4 2 14 3 2 2" xfId="41414"/>
    <cellStyle name="Normal 4 2 14 3 2 2 2" xfId="41415"/>
    <cellStyle name="Normal 4 2 14 3 3" xfId="41416"/>
    <cellStyle name="Normal 4 2 14 3 3 2" xfId="41417"/>
    <cellStyle name="Normal 4 2 14 4" xfId="41418"/>
    <cellStyle name="Normal 4 2 14 4 2" xfId="41419"/>
    <cellStyle name="Normal 4 2 14 4 2 2" xfId="41420"/>
    <cellStyle name="Normal 4 2 14 5" xfId="41421"/>
    <cellStyle name="Normal 4 2 14 5 2" xfId="41422"/>
    <cellStyle name="Normal 4 2 15" xfId="41423"/>
    <cellStyle name="Normal 4 2 15 2" xfId="41424"/>
    <cellStyle name="Normal 4 2 15 2 2" xfId="41425"/>
    <cellStyle name="Normal 4 2 15 2 2 2" xfId="41426"/>
    <cellStyle name="Normal 4 2 15 2 2 2 2" xfId="41427"/>
    <cellStyle name="Normal 4 2 15 2 3" xfId="41428"/>
    <cellStyle name="Normal 4 2 15 2 3 2" xfId="41429"/>
    <cellStyle name="Normal 4 2 15 3" xfId="41430"/>
    <cellStyle name="Normal 4 2 15 3 2" xfId="41431"/>
    <cellStyle name="Normal 4 2 15 3 2 2" xfId="41432"/>
    <cellStyle name="Normal 4 2 15 4" xfId="41433"/>
    <cellStyle name="Normal 4 2 15 4 2" xfId="41434"/>
    <cellStyle name="Normal 4 2 16" xfId="41435"/>
    <cellStyle name="Normal 4 2 16 2" xfId="41436"/>
    <cellStyle name="Normal 4 2 16 2 2" xfId="41437"/>
    <cellStyle name="Normal 4 2 16 2 2 2" xfId="41438"/>
    <cellStyle name="Normal 4 2 16 3" xfId="41439"/>
    <cellStyle name="Normal 4 2 16 3 2" xfId="41440"/>
    <cellStyle name="Normal 4 2 17" xfId="41441"/>
    <cellStyle name="Normal 4 2 17 2" xfId="41442"/>
    <cellStyle name="Normal 4 2 17 2 2" xfId="41443"/>
    <cellStyle name="Normal 4 2 18" xfId="41444"/>
    <cellStyle name="Normal 4 2 18 2" xfId="41445"/>
    <cellStyle name="Normal 4 2 19" xfId="41446"/>
    <cellStyle name="Normal 4 2 2" xfId="41447"/>
    <cellStyle name="Normal 4 2 2 2" xfId="41448"/>
    <cellStyle name="Normal 4 2 2 2 2" xfId="41449"/>
    <cellStyle name="Normal 4 2 2 3" xfId="41450"/>
    <cellStyle name="Normal 4 2 2 4" xfId="41451"/>
    <cellStyle name="Normal 4 2 2_Northern Rock" xfId="41452"/>
    <cellStyle name="Normal 4 2 20" xfId="41453"/>
    <cellStyle name="Normal 4 2 3" xfId="41454"/>
    <cellStyle name="Normal 4 2 3 2" xfId="41455"/>
    <cellStyle name="Normal 4 2 4" xfId="41456"/>
    <cellStyle name="Normal 4 2 5" xfId="41457"/>
    <cellStyle name="Normal 4 2 6" xfId="41458"/>
    <cellStyle name="Normal 4 2 7" xfId="41459"/>
    <cellStyle name="Normal 4 2 8" xfId="41460"/>
    <cellStyle name="Normal 4 2 9" xfId="41461"/>
    <cellStyle name="Normal 4 2_Northern Rock" xfId="41462"/>
    <cellStyle name="Normal 4 20" xfId="41463"/>
    <cellStyle name="Normal 4 20 2" xfId="41464"/>
    <cellStyle name="Normal 4 20 2 2" xfId="41465"/>
    <cellStyle name="Normal 4 21" xfId="41466"/>
    <cellStyle name="Normal 4 22" xfId="41467"/>
    <cellStyle name="Normal 4 22 2" xfId="41468"/>
    <cellStyle name="Normal 4 23" xfId="41469"/>
    <cellStyle name="Normal 4 23 2" xfId="41470"/>
    <cellStyle name="Normal 4 24" xfId="41471"/>
    <cellStyle name="Normal 4 24 2" xfId="41472"/>
    <cellStyle name="Normal 4 25" xfId="41473"/>
    <cellStyle name="Normal 4 26" xfId="41474"/>
    <cellStyle name="Normal 4 27" xfId="41475"/>
    <cellStyle name="Normal 4 28" xfId="41476"/>
    <cellStyle name="Normal 4 29" xfId="41477"/>
    <cellStyle name="Normal 4 3" xfId="41478"/>
    <cellStyle name="Normal 4 3 2" xfId="41479"/>
    <cellStyle name="Normal 4 3 2 2" xfId="41480"/>
    <cellStyle name="Normal 4 3 2 3" xfId="41481"/>
    <cellStyle name="Normal 4 3 3" xfId="41482"/>
    <cellStyle name="Normal 4 3 4" xfId="41483"/>
    <cellStyle name="Normal 4 3_Northern Rock" xfId="41484"/>
    <cellStyle name="Normal 4 30" xfId="41485"/>
    <cellStyle name="Normal 4 31" xfId="41486"/>
    <cellStyle name="Normal 4 32" xfId="41487"/>
    <cellStyle name="Normal 4 33" xfId="41488"/>
    <cellStyle name="Normal 4 34" xfId="41489"/>
    <cellStyle name="Normal 4 35" xfId="41490"/>
    <cellStyle name="Normal 4 36" xfId="41491"/>
    <cellStyle name="Normal 4 37" xfId="41492"/>
    <cellStyle name="Normal 4 4" xfId="41493"/>
    <cellStyle name="Normal 4 4 2" xfId="41494"/>
    <cellStyle name="Normal 4 4 3" xfId="41495"/>
    <cellStyle name="Normal 4 5" xfId="41496"/>
    <cellStyle name="Normal 4 5 2" xfId="41497"/>
    <cellStyle name="Normal 4 6" xfId="41498"/>
    <cellStyle name="Normal 4 6 2" xfId="41499"/>
    <cellStyle name="Normal 4 6 2 2" xfId="41500"/>
    <cellStyle name="Normal 4 6 2 2 2" xfId="41501"/>
    <cellStyle name="Normal 4 6 2 2 2 2" xfId="41502"/>
    <cellStyle name="Normal 4 6 2 2 2 2 2" xfId="41503"/>
    <cellStyle name="Normal 4 6 2 2 2 2 2 2" xfId="41504"/>
    <cellStyle name="Normal 4 6 2 2 2 3" xfId="41505"/>
    <cellStyle name="Normal 4 6 2 2 2 3 2" xfId="41506"/>
    <cellStyle name="Normal 4 6 2 2 3" xfId="41507"/>
    <cellStyle name="Normal 4 6 2 2 3 2" xfId="41508"/>
    <cellStyle name="Normal 4 6 2 2 3 2 2" xfId="41509"/>
    <cellStyle name="Normal 4 6 2 2 4" xfId="41510"/>
    <cellStyle name="Normal 4 6 2 2 4 2" xfId="41511"/>
    <cellStyle name="Normal 4 6 2 3" xfId="41512"/>
    <cellStyle name="Normal 4 6 2 3 2" xfId="41513"/>
    <cellStyle name="Normal 4 6 2 3 2 2" xfId="41514"/>
    <cellStyle name="Normal 4 6 2 3 2 2 2" xfId="41515"/>
    <cellStyle name="Normal 4 6 2 3 3" xfId="41516"/>
    <cellStyle name="Normal 4 6 2 3 3 2" xfId="41517"/>
    <cellStyle name="Normal 4 6 2 4" xfId="41518"/>
    <cellStyle name="Normal 4 6 2 4 2" xfId="41519"/>
    <cellStyle name="Normal 4 6 2 4 2 2" xfId="41520"/>
    <cellStyle name="Normal 4 6 2 5" xfId="41521"/>
    <cellStyle name="Normal 4 6 2 5 2" xfId="41522"/>
    <cellStyle name="Normal 4 6 3" xfId="41523"/>
    <cellStyle name="Normal 4 6 3 2" xfId="41524"/>
    <cellStyle name="Normal 4 6 3 2 2" xfId="41525"/>
    <cellStyle name="Normal 4 6 3 2 2 2" xfId="41526"/>
    <cellStyle name="Normal 4 6 3 2 2 2 2" xfId="41527"/>
    <cellStyle name="Normal 4 6 3 2 3" xfId="41528"/>
    <cellStyle name="Normal 4 6 3 2 3 2" xfId="41529"/>
    <cellStyle name="Normal 4 6 3 3" xfId="41530"/>
    <cellStyle name="Normal 4 6 3 3 2" xfId="41531"/>
    <cellStyle name="Normal 4 6 3 3 2 2" xfId="41532"/>
    <cellStyle name="Normal 4 6 3 4" xfId="41533"/>
    <cellStyle name="Normal 4 6 3 4 2" xfId="41534"/>
    <cellStyle name="Normal 4 6 4" xfId="41535"/>
    <cellStyle name="Normal 4 6 4 2" xfId="41536"/>
    <cellStyle name="Normal 4 6 4 2 2" xfId="41537"/>
    <cellStyle name="Normal 4 6 4 2 2 2" xfId="41538"/>
    <cellStyle name="Normal 4 6 4 3" xfId="41539"/>
    <cellStyle name="Normal 4 6 4 3 2" xfId="41540"/>
    <cellStyle name="Normal 4 6 5" xfId="41541"/>
    <cellStyle name="Normal 4 6 5 2" xfId="41542"/>
    <cellStyle name="Normal 4 6 5 2 2" xfId="41543"/>
    <cellStyle name="Normal 4 6 6" xfId="41544"/>
    <cellStyle name="Normal 4 6 6 2" xfId="41545"/>
    <cellStyle name="Normal 4 6 7" xfId="41546"/>
    <cellStyle name="Normal 4 7" xfId="41547"/>
    <cellStyle name="Normal 4 7 2" xfId="41548"/>
    <cellStyle name="Normal 4 7 2 2" xfId="41549"/>
    <cellStyle name="Normal 4 7 2 2 2" xfId="41550"/>
    <cellStyle name="Normal 4 7 2 2 2 2" xfId="41551"/>
    <cellStyle name="Normal 4 7 2 2 2 2 2" xfId="41552"/>
    <cellStyle name="Normal 4 7 2 2 2 2 2 2" xfId="41553"/>
    <cellStyle name="Normal 4 7 2 2 2 3" xfId="41554"/>
    <cellStyle name="Normal 4 7 2 2 2 3 2" xfId="41555"/>
    <cellStyle name="Normal 4 7 2 2 3" xfId="41556"/>
    <cellStyle name="Normal 4 7 2 2 3 2" xfId="41557"/>
    <cellStyle name="Normal 4 7 2 2 3 2 2" xfId="41558"/>
    <cellStyle name="Normal 4 7 2 2 4" xfId="41559"/>
    <cellStyle name="Normal 4 7 2 2 4 2" xfId="41560"/>
    <cellStyle name="Normal 4 7 2 3" xfId="41561"/>
    <cellStyle name="Normal 4 7 2 3 2" xfId="41562"/>
    <cellStyle name="Normal 4 7 2 3 2 2" xfId="41563"/>
    <cellStyle name="Normal 4 7 2 3 2 2 2" xfId="41564"/>
    <cellStyle name="Normal 4 7 2 3 3" xfId="41565"/>
    <cellStyle name="Normal 4 7 2 3 3 2" xfId="41566"/>
    <cellStyle name="Normal 4 7 2 4" xfId="41567"/>
    <cellStyle name="Normal 4 7 2 4 2" xfId="41568"/>
    <cellStyle name="Normal 4 7 2 4 2 2" xfId="41569"/>
    <cellStyle name="Normal 4 7 2 5" xfId="41570"/>
    <cellStyle name="Normal 4 7 2 5 2" xfId="41571"/>
    <cellStyle name="Normal 4 7 3" xfId="41572"/>
    <cellStyle name="Normal 4 7 3 2" xfId="41573"/>
    <cellStyle name="Normal 4 7 3 2 2" xfId="41574"/>
    <cellStyle name="Normal 4 7 3 2 2 2" xfId="41575"/>
    <cellStyle name="Normal 4 7 3 2 2 2 2" xfId="41576"/>
    <cellStyle name="Normal 4 7 3 2 3" xfId="41577"/>
    <cellStyle name="Normal 4 7 3 2 3 2" xfId="41578"/>
    <cellStyle name="Normal 4 7 3 3" xfId="41579"/>
    <cellStyle name="Normal 4 7 3 3 2" xfId="41580"/>
    <cellStyle name="Normal 4 7 3 3 2 2" xfId="41581"/>
    <cellStyle name="Normal 4 7 3 4" xfId="41582"/>
    <cellStyle name="Normal 4 7 3 4 2" xfId="41583"/>
    <cellStyle name="Normal 4 7 4" xfId="41584"/>
    <cellStyle name="Normal 4 7 4 2" xfId="41585"/>
    <cellStyle name="Normal 4 7 4 2 2" xfId="41586"/>
    <cellStyle name="Normal 4 7 4 2 2 2" xfId="41587"/>
    <cellStyle name="Normal 4 7 4 3" xfId="41588"/>
    <cellStyle name="Normal 4 7 4 3 2" xfId="41589"/>
    <cellStyle name="Normal 4 7 5" xfId="41590"/>
    <cellStyle name="Normal 4 7 5 2" xfId="41591"/>
    <cellStyle name="Normal 4 7 5 2 2" xfId="41592"/>
    <cellStyle name="Normal 4 7 6" xfId="41593"/>
    <cellStyle name="Normal 4 7 6 2" xfId="41594"/>
    <cellStyle name="Normal 4 7 7" xfId="41595"/>
    <cellStyle name="Normal 4 8" xfId="41596"/>
    <cellStyle name="Normal 4 8 2" xfId="41597"/>
    <cellStyle name="Normal 4 8 2 2" xfId="41598"/>
    <cellStyle name="Normal 4 8 2 2 2" xfId="41599"/>
    <cellStyle name="Normal 4 8 2 2 2 2" xfId="41600"/>
    <cellStyle name="Normal 4 8 2 2 2 2 2" xfId="41601"/>
    <cellStyle name="Normal 4 8 2 2 2 2 2 2" xfId="41602"/>
    <cellStyle name="Normal 4 8 2 2 2 3" xfId="41603"/>
    <cellStyle name="Normal 4 8 2 2 2 3 2" xfId="41604"/>
    <cellStyle name="Normal 4 8 2 2 3" xfId="41605"/>
    <cellStyle name="Normal 4 8 2 2 3 2" xfId="41606"/>
    <cellStyle name="Normal 4 8 2 2 3 2 2" xfId="41607"/>
    <cellStyle name="Normal 4 8 2 2 4" xfId="41608"/>
    <cellStyle name="Normal 4 8 2 2 4 2" xfId="41609"/>
    <cellStyle name="Normal 4 8 2 3" xfId="41610"/>
    <cellStyle name="Normal 4 8 2 3 2" xfId="41611"/>
    <cellStyle name="Normal 4 8 2 3 2 2" xfId="41612"/>
    <cellStyle name="Normal 4 8 2 3 2 2 2" xfId="41613"/>
    <cellStyle name="Normal 4 8 2 3 3" xfId="41614"/>
    <cellStyle name="Normal 4 8 2 3 3 2" xfId="41615"/>
    <cellStyle name="Normal 4 8 2 4" xfId="41616"/>
    <cellStyle name="Normal 4 8 2 4 2" xfId="41617"/>
    <cellStyle name="Normal 4 8 2 4 2 2" xfId="41618"/>
    <cellStyle name="Normal 4 8 2 5" xfId="41619"/>
    <cellStyle name="Normal 4 8 2 5 2" xfId="41620"/>
    <cellStyle name="Normal 4 8 3" xfId="41621"/>
    <cellStyle name="Normal 4 8 3 2" xfId="41622"/>
    <cellStyle name="Normal 4 8 3 2 2" xfId="41623"/>
    <cellStyle name="Normal 4 8 3 2 2 2" xfId="41624"/>
    <cellStyle name="Normal 4 8 3 2 2 2 2" xfId="41625"/>
    <cellStyle name="Normal 4 8 3 2 3" xfId="41626"/>
    <cellStyle name="Normal 4 8 3 2 3 2" xfId="41627"/>
    <cellStyle name="Normal 4 8 3 3" xfId="41628"/>
    <cellStyle name="Normal 4 8 3 3 2" xfId="41629"/>
    <cellStyle name="Normal 4 8 3 3 2 2" xfId="41630"/>
    <cellStyle name="Normal 4 8 3 4" xfId="41631"/>
    <cellStyle name="Normal 4 8 3 4 2" xfId="41632"/>
    <cellStyle name="Normal 4 8 4" xfId="41633"/>
    <cellStyle name="Normal 4 8 4 2" xfId="41634"/>
    <cellStyle name="Normal 4 8 4 2 2" xfId="41635"/>
    <cellStyle name="Normal 4 8 4 2 2 2" xfId="41636"/>
    <cellStyle name="Normal 4 8 4 3" xfId="41637"/>
    <cellStyle name="Normal 4 8 4 3 2" xfId="41638"/>
    <cellStyle name="Normal 4 8 5" xfId="41639"/>
    <cellStyle name="Normal 4 8 5 2" xfId="41640"/>
    <cellStyle name="Normal 4 8 5 2 2" xfId="41641"/>
    <cellStyle name="Normal 4 8 6" xfId="41642"/>
    <cellStyle name="Normal 4 8 6 2" xfId="41643"/>
    <cellStyle name="Normal 4 9" xfId="41644"/>
    <cellStyle name="Normal 4 9 2" xfId="41645"/>
    <cellStyle name="Normal 4 9 2 2" xfId="41646"/>
    <cellStyle name="Normal 4 9 2 2 2" xfId="41647"/>
    <cellStyle name="Normal 4 9 2 2 2 2" xfId="41648"/>
    <cellStyle name="Normal 4 9 2 2 2 2 2" xfId="41649"/>
    <cellStyle name="Normal 4 9 2 2 2 2 2 2" xfId="41650"/>
    <cellStyle name="Normal 4 9 2 2 2 3" xfId="41651"/>
    <cellStyle name="Normal 4 9 2 2 2 3 2" xfId="41652"/>
    <cellStyle name="Normal 4 9 2 2 3" xfId="41653"/>
    <cellStyle name="Normal 4 9 2 2 3 2" xfId="41654"/>
    <cellStyle name="Normal 4 9 2 2 3 2 2" xfId="41655"/>
    <cellStyle name="Normal 4 9 2 2 4" xfId="41656"/>
    <cellStyle name="Normal 4 9 2 2 4 2" xfId="41657"/>
    <cellStyle name="Normal 4 9 2 3" xfId="41658"/>
    <cellStyle name="Normal 4 9 2 3 2" xfId="41659"/>
    <cellStyle name="Normal 4 9 2 3 2 2" xfId="41660"/>
    <cellStyle name="Normal 4 9 2 3 2 2 2" xfId="41661"/>
    <cellStyle name="Normal 4 9 2 3 3" xfId="41662"/>
    <cellStyle name="Normal 4 9 2 3 3 2" xfId="41663"/>
    <cellStyle name="Normal 4 9 2 4" xfId="41664"/>
    <cellStyle name="Normal 4 9 2 4 2" xfId="41665"/>
    <cellStyle name="Normal 4 9 2 4 2 2" xfId="41666"/>
    <cellStyle name="Normal 4 9 2 5" xfId="41667"/>
    <cellStyle name="Normal 4 9 2 5 2" xfId="41668"/>
    <cellStyle name="Normal 4 9 3" xfId="41669"/>
    <cellStyle name="Normal 4 9 3 2" xfId="41670"/>
    <cellStyle name="Normal 4 9 3 2 2" xfId="41671"/>
    <cellStyle name="Normal 4 9 3 2 2 2" xfId="41672"/>
    <cellStyle name="Normal 4 9 3 2 2 2 2" xfId="41673"/>
    <cellStyle name="Normal 4 9 3 2 3" xfId="41674"/>
    <cellStyle name="Normal 4 9 3 2 3 2" xfId="41675"/>
    <cellStyle name="Normal 4 9 3 3" xfId="41676"/>
    <cellStyle name="Normal 4 9 3 3 2" xfId="41677"/>
    <cellStyle name="Normal 4 9 3 3 2 2" xfId="41678"/>
    <cellStyle name="Normal 4 9 3 4" xfId="41679"/>
    <cellStyle name="Normal 4 9 3 4 2" xfId="41680"/>
    <cellStyle name="Normal 4 9 4" xfId="41681"/>
    <cellStyle name="Normal 4 9 4 2" xfId="41682"/>
    <cellStyle name="Normal 4 9 4 2 2" xfId="41683"/>
    <cellStyle name="Normal 4 9 4 2 2 2" xfId="41684"/>
    <cellStyle name="Normal 4 9 4 3" xfId="41685"/>
    <cellStyle name="Normal 4 9 4 3 2" xfId="41686"/>
    <cellStyle name="Normal 4 9 5" xfId="41687"/>
    <cellStyle name="Normal 4 9 5 2" xfId="41688"/>
    <cellStyle name="Normal 4 9 5 2 2" xfId="41689"/>
    <cellStyle name="Normal 4 9 6" xfId="41690"/>
    <cellStyle name="Normal 4 9 6 2" xfId="41691"/>
    <cellStyle name="Normal 4_Northern Rock" xfId="41692"/>
    <cellStyle name="Normal 40" xfId="41693"/>
    <cellStyle name="Normal 40 2" xfId="41694"/>
    <cellStyle name="Normal 41" xfId="41695"/>
    <cellStyle name="Normal 41 2" xfId="41696"/>
    <cellStyle name="Normal 42" xfId="41697"/>
    <cellStyle name="Normal 42 2" xfId="41698"/>
    <cellStyle name="Normal 42 2 2" xfId="41699"/>
    <cellStyle name="Normal 42 2 3" xfId="41700"/>
    <cellStyle name="Normal 42 2 4" xfId="41701"/>
    <cellStyle name="Normal 42 3" xfId="41702"/>
    <cellStyle name="Normal 42 3 2" xfId="41703"/>
    <cellStyle name="Normal 42 3 3" xfId="41704"/>
    <cellStyle name="Normal 42 4" xfId="41705"/>
    <cellStyle name="Normal 42 4 2" xfId="41706"/>
    <cellStyle name="Normal 42 5" xfId="41707"/>
    <cellStyle name="Normal 42 6" xfId="41708"/>
    <cellStyle name="Normal 42 7" xfId="41709"/>
    <cellStyle name="Normal 43" xfId="41710"/>
    <cellStyle name="Normal 43 2" xfId="41711"/>
    <cellStyle name="Normal 43 2 2" xfId="41712"/>
    <cellStyle name="Normal 43 2 3" xfId="41713"/>
    <cellStyle name="Normal 43 2 4" xfId="41714"/>
    <cellStyle name="Normal 43 3" xfId="41715"/>
    <cellStyle name="Normal 43 3 2" xfId="41716"/>
    <cellStyle name="Normal 43 3 3" xfId="41717"/>
    <cellStyle name="Normal 43 4" xfId="41718"/>
    <cellStyle name="Normal 43 4 2" xfId="41719"/>
    <cellStyle name="Normal 43 5" xfId="41720"/>
    <cellStyle name="Normal 43 6" xfId="41721"/>
    <cellStyle name="Normal 43 7" xfId="41722"/>
    <cellStyle name="Normal 44" xfId="41723"/>
    <cellStyle name="Normal 44 2" xfId="41724"/>
    <cellStyle name="Normal 44 2 2" xfId="41725"/>
    <cellStyle name="Normal 44 2 3" xfId="41726"/>
    <cellStyle name="Normal 44 2 4" xfId="41727"/>
    <cellStyle name="Normal 44 3" xfId="41728"/>
    <cellStyle name="Normal 44 3 2" xfId="41729"/>
    <cellStyle name="Normal 44 3 3" xfId="41730"/>
    <cellStyle name="Normal 44 4" xfId="41731"/>
    <cellStyle name="Normal 44 4 2" xfId="41732"/>
    <cellStyle name="Normal 44 5" xfId="41733"/>
    <cellStyle name="Normal 44 6" xfId="41734"/>
    <cellStyle name="Normal 44 7" xfId="41735"/>
    <cellStyle name="Normal 45" xfId="41736"/>
    <cellStyle name="Normal 45 2" xfId="41737"/>
    <cellStyle name="Normal 45 2 2" xfId="41738"/>
    <cellStyle name="Normal 45 2 3" xfId="41739"/>
    <cellStyle name="Normal 45 2 4" xfId="41740"/>
    <cellStyle name="Normal 45 3" xfId="41741"/>
    <cellStyle name="Normal 45 3 2" xfId="41742"/>
    <cellStyle name="Normal 45 3 3" xfId="41743"/>
    <cellStyle name="Normal 45 4" xfId="41744"/>
    <cellStyle name="Normal 45 4 2" xfId="41745"/>
    <cellStyle name="Normal 45 5" xfId="41746"/>
    <cellStyle name="Normal 45 6" xfId="41747"/>
    <cellStyle name="Normal 45 7" xfId="41748"/>
    <cellStyle name="Normal 46" xfId="41749"/>
    <cellStyle name="Normal 46 2" xfId="41750"/>
    <cellStyle name="Normal 46 2 2" xfId="41751"/>
    <cellStyle name="Normal 46 2 3" xfId="41752"/>
    <cellStyle name="Normal 46 2 4" xfId="41753"/>
    <cellStyle name="Normal 46 3" xfId="41754"/>
    <cellStyle name="Normal 46 3 2" xfId="41755"/>
    <cellStyle name="Normal 46 3 3" xfId="41756"/>
    <cellStyle name="Normal 46 3 4" xfId="41757"/>
    <cellStyle name="Normal 46 4" xfId="41758"/>
    <cellStyle name="Normal 46 4 2" xfId="41759"/>
    <cellStyle name="Normal 46 5" xfId="41760"/>
    <cellStyle name="Normal 46 6" xfId="41761"/>
    <cellStyle name="Normal 46 7" xfId="41762"/>
    <cellStyle name="Normal 47" xfId="41763"/>
    <cellStyle name="Normal 47 2" xfId="41764"/>
    <cellStyle name="Normal 47 2 2" xfId="41765"/>
    <cellStyle name="Normal 47 2 3" xfId="41766"/>
    <cellStyle name="Normal 47 2 4" xfId="41767"/>
    <cellStyle name="Normal 47 3" xfId="41768"/>
    <cellStyle name="Normal 47 3 2" xfId="41769"/>
    <cellStyle name="Normal 47 3 3" xfId="41770"/>
    <cellStyle name="Normal 47 4" xfId="41771"/>
    <cellStyle name="Normal 47 4 2" xfId="41772"/>
    <cellStyle name="Normal 47 5" xfId="41773"/>
    <cellStyle name="Normal 47 6" xfId="41774"/>
    <cellStyle name="Normal 47 7" xfId="41775"/>
    <cellStyle name="Normal 48" xfId="41776"/>
    <cellStyle name="Normal 48 2" xfId="41777"/>
    <cellStyle name="Normal 48 2 2" xfId="41778"/>
    <cellStyle name="Normal 48 2 3" xfId="41779"/>
    <cellStyle name="Normal 48 2 4" xfId="41780"/>
    <cellStyle name="Normal 48 3" xfId="41781"/>
    <cellStyle name="Normal 48 3 2" xfId="41782"/>
    <cellStyle name="Normal 48 3 3" xfId="41783"/>
    <cellStyle name="Normal 48 4" xfId="41784"/>
    <cellStyle name="Normal 48 4 2" xfId="41785"/>
    <cellStyle name="Normal 48 5" xfId="41786"/>
    <cellStyle name="Normal 48 6" xfId="41787"/>
    <cellStyle name="Normal 48 7" xfId="41788"/>
    <cellStyle name="Normal 49" xfId="41789"/>
    <cellStyle name="Normal 49 2" xfId="41790"/>
    <cellStyle name="Normal 49 2 2" xfId="41791"/>
    <cellStyle name="Normal 49 2 3" xfId="41792"/>
    <cellStyle name="Normal 49 2 4" xfId="41793"/>
    <cellStyle name="Normal 49 3" xfId="41794"/>
    <cellStyle name="Normal 49 3 2" xfId="41795"/>
    <cellStyle name="Normal 49 3 3" xfId="41796"/>
    <cellStyle name="Normal 49 4" xfId="41797"/>
    <cellStyle name="Normal 49 4 2" xfId="41798"/>
    <cellStyle name="Normal 49 5" xfId="41799"/>
    <cellStyle name="Normal 49 6" xfId="41800"/>
    <cellStyle name="Normal 49 7" xfId="41801"/>
    <cellStyle name="Normal 5" xfId="41802"/>
    <cellStyle name="Normal 5 10" xfId="41803"/>
    <cellStyle name="Normal 5 10 2" xfId="41804"/>
    <cellStyle name="Normal 5 10 3" xfId="41805"/>
    <cellStyle name="Normal 5 11" xfId="41806"/>
    <cellStyle name="Normal 5 11 2" xfId="41807"/>
    <cellStyle name="Normal 5 12" xfId="41808"/>
    <cellStyle name="Normal 5 13" xfId="41809"/>
    <cellStyle name="Normal 5 14" xfId="41810"/>
    <cellStyle name="Normal 5 2" xfId="41811"/>
    <cellStyle name="Normal 5 2 2" xfId="41812"/>
    <cellStyle name="Normal 5 2 2 2" xfId="41813"/>
    <cellStyle name="Normal 5 2 2 3" xfId="41814"/>
    <cellStyle name="Normal 5 2 3" xfId="41815"/>
    <cellStyle name="Normal 5 2 3 2" xfId="41816"/>
    <cellStyle name="Normal 5 2 4" xfId="41817"/>
    <cellStyle name="Normal 5 2 5" xfId="41818"/>
    <cellStyle name="Normal 5 3" xfId="41819"/>
    <cellStyle name="Normal 5 3 2" xfId="41820"/>
    <cellStyle name="Normal 5 3 2 2" xfId="41821"/>
    <cellStyle name="Normal 5 3 2 3" xfId="41822"/>
    <cellStyle name="Normal 5 3 2 4" xfId="41823"/>
    <cellStyle name="Normal 5 3 3" xfId="41824"/>
    <cellStyle name="Normal 5 3 3 2" xfId="41825"/>
    <cellStyle name="Normal 5 3 3 3" xfId="41826"/>
    <cellStyle name="Normal 5 3 4" xfId="41827"/>
    <cellStyle name="Normal 5 3 4 2" xfId="41828"/>
    <cellStyle name="Normal 5 3 5" xfId="41829"/>
    <cellStyle name="Normal 5 3 6" xfId="41830"/>
    <cellStyle name="Normal 5 3 7" xfId="41831"/>
    <cellStyle name="Normal 5 4" xfId="41832"/>
    <cellStyle name="Normal 5 4 2" xfId="41833"/>
    <cellStyle name="Normal 5 4 2 2" xfId="41834"/>
    <cellStyle name="Normal 5 4 2 3" xfId="41835"/>
    <cellStyle name="Normal 5 4 2 4" xfId="41836"/>
    <cellStyle name="Normal 5 4 3" xfId="41837"/>
    <cellStyle name="Normal 5 4 3 2" xfId="41838"/>
    <cellStyle name="Normal 5 4 3 3" xfId="41839"/>
    <cellStyle name="Normal 5 4 4" xfId="41840"/>
    <cellStyle name="Normal 5 4 4 2" xfId="41841"/>
    <cellStyle name="Normal 5 4 5" xfId="41842"/>
    <cellStyle name="Normal 5 4 6" xfId="41843"/>
    <cellStyle name="Normal 5 4 7" xfId="41844"/>
    <cellStyle name="Normal 5 5" xfId="41845"/>
    <cellStyle name="Normal 5 5 2" xfId="41846"/>
    <cellStyle name="Normal 5 6" xfId="41847"/>
    <cellStyle name="Normal 5 6 2" xfId="41848"/>
    <cellStyle name="Normal 5 7" xfId="41849"/>
    <cellStyle name="Normal 5 8" xfId="41850"/>
    <cellStyle name="Normal 5 9" xfId="41851"/>
    <cellStyle name="Normal 5 9 2" xfId="41852"/>
    <cellStyle name="Normal 5 9 3" xfId="41853"/>
    <cellStyle name="Normal 5_Northern Rock" xfId="41854"/>
    <cellStyle name="Normal 50" xfId="41855"/>
    <cellStyle name="Normal 50 2" xfId="41856"/>
    <cellStyle name="Normal 50 2 2" xfId="41857"/>
    <cellStyle name="Normal 50 2 3" xfId="41858"/>
    <cellStyle name="Normal 50 2 4" xfId="41859"/>
    <cellStyle name="Normal 50 3" xfId="41860"/>
    <cellStyle name="Normal 50 3 2" xfId="41861"/>
    <cellStyle name="Normal 50 3 3" xfId="41862"/>
    <cellStyle name="Normal 50 4" xfId="41863"/>
    <cellStyle name="Normal 50 4 2" xfId="41864"/>
    <cellStyle name="Normal 50 5" xfId="41865"/>
    <cellStyle name="Normal 50 6" xfId="41866"/>
    <cellStyle name="Normal 50 7" xfId="41867"/>
    <cellStyle name="Normal 51" xfId="41868"/>
    <cellStyle name="Normal 51 2" xfId="41869"/>
    <cellStyle name="Normal 51 2 2" xfId="41870"/>
    <cellStyle name="Normal 51 2 3" xfId="41871"/>
    <cellStyle name="Normal 51 2 4" xfId="41872"/>
    <cellStyle name="Normal 51 3" xfId="41873"/>
    <cellStyle name="Normal 51 3 2" xfId="41874"/>
    <cellStyle name="Normal 51 3 3" xfId="41875"/>
    <cellStyle name="Normal 51 4" xfId="41876"/>
    <cellStyle name="Normal 51 4 2" xfId="41877"/>
    <cellStyle name="Normal 51 5" xfId="41878"/>
    <cellStyle name="Normal 51 6" xfId="41879"/>
    <cellStyle name="Normal 51 7" xfId="41880"/>
    <cellStyle name="Normal 52" xfId="41881"/>
    <cellStyle name="Normal 52 2" xfId="41882"/>
    <cellStyle name="Normal 52 2 2" xfId="41883"/>
    <cellStyle name="Normal 52 2 3" xfId="41884"/>
    <cellStyle name="Normal 52 2 4" xfId="41885"/>
    <cellStyle name="Normal 52 3" xfId="41886"/>
    <cellStyle name="Normal 52 3 2" xfId="41887"/>
    <cellStyle name="Normal 52 3 3" xfId="41888"/>
    <cellStyle name="Normal 52 4" xfId="41889"/>
    <cellStyle name="Normal 52 4 2" xfId="41890"/>
    <cellStyle name="Normal 52 5" xfId="41891"/>
    <cellStyle name="Normal 52 6" xfId="41892"/>
    <cellStyle name="Normal 52 7" xfId="41893"/>
    <cellStyle name="Normal 53" xfId="41894"/>
    <cellStyle name="Normal 53 2" xfId="41895"/>
    <cellStyle name="Normal 53 2 2" xfId="41896"/>
    <cellStyle name="Normal 53 2 3" xfId="41897"/>
    <cellStyle name="Normal 53 2 4" xfId="41898"/>
    <cellStyle name="Normal 53 3" xfId="41899"/>
    <cellStyle name="Normal 53 3 2" xfId="41900"/>
    <cellStyle name="Normal 53 3 3" xfId="41901"/>
    <cellStyle name="Normal 53 4" xfId="41902"/>
    <cellStyle name="Normal 53 4 2" xfId="41903"/>
    <cellStyle name="Normal 53 5" xfId="41904"/>
    <cellStyle name="Normal 53 6" xfId="41905"/>
    <cellStyle name="Normal 53 7" xfId="41906"/>
    <cellStyle name="Normal 54" xfId="41907"/>
    <cellStyle name="Normal 54 2" xfId="41908"/>
    <cellStyle name="Normal 54 2 2" xfId="41909"/>
    <cellStyle name="Normal 54 2 3" xfId="41910"/>
    <cellStyle name="Normal 54 2 4" xfId="41911"/>
    <cellStyle name="Normal 54 3" xfId="41912"/>
    <cellStyle name="Normal 54 3 2" xfId="41913"/>
    <cellStyle name="Normal 54 3 3" xfId="41914"/>
    <cellStyle name="Normal 54 4" xfId="41915"/>
    <cellStyle name="Normal 54 4 2" xfId="41916"/>
    <cellStyle name="Normal 54 5" xfId="41917"/>
    <cellStyle name="Normal 54 6" xfId="41918"/>
    <cellStyle name="Normal 54 7" xfId="41919"/>
    <cellStyle name="Normal 55" xfId="41920"/>
    <cellStyle name="Normal 55 2" xfId="41921"/>
    <cellStyle name="Normal 55 2 2" xfId="41922"/>
    <cellStyle name="Normal 55 2 3" xfId="41923"/>
    <cellStyle name="Normal 55 2 4" xfId="41924"/>
    <cellStyle name="Normal 55 3" xfId="41925"/>
    <cellStyle name="Normal 55 3 2" xfId="41926"/>
    <cellStyle name="Normal 55 3 3" xfId="41927"/>
    <cellStyle name="Normal 55 4" xfId="41928"/>
    <cellStyle name="Normal 55 4 2" xfId="41929"/>
    <cellStyle name="Normal 55 5" xfId="41930"/>
    <cellStyle name="Normal 55 6" xfId="41931"/>
    <cellStyle name="Normal 55 7" xfId="41932"/>
    <cellStyle name="Normal 56" xfId="41933"/>
    <cellStyle name="Normal 56 2" xfId="41934"/>
    <cellStyle name="Normal 56 2 2" xfId="41935"/>
    <cellStyle name="Normal 56 2 3" xfId="41936"/>
    <cellStyle name="Normal 56 2 4" xfId="41937"/>
    <cellStyle name="Normal 56 3" xfId="41938"/>
    <cellStyle name="Normal 56 3 2" xfId="41939"/>
    <cellStyle name="Normal 56 3 3" xfId="41940"/>
    <cellStyle name="Normal 56 4" xfId="41941"/>
    <cellStyle name="Normal 56 4 2" xfId="41942"/>
    <cellStyle name="Normal 56 5" xfId="41943"/>
    <cellStyle name="Normal 56 6" xfId="41944"/>
    <cellStyle name="Normal 56 7" xfId="41945"/>
    <cellStyle name="Normal 57" xfId="41946"/>
    <cellStyle name="Normal 57 2" xfId="41947"/>
    <cellStyle name="Normal 57 2 2" xfId="41948"/>
    <cellStyle name="Normal 57 2 3" xfId="41949"/>
    <cellStyle name="Normal 57 2 4" xfId="41950"/>
    <cellStyle name="Normal 57 3" xfId="41951"/>
    <cellStyle name="Normal 57 3 2" xfId="41952"/>
    <cellStyle name="Normal 57 3 3" xfId="41953"/>
    <cellStyle name="Normal 57 4" xfId="41954"/>
    <cellStyle name="Normal 57 4 2" xfId="41955"/>
    <cellStyle name="Normal 57 5" xfId="41956"/>
    <cellStyle name="Normal 57 6" xfId="41957"/>
    <cellStyle name="Normal 57 7" xfId="41958"/>
    <cellStyle name="Normal 58" xfId="41959"/>
    <cellStyle name="Normal 58 2" xfId="41960"/>
    <cellStyle name="Normal 58 2 2" xfId="41961"/>
    <cellStyle name="Normal 58 2 3" xfId="41962"/>
    <cellStyle name="Normal 58 2 4" xfId="41963"/>
    <cellStyle name="Normal 58 3" xfId="41964"/>
    <cellStyle name="Normal 58 3 2" xfId="41965"/>
    <cellStyle name="Normal 58 3 3" xfId="41966"/>
    <cellStyle name="Normal 58 4" xfId="41967"/>
    <cellStyle name="Normal 58 4 2" xfId="41968"/>
    <cellStyle name="Normal 58 5" xfId="41969"/>
    <cellStyle name="Normal 58 6" xfId="41970"/>
    <cellStyle name="Normal 58 7" xfId="41971"/>
    <cellStyle name="Normal 59" xfId="41972"/>
    <cellStyle name="Normal 59 2" xfId="41973"/>
    <cellStyle name="Normal 59 2 2" xfId="41974"/>
    <cellStyle name="Normal 59 2 3" xfId="41975"/>
    <cellStyle name="Normal 59 2 4" xfId="41976"/>
    <cellStyle name="Normal 59 3" xfId="41977"/>
    <cellStyle name="Normal 59 3 2" xfId="41978"/>
    <cellStyle name="Normal 59 3 3" xfId="41979"/>
    <cellStyle name="Normal 59 4" xfId="41980"/>
    <cellStyle name="Normal 59 4 2" xfId="41981"/>
    <cellStyle name="Normal 59 5" xfId="41982"/>
    <cellStyle name="Normal 59 6" xfId="41983"/>
    <cellStyle name="Normal 59 7" xfId="41984"/>
    <cellStyle name="Normal 6" xfId="41985"/>
    <cellStyle name="Normal 6 10" xfId="41986"/>
    <cellStyle name="Normal 6 2" xfId="41987"/>
    <cellStyle name="Normal 6 2 10" xfId="41988"/>
    <cellStyle name="Normal 6 2 2" xfId="41989"/>
    <cellStyle name="Normal 6 2 2 2" xfId="41990"/>
    <cellStyle name="Normal 6 2 2 2 2" xfId="41991"/>
    <cellStyle name="Normal 6 2 2 2 2 2" xfId="41992"/>
    <cellStyle name="Normal 6 2 2 2 2 2 2" xfId="41993"/>
    <cellStyle name="Normal 6 2 2 2 3" xfId="41994"/>
    <cellStyle name="Normal 6 2 2 2 3 2" xfId="41995"/>
    <cellStyle name="Normal 6 2 2 3" xfId="41996"/>
    <cellStyle name="Normal 6 2 2 3 2" xfId="41997"/>
    <cellStyle name="Normal 6 2 2 3 2 2" xfId="41998"/>
    <cellStyle name="Normal 6 2 2 4" xfId="41999"/>
    <cellStyle name="Normal 6 2 2 4 2" xfId="42000"/>
    <cellStyle name="Normal 6 2 2 5" xfId="42001"/>
    <cellStyle name="Normal 6 2 2 6" xfId="42002"/>
    <cellStyle name="Normal 6 2 2 7" xfId="42003"/>
    <cellStyle name="Normal 6 2 3" xfId="42004"/>
    <cellStyle name="Normal 6 2 3 2" xfId="42005"/>
    <cellStyle name="Normal 6 2 3 2 2" xfId="42006"/>
    <cellStyle name="Normal 6 2 3 2 2 2" xfId="42007"/>
    <cellStyle name="Normal 6 2 3 3" xfId="42008"/>
    <cellStyle name="Normal 6 2 3 3 2" xfId="42009"/>
    <cellStyle name="Normal 6 2 3 4" xfId="42010"/>
    <cellStyle name="Normal 6 2 3 5" xfId="42011"/>
    <cellStyle name="Normal 6 2 3 6" xfId="42012"/>
    <cellStyle name="Normal 6 2 4" xfId="42013"/>
    <cellStyle name="Normal 6 2 4 2" xfId="42014"/>
    <cellStyle name="Normal 6 2 4 2 2" xfId="42015"/>
    <cellStyle name="Normal 6 2 4 3" xfId="42016"/>
    <cellStyle name="Normal 6 2 5" xfId="42017"/>
    <cellStyle name="Normal 6 2 5 2" xfId="42018"/>
    <cellStyle name="Normal 6 2 6" xfId="42019"/>
    <cellStyle name="Normal 6 2 7" xfId="42020"/>
    <cellStyle name="Normal 6 2 8" xfId="42021"/>
    <cellStyle name="Normal 6 2 9" xfId="42022"/>
    <cellStyle name="Normal 6 3" xfId="42023"/>
    <cellStyle name="Normal 6 3 2" xfId="42024"/>
    <cellStyle name="Normal 6 3 2 2" xfId="42025"/>
    <cellStyle name="Normal 6 3 2 2 2" xfId="42026"/>
    <cellStyle name="Normal 6 3 2 2 2 2" xfId="42027"/>
    <cellStyle name="Normal 6 3 2 3" xfId="42028"/>
    <cellStyle name="Normal 6 3 2 3 2" xfId="42029"/>
    <cellStyle name="Normal 6 3 2 4" xfId="42030"/>
    <cellStyle name="Normal 6 3 2 5" xfId="42031"/>
    <cellStyle name="Normal 6 3 2 6" xfId="42032"/>
    <cellStyle name="Normal 6 3 3" xfId="42033"/>
    <cellStyle name="Normal 6 3 3 2" xfId="42034"/>
    <cellStyle name="Normal 6 3 3 2 2" xfId="42035"/>
    <cellStyle name="Normal 6 3 3 3" xfId="42036"/>
    <cellStyle name="Normal 6 3 3 4" xfId="42037"/>
    <cellStyle name="Normal 6 3 3 5" xfId="42038"/>
    <cellStyle name="Normal 6 3 4" xfId="42039"/>
    <cellStyle name="Normal 6 3 4 2" xfId="42040"/>
    <cellStyle name="Normal 6 3 4 3" xfId="42041"/>
    <cellStyle name="Normal 6 3 5" xfId="42042"/>
    <cellStyle name="Normal 6 3 6" xfId="42043"/>
    <cellStyle name="Normal 6 3 7" xfId="42044"/>
    <cellStyle name="Normal 6 3 8" xfId="42045"/>
    <cellStyle name="Normal 6 3 9" xfId="42046"/>
    <cellStyle name="Normal 6 4" xfId="42047"/>
    <cellStyle name="Normal 6 4 2" xfId="42048"/>
    <cellStyle name="Normal 6 4 2 2" xfId="42049"/>
    <cellStyle name="Normal 6 4 2 2 2" xfId="42050"/>
    <cellStyle name="Normal 6 4 2 2 3" xfId="42051"/>
    <cellStyle name="Normal 6 4 2 2 4" xfId="42052"/>
    <cellStyle name="Normal 6 4 2 2 5" xfId="42053"/>
    <cellStyle name="Normal 6 4 2 3" xfId="42054"/>
    <cellStyle name="Normal 6 4 2 3 2" xfId="42055"/>
    <cellStyle name="Normal 6 4 2 3 3" xfId="42056"/>
    <cellStyle name="Normal 6 4 2 4" xfId="42057"/>
    <cellStyle name="Normal 6 4 2 4 2" xfId="42058"/>
    <cellStyle name="Normal 6 4 2 5" xfId="42059"/>
    <cellStyle name="Normal 6 4 2 6" xfId="42060"/>
    <cellStyle name="Normal 6 4 2 7" xfId="42061"/>
    <cellStyle name="Normal 6 4 3" xfId="42062"/>
    <cellStyle name="Normal 6 4 3 2" xfId="42063"/>
    <cellStyle name="Normal 6 5" xfId="42064"/>
    <cellStyle name="Normal 6 5 2" xfId="42065"/>
    <cellStyle name="Normal 6 5 2 2" xfId="42066"/>
    <cellStyle name="Normal 6 5 2 2 2" xfId="42067"/>
    <cellStyle name="Normal 6 5 2 2 3" xfId="42068"/>
    <cellStyle name="Normal 6 5 2 2 4" xfId="42069"/>
    <cellStyle name="Normal 6 5 2 3" xfId="42070"/>
    <cellStyle name="Normal 6 5 2 3 2" xfId="42071"/>
    <cellStyle name="Normal 6 5 2 3 3" xfId="42072"/>
    <cellStyle name="Normal 6 5 2 4" xfId="42073"/>
    <cellStyle name="Normal 6 5 2 4 2" xfId="42074"/>
    <cellStyle name="Normal 6 5 2 5" xfId="42075"/>
    <cellStyle name="Normal 6 5 2 6" xfId="42076"/>
    <cellStyle name="Normal 6 5 2 7" xfId="42077"/>
    <cellStyle name="Normal 6 5 3" xfId="42078"/>
    <cellStyle name="Normal 6 6" xfId="42079"/>
    <cellStyle name="Normal 6 6 2" xfId="42080"/>
    <cellStyle name="Normal 6 7" xfId="42081"/>
    <cellStyle name="Normal 6 8" xfId="42082"/>
    <cellStyle name="Normal 6 9" xfId="42083"/>
    <cellStyle name="Normal 6_Base Assumptions" xfId="42084"/>
    <cellStyle name="Normal 60" xfId="42085"/>
    <cellStyle name="Normal 60 2" xfId="42086"/>
    <cellStyle name="Normal 60 3" xfId="42087"/>
    <cellStyle name="Normal 61" xfId="42088"/>
    <cellStyle name="Normal 61 2" xfId="42089"/>
    <cellStyle name="Normal 61 3" xfId="42090"/>
    <cellStyle name="Normal 62" xfId="42091"/>
    <cellStyle name="Normal 62 2" xfId="42092"/>
    <cellStyle name="Normal 62 3" xfId="42093"/>
    <cellStyle name="Normal 63" xfId="42094"/>
    <cellStyle name="Normal 63 2" xfId="42095"/>
    <cellStyle name="Normal 63 2 2" xfId="42096"/>
    <cellStyle name="Normal 63 2 3" xfId="42097"/>
    <cellStyle name="Normal 63 2 4" xfId="42098"/>
    <cellStyle name="Normal 63 3" xfId="42099"/>
    <cellStyle name="Normal 63 3 2" xfId="42100"/>
    <cellStyle name="Normal 63 3 3" xfId="42101"/>
    <cellStyle name="Normal 63 4" xfId="42102"/>
    <cellStyle name="Normal 63 4 2" xfId="42103"/>
    <cellStyle name="Normal 63 5" xfId="42104"/>
    <cellStyle name="Normal 63 6" xfId="42105"/>
    <cellStyle name="Normal 63 7" xfId="42106"/>
    <cellStyle name="Normal 64" xfId="42107"/>
    <cellStyle name="Normal 64 2" xfId="42108"/>
    <cellStyle name="Normal 65" xfId="42109"/>
    <cellStyle name="Normal 65 2" xfId="42110"/>
    <cellStyle name="Normal 65 2 2" xfId="42111"/>
    <cellStyle name="Normal 65 2 3" xfId="42112"/>
    <cellStyle name="Normal 65 2 4" xfId="42113"/>
    <cellStyle name="Normal 65 3" xfId="42114"/>
    <cellStyle name="Normal 65 3 2" xfId="42115"/>
    <cellStyle name="Normal 65 3 3" xfId="42116"/>
    <cellStyle name="Normal 65 3 4" xfId="42117"/>
    <cellStyle name="Normal 65 4" xfId="42118"/>
    <cellStyle name="Normal 65 4 2" xfId="42119"/>
    <cellStyle name="Normal 65 5" xfId="42120"/>
    <cellStyle name="Normal 65 6" xfId="42121"/>
    <cellStyle name="Normal 65 7" xfId="42122"/>
    <cellStyle name="Normal 66" xfId="42123"/>
    <cellStyle name="Normal 66 2" xfId="42124"/>
    <cellStyle name="Normal 66 2 2" xfId="42125"/>
    <cellStyle name="Normal 66 2 3" xfId="42126"/>
    <cellStyle name="Normal 66 2 4" xfId="42127"/>
    <cellStyle name="Normal 66 3" xfId="42128"/>
    <cellStyle name="Normal 66 3 2" xfId="42129"/>
    <cellStyle name="Normal 66 3 3" xfId="42130"/>
    <cellStyle name="Normal 66 4" xfId="42131"/>
    <cellStyle name="Normal 66 4 2" xfId="42132"/>
    <cellStyle name="Normal 66 5" xfId="42133"/>
    <cellStyle name="Normal 66 6" xfId="42134"/>
    <cellStyle name="Normal 66 7" xfId="42135"/>
    <cellStyle name="Normal 67" xfId="42136"/>
    <cellStyle name="Normal 67 2" xfId="42137"/>
    <cellStyle name="Normal 67 2 2" xfId="42138"/>
    <cellStyle name="Normal 67 2 3" xfId="42139"/>
    <cellStyle name="Normal 67 2 4" xfId="42140"/>
    <cellStyle name="Normal 67 3" xfId="42141"/>
    <cellStyle name="Normal 67 3 2" xfId="42142"/>
    <cellStyle name="Normal 67 3 3" xfId="42143"/>
    <cellStyle name="Normal 67 3 4" xfId="42144"/>
    <cellStyle name="Normal 67 4" xfId="42145"/>
    <cellStyle name="Normal 67 4 2" xfId="42146"/>
    <cellStyle name="Normal 67 5" xfId="42147"/>
    <cellStyle name="Normal 67 6" xfId="42148"/>
    <cellStyle name="Normal 67 7" xfId="42149"/>
    <cellStyle name="Normal 68" xfId="42150"/>
    <cellStyle name="Normal 68 2" xfId="42151"/>
    <cellStyle name="Normal 68 2 2" xfId="42152"/>
    <cellStyle name="Normal 68 2 3" xfId="42153"/>
    <cellStyle name="Normal 68 2 4" xfId="42154"/>
    <cellStyle name="Normal 68 3" xfId="42155"/>
    <cellStyle name="Normal 68 3 2" xfId="42156"/>
    <cellStyle name="Normal 68 3 3" xfId="42157"/>
    <cellStyle name="Normal 68 3 4" xfId="42158"/>
    <cellStyle name="Normal 68 4" xfId="42159"/>
    <cellStyle name="Normal 68 4 2" xfId="42160"/>
    <cellStyle name="Normal 68 5" xfId="42161"/>
    <cellStyle name="Normal 68 6" xfId="42162"/>
    <cellStyle name="Normal 68 7" xfId="42163"/>
    <cellStyle name="Normal 69" xfId="42164"/>
    <cellStyle name="Normal 69 2" xfId="42165"/>
    <cellStyle name="Normal 69 2 2" xfId="42166"/>
    <cellStyle name="Normal 69 2 3" xfId="42167"/>
    <cellStyle name="Normal 69 2 4" xfId="42168"/>
    <cellStyle name="Normal 69 3" xfId="42169"/>
    <cellStyle name="Normal 69 3 2" xfId="42170"/>
    <cellStyle name="Normal 69 3 3" xfId="42171"/>
    <cellStyle name="Normal 69 4" xfId="42172"/>
    <cellStyle name="Normal 69 4 2" xfId="42173"/>
    <cellStyle name="Normal 69 5" xfId="42174"/>
    <cellStyle name="Normal 69 6" xfId="42175"/>
    <cellStyle name="Normal 69 7" xfId="42176"/>
    <cellStyle name="Normal 7" xfId="42177"/>
    <cellStyle name="Normal 7 10" xfId="42178"/>
    <cellStyle name="Normal 7 10 2" xfId="42179"/>
    <cellStyle name="Normal 7 10 3" xfId="42180"/>
    <cellStyle name="Normal 7 11" xfId="42181"/>
    <cellStyle name="Normal 7 11 2" xfId="42182"/>
    <cellStyle name="Normal 7 12" xfId="42183"/>
    <cellStyle name="Normal 7 13" xfId="42184"/>
    <cellStyle name="Normal 7 14" xfId="42185"/>
    <cellStyle name="Normal 7 2" xfId="42186"/>
    <cellStyle name="Normal 7 2 2" xfId="42187"/>
    <cellStyle name="Normal 7 2 2 2" xfId="42188"/>
    <cellStyle name="Normal 7 2 2 2 2" xfId="42189"/>
    <cellStyle name="Normal 7 2 2 2 2 2" xfId="42190"/>
    <cellStyle name="Normal 7 2 2 2 2 2 2" xfId="42191"/>
    <cellStyle name="Normal 7 2 2 2 3" xfId="42192"/>
    <cellStyle name="Normal 7 2 2 2 3 2" xfId="42193"/>
    <cellStyle name="Normal 7 2 2 3" xfId="42194"/>
    <cellStyle name="Normal 7 2 2 3 2" xfId="42195"/>
    <cellStyle name="Normal 7 2 2 3 2 2" xfId="42196"/>
    <cellStyle name="Normal 7 2 2 4" xfId="42197"/>
    <cellStyle name="Normal 7 2 2 4 2" xfId="42198"/>
    <cellStyle name="Normal 7 2 2 5" xfId="42199"/>
    <cellStyle name="Normal 7 2 3" xfId="42200"/>
    <cellStyle name="Normal 7 2 3 2" xfId="42201"/>
    <cellStyle name="Normal 7 2 3 2 2" xfId="42202"/>
    <cellStyle name="Normal 7 2 3 2 2 2" xfId="42203"/>
    <cellStyle name="Normal 7 2 3 3" xfId="42204"/>
    <cellStyle name="Normal 7 2 3 3 2" xfId="42205"/>
    <cellStyle name="Normal 7 2 4" xfId="42206"/>
    <cellStyle name="Normal 7 2 4 2" xfId="42207"/>
    <cellStyle name="Normal 7 2 4 2 2" xfId="42208"/>
    <cellStyle name="Normal 7 2 5" xfId="42209"/>
    <cellStyle name="Normal 7 2 5 2" xfId="42210"/>
    <cellStyle name="Normal 7 2 6" xfId="42211"/>
    <cellStyle name="Normal 7 2 7" xfId="42212"/>
    <cellStyle name="Normal 7 3" xfId="42213"/>
    <cellStyle name="Normal 7 3 2" xfId="42214"/>
    <cellStyle name="Normal 7 3 2 2" xfId="42215"/>
    <cellStyle name="Normal 7 3 2 2 2" xfId="42216"/>
    <cellStyle name="Normal 7 3 2 2 2 2" xfId="42217"/>
    <cellStyle name="Normal 7 3 2 3" xfId="42218"/>
    <cellStyle name="Normal 7 3 2 3 2" xfId="42219"/>
    <cellStyle name="Normal 7 3 3" xfId="42220"/>
    <cellStyle name="Normal 7 3 3 2" xfId="42221"/>
    <cellStyle name="Normal 7 3 3 2 2" xfId="42222"/>
    <cellStyle name="Normal 7 3 4" xfId="42223"/>
    <cellStyle name="Normal 7 3 4 2" xfId="42224"/>
    <cellStyle name="Normal 7 3 5" xfId="42225"/>
    <cellStyle name="Normal 7 3 6" xfId="42226"/>
    <cellStyle name="Normal 7 4" xfId="42227"/>
    <cellStyle name="Normal 7 4 2" xfId="42228"/>
    <cellStyle name="Normal 7 4 2 2" xfId="42229"/>
    <cellStyle name="Normal 7 4 2 2 2" xfId="42230"/>
    <cellStyle name="Normal 7 4 3" xfId="42231"/>
    <cellStyle name="Normal 7 4 3 2" xfId="42232"/>
    <cellStyle name="Normal 7 4 4" xfId="42233"/>
    <cellStyle name="Normal 7 5" xfId="42234"/>
    <cellStyle name="Normal 7 5 2" xfId="42235"/>
    <cellStyle name="Normal 7 5 2 2" xfId="42236"/>
    <cellStyle name="Normal 7 5 3" xfId="42237"/>
    <cellStyle name="Normal 7 6" xfId="42238"/>
    <cellStyle name="Normal 7 6 2" xfId="42239"/>
    <cellStyle name="Normal 7 6 3" xfId="42240"/>
    <cellStyle name="Normal 7 7" xfId="42241"/>
    <cellStyle name="Normal 7 8" xfId="42242"/>
    <cellStyle name="Normal 7 9" xfId="42243"/>
    <cellStyle name="Normal 7 9 2" xfId="42244"/>
    <cellStyle name="Normal 7 9 3" xfId="42245"/>
    <cellStyle name="Normal 7_Northern Rock" xfId="42246"/>
    <cellStyle name="Normal 70" xfId="42247"/>
    <cellStyle name="Normal 70 2" xfId="42248"/>
    <cellStyle name="Normal 70 2 2" xfId="42249"/>
    <cellStyle name="Normal 70 2 3" xfId="42250"/>
    <cellStyle name="Normal 70 2 4" xfId="42251"/>
    <cellStyle name="Normal 70 3" xfId="42252"/>
    <cellStyle name="Normal 70 3 2" xfId="42253"/>
    <cellStyle name="Normal 70 3 3" xfId="42254"/>
    <cellStyle name="Normal 70 4" xfId="42255"/>
    <cellStyle name="Normal 70 4 2" xfId="42256"/>
    <cellStyle name="Normal 70 5" xfId="42257"/>
    <cellStyle name="Normal 70 6" xfId="42258"/>
    <cellStyle name="Normal 70 7" xfId="42259"/>
    <cellStyle name="Normal 71" xfId="42260"/>
    <cellStyle name="Normal 71 2" xfId="42261"/>
    <cellStyle name="Normal 71 2 2" xfId="42262"/>
    <cellStyle name="Normal 71 2 3" xfId="42263"/>
    <cellStyle name="Normal 71 2 4" xfId="42264"/>
    <cellStyle name="Normal 71 2 5" xfId="42265"/>
    <cellStyle name="Normal 71 3" xfId="42266"/>
    <cellStyle name="Normal 71 3 2" xfId="42267"/>
    <cellStyle name="Normal 71 3 3" xfId="42268"/>
    <cellStyle name="Normal 71 3 4" xfId="42269"/>
    <cellStyle name="Normal 71 4" xfId="42270"/>
    <cellStyle name="Normal 71 4 2" xfId="42271"/>
    <cellStyle name="Normal 71 5" xfId="42272"/>
    <cellStyle name="Normal 71 6" xfId="42273"/>
    <cellStyle name="Normal 71 7" xfId="42274"/>
    <cellStyle name="Normal 72" xfId="42275"/>
    <cellStyle name="Normal 72 2" xfId="42276"/>
    <cellStyle name="Normal 72 2 2" xfId="42277"/>
    <cellStyle name="Normal 72 2 3" xfId="42278"/>
    <cellStyle name="Normal 72 2 4" xfId="42279"/>
    <cellStyle name="Normal 72 3" xfId="42280"/>
    <cellStyle name="Normal 72 3 2" xfId="42281"/>
    <cellStyle name="Normal 72 3 3" xfId="42282"/>
    <cellStyle name="Normal 72 3 4" xfId="42283"/>
    <cellStyle name="Normal 72 4" xfId="42284"/>
    <cellStyle name="Normal 72 4 2" xfId="42285"/>
    <cellStyle name="Normal 72 5" xfId="42286"/>
    <cellStyle name="Normal 72 6" xfId="42287"/>
    <cellStyle name="Normal 72 7" xfId="42288"/>
    <cellStyle name="Normal 72 8" xfId="42289"/>
    <cellStyle name="Normal 73" xfId="42290"/>
    <cellStyle name="Normal 73 2" xfId="42291"/>
    <cellStyle name="Normal 73 2 2" xfId="42292"/>
    <cellStyle name="Normal 73 2 3" xfId="42293"/>
    <cellStyle name="Normal 73 2 4" xfId="42294"/>
    <cellStyle name="Normal 73 3" xfId="42295"/>
    <cellStyle name="Normal 73 3 2" xfId="42296"/>
    <cellStyle name="Normal 73 3 3" xfId="42297"/>
    <cellStyle name="Normal 73 3 4" xfId="42298"/>
    <cellStyle name="Normal 73 4" xfId="42299"/>
    <cellStyle name="Normal 73 4 2" xfId="42300"/>
    <cellStyle name="Normal 73 5" xfId="42301"/>
    <cellStyle name="Normal 73 6" xfId="42302"/>
    <cellStyle name="Normal 73 7" xfId="42303"/>
    <cellStyle name="Normal 74" xfId="42304"/>
    <cellStyle name="Normal 74 2" xfId="42305"/>
    <cellStyle name="Normal 74 2 2" xfId="42306"/>
    <cellStyle name="Normal 74 2 3" xfId="42307"/>
    <cellStyle name="Normal 74 2 4" xfId="42308"/>
    <cellStyle name="Normal 74 3" xfId="42309"/>
    <cellStyle name="Normal 74 3 2" xfId="42310"/>
    <cellStyle name="Normal 74 3 3" xfId="42311"/>
    <cellStyle name="Normal 74 4" xfId="42312"/>
    <cellStyle name="Normal 74 4 2" xfId="42313"/>
    <cellStyle name="Normal 74 5" xfId="42314"/>
    <cellStyle name="Normal 74 6" xfId="42315"/>
    <cellStyle name="Normal 74 7" xfId="42316"/>
    <cellStyle name="Normal 75" xfId="42317"/>
    <cellStyle name="Normal 75 2" xfId="42318"/>
    <cellStyle name="Normal 75 2 2" xfId="42319"/>
    <cellStyle name="Normal 75 2 3" xfId="42320"/>
    <cellStyle name="Normal 75 2 4" xfId="42321"/>
    <cellStyle name="Normal 75 3" xfId="42322"/>
    <cellStyle name="Normal 75 3 2" xfId="42323"/>
    <cellStyle name="Normal 75 3 3" xfId="42324"/>
    <cellStyle name="Normal 75 4" xfId="42325"/>
    <cellStyle name="Normal 75 4 2" xfId="42326"/>
    <cellStyle name="Normal 75 5" xfId="42327"/>
    <cellStyle name="Normal 75 6" xfId="42328"/>
    <cellStyle name="Normal 75 7" xfId="42329"/>
    <cellStyle name="Normal 76" xfId="42330"/>
    <cellStyle name="Normal 76 2" xfId="42331"/>
    <cellStyle name="Normal 76 2 2" xfId="42332"/>
    <cellStyle name="Normal 76 2 3" xfId="42333"/>
    <cellStyle name="Normal 76 2 4" xfId="42334"/>
    <cellStyle name="Normal 76 3" xfId="42335"/>
    <cellStyle name="Normal 76 3 2" xfId="42336"/>
    <cellStyle name="Normal 76 3 3" xfId="42337"/>
    <cellStyle name="Normal 76 4" xfId="42338"/>
    <cellStyle name="Normal 76 4 2" xfId="42339"/>
    <cellStyle name="Normal 76 5" xfId="42340"/>
    <cellStyle name="Normal 76 6" xfId="42341"/>
    <cellStyle name="Normal 76 7" xfId="42342"/>
    <cellStyle name="Normal 77" xfId="42343"/>
    <cellStyle name="Normal 78" xfId="42344"/>
    <cellStyle name="Normal 78 2" xfId="42345"/>
    <cellStyle name="Normal 79" xfId="42346"/>
    <cellStyle name="Normal 79 2" xfId="42347"/>
    <cellStyle name="Normal 79 2 2" xfId="42348"/>
    <cellStyle name="Normal 79 2 3" xfId="42349"/>
    <cellStyle name="Normal 79 2 4" xfId="42350"/>
    <cellStyle name="Normal 79 3" xfId="42351"/>
    <cellStyle name="Normal 79 3 2" xfId="42352"/>
    <cellStyle name="Normal 79 3 3" xfId="42353"/>
    <cellStyle name="Normal 79 4" xfId="42354"/>
    <cellStyle name="Normal 79 4 2" xfId="42355"/>
    <cellStyle name="Normal 79 5" xfId="42356"/>
    <cellStyle name="Normal 79 6" xfId="42357"/>
    <cellStyle name="Normal 79 7" xfId="42358"/>
    <cellStyle name="Normal 8" xfId="42359"/>
    <cellStyle name="Normal 8 10" xfId="42360"/>
    <cellStyle name="Normal 8 10 2" xfId="42361"/>
    <cellStyle name="Normal 8 10 3" xfId="42362"/>
    <cellStyle name="Normal 8 10 4" xfId="42363"/>
    <cellStyle name="Normal 8 11" xfId="42364"/>
    <cellStyle name="Normal 8 11 2" xfId="42365"/>
    <cellStyle name="Normal 8 11 3" xfId="42366"/>
    <cellStyle name="Normal 8 12" xfId="42367"/>
    <cellStyle name="Normal 8 12 2" xfId="42368"/>
    <cellStyle name="Normal 8 13" xfId="42369"/>
    <cellStyle name="Normal 8 14" xfId="42370"/>
    <cellStyle name="Normal 8 15" xfId="42371"/>
    <cellStyle name="Normal 8 2" xfId="42372"/>
    <cellStyle name="Normal 8 2 2" xfId="42373"/>
    <cellStyle name="Normal 8 2 2 2" xfId="42374"/>
    <cellStyle name="Normal 8 2 2 2 2" xfId="42375"/>
    <cellStyle name="Normal 8 2 2 2 2 2" xfId="42376"/>
    <cellStyle name="Normal 8 2 2 3" xfId="42377"/>
    <cellStyle name="Normal 8 2 2 3 2" xfId="42378"/>
    <cellStyle name="Normal 8 2 3" xfId="42379"/>
    <cellStyle name="Normal 8 2 3 2" xfId="42380"/>
    <cellStyle name="Normal 8 2 3 2 2" xfId="42381"/>
    <cellStyle name="Normal 8 2 4" xfId="42382"/>
    <cellStyle name="Normal 8 2 4 2" xfId="42383"/>
    <cellStyle name="Normal 8 2 5" xfId="42384"/>
    <cellStyle name="Normal 8 3" xfId="42385"/>
    <cellStyle name="Normal 8 3 2" xfId="42386"/>
    <cellStyle name="Normal 8 3 2 2" xfId="42387"/>
    <cellStyle name="Normal 8 3 2 2 2" xfId="42388"/>
    <cellStyle name="Normal 8 3 3" xfId="42389"/>
    <cellStyle name="Normal 8 3 3 2" xfId="42390"/>
    <cellStyle name="Normal 8 3 4" xfId="42391"/>
    <cellStyle name="Normal 8 4" xfId="42392"/>
    <cellStyle name="Normal 8 4 2" xfId="42393"/>
    <cellStyle name="Normal 8 4 2 2" xfId="42394"/>
    <cellStyle name="Normal 8 4 3" xfId="42395"/>
    <cellStyle name="Normal 8 5" xfId="42396"/>
    <cellStyle name="Normal 8 5 2" xfId="42397"/>
    <cellStyle name="Normal 8 5 3" xfId="42398"/>
    <cellStyle name="Normal 8 6" xfId="42399"/>
    <cellStyle name="Normal 8 7" xfId="42400"/>
    <cellStyle name="Normal 8 8" xfId="42401"/>
    <cellStyle name="Normal 8 9" xfId="42402"/>
    <cellStyle name="Normal 8 9 2" xfId="42403"/>
    <cellStyle name="Normal 8 9 2 2" xfId="42404"/>
    <cellStyle name="Normal 8 9 2 3" xfId="42405"/>
    <cellStyle name="Normal 8 9 2 4" xfId="42406"/>
    <cellStyle name="Normal 8 9 3" xfId="42407"/>
    <cellStyle name="Normal 8 9 3 2" xfId="42408"/>
    <cellStyle name="Normal 8 9 3 3" xfId="42409"/>
    <cellStyle name="Normal 8 9 4" xfId="42410"/>
    <cellStyle name="Normal 8 9 4 2" xfId="42411"/>
    <cellStyle name="Normal 8 9 5" xfId="42412"/>
    <cellStyle name="Normal 8 9 6" xfId="42413"/>
    <cellStyle name="Normal 8 9 7" xfId="42414"/>
    <cellStyle name="Normal 8_Northern Rock" xfId="42415"/>
    <cellStyle name="Normal 80" xfId="42416"/>
    <cellStyle name="Normal 80 2" xfId="42417"/>
    <cellStyle name="Normal 80 3" xfId="42418"/>
    <cellStyle name="Normal 80 4" xfId="42419"/>
    <cellStyle name="Normal 81" xfId="42420"/>
    <cellStyle name="Normal 81 2" xfId="42421"/>
    <cellStyle name="Normal 82" xfId="42422"/>
    <cellStyle name="Normal 82 2" xfId="42423"/>
    <cellStyle name="Normal 83" xfId="42424"/>
    <cellStyle name="Normal 83 2" xfId="42425"/>
    <cellStyle name="Normal 84" xfId="42426"/>
    <cellStyle name="Normal 84 2" xfId="42427"/>
    <cellStyle name="Normal 85" xfId="42428"/>
    <cellStyle name="Normal 85 2" xfId="42429"/>
    <cellStyle name="Normal 86" xfId="42430"/>
    <cellStyle name="Normal 86 2" xfId="42431"/>
    <cellStyle name="Normal 87" xfId="42432"/>
    <cellStyle name="Normal 87 2" xfId="42433"/>
    <cellStyle name="Normal 88" xfId="42434"/>
    <cellStyle name="Normal 88 2" xfId="42435"/>
    <cellStyle name="Normal 89" xfId="42436"/>
    <cellStyle name="Normal 89 2" xfId="42437"/>
    <cellStyle name="Normal 9" xfId="42438"/>
    <cellStyle name="Normal 9 2" xfId="42439"/>
    <cellStyle name="Normal 9 2 2" xfId="42440"/>
    <cellStyle name="Normal 9 2 2 2" xfId="42441"/>
    <cellStyle name="Normal 9 2 2 2 2" xfId="42442"/>
    <cellStyle name="Normal 9 2 2 2 2 2" xfId="42443"/>
    <cellStyle name="Normal 9 2 2 3" xfId="42444"/>
    <cellStyle name="Normal 9 2 2 3 2" xfId="42445"/>
    <cellStyle name="Normal 9 2 3" xfId="42446"/>
    <cellStyle name="Normal 9 2 3 2" xfId="42447"/>
    <cellStyle name="Normal 9 2 3 2 2" xfId="42448"/>
    <cellStyle name="Normal 9 2 4" xfId="42449"/>
    <cellStyle name="Normal 9 2 4 2" xfId="42450"/>
    <cellStyle name="Normal 9 2 5" xfId="42451"/>
    <cellStyle name="Normal 9 3" xfId="42452"/>
    <cellStyle name="Normal 9 3 2" xfId="42453"/>
    <cellStyle name="Normal 9 3 2 2" xfId="42454"/>
    <cellStyle name="Normal 9 3 2 2 2" xfId="42455"/>
    <cellStyle name="Normal 9 3 2 3" xfId="42456"/>
    <cellStyle name="Normal 9 3 2 4" xfId="42457"/>
    <cellStyle name="Normal 9 3 2 5" xfId="42458"/>
    <cellStyle name="Normal 9 3 3" xfId="42459"/>
    <cellStyle name="Normal 9 3 3 2" xfId="42460"/>
    <cellStyle name="Normal 9 3 3 3" xfId="42461"/>
    <cellStyle name="Normal 9 3 3 4" xfId="42462"/>
    <cellStyle name="Normal 9 3 3 5" xfId="42463"/>
    <cellStyle name="Normal 9 3 4" xfId="42464"/>
    <cellStyle name="Normal 9 3 4 2" xfId="42465"/>
    <cellStyle name="Normal 9 3 5" xfId="42466"/>
    <cellStyle name="Normal 9 3 6" xfId="42467"/>
    <cellStyle name="Normal 9 3 7" xfId="42468"/>
    <cellStyle name="Normal 9 4" xfId="42469"/>
    <cellStyle name="Normal 9 4 2" xfId="42470"/>
    <cellStyle name="Normal 9 4 2 2" xfId="42471"/>
    <cellStyle name="Normal 9 4 3" xfId="42472"/>
    <cellStyle name="Normal 9 4 4" xfId="42473"/>
    <cellStyle name="Normal 9 4 5" xfId="42474"/>
    <cellStyle name="Normal 9 5" xfId="42475"/>
    <cellStyle name="Normal 9 5 2" xfId="42476"/>
    <cellStyle name="Normal 9 5 3" xfId="42477"/>
    <cellStyle name="Normal 9 5 4" xfId="42478"/>
    <cellStyle name="Normal 9 5 5" xfId="42479"/>
    <cellStyle name="Normal 9 6" xfId="42480"/>
    <cellStyle name="Normal 9 6 2" xfId="42481"/>
    <cellStyle name="Normal 9 7" xfId="42482"/>
    <cellStyle name="Normal 9 8" xfId="42483"/>
    <cellStyle name="Normal 9 9" xfId="42484"/>
    <cellStyle name="Normal 9_Northern Rock" xfId="42485"/>
    <cellStyle name="Normal 90" xfId="42486"/>
    <cellStyle name="Normal 90 2" xfId="42487"/>
    <cellStyle name="Normal 91" xfId="42488"/>
    <cellStyle name="Normal 91 2" xfId="42489"/>
    <cellStyle name="Normal 91 3" xfId="42490"/>
    <cellStyle name="Normal 92" xfId="42491"/>
    <cellStyle name="Normal 92 2" xfId="42492"/>
    <cellStyle name="Normal 93" xfId="42493"/>
    <cellStyle name="Normal 93 2" xfId="42494"/>
    <cellStyle name="Normal 94" xfId="42495"/>
    <cellStyle name="Normal 94 2" xfId="42496"/>
    <cellStyle name="Normal 94 3" xfId="42497"/>
    <cellStyle name="Normal 94 4" xfId="42498"/>
    <cellStyle name="Normal 95" xfId="42499"/>
    <cellStyle name="Normal 95 2" xfId="42500"/>
    <cellStyle name="Normal 95 2 2" xfId="42501"/>
    <cellStyle name="Normal 95 2 3" xfId="42502"/>
    <cellStyle name="Normal 95 2 4" xfId="42503"/>
    <cellStyle name="Normal 95 3" xfId="42504"/>
    <cellStyle name="Normal 95 3 2" xfId="42505"/>
    <cellStyle name="Normal 95 3 3" xfId="42506"/>
    <cellStyle name="Normal 95 3 4" xfId="42507"/>
    <cellStyle name="Normal 95 4" xfId="42508"/>
    <cellStyle name="Normal 95 4 2" xfId="42509"/>
    <cellStyle name="Normal 95 5" xfId="42510"/>
    <cellStyle name="Normal 95 6" xfId="42511"/>
    <cellStyle name="Normal 95 7" xfId="42512"/>
    <cellStyle name="Normal 96" xfId="42513"/>
    <cellStyle name="Normal 96 2" xfId="42514"/>
    <cellStyle name="Normal 96 2 2" xfId="42515"/>
    <cellStyle name="Normal 96 3" xfId="42516"/>
    <cellStyle name="Normal 96 3 2" xfId="42517"/>
    <cellStyle name="Normal 96 4" xfId="42518"/>
    <cellStyle name="Normal 96 5" xfId="42519"/>
    <cellStyle name="Normal 96 6" xfId="42520"/>
    <cellStyle name="Normal 97" xfId="42521"/>
    <cellStyle name="Normal 98" xfId="42522"/>
    <cellStyle name="Normal 98 2" xfId="42523"/>
    <cellStyle name="Normal 99" xfId="42524"/>
    <cellStyle name="Normal 99 2" xfId="42525"/>
    <cellStyle name="Normal 99 3" xfId="42526"/>
    <cellStyle name="Normal2" xfId="42527"/>
    <cellStyle name="Normale 2" xfId="42528"/>
    <cellStyle name="Note 10" xfId="42529"/>
    <cellStyle name="Note 10 2" xfId="42530"/>
    <cellStyle name="Note 10 2 2" xfId="42531"/>
    <cellStyle name="Note 10 2 3" xfId="42532"/>
    <cellStyle name="Note 10 2 4" xfId="42533"/>
    <cellStyle name="Note 10 3" xfId="42534"/>
    <cellStyle name="Note 10 3 2" xfId="42535"/>
    <cellStyle name="Note 10 3 3" xfId="42536"/>
    <cellStyle name="Note 10 4" xfId="42537"/>
    <cellStyle name="Note 10 4 2" xfId="42538"/>
    <cellStyle name="Note 10 5" xfId="42539"/>
    <cellStyle name="Note 10 6" xfId="42540"/>
    <cellStyle name="Note 10 7" xfId="42541"/>
    <cellStyle name="Note 11" xfId="42542"/>
    <cellStyle name="Note 11 2" xfId="42543"/>
    <cellStyle name="Note 11 2 2" xfId="42544"/>
    <cellStyle name="Note 11 2 3" xfId="42545"/>
    <cellStyle name="Note 11 2 4" xfId="42546"/>
    <cellStyle name="Note 11 3" xfId="42547"/>
    <cellStyle name="Note 11 3 2" xfId="42548"/>
    <cellStyle name="Note 11 3 3" xfId="42549"/>
    <cellStyle name="Note 11 4" xfId="42550"/>
    <cellStyle name="Note 11 4 2" xfId="42551"/>
    <cellStyle name="Note 11 5" xfId="42552"/>
    <cellStyle name="Note 11 6" xfId="42553"/>
    <cellStyle name="Note 11 7" xfId="42554"/>
    <cellStyle name="Note 12" xfId="42555"/>
    <cellStyle name="Note 12 2" xfId="42556"/>
    <cellStyle name="Note 12 2 2" xfId="42557"/>
    <cellStyle name="Note 12 2 3" xfId="42558"/>
    <cellStyle name="Note 12 2 4" xfId="42559"/>
    <cellStyle name="Note 12 3" xfId="42560"/>
    <cellStyle name="Note 12 3 2" xfId="42561"/>
    <cellStyle name="Note 12 3 3" xfId="42562"/>
    <cellStyle name="Note 12 4" xfId="42563"/>
    <cellStyle name="Note 12 4 2" xfId="42564"/>
    <cellStyle name="Note 12 5" xfId="42565"/>
    <cellStyle name="Note 12 6" xfId="42566"/>
    <cellStyle name="Note 12 7" xfId="42567"/>
    <cellStyle name="Note 13" xfId="42568"/>
    <cellStyle name="Note 13 2" xfId="42569"/>
    <cellStyle name="Note 13 3" xfId="42570"/>
    <cellStyle name="Note 13 4" xfId="42571"/>
    <cellStyle name="Note 14" xfId="42572"/>
    <cellStyle name="Note 14 10" xfId="42573"/>
    <cellStyle name="Note 14 2" xfId="42574"/>
    <cellStyle name="Note 14 2 2" xfId="42575"/>
    <cellStyle name="Note 14 2 2 2" xfId="42576"/>
    <cellStyle name="Note 14 2 2 2 2" xfId="42577"/>
    <cellStyle name="Note 14 2 2 2 2 2" xfId="42578"/>
    <cellStyle name="Note 14 2 2 2 2 2 2" xfId="42579"/>
    <cellStyle name="Note 14 2 2 2 3" xfId="42580"/>
    <cellStyle name="Note 14 2 2 2 3 2" xfId="42581"/>
    <cellStyle name="Note 14 2 2 3" xfId="42582"/>
    <cellStyle name="Note 14 2 2 3 2" xfId="42583"/>
    <cellStyle name="Note 14 2 2 3 2 2" xfId="42584"/>
    <cellStyle name="Note 14 2 2 4" xfId="42585"/>
    <cellStyle name="Note 14 2 2 4 2" xfId="42586"/>
    <cellStyle name="Note 14 2 2 5" xfId="42587"/>
    <cellStyle name="Note 14 2 2 6" xfId="42588"/>
    <cellStyle name="Note 14 2 2 7" xfId="42589"/>
    <cellStyle name="Note 14 2 3" xfId="42590"/>
    <cellStyle name="Note 14 2 3 2" xfId="42591"/>
    <cellStyle name="Note 14 2 3 2 2" xfId="42592"/>
    <cellStyle name="Note 14 2 3 2 2 2" xfId="42593"/>
    <cellStyle name="Note 14 2 3 3" xfId="42594"/>
    <cellStyle name="Note 14 2 3 3 2" xfId="42595"/>
    <cellStyle name="Note 14 2 3 4" xfId="42596"/>
    <cellStyle name="Note 14 2 3 5" xfId="42597"/>
    <cellStyle name="Note 14 2 3 6" xfId="42598"/>
    <cellStyle name="Note 14 2 4" xfId="42599"/>
    <cellStyle name="Note 14 2 4 2" xfId="42600"/>
    <cellStyle name="Note 14 2 4 2 2" xfId="42601"/>
    <cellStyle name="Note 14 2 4 3" xfId="42602"/>
    <cellStyle name="Note 14 2 5" xfId="42603"/>
    <cellStyle name="Note 14 2 5 2" xfId="42604"/>
    <cellStyle name="Note 14 2 6" xfId="42605"/>
    <cellStyle name="Note 14 2 7" xfId="42606"/>
    <cellStyle name="Note 14 2 8" xfId="42607"/>
    <cellStyle name="Note 14 2 9" xfId="42608"/>
    <cellStyle name="Note 14 3" xfId="42609"/>
    <cellStyle name="Note 14 3 2" xfId="42610"/>
    <cellStyle name="Note 14 3 2 2" xfId="42611"/>
    <cellStyle name="Note 14 3 2 2 2" xfId="42612"/>
    <cellStyle name="Note 14 3 2 2 2 2" xfId="42613"/>
    <cellStyle name="Note 14 3 2 3" xfId="42614"/>
    <cellStyle name="Note 14 3 2 3 2" xfId="42615"/>
    <cellStyle name="Note 14 3 2 4" xfId="42616"/>
    <cellStyle name="Note 14 3 2 5" xfId="42617"/>
    <cellStyle name="Note 14 3 2 6" xfId="42618"/>
    <cellStyle name="Note 14 3 3" xfId="42619"/>
    <cellStyle name="Note 14 3 3 2" xfId="42620"/>
    <cellStyle name="Note 14 3 3 2 2" xfId="42621"/>
    <cellStyle name="Note 14 3 3 3" xfId="42622"/>
    <cellStyle name="Note 14 3 3 4" xfId="42623"/>
    <cellStyle name="Note 14 3 3 5" xfId="42624"/>
    <cellStyle name="Note 14 3 4" xfId="42625"/>
    <cellStyle name="Note 14 3 4 2" xfId="42626"/>
    <cellStyle name="Note 14 3 4 3" xfId="42627"/>
    <cellStyle name="Note 14 3 5" xfId="42628"/>
    <cellStyle name="Note 14 3 6" xfId="42629"/>
    <cellStyle name="Note 14 3 7" xfId="42630"/>
    <cellStyle name="Note 14 3 8" xfId="42631"/>
    <cellStyle name="Note 14 4" xfId="42632"/>
    <cellStyle name="Note 14 4 2" xfId="42633"/>
    <cellStyle name="Note 14 4 2 2" xfId="42634"/>
    <cellStyle name="Note 14 4 2 2 2" xfId="42635"/>
    <cellStyle name="Note 14 4 3" xfId="42636"/>
    <cellStyle name="Note 14 4 3 2" xfId="42637"/>
    <cellStyle name="Note 14 4 4" xfId="42638"/>
    <cellStyle name="Note 14 4 5" xfId="42639"/>
    <cellStyle name="Note 14 4 6" xfId="42640"/>
    <cellStyle name="Note 14 5" xfId="42641"/>
    <cellStyle name="Note 14 5 2" xfId="42642"/>
    <cellStyle name="Note 14 5 2 2" xfId="42643"/>
    <cellStyle name="Note 14 5 3" xfId="42644"/>
    <cellStyle name="Note 14 5 4" xfId="42645"/>
    <cellStyle name="Note 14 5 5" xfId="42646"/>
    <cellStyle name="Note 14 6" xfId="42647"/>
    <cellStyle name="Note 14 6 2" xfId="42648"/>
    <cellStyle name="Note 14 6 3" xfId="42649"/>
    <cellStyle name="Note 14 7" xfId="42650"/>
    <cellStyle name="Note 14 8" xfId="42651"/>
    <cellStyle name="Note 14 9" xfId="42652"/>
    <cellStyle name="Note 15" xfId="42653"/>
    <cellStyle name="Note 15 2" xfId="42654"/>
    <cellStyle name="Note 15 2 2" xfId="42655"/>
    <cellStyle name="Note 15 2 3" xfId="42656"/>
    <cellStyle name="Note 15 2 4" xfId="42657"/>
    <cellStyle name="Note 15 3" xfId="42658"/>
    <cellStyle name="Note 15 3 2" xfId="42659"/>
    <cellStyle name="Note 15 3 3" xfId="42660"/>
    <cellStyle name="Note 15 4" xfId="42661"/>
    <cellStyle name="Note 15 4 2" xfId="42662"/>
    <cellStyle name="Note 15 5" xfId="42663"/>
    <cellStyle name="Note 15 6" xfId="42664"/>
    <cellStyle name="Note 15 7" xfId="42665"/>
    <cellStyle name="Note 16" xfId="42666"/>
    <cellStyle name="Note 16 2" xfId="42667"/>
    <cellStyle name="Note 16 2 2" xfId="42668"/>
    <cellStyle name="Note 16 2 3" xfId="42669"/>
    <cellStyle name="Note 16 2 4" xfId="42670"/>
    <cellStyle name="Note 16 3" xfId="42671"/>
    <cellStyle name="Note 16 3 2" xfId="42672"/>
    <cellStyle name="Note 16 3 3" xfId="42673"/>
    <cellStyle name="Note 16 4" xfId="42674"/>
    <cellStyle name="Note 16 4 2" xfId="42675"/>
    <cellStyle name="Note 16 5" xfId="42676"/>
    <cellStyle name="Note 16 6" xfId="42677"/>
    <cellStyle name="Note 16 7" xfId="42678"/>
    <cellStyle name="Note 17" xfId="42679"/>
    <cellStyle name="Note 17 2" xfId="42680"/>
    <cellStyle name="Note 17 2 2" xfId="42681"/>
    <cellStyle name="Note 17 2 3" xfId="42682"/>
    <cellStyle name="Note 17 2 4" xfId="42683"/>
    <cellStyle name="Note 17 3" xfId="42684"/>
    <cellStyle name="Note 17 3 2" xfId="42685"/>
    <cellStyle name="Note 17 3 3" xfId="42686"/>
    <cellStyle name="Note 17 4" xfId="42687"/>
    <cellStyle name="Note 17 4 2" xfId="42688"/>
    <cellStyle name="Note 17 5" xfId="42689"/>
    <cellStyle name="Note 17 6" xfId="42690"/>
    <cellStyle name="Note 17 7" xfId="42691"/>
    <cellStyle name="Note 18" xfId="42692"/>
    <cellStyle name="Note 18 2" xfId="42693"/>
    <cellStyle name="Note 18 2 2" xfId="42694"/>
    <cellStyle name="Note 18 2 3" xfId="42695"/>
    <cellStyle name="Note 18 2 4" xfId="42696"/>
    <cellStyle name="Note 18 3" xfId="42697"/>
    <cellStyle name="Note 18 3 2" xfId="42698"/>
    <cellStyle name="Note 18 3 3" xfId="42699"/>
    <cellStyle name="Note 18 4" xfId="42700"/>
    <cellStyle name="Note 18 4 2" xfId="42701"/>
    <cellStyle name="Note 18 5" xfId="42702"/>
    <cellStyle name="Note 18 6" xfId="42703"/>
    <cellStyle name="Note 18 7" xfId="42704"/>
    <cellStyle name="Note 19" xfId="42705"/>
    <cellStyle name="Note 19 2" xfId="42706"/>
    <cellStyle name="Note 19 2 2" xfId="42707"/>
    <cellStyle name="Note 19 2 3" xfId="42708"/>
    <cellStyle name="Note 19 2 4" xfId="42709"/>
    <cellStyle name="Note 19 3" xfId="42710"/>
    <cellStyle name="Note 19 3 2" xfId="42711"/>
    <cellStyle name="Note 19 3 3" xfId="42712"/>
    <cellStyle name="Note 19 4" xfId="42713"/>
    <cellStyle name="Note 19 4 2" xfId="42714"/>
    <cellStyle name="Note 19 5" xfId="42715"/>
    <cellStyle name="Note 19 6" xfId="42716"/>
    <cellStyle name="Note 19 7" xfId="42717"/>
    <cellStyle name="Note 2" xfId="42718"/>
    <cellStyle name="Note 2 10" xfId="42719"/>
    <cellStyle name="Note 2 10 2" xfId="42720"/>
    <cellStyle name="Note 2 10 2 2" xfId="42721"/>
    <cellStyle name="Note 2 10 2 2 2" xfId="42722"/>
    <cellStyle name="Note 2 10 2 2 2 2" xfId="42723"/>
    <cellStyle name="Note 2 10 2 2 2 2 2" xfId="42724"/>
    <cellStyle name="Note 2 10 2 2 2 2 2 2" xfId="42725"/>
    <cellStyle name="Note 2 10 2 2 2 3" xfId="42726"/>
    <cellStyle name="Note 2 10 2 2 2 3 2" xfId="42727"/>
    <cellStyle name="Note 2 10 2 2 3" xfId="42728"/>
    <cellStyle name="Note 2 10 2 2 3 2" xfId="42729"/>
    <cellStyle name="Note 2 10 2 2 3 2 2" xfId="42730"/>
    <cellStyle name="Note 2 10 2 2 4" xfId="42731"/>
    <cellStyle name="Note 2 10 2 2 4 2" xfId="42732"/>
    <cellStyle name="Note 2 10 2 3" xfId="42733"/>
    <cellStyle name="Note 2 10 2 3 2" xfId="42734"/>
    <cellStyle name="Note 2 10 2 3 2 2" xfId="42735"/>
    <cellStyle name="Note 2 10 2 3 2 2 2" xfId="42736"/>
    <cellStyle name="Note 2 10 2 3 3" xfId="42737"/>
    <cellStyle name="Note 2 10 2 3 3 2" xfId="42738"/>
    <cellStyle name="Note 2 10 2 4" xfId="42739"/>
    <cellStyle name="Note 2 10 2 4 2" xfId="42740"/>
    <cellStyle name="Note 2 10 2 4 2 2" xfId="42741"/>
    <cellStyle name="Note 2 10 2 5" xfId="42742"/>
    <cellStyle name="Note 2 10 2 5 2" xfId="42743"/>
    <cellStyle name="Note 2 10 3" xfId="42744"/>
    <cellStyle name="Note 2 10 3 2" xfId="42745"/>
    <cellStyle name="Note 2 10 3 2 2" xfId="42746"/>
    <cellStyle name="Note 2 10 3 2 2 2" xfId="42747"/>
    <cellStyle name="Note 2 10 3 2 2 2 2" xfId="42748"/>
    <cellStyle name="Note 2 10 3 2 3" xfId="42749"/>
    <cellStyle name="Note 2 10 3 2 3 2" xfId="42750"/>
    <cellStyle name="Note 2 10 3 3" xfId="42751"/>
    <cellStyle name="Note 2 10 3 3 2" xfId="42752"/>
    <cellStyle name="Note 2 10 3 3 2 2" xfId="42753"/>
    <cellStyle name="Note 2 10 3 4" xfId="42754"/>
    <cellStyle name="Note 2 10 3 4 2" xfId="42755"/>
    <cellStyle name="Note 2 10 4" xfId="42756"/>
    <cellStyle name="Note 2 10 4 2" xfId="42757"/>
    <cellStyle name="Note 2 10 4 2 2" xfId="42758"/>
    <cellStyle name="Note 2 10 4 2 2 2" xfId="42759"/>
    <cellStyle name="Note 2 10 4 3" xfId="42760"/>
    <cellStyle name="Note 2 10 4 3 2" xfId="42761"/>
    <cellStyle name="Note 2 10 5" xfId="42762"/>
    <cellStyle name="Note 2 10 5 2" xfId="42763"/>
    <cellStyle name="Note 2 10 5 2 2" xfId="42764"/>
    <cellStyle name="Note 2 10 6" xfId="42765"/>
    <cellStyle name="Note 2 10 6 2" xfId="42766"/>
    <cellStyle name="Note 2 10 7" xfId="42767"/>
    <cellStyle name="Note 2 10 8" xfId="42768"/>
    <cellStyle name="Note 2 10 9" xfId="42769"/>
    <cellStyle name="Note 2 11" xfId="42770"/>
    <cellStyle name="Note 2 11 2" xfId="42771"/>
    <cellStyle name="Note 2 11 2 2" xfId="42772"/>
    <cellStyle name="Note 2 11 2 2 2" xfId="42773"/>
    <cellStyle name="Note 2 11 2 2 2 2" xfId="42774"/>
    <cellStyle name="Note 2 11 2 2 2 2 2" xfId="42775"/>
    <cellStyle name="Note 2 11 2 2 2 2 2 2" xfId="42776"/>
    <cellStyle name="Note 2 11 2 2 2 3" xfId="42777"/>
    <cellStyle name="Note 2 11 2 2 2 3 2" xfId="42778"/>
    <cellStyle name="Note 2 11 2 2 3" xfId="42779"/>
    <cellStyle name="Note 2 11 2 2 3 2" xfId="42780"/>
    <cellStyle name="Note 2 11 2 2 3 2 2" xfId="42781"/>
    <cellStyle name="Note 2 11 2 2 4" xfId="42782"/>
    <cellStyle name="Note 2 11 2 2 4 2" xfId="42783"/>
    <cellStyle name="Note 2 11 2 3" xfId="42784"/>
    <cellStyle name="Note 2 11 2 3 2" xfId="42785"/>
    <cellStyle name="Note 2 11 2 3 2 2" xfId="42786"/>
    <cellStyle name="Note 2 11 2 3 2 2 2" xfId="42787"/>
    <cellStyle name="Note 2 11 2 3 3" xfId="42788"/>
    <cellStyle name="Note 2 11 2 3 3 2" xfId="42789"/>
    <cellStyle name="Note 2 11 2 4" xfId="42790"/>
    <cellStyle name="Note 2 11 2 4 2" xfId="42791"/>
    <cellStyle name="Note 2 11 2 4 2 2" xfId="42792"/>
    <cellStyle name="Note 2 11 2 5" xfId="42793"/>
    <cellStyle name="Note 2 11 2 5 2" xfId="42794"/>
    <cellStyle name="Note 2 11 3" xfId="42795"/>
    <cellStyle name="Note 2 11 3 2" xfId="42796"/>
    <cellStyle name="Note 2 11 3 2 2" xfId="42797"/>
    <cellStyle name="Note 2 11 3 2 2 2" xfId="42798"/>
    <cellStyle name="Note 2 11 3 2 2 2 2" xfId="42799"/>
    <cellStyle name="Note 2 11 3 2 3" xfId="42800"/>
    <cellStyle name="Note 2 11 3 2 3 2" xfId="42801"/>
    <cellStyle name="Note 2 11 3 3" xfId="42802"/>
    <cellStyle name="Note 2 11 3 3 2" xfId="42803"/>
    <cellStyle name="Note 2 11 3 3 2 2" xfId="42804"/>
    <cellStyle name="Note 2 11 3 4" xfId="42805"/>
    <cellStyle name="Note 2 11 3 4 2" xfId="42806"/>
    <cellStyle name="Note 2 11 4" xfId="42807"/>
    <cellStyle name="Note 2 11 4 2" xfId="42808"/>
    <cellStyle name="Note 2 11 4 2 2" xfId="42809"/>
    <cellStyle name="Note 2 11 4 2 2 2" xfId="42810"/>
    <cellStyle name="Note 2 11 4 3" xfId="42811"/>
    <cellStyle name="Note 2 11 4 3 2" xfId="42812"/>
    <cellStyle name="Note 2 11 5" xfId="42813"/>
    <cellStyle name="Note 2 11 5 2" xfId="42814"/>
    <cellStyle name="Note 2 11 5 2 2" xfId="42815"/>
    <cellStyle name="Note 2 11 6" xfId="42816"/>
    <cellStyle name="Note 2 11 6 2" xfId="42817"/>
    <cellStyle name="Note 2 11 7" xfId="42818"/>
    <cellStyle name="Note 2 12" xfId="42819"/>
    <cellStyle name="Note 2 12 2" xfId="42820"/>
    <cellStyle name="Note 2 12 2 2" xfId="42821"/>
    <cellStyle name="Note 2 12 2 2 2" xfId="42822"/>
    <cellStyle name="Note 2 12 2 2 2 2" xfId="42823"/>
    <cellStyle name="Note 2 12 2 2 2 2 2" xfId="42824"/>
    <cellStyle name="Note 2 12 2 2 2 2 2 2" xfId="42825"/>
    <cellStyle name="Note 2 12 2 2 2 3" xfId="42826"/>
    <cellStyle name="Note 2 12 2 2 2 3 2" xfId="42827"/>
    <cellStyle name="Note 2 12 2 2 3" xfId="42828"/>
    <cellStyle name="Note 2 12 2 2 3 2" xfId="42829"/>
    <cellStyle name="Note 2 12 2 2 3 2 2" xfId="42830"/>
    <cellStyle name="Note 2 12 2 2 4" xfId="42831"/>
    <cellStyle name="Note 2 12 2 2 4 2" xfId="42832"/>
    <cellStyle name="Note 2 12 2 3" xfId="42833"/>
    <cellStyle name="Note 2 12 2 3 2" xfId="42834"/>
    <cellStyle name="Note 2 12 2 3 2 2" xfId="42835"/>
    <cellStyle name="Note 2 12 2 3 2 2 2" xfId="42836"/>
    <cellStyle name="Note 2 12 2 3 3" xfId="42837"/>
    <cellStyle name="Note 2 12 2 3 3 2" xfId="42838"/>
    <cellStyle name="Note 2 12 2 4" xfId="42839"/>
    <cellStyle name="Note 2 12 2 4 2" xfId="42840"/>
    <cellStyle name="Note 2 12 2 4 2 2" xfId="42841"/>
    <cellStyle name="Note 2 12 2 5" xfId="42842"/>
    <cellStyle name="Note 2 12 2 5 2" xfId="42843"/>
    <cellStyle name="Note 2 12 3" xfId="42844"/>
    <cellStyle name="Note 2 12 3 2" xfId="42845"/>
    <cellStyle name="Note 2 12 3 2 2" xfId="42846"/>
    <cellStyle name="Note 2 12 3 2 2 2" xfId="42847"/>
    <cellStyle name="Note 2 12 3 2 2 2 2" xfId="42848"/>
    <cellStyle name="Note 2 12 3 2 3" xfId="42849"/>
    <cellStyle name="Note 2 12 3 2 3 2" xfId="42850"/>
    <cellStyle name="Note 2 12 3 3" xfId="42851"/>
    <cellStyle name="Note 2 12 3 3 2" xfId="42852"/>
    <cellStyle name="Note 2 12 3 3 2 2" xfId="42853"/>
    <cellStyle name="Note 2 12 3 4" xfId="42854"/>
    <cellStyle name="Note 2 12 3 4 2" xfId="42855"/>
    <cellStyle name="Note 2 12 4" xfId="42856"/>
    <cellStyle name="Note 2 12 4 2" xfId="42857"/>
    <cellStyle name="Note 2 12 4 2 2" xfId="42858"/>
    <cellStyle name="Note 2 12 4 2 2 2" xfId="42859"/>
    <cellStyle name="Note 2 12 4 3" xfId="42860"/>
    <cellStyle name="Note 2 12 4 3 2" xfId="42861"/>
    <cellStyle name="Note 2 12 5" xfId="42862"/>
    <cellStyle name="Note 2 12 5 2" xfId="42863"/>
    <cellStyle name="Note 2 12 5 2 2" xfId="42864"/>
    <cellStyle name="Note 2 12 6" xfId="42865"/>
    <cellStyle name="Note 2 12 6 2" xfId="42866"/>
    <cellStyle name="Note 2 13" xfId="42867"/>
    <cellStyle name="Note 2 13 2" xfId="42868"/>
    <cellStyle name="Note 2 13 2 2" xfId="42869"/>
    <cellStyle name="Note 2 13 2 2 2" xfId="42870"/>
    <cellStyle name="Note 2 13 2 2 2 2" xfId="42871"/>
    <cellStyle name="Note 2 13 2 2 2 2 2" xfId="42872"/>
    <cellStyle name="Note 2 13 2 2 2 2 2 2" xfId="42873"/>
    <cellStyle name="Note 2 13 2 2 2 3" xfId="42874"/>
    <cellStyle name="Note 2 13 2 2 2 3 2" xfId="42875"/>
    <cellStyle name="Note 2 13 2 2 3" xfId="42876"/>
    <cellStyle name="Note 2 13 2 2 3 2" xfId="42877"/>
    <cellStyle name="Note 2 13 2 2 3 2 2" xfId="42878"/>
    <cellStyle name="Note 2 13 2 2 4" xfId="42879"/>
    <cellStyle name="Note 2 13 2 2 4 2" xfId="42880"/>
    <cellStyle name="Note 2 13 2 3" xfId="42881"/>
    <cellStyle name="Note 2 13 2 3 2" xfId="42882"/>
    <cellStyle name="Note 2 13 2 3 2 2" xfId="42883"/>
    <cellStyle name="Note 2 13 2 3 2 2 2" xfId="42884"/>
    <cellStyle name="Note 2 13 2 3 3" xfId="42885"/>
    <cellStyle name="Note 2 13 2 3 3 2" xfId="42886"/>
    <cellStyle name="Note 2 13 2 4" xfId="42887"/>
    <cellStyle name="Note 2 13 2 4 2" xfId="42888"/>
    <cellStyle name="Note 2 13 2 4 2 2" xfId="42889"/>
    <cellStyle name="Note 2 13 2 5" xfId="42890"/>
    <cellStyle name="Note 2 13 2 5 2" xfId="42891"/>
    <cellStyle name="Note 2 13 3" xfId="42892"/>
    <cellStyle name="Note 2 13 3 2" xfId="42893"/>
    <cellStyle name="Note 2 13 3 2 2" xfId="42894"/>
    <cellStyle name="Note 2 13 3 2 2 2" xfId="42895"/>
    <cellStyle name="Note 2 13 3 2 2 2 2" xfId="42896"/>
    <cellStyle name="Note 2 13 3 2 3" xfId="42897"/>
    <cellStyle name="Note 2 13 3 2 3 2" xfId="42898"/>
    <cellStyle name="Note 2 13 3 3" xfId="42899"/>
    <cellStyle name="Note 2 13 3 3 2" xfId="42900"/>
    <cellStyle name="Note 2 13 3 3 2 2" xfId="42901"/>
    <cellStyle name="Note 2 13 3 4" xfId="42902"/>
    <cellStyle name="Note 2 13 3 4 2" xfId="42903"/>
    <cellStyle name="Note 2 13 4" xfId="42904"/>
    <cellStyle name="Note 2 13 4 2" xfId="42905"/>
    <cellStyle name="Note 2 13 4 2 2" xfId="42906"/>
    <cellStyle name="Note 2 13 4 2 2 2" xfId="42907"/>
    <cellStyle name="Note 2 13 4 3" xfId="42908"/>
    <cellStyle name="Note 2 13 4 3 2" xfId="42909"/>
    <cellStyle name="Note 2 13 5" xfId="42910"/>
    <cellStyle name="Note 2 13 5 2" xfId="42911"/>
    <cellStyle name="Note 2 13 5 2 2" xfId="42912"/>
    <cellStyle name="Note 2 13 6" xfId="42913"/>
    <cellStyle name="Note 2 13 6 2" xfId="42914"/>
    <cellStyle name="Note 2 14" xfId="42915"/>
    <cellStyle name="Note 2 14 2" xfId="42916"/>
    <cellStyle name="Note 2 14 2 2" xfId="42917"/>
    <cellStyle name="Note 2 14 2 2 2" xfId="42918"/>
    <cellStyle name="Note 2 14 2 2 2 2" xfId="42919"/>
    <cellStyle name="Note 2 14 2 2 2 2 2" xfId="42920"/>
    <cellStyle name="Note 2 14 2 2 3" xfId="42921"/>
    <cellStyle name="Note 2 14 2 2 3 2" xfId="42922"/>
    <cellStyle name="Note 2 14 2 3" xfId="42923"/>
    <cellStyle name="Note 2 14 2 3 2" xfId="42924"/>
    <cellStyle name="Note 2 14 2 3 2 2" xfId="42925"/>
    <cellStyle name="Note 2 14 2 4" xfId="42926"/>
    <cellStyle name="Note 2 14 2 4 2" xfId="42927"/>
    <cellStyle name="Note 2 14 3" xfId="42928"/>
    <cellStyle name="Note 2 14 3 2" xfId="42929"/>
    <cellStyle name="Note 2 14 3 2 2" xfId="42930"/>
    <cellStyle name="Note 2 14 3 2 2 2" xfId="42931"/>
    <cellStyle name="Note 2 14 3 3" xfId="42932"/>
    <cellStyle name="Note 2 14 3 3 2" xfId="42933"/>
    <cellStyle name="Note 2 14 4" xfId="42934"/>
    <cellStyle name="Note 2 14 4 2" xfId="42935"/>
    <cellStyle name="Note 2 14 4 2 2" xfId="42936"/>
    <cellStyle name="Note 2 14 5" xfId="42937"/>
    <cellStyle name="Note 2 14 5 2" xfId="42938"/>
    <cellStyle name="Note 2 15" xfId="42939"/>
    <cellStyle name="Note 2 15 2" xfId="42940"/>
    <cellStyle name="Note 2 15 2 2" xfId="42941"/>
    <cellStyle name="Note 2 15 2 2 2" xfId="42942"/>
    <cellStyle name="Note 2 15 2 2 2 2" xfId="42943"/>
    <cellStyle name="Note 2 15 2 3" xfId="42944"/>
    <cellStyle name="Note 2 15 2 3 2" xfId="42945"/>
    <cellStyle name="Note 2 15 3" xfId="42946"/>
    <cellStyle name="Note 2 15 3 2" xfId="42947"/>
    <cellStyle name="Note 2 15 3 2 2" xfId="42948"/>
    <cellStyle name="Note 2 15 4" xfId="42949"/>
    <cellStyle name="Note 2 15 4 2" xfId="42950"/>
    <cellStyle name="Note 2 16" xfId="42951"/>
    <cellStyle name="Note 2 16 2" xfId="42952"/>
    <cellStyle name="Note 2 16 2 2" xfId="42953"/>
    <cellStyle name="Note 2 16 2 2 2" xfId="42954"/>
    <cellStyle name="Note 2 16 3" xfId="42955"/>
    <cellStyle name="Note 2 16 3 2" xfId="42956"/>
    <cellStyle name="Note 2 17" xfId="42957"/>
    <cellStyle name="Note 2 17 2" xfId="42958"/>
    <cellStyle name="Note 2 17 2 2" xfId="42959"/>
    <cellStyle name="Note 2 18" xfId="42960"/>
    <cellStyle name="Note 2 19" xfId="42961"/>
    <cellStyle name="Note 2 19 2" xfId="42962"/>
    <cellStyle name="Note 2 2" xfId="42963"/>
    <cellStyle name="Note 2 2 2" xfId="42964"/>
    <cellStyle name="Note 2 2 2 2" xfId="42965"/>
    <cellStyle name="Note 2 2 2 2 2" xfId="42966"/>
    <cellStyle name="Note 2 2 2 2 2 2" xfId="42967"/>
    <cellStyle name="Note 2 2 2 2 2 2 2" xfId="42968"/>
    <cellStyle name="Note 2 2 2 2 2 2 2 2" xfId="42969"/>
    <cellStyle name="Note 2 2 2 2 2 3" xfId="42970"/>
    <cellStyle name="Note 2 2 2 2 2 3 2" xfId="42971"/>
    <cellStyle name="Note 2 2 2 2 3" xfId="42972"/>
    <cellStyle name="Note 2 2 2 2 3 2" xfId="42973"/>
    <cellStyle name="Note 2 2 2 2 3 2 2" xfId="42974"/>
    <cellStyle name="Note 2 2 2 2 4" xfId="42975"/>
    <cellStyle name="Note 2 2 2 2 4 2" xfId="42976"/>
    <cellStyle name="Note 2 2 2 3" xfId="42977"/>
    <cellStyle name="Note 2 2 2 3 2" xfId="42978"/>
    <cellStyle name="Note 2 2 2 3 2 2" xfId="42979"/>
    <cellStyle name="Note 2 2 2 3 2 2 2" xfId="42980"/>
    <cellStyle name="Note 2 2 2 3 3" xfId="42981"/>
    <cellStyle name="Note 2 2 2 3 3 2" xfId="42982"/>
    <cellStyle name="Note 2 2 2 4" xfId="42983"/>
    <cellStyle name="Note 2 2 2 4 2" xfId="42984"/>
    <cellStyle name="Note 2 2 2 4 2 2" xfId="42985"/>
    <cellStyle name="Note 2 2 2 5" xfId="42986"/>
    <cellStyle name="Note 2 2 2 5 2" xfId="42987"/>
    <cellStyle name="Note 2 2 3" xfId="42988"/>
    <cellStyle name="Note 2 2 3 2" xfId="42989"/>
    <cellStyle name="Note 2 2 3 2 2" xfId="42990"/>
    <cellStyle name="Note 2 2 3 2 2 2" xfId="42991"/>
    <cellStyle name="Note 2 2 3 2 2 2 2" xfId="42992"/>
    <cellStyle name="Note 2 2 3 2 3" xfId="42993"/>
    <cellStyle name="Note 2 2 3 2 3 2" xfId="42994"/>
    <cellStyle name="Note 2 2 3 3" xfId="42995"/>
    <cellStyle name="Note 2 2 3 3 2" xfId="42996"/>
    <cellStyle name="Note 2 2 3 3 2 2" xfId="42997"/>
    <cellStyle name="Note 2 2 3 4" xfId="42998"/>
    <cellStyle name="Note 2 2 3 4 2" xfId="42999"/>
    <cellStyle name="Note 2 2 4" xfId="43000"/>
    <cellStyle name="Note 2 2 4 2" xfId="43001"/>
    <cellStyle name="Note 2 2 4 2 2" xfId="43002"/>
    <cellStyle name="Note 2 2 4 2 2 2" xfId="43003"/>
    <cellStyle name="Note 2 2 4 3" xfId="43004"/>
    <cellStyle name="Note 2 2 4 3 2" xfId="43005"/>
    <cellStyle name="Note 2 2 5" xfId="43006"/>
    <cellStyle name="Note 2 2 5 2" xfId="43007"/>
    <cellStyle name="Note 2 2 5 2 2" xfId="43008"/>
    <cellStyle name="Note 2 2 6" xfId="43009"/>
    <cellStyle name="Note 2 2 6 2" xfId="43010"/>
    <cellStyle name="Note 2 20" xfId="43011"/>
    <cellStyle name="Note 2 21" xfId="43012"/>
    <cellStyle name="Note 2 22" xfId="43013"/>
    <cellStyle name="Note 2 23" xfId="43014"/>
    <cellStyle name="Note 2 24" xfId="43015"/>
    <cellStyle name="Note 2 3" xfId="43016"/>
    <cellStyle name="Note 2 3 10" xfId="43017"/>
    <cellStyle name="Note 2 3 11" xfId="43018"/>
    <cellStyle name="Note 2 3 2" xfId="43019"/>
    <cellStyle name="Note 2 3 2 2" xfId="43020"/>
    <cellStyle name="Note 2 3 2 2 2" xfId="43021"/>
    <cellStyle name="Note 2 3 2 2 2 2" xfId="43022"/>
    <cellStyle name="Note 2 3 2 2 2 2 2" xfId="43023"/>
    <cellStyle name="Note 2 3 2 2 2 2 2 2" xfId="43024"/>
    <cellStyle name="Note 2 3 2 2 2 3" xfId="43025"/>
    <cellStyle name="Note 2 3 2 2 2 3 2" xfId="43026"/>
    <cellStyle name="Note 2 3 2 2 3" xfId="43027"/>
    <cellStyle name="Note 2 3 2 2 3 2" xfId="43028"/>
    <cellStyle name="Note 2 3 2 2 3 2 2" xfId="43029"/>
    <cellStyle name="Note 2 3 2 2 4" xfId="43030"/>
    <cellStyle name="Note 2 3 2 2 4 2" xfId="43031"/>
    <cellStyle name="Note 2 3 2 3" xfId="43032"/>
    <cellStyle name="Note 2 3 2 3 2" xfId="43033"/>
    <cellStyle name="Note 2 3 2 3 2 2" xfId="43034"/>
    <cellStyle name="Note 2 3 2 3 2 2 2" xfId="43035"/>
    <cellStyle name="Note 2 3 2 3 3" xfId="43036"/>
    <cellStyle name="Note 2 3 2 3 3 2" xfId="43037"/>
    <cellStyle name="Note 2 3 2 4" xfId="43038"/>
    <cellStyle name="Note 2 3 2 4 2" xfId="43039"/>
    <cellStyle name="Note 2 3 2 4 2 2" xfId="43040"/>
    <cellStyle name="Note 2 3 2 5" xfId="43041"/>
    <cellStyle name="Note 2 3 2 5 2" xfId="43042"/>
    <cellStyle name="Note 2 3 2 6" xfId="43043"/>
    <cellStyle name="Note 2 3 2 7" xfId="43044"/>
    <cellStyle name="Note 2 3 2 8" xfId="43045"/>
    <cellStyle name="Note 2 3 3" xfId="43046"/>
    <cellStyle name="Note 2 3 3 2" xfId="43047"/>
    <cellStyle name="Note 2 3 3 2 2" xfId="43048"/>
    <cellStyle name="Note 2 3 3 2 2 2" xfId="43049"/>
    <cellStyle name="Note 2 3 3 2 2 2 2" xfId="43050"/>
    <cellStyle name="Note 2 3 3 2 3" xfId="43051"/>
    <cellStyle name="Note 2 3 3 2 3 2" xfId="43052"/>
    <cellStyle name="Note 2 3 3 3" xfId="43053"/>
    <cellStyle name="Note 2 3 3 3 2" xfId="43054"/>
    <cellStyle name="Note 2 3 3 3 2 2" xfId="43055"/>
    <cellStyle name="Note 2 3 3 4" xfId="43056"/>
    <cellStyle name="Note 2 3 3 4 2" xfId="43057"/>
    <cellStyle name="Note 2 3 3 5" xfId="43058"/>
    <cellStyle name="Note 2 3 3 6" xfId="43059"/>
    <cellStyle name="Note 2 3 3 7" xfId="43060"/>
    <cellStyle name="Note 2 3 4" xfId="43061"/>
    <cellStyle name="Note 2 3 4 2" xfId="43062"/>
    <cellStyle name="Note 2 3 4 2 2" xfId="43063"/>
    <cellStyle name="Note 2 3 4 2 2 2" xfId="43064"/>
    <cellStyle name="Note 2 3 4 3" xfId="43065"/>
    <cellStyle name="Note 2 3 4 3 2" xfId="43066"/>
    <cellStyle name="Note 2 3 4 4" xfId="43067"/>
    <cellStyle name="Note 2 3 5" xfId="43068"/>
    <cellStyle name="Note 2 3 5 2" xfId="43069"/>
    <cellStyle name="Note 2 3 5 2 2" xfId="43070"/>
    <cellStyle name="Note 2 3 6" xfId="43071"/>
    <cellStyle name="Note 2 3 6 2" xfId="43072"/>
    <cellStyle name="Note 2 3 7" xfId="43073"/>
    <cellStyle name="Note 2 3 8" xfId="43074"/>
    <cellStyle name="Note 2 3 9" xfId="43075"/>
    <cellStyle name="Note 2 4" xfId="43076"/>
    <cellStyle name="Note 2 4 10" xfId="43077"/>
    <cellStyle name="Note 2 4 11" xfId="43078"/>
    <cellStyle name="Note 2 4 2" xfId="43079"/>
    <cellStyle name="Note 2 4 2 2" xfId="43080"/>
    <cellStyle name="Note 2 4 2 2 2" xfId="43081"/>
    <cellStyle name="Note 2 4 2 2 2 2" xfId="43082"/>
    <cellStyle name="Note 2 4 2 2 2 2 2" xfId="43083"/>
    <cellStyle name="Note 2 4 2 2 2 2 2 2" xfId="43084"/>
    <cellStyle name="Note 2 4 2 2 2 3" xfId="43085"/>
    <cellStyle name="Note 2 4 2 2 2 3 2" xfId="43086"/>
    <cellStyle name="Note 2 4 2 2 3" xfId="43087"/>
    <cellStyle name="Note 2 4 2 2 3 2" xfId="43088"/>
    <cellStyle name="Note 2 4 2 2 3 2 2" xfId="43089"/>
    <cellStyle name="Note 2 4 2 2 4" xfId="43090"/>
    <cellStyle name="Note 2 4 2 2 4 2" xfId="43091"/>
    <cellStyle name="Note 2 4 2 3" xfId="43092"/>
    <cellStyle name="Note 2 4 2 3 2" xfId="43093"/>
    <cellStyle name="Note 2 4 2 3 2 2" xfId="43094"/>
    <cellStyle name="Note 2 4 2 3 2 2 2" xfId="43095"/>
    <cellStyle name="Note 2 4 2 3 3" xfId="43096"/>
    <cellStyle name="Note 2 4 2 3 3 2" xfId="43097"/>
    <cellStyle name="Note 2 4 2 4" xfId="43098"/>
    <cellStyle name="Note 2 4 2 4 2" xfId="43099"/>
    <cellStyle name="Note 2 4 2 4 2 2" xfId="43100"/>
    <cellStyle name="Note 2 4 2 5" xfId="43101"/>
    <cellStyle name="Note 2 4 2 5 2" xfId="43102"/>
    <cellStyle name="Note 2 4 2 6" xfId="43103"/>
    <cellStyle name="Note 2 4 2 7" xfId="43104"/>
    <cellStyle name="Note 2 4 2 8" xfId="43105"/>
    <cellStyle name="Note 2 4 3" xfId="43106"/>
    <cellStyle name="Note 2 4 3 2" xfId="43107"/>
    <cellStyle name="Note 2 4 3 2 2" xfId="43108"/>
    <cellStyle name="Note 2 4 3 2 2 2" xfId="43109"/>
    <cellStyle name="Note 2 4 3 2 2 2 2" xfId="43110"/>
    <cellStyle name="Note 2 4 3 2 3" xfId="43111"/>
    <cellStyle name="Note 2 4 3 2 3 2" xfId="43112"/>
    <cellStyle name="Note 2 4 3 3" xfId="43113"/>
    <cellStyle name="Note 2 4 3 3 2" xfId="43114"/>
    <cellStyle name="Note 2 4 3 3 2 2" xfId="43115"/>
    <cellStyle name="Note 2 4 3 4" xfId="43116"/>
    <cellStyle name="Note 2 4 3 4 2" xfId="43117"/>
    <cellStyle name="Note 2 4 3 5" xfId="43118"/>
    <cellStyle name="Note 2 4 3 6" xfId="43119"/>
    <cellStyle name="Note 2 4 3 7" xfId="43120"/>
    <cellStyle name="Note 2 4 4" xfId="43121"/>
    <cellStyle name="Note 2 4 4 2" xfId="43122"/>
    <cellStyle name="Note 2 4 4 2 2" xfId="43123"/>
    <cellStyle name="Note 2 4 4 2 2 2" xfId="43124"/>
    <cellStyle name="Note 2 4 4 3" xfId="43125"/>
    <cellStyle name="Note 2 4 4 3 2" xfId="43126"/>
    <cellStyle name="Note 2 4 4 4" xfId="43127"/>
    <cellStyle name="Note 2 4 5" xfId="43128"/>
    <cellStyle name="Note 2 4 5 2" xfId="43129"/>
    <cellStyle name="Note 2 4 5 2 2" xfId="43130"/>
    <cellStyle name="Note 2 4 6" xfId="43131"/>
    <cellStyle name="Note 2 4 6 2" xfId="43132"/>
    <cellStyle name="Note 2 4 7" xfId="43133"/>
    <cellStyle name="Note 2 4 8" xfId="43134"/>
    <cellStyle name="Note 2 4 9" xfId="43135"/>
    <cellStyle name="Note 2 5" xfId="43136"/>
    <cellStyle name="Note 2 5 10" xfId="43137"/>
    <cellStyle name="Note 2 5 11" xfId="43138"/>
    <cellStyle name="Note 2 5 2" xfId="43139"/>
    <cellStyle name="Note 2 5 2 2" xfId="43140"/>
    <cellStyle name="Note 2 5 2 2 2" xfId="43141"/>
    <cellStyle name="Note 2 5 2 2 2 2" xfId="43142"/>
    <cellStyle name="Note 2 5 2 2 2 2 2" xfId="43143"/>
    <cellStyle name="Note 2 5 2 2 2 2 2 2" xfId="43144"/>
    <cellStyle name="Note 2 5 2 2 2 3" xfId="43145"/>
    <cellStyle name="Note 2 5 2 2 2 3 2" xfId="43146"/>
    <cellStyle name="Note 2 5 2 2 3" xfId="43147"/>
    <cellStyle name="Note 2 5 2 2 3 2" xfId="43148"/>
    <cellStyle name="Note 2 5 2 2 3 2 2" xfId="43149"/>
    <cellStyle name="Note 2 5 2 2 4" xfId="43150"/>
    <cellStyle name="Note 2 5 2 2 4 2" xfId="43151"/>
    <cellStyle name="Note 2 5 2 3" xfId="43152"/>
    <cellStyle name="Note 2 5 2 3 2" xfId="43153"/>
    <cellStyle name="Note 2 5 2 3 2 2" xfId="43154"/>
    <cellStyle name="Note 2 5 2 3 2 2 2" xfId="43155"/>
    <cellStyle name="Note 2 5 2 3 3" xfId="43156"/>
    <cellStyle name="Note 2 5 2 3 3 2" xfId="43157"/>
    <cellStyle name="Note 2 5 2 4" xfId="43158"/>
    <cellStyle name="Note 2 5 2 4 2" xfId="43159"/>
    <cellStyle name="Note 2 5 2 4 2 2" xfId="43160"/>
    <cellStyle name="Note 2 5 2 5" xfId="43161"/>
    <cellStyle name="Note 2 5 2 5 2" xfId="43162"/>
    <cellStyle name="Note 2 5 2 6" xfId="43163"/>
    <cellStyle name="Note 2 5 2 7" xfId="43164"/>
    <cellStyle name="Note 2 5 2 8" xfId="43165"/>
    <cellStyle name="Note 2 5 3" xfId="43166"/>
    <cellStyle name="Note 2 5 3 2" xfId="43167"/>
    <cellStyle name="Note 2 5 3 2 2" xfId="43168"/>
    <cellStyle name="Note 2 5 3 2 2 2" xfId="43169"/>
    <cellStyle name="Note 2 5 3 2 2 2 2" xfId="43170"/>
    <cellStyle name="Note 2 5 3 2 3" xfId="43171"/>
    <cellStyle name="Note 2 5 3 2 3 2" xfId="43172"/>
    <cellStyle name="Note 2 5 3 3" xfId="43173"/>
    <cellStyle name="Note 2 5 3 3 2" xfId="43174"/>
    <cellStyle name="Note 2 5 3 3 2 2" xfId="43175"/>
    <cellStyle name="Note 2 5 3 4" xfId="43176"/>
    <cellStyle name="Note 2 5 3 4 2" xfId="43177"/>
    <cellStyle name="Note 2 5 3 5" xfId="43178"/>
    <cellStyle name="Note 2 5 3 6" xfId="43179"/>
    <cellStyle name="Note 2 5 3 7" xfId="43180"/>
    <cellStyle name="Note 2 5 4" xfId="43181"/>
    <cellStyle name="Note 2 5 4 2" xfId="43182"/>
    <cellStyle name="Note 2 5 4 2 2" xfId="43183"/>
    <cellStyle name="Note 2 5 4 2 2 2" xfId="43184"/>
    <cellStyle name="Note 2 5 4 3" xfId="43185"/>
    <cellStyle name="Note 2 5 4 3 2" xfId="43186"/>
    <cellStyle name="Note 2 5 4 4" xfId="43187"/>
    <cellStyle name="Note 2 5 5" xfId="43188"/>
    <cellStyle name="Note 2 5 5 2" xfId="43189"/>
    <cellStyle name="Note 2 5 5 2 2" xfId="43190"/>
    <cellStyle name="Note 2 5 6" xfId="43191"/>
    <cellStyle name="Note 2 5 6 2" xfId="43192"/>
    <cellStyle name="Note 2 5 7" xfId="43193"/>
    <cellStyle name="Note 2 5 8" xfId="43194"/>
    <cellStyle name="Note 2 5 9" xfId="43195"/>
    <cellStyle name="Note 2 6" xfId="43196"/>
    <cellStyle name="Note 2 6 2" xfId="43197"/>
    <cellStyle name="Note 2 6 2 2" xfId="43198"/>
    <cellStyle name="Note 2 6 2 2 2" xfId="43199"/>
    <cellStyle name="Note 2 6 2 2 2 2" xfId="43200"/>
    <cellStyle name="Note 2 6 2 2 2 2 2" xfId="43201"/>
    <cellStyle name="Note 2 6 2 2 2 2 2 2" xfId="43202"/>
    <cellStyle name="Note 2 6 2 2 2 3" xfId="43203"/>
    <cellStyle name="Note 2 6 2 2 2 3 2" xfId="43204"/>
    <cellStyle name="Note 2 6 2 2 3" xfId="43205"/>
    <cellStyle name="Note 2 6 2 2 3 2" xfId="43206"/>
    <cellStyle name="Note 2 6 2 2 3 2 2" xfId="43207"/>
    <cellStyle name="Note 2 6 2 2 4" xfId="43208"/>
    <cellStyle name="Note 2 6 2 2 4 2" xfId="43209"/>
    <cellStyle name="Note 2 6 2 3" xfId="43210"/>
    <cellStyle name="Note 2 6 2 3 2" xfId="43211"/>
    <cellStyle name="Note 2 6 2 3 2 2" xfId="43212"/>
    <cellStyle name="Note 2 6 2 3 2 2 2" xfId="43213"/>
    <cellStyle name="Note 2 6 2 3 3" xfId="43214"/>
    <cellStyle name="Note 2 6 2 3 3 2" xfId="43215"/>
    <cellStyle name="Note 2 6 2 4" xfId="43216"/>
    <cellStyle name="Note 2 6 2 4 2" xfId="43217"/>
    <cellStyle name="Note 2 6 2 4 2 2" xfId="43218"/>
    <cellStyle name="Note 2 6 2 5" xfId="43219"/>
    <cellStyle name="Note 2 6 2 5 2" xfId="43220"/>
    <cellStyle name="Note 2 6 3" xfId="43221"/>
    <cellStyle name="Note 2 6 3 2" xfId="43222"/>
    <cellStyle name="Note 2 6 3 2 2" xfId="43223"/>
    <cellStyle name="Note 2 6 3 2 2 2" xfId="43224"/>
    <cellStyle name="Note 2 6 3 2 2 2 2" xfId="43225"/>
    <cellStyle name="Note 2 6 3 2 3" xfId="43226"/>
    <cellStyle name="Note 2 6 3 2 3 2" xfId="43227"/>
    <cellStyle name="Note 2 6 3 3" xfId="43228"/>
    <cellStyle name="Note 2 6 3 3 2" xfId="43229"/>
    <cellStyle name="Note 2 6 3 3 2 2" xfId="43230"/>
    <cellStyle name="Note 2 6 3 4" xfId="43231"/>
    <cellStyle name="Note 2 6 3 4 2" xfId="43232"/>
    <cellStyle name="Note 2 6 4" xfId="43233"/>
    <cellStyle name="Note 2 6 4 2" xfId="43234"/>
    <cellStyle name="Note 2 6 4 2 2" xfId="43235"/>
    <cellStyle name="Note 2 6 4 2 2 2" xfId="43236"/>
    <cellStyle name="Note 2 6 4 3" xfId="43237"/>
    <cellStyle name="Note 2 6 4 3 2" xfId="43238"/>
    <cellStyle name="Note 2 6 5" xfId="43239"/>
    <cellStyle name="Note 2 6 5 2" xfId="43240"/>
    <cellStyle name="Note 2 6 5 2 2" xfId="43241"/>
    <cellStyle name="Note 2 6 6" xfId="43242"/>
    <cellStyle name="Note 2 6 6 2" xfId="43243"/>
    <cellStyle name="Note 2 6 7" xfId="43244"/>
    <cellStyle name="Note 2 7" xfId="43245"/>
    <cellStyle name="Note 2 7 2" xfId="43246"/>
    <cellStyle name="Note 2 7 2 2" xfId="43247"/>
    <cellStyle name="Note 2 7 2 2 2" xfId="43248"/>
    <cellStyle name="Note 2 7 2 2 2 2" xfId="43249"/>
    <cellStyle name="Note 2 7 2 2 2 2 2" xfId="43250"/>
    <cellStyle name="Note 2 7 2 2 2 2 2 2" xfId="43251"/>
    <cellStyle name="Note 2 7 2 2 2 3" xfId="43252"/>
    <cellStyle name="Note 2 7 2 2 2 3 2" xfId="43253"/>
    <cellStyle name="Note 2 7 2 2 3" xfId="43254"/>
    <cellStyle name="Note 2 7 2 2 3 2" xfId="43255"/>
    <cellStyle name="Note 2 7 2 2 3 2 2" xfId="43256"/>
    <cellStyle name="Note 2 7 2 2 4" xfId="43257"/>
    <cellStyle name="Note 2 7 2 2 4 2" xfId="43258"/>
    <cellStyle name="Note 2 7 2 3" xfId="43259"/>
    <cellStyle name="Note 2 7 2 3 2" xfId="43260"/>
    <cellStyle name="Note 2 7 2 3 2 2" xfId="43261"/>
    <cellStyle name="Note 2 7 2 3 2 2 2" xfId="43262"/>
    <cellStyle name="Note 2 7 2 3 3" xfId="43263"/>
    <cellStyle name="Note 2 7 2 3 3 2" xfId="43264"/>
    <cellStyle name="Note 2 7 2 4" xfId="43265"/>
    <cellStyle name="Note 2 7 2 4 2" xfId="43266"/>
    <cellStyle name="Note 2 7 2 4 2 2" xfId="43267"/>
    <cellStyle name="Note 2 7 2 5" xfId="43268"/>
    <cellStyle name="Note 2 7 2 5 2" xfId="43269"/>
    <cellStyle name="Note 2 7 3" xfId="43270"/>
    <cellStyle name="Note 2 7 3 2" xfId="43271"/>
    <cellStyle name="Note 2 7 3 2 2" xfId="43272"/>
    <cellStyle name="Note 2 7 3 2 2 2" xfId="43273"/>
    <cellStyle name="Note 2 7 3 2 2 2 2" xfId="43274"/>
    <cellStyle name="Note 2 7 3 2 3" xfId="43275"/>
    <cellStyle name="Note 2 7 3 2 3 2" xfId="43276"/>
    <cellStyle name="Note 2 7 3 3" xfId="43277"/>
    <cellStyle name="Note 2 7 3 3 2" xfId="43278"/>
    <cellStyle name="Note 2 7 3 3 2 2" xfId="43279"/>
    <cellStyle name="Note 2 7 3 4" xfId="43280"/>
    <cellStyle name="Note 2 7 3 4 2" xfId="43281"/>
    <cellStyle name="Note 2 7 4" xfId="43282"/>
    <cellStyle name="Note 2 7 4 2" xfId="43283"/>
    <cellStyle name="Note 2 7 4 2 2" xfId="43284"/>
    <cellStyle name="Note 2 7 4 2 2 2" xfId="43285"/>
    <cellStyle name="Note 2 7 4 3" xfId="43286"/>
    <cellStyle name="Note 2 7 4 3 2" xfId="43287"/>
    <cellStyle name="Note 2 7 5" xfId="43288"/>
    <cellStyle name="Note 2 7 5 2" xfId="43289"/>
    <cellStyle name="Note 2 7 5 2 2" xfId="43290"/>
    <cellStyle name="Note 2 7 6" xfId="43291"/>
    <cellStyle name="Note 2 7 6 2" xfId="43292"/>
    <cellStyle name="Note 2 7 7" xfId="43293"/>
    <cellStyle name="Note 2 8" xfId="43294"/>
    <cellStyle name="Note 2 8 2" xfId="43295"/>
    <cellStyle name="Note 2 8 2 2" xfId="43296"/>
    <cellStyle name="Note 2 8 2 2 2" xfId="43297"/>
    <cellStyle name="Note 2 8 2 2 2 2" xfId="43298"/>
    <cellStyle name="Note 2 8 2 2 2 2 2" xfId="43299"/>
    <cellStyle name="Note 2 8 2 2 2 2 2 2" xfId="43300"/>
    <cellStyle name="Note 2 8 2 2 2 3" xfId="43301"/>
    <cellStyle name="Note 2 8 2 2 2 3 2" xfId="43302"/>
    <cellStyle name="Note 2 8 2 2 3" xfId="43303"/>
    <cellStyle name="Note 2 8 2 2 3 2" xfId="43304"/>
    <cellStyle name="Note 2 8 2 2 3 2 2" xfId="43305"/>
    <cellStyle name="Note 2 8 2 2 4" xfId="43306"/>
    <cellStyle name="Note 2 8 2 2 4 2" xfId="43307"/>
    <cellStyle name="Note 2 8 2 3" xfId="43308"/>
    <cellStyle name="Note 2 8 2 3 2" xfId="43309"/>
    <cellStyle name="Note 2 8 2 3 2 2" xfId="43310"/>
    <cellStyle name="Note 2 8 2 3 2 2 2" xfId="43311"/>
    <cellStyle name="Note 2 8 2 3 3" xfId="43312"/>
    <cellStyle name="Note 2 8 2 3 3 2" xfId="43313"/>
    <cellStyle name="Note 2 8 2 4" xfId="43314"/>
    <cellStyle name="Note 2 8 2 4 2" xfId="43315"/>
    <cellStyle name="Note 2 8 2 4 2 2" xfId="43316"/>
    <cellStyle name="Note 2 8 2 5" xfId="43317"/>
    <cellStyle name="Note 2 8 2 5 2" xfId="43318"/>
    <cellStyle name="Note 2 8 3" xfId="43319"/>
    <cellStyle name="Note 2 8 3 2" xfId="43320"/>
    <cellStyle name="Note 2 8 3 2 2" xfId="43321"/>
    <cellStyle name="Note 2 8 3 2 2 2" xfId="43322"/>
    <cellStyle name="Note 2 8 3 2 2 2 2" xfId="43323"/>
    <cellStyle name="Note 2 8 3 2 3" xfId="43324"/>
    <cellStyle name="Note 2 8 3 2 3 2" xfId="43325"/>
    <cellStyle name="Note 2 8 3 3" xfId="43326"/>
    <cellStyle name="Note 2 8 3 3 2" xfId="43327"/>
    <cellStyle name="Note 2 8 3 3 2 2" xfId="43328"/>
    <cellStyle name="Note 2 8 3 4" xfId="43329"/>
    <cellStyle name="Note 2 8 3 4 2" xfId="43330"/>
    <cellStyle name="Note 2 8 4" xfId="43331"/>
    <cellStyle name="Note 2 8 4 2" xfId="43332"/>
    <cellStyle name="Note 2 8 4 2 2" xfId="43333"/>
    <cellStyle name="Note 2 8 4 2 2 2" xfId="43334"/>
    <cellStyle name="Note 2 8 4 3" xfId="43335"/>
    <cellStyle name="Note 2 8 4 3 2" xfId="43336"/>
    <cellStyle name="Note 2 8 5" xfId="43337"/>
    <cellStyle name="Note 2 8 5 2" xfId="43338"/>
    <cellStyle name="Note 2 8 5 2 2" xfId="43339"/>
    <cellStyle name="Note 2 8 6" xfId="43340"/>
    <cellStyle name="Note 2 8 6 2" xfId="43341"/>
    <cellStyle name="Note 2 8 7" xfId="43342"/>
    <cellStyle name="Note 2 9" xfId="43343"/>
    <cellStyle name="Note 2 9 2" xfId="43344"/>
    <cellStyle name="Note 2 9 2 2" xfId="43345"/>
    <cellStyle name="Note 2 9 2 2 2" xfId="43346"/>
    <cellStyle name="Note 2 9 2 2 2 2" xfId="43347"/>
    <cellStyle name="Note 2 9 2 2 2 2 2" xfId="43348"/>
    <cellStyle name="Note 2 9 2 2 2 2 2 2" xfId="43349"/>
    <cellStyle name="Note 2 9 2 2 2 3" xfId="43350"/>
    <cellStyle name="Note 2 9 2 2 2 3 2" xfId="43351"/>
    <cellStyle name="Note 2 9 2 2 3" xfId="43352"/>
    <cellStyle name="Note 2 9 2 2 3 2" xfId="43353"/>
    <cellStyle name="Note 2 9 2 2 3 2 2" xfId="43354"/>
    <cellStyle name="Note 2 9 2 2 4" xfId="43355"/>
    <cellStyle name="Note 2 9 2 2 4 2" xfId="43356"/>
    <cellStyle name="Note 2 9 2 3" xfId="43357"/>
    <cellStyle name="Note 2 9 2 3 2" xfId="43358"/>
    <cellStyle name="Note 2 9 2 3 2 2" xfId="43359"/>
    <cellStyle name="Note 2 9 2 3 2 2 2" xfId="43360"/>
    <cellStyle name="Note 2 9 2 3 3" xfId="43361"/>
    <cellStyle name="Note 2 9 2 3 3 2" xfId="43362"/>
    <cellStyle name="Note 2 9 2 4" xfId="43363"/>
    <cellStyle name="Note 2 9 2 4 2" xfId="43364"/>
    <cellStyle name="Note 2 9 2 4 2 2" xfId="43365"/>
    <cellStyle name="Note 2 9 2 5" xfId="43366"/>
    <cellStyle name="Note 2 9 2 5 2" xfId="43367"/>
    <cellStyle name="Note 2 9 3" xfId="43368"/>
    <cellStyle name="Note 2 9 3 2" xfId="43369"/>
    <cellStyle name="Note 2 9 3 2 2" xfId="43370"/>
    <cellStyle name="Note 2 9 3 2 2 2" xfId="43371"/>
    <cellStyle name="Note 2 9 3 2 2 2 2" xfId="43372"/>
    <cellStyle name="Note 2 9 3 2 3" xfId="43373"/>
    <cellStyle name="Note 2 9 3 2 3 2" xfId="43374"/>
    <cellStyle name="Note 2 9 3 3" xfId="43375"/>
    <cellStyle name="Note 2 9 3 3 2" xfId="43376"/>
    <cellStyle name="Note 2 9 3 3 2 2" xfId="43377"/>
    <cellStyle name="Note 2 9 3 4" xfId="43378"/>
    <cellStyle name="Note 2 9 3 4 2" xfId="43379"/>
    <cellStyle name="Note 2 9 4" xfId="43380"/>
    <cellStyle name="Note 2 9 4 2" xfId="43381"/>
    <cellStyle name="Note 2 9 4 2 2" xfId="43382"/>
    <cellStyle name="Note 2 9 4 2 2 2" xfId="43383"/>
    <cellStyle name="Note 2 9 4 3" xfId="43384"/>
    <cellStyle name="Note 2 9 4 3 2" xfId="43385"/>
    <cellStyle name="Note 2 9 5" xfId="43386"/>
    <cellStyle name="Note 2 9 5 2" xfId="43387"/>
    <cellStyle name="Note 2 9 5 2 2" xfId="43388"/>
    <cellStyle name="Note 2 9 6" xfId="43389"/>
    <cellStyle name="Note 2 9 6 2" xfId="43390"/>
    <cellStyle name="Note 2 9 7" xfId="43391"/>
    <cellStyle name="Note 2 9 8" xfId="43392"/>
    <cellStyle name="Note 2 9 9" xfId="43393"/>
    <cellStyle name="Note 20" xfId="43394"/>
    <cellStyle name="Note 20 2" xfId="43395"/>
    <cellStyle name="Note 21" xfId="43396"/>
    <cellStyle name="Note 21 2" xfId="43397"/>
    <cellStyle name="Note 21 2 2" xfId="43398"/>
    <cellStyle name="Note 21 2 2 2" xfId="43399"/>
    <cellStyle name="Note 21 2 2 2 2" xfId="43400"/>
    <cellStyle name="Note 21 2 2 2 2 2" xfId="43401"/>
    <cellStyle name="Note 21 2 2 2 2 2 2" xfId="43402"/>
    <cellStyle name="Note 21 2 2 2 3" xfId="43403"/>
    <cellStyle name="Note 21 2 2 2 3 2" xfId="43404"/>
    <cellStyle name="Note 21 2 2 3" xfId="43405"/>
    <cellStyle name="Note 21 2 2 3 2" xfId="43406"/>
    <cellStyle name="Note 21 2 2 3 2 2" xfId="43407"/>
    <cellStyle name="Note 21 2 2 4" xfId="43408"/>
    <cellStyle name="Note 21 2 2 4 2" xfId="43409"/>
    <cellStyle name="Note 21 2 3" xfId="43410"/>
    <cellStyle name="Note 21 2 3 2" xfId="43411"/>
    <cellStyle name="Note 21 2 3 2 2" xfId="43412"/>
    <cellStyle name="Note 21 2 3 2 2 2" xfId="43413"/>
    <cellStyle name="Note 21 2 3 3" xfId="43414"/>
    <cellStyle name="Note 21 2 3 3 2" xfId="43415"/>
    <cellStyle name="Note 21 2 4" xfId="43416"/>
    <cellStyle name="Note 21 2 4 2" xfId="43417"/>
    <cellStyle name="Note 21 2 4 2 2" xfId="43418"/>
    <cellStyle name="Note 21 2 5" xfId="43419"/>
    <cellStyle name="Note 21 2 5 2" xfId="43420"/>
    <cellStyle name="Note 21 3" xfId="43421"/>
    <cellStyle name="Note 21 3 2" xfId="43422"/>
    <cellStyle name="Note 21 3 2 2" xfId="43423"/>
    <cellStyle name="Note 21 3 2 2 2" xfId="43424"/>
    <cellStyle name="Note 21 3 2 2 2 2" xfId="43425"/>
    <cellStyle name="Note 21 3 2 3" xfId="43426"/>
    <cellStyle name="Note 21 3 2 3 2" xfId="43427"/>
    <cellStyle name="Note 21 3 3" xfId="43428"/>
    <cellStyle name="Note 21 3 3 2" xfId="43429"/>
    <cellStyle name="Note 21 3 3 2 2" xfId="43430"/>
    <cellStyle name="Note 21 3 4" xfId="43431"/>
    <cellStyle name="Note 21 3 4 2" xfId="43432"/>
    <cellStyle name="Note 21 4" xfId="43433"/>
    <cellStyle name="Note 21 4 2" xfId="43434"/>
    <cellStyle name="Note 21 4 2 2" xfId="43435"/>
    <cellStyle name="Note 21 4 2 2 2" xfId="43436"/>
    <cellStyle name="Note 21 4 3" xfId="43437"/>
    <cellStyle name="Note 21 4 3 2" xfId="43438"/>
    <cellStyle name="Note 21 5" xfId="43439"/>
    <cellStyle name="Note 21 5 2" xfId="43440"/>
    <cellStyle name="Note 21 5 2 2" xfId="43441"/>
    <cellStyle name="Note 21 6" xfId="43442"/>
    <cellStyle name="Note 21 6 2" xfId="43443"/>
    <cellStyle name="Note 21 7" xfId="43444"/>
    <cellStyle name="Note 22" xfId="43445"/>
    <cellStyle name="Note 22 10" xfId="43446"/>
    <cellStyle name="Note 22 2" xfId="43447"/>
    <cellStyle name="Note 22 2 2" xfId="43448"/>
    <cellStyle name="Note 22 2 2 2" xfId="43449"/>
    <cellStyle name="Note 22 2 2 2 2" xfId="43450"/>
    <cellStyle name="Note 22 2 2 2 2 2" xfId="43451"/>
    <cellStyle name="Note 22 2 2 2 2 2 2" xfId="43452"/>
    <cellStyle name="Note 22 2 2 2 3" xfId="43453"/>
    <cellStyle name="Note 22 2 2 2 3 2" xfId="43454"/>
    <cellStyle name="Note 22 2 2 3" xfId="43455"/>
    <cellStyle name="Note 22 2 2 3 2" xfId="43456"/>
    <cellStyle name="Note 22 2 2 3 2 2" xfId="43457"/>
    <cellStyle name="Note 22 2 2 4" xfId="43458"/>
    <cellStyle name="Note 22 2 2 4 2" xfId="43459"/>
    <cellStyle name="Note 22 2 3" xfId="43460"/>
    <cellStyle name="Note 22 2 3 2" xfId="43461"/>
    <cellStyle name="Note 22 2 3 2 2" xfId="43462"/>
    <cellStyle name="Note 22 2 3 2 2 2" xfId="43463"/>
    <cellStyle name="Note 22 2 3 3" xfId="43464"/>
    <cellStyle name="Note 22 2 3 3 2" xfId="43465"/>
    <cellStyle name="Note 22 2 4" xfId="43466"/>
    <cellStyle name="Note 22 2 4 2" xfId="43467"/>
    <cellStyle name="Note 22 2 4 2 2" xfId="43468"/>
    <cellStyle name="Note 22 2 5" xfId="43469"/>
    <cellStyle name="Note 22 2 5 2" xfId="43470"/>
    <cellStyle name="Note 22 2 6" xfId="43471"/>
    <cellStyle name="Note 22 2 7" xfId="43472"/>
    <cellStyle name="Note 22 2 8" xfId="43473"/>
    <cellStyle name="Note 22 3" xfId="43474"/>
    <cellStyle name="Note 22 3 2" xfId="43475"/>
    <cellStyle name="Note 22 3 2 2" xfId="43476"/>
    <cellStyle name="Note 22 3 2 2 2" xfId="43477"/>
    <cellStyle name="Note 22 3 2 2 2 2" xfId="43478"/>
    <cellStyle name="Note 22 3 2 3" xfId="43479"/>
    <cellStyle name="Note 22 3 2 3 2" xfId="43480"/>
    <cellStyle name="Note 22 3 3" xfId="43481"/>
    <cellStyle name="Note 22 3 3 2" xfId="43482"/>
    <cellStyle name="Note 22 3 3 2 2" xfId="43483"/>
    <cellStyle name="Note 22 3 4" xfId="43484"/>
    <cellStyle name="Note 22 3 4 2" xfId="43485"/>
    <cellStyle name="Note 22 3 5" xfId="43486"/>
    <cellStyle name="Note 22 3 6" xfId="43487"/>
    <cellStyle name="Note 22 3 7" xfId="43488"/>
    <cellStyle name="Note 22 4" xfId="43489"/>
    <cellStyle name="Note 22 4 2" xfId="43490"/>
    <cellStyle name="Note 22 4 2 2" xfId="43491"/>
    <cellStyle name="Note 22 4 2 2 2" xfId="43492"/>
    <cellStyle name="Note 22 4 3" xfId="43493"/>
    <cellStyle name="Note 22 4 3 2" xfId="43494"/>
    <cellStyle name="Note 22 4 4" xfId="43495"/>
    <cellStyle name="Note 22 5" xfId="43496"/>
    <cellStyle name="Note 22 5 2" xfId="43497"/>
    <cellStyle name="Note 22 5 2 2" xfId="43498"/>
    <cellStyle name="Note 22 6" xfId="43499"/>
    <cellStyle name="Note 22 6 2" xfId="43500"/>
    <cellStyle name="Note 22 7" xfId="43501"/>
    <cellStyle name="Note 22 8" xfId="43502"/>
    <cellStyle name="Note 22 9" xfId="43503"/>
    <cellStyle name="Note 23" xfId="43504"/>
    <cellStyle name="Note 23 2" xfId="43505"/>
    <cellStyle name="Note 23 2 2" xfId="43506"/>
    <cellStyle name="Note 23 2 2 2" xfId="43507"/>
    <cellStyle name="Note 23 2 2 2 2" xfId="43508"/>
    <cellStyle name="Note 23 2 2 2 2 2" xfId="43509"/>
    <cellStyle name="Note 23 2 2 2 2 2 2" xfId="43510"/>
    <cellStyle name="Note 23 2 2 2 3" xfId="43511"/>
    <cellStyle name="Note 23 2 2 2 3 2" xfId="43512"/>
    <cellStyle name="Note 23 2 2 3" xfId="43513"/>
    <cellStyle name="Note 23 2 2 3 2" xfId="43514"/>
    <cellStyle name="Note 23 2 2 3 2 2" xfId="43515"/>
    <cellStyle name="Note 23 2 2 4" xfId="43516"/>
    <cellStyle name="Note 23 2 2 4 2" xfId="43517"/>
    <cellStyle name="Note 23 2 3" xfId="43518"/>
    <cellStyle name="Note 23 2 3 2" xfId="43519"/>
    <cellStyle name="Note 23 2 3 2 2" xfId="43520"/>
    <cellStyle name="Note 23 2 3 2 2 2" xfId="43521"/>
    <cellStyle name="Note 23 2 3 3" xfId="43522"/>
    <cellStyle name="Note 23 2 3 3 2" xfId="43523"/>
    <cellStyle name="Note 23 2 4" xfId="43524"/>
    <cellStyle name="Note 23 2 4 2" xfId="43525"/>
    <cellStyle name="Note 23 2 4 2 2" xfId="43526"/>
    <cellStyle name="Note 23 2 5" xfId="43527"/>
    <cellStyle name="Note 23 2 5 2" xfId="43528"/>
    <cellStyle name="Note 23 3" xfId="43529"/>
    <cellStyle name="Note 23 3 2" xfId="43530"/>
    <cellStyle name="Note 23 3 2 2" xfId="43531"/>
    <cellStyle name="Note 23 3 2 2 2" xfId="43532"/>
    <cellStyle name="Note 23 3 2 2 2 2" xfId="43533"/>
    <cellStyle name="Note 23 3 2 3" xfId="43534"/>
    <cellStyle name="Note 23 3 2 3 2" xfId="43535"/>
    <cellStyle name="Note 23 3 3" xfId="43536"/>
    <cellStyle name="Note 23 3 3 2" xfId="43537"/>
    <cellStyle name="Note 23 3 3 2 2" xfId="43538"/>
    <cellStyle name="Note 23 3 4" xfId="43539"/>
    <cellStyle name="Note 23 3 4 2" xfId="43540"/>
    <cellStyle name="Note 23 4" xfId="43541"/>
    <cellStyle name="Note 23 4 2" xfId="43542"/>
    <cellStyle name="Note 23 4 2 2" xfId="43543"/>
    <cellStyle name="Note 23 4 2 2 2" xfId="43544"/>
    <cellStyle name="Note 23 4 3" xfId="43545"/>
    <cellStyle name="Note 23 4 3 2" xfId="43546"/>
    <cellStyle name="Note 23 5" xfId="43547"/>
    <cellStyle name="Note 23 5 2" xfId="43548"/>
    <cellStyle name="Note 23 5 2 2" xfId="43549"/>
    <cellStyle name="Note 23 6" xfId="43550"/>
    <cellStyle name="Note 23 6 2" xfId="43551"/>
    <cellStyle name="Note 23 7" xfId="43552"/>
    <cellStyle name="Note 24" xfId="43553"/>
    <cellStyle name="Note 24 2" xfId="43554"/>
    <cellStyle name="Note 25" xfId="43555"/>
    <cellStyle name="Note 25 2" xfId="43556"/>
    <cellStyle name="Note 25 2 2" xfId="43557"/>
    <cellStyle name="Note 25 2 2 2" xfId="43558"/>
    <cellStyle name="Note 25 2 2 2 2" xfId="43559"/>
    <cellStyle name="Note 25 2 2 2 2 2" xfId="43560"/>
    <cellStyle name="Note 25 2 2 3" xfId="43561"/>
    <cellStyle name="Note 25 2 2 3 2" xfId="43562"/>
    <cellStyle name="Note 25 2 3" xfId="43563"/>
    <cellStyle name="Note 25 2 3 2" xfId="43564"/>
    <cellStyle name="Note 25 2 3 2 2" xfId="43565"/>
    <cellStyle name="Note 25 2 4" xfId="43566"/>
    <cellStyle name="Note 25 2 4 2" xfId="43567"/>
    <cellStyle name="Note 25 3" xfId="43568"/>
    <cellStyle name="Note 25 3 2" xfId="43569"/>
    <cellStyle name="Note 25 3 2 2" xfId="43570"/>
    <cellStyle name="Note 25 3 2 2 2" xfId="43571"/>
    <cellStyle name="Note 25 3 3" xfId="43572"/>
    <cellStyle name="Note 25 3 3 2" xfId="43573"/>
    <cellStyle name="Note 25 4" xfId="43574"/>
    <cellStyle name="Note 25 4 2" xfId="43575"/>
    <cellStyle name="Note 25 4 2 2" xfId="43576"/>
    <cellStyle name="Note 25 5" xfId="43577"/>
    <cellStyle name="Note 25 5 2" xfId="43578"/>
    <cellStyle name="Note 25 6" xfId="43579"/>
    <cellStyle name="Note 26" xfId="43580"/>
    <cellStyle name="Note 26 2" xfId="43581"/>
    <cellStyle name="Note 26 2 2" xfId="43582"/>
    <cellStyle name="Note 26 2 2 2" xfId="43583"/>
    <cellStyle name="Note 26 2 2 2 2" xfId="43584"/>
    <cellStyle name="Note 26 2 2 2 2 2" xfId="43585"/>
    <cellStyle name="Note 26 2 2 3" xfId="43586"/>
    <cellStyle name="Note 26 2 2 3 2" xfId="43587"/>
    <cellStyle name="Note 26 2 3" xfId="43588"/>
    <cellStyle name="Note 26 2 3 2" xfId="43589"/>
    <cellStyle name="Note 26 2 3 2 2" xfId="43590"/>
    <cellStyle name="Note 26 2 4" xfId="43591"/>
    <cellStyle name="Note 26 2 4 2" xfId="43592"/>
    <cellStyle name="Note 26 3" xfId="43593"/>
    <cellStyle name="Note 26 3 2" xfId="43594"/>
    <cellStyle name="Note 26 3 2 2" xfId="43595"/>
    <cellStyle name="Note 26 3 2 2 2" xfId="43596"/>
    <cellStyle name="Note 26 3 3" xfId="43597"/>
    <cellStyle name="Note 26 3 3 2" xfId="43598"/>
    <cellStyle name="Note 26 4" xfId="43599"/>
    <cellStyle name="Note 26 4 2" xfId="43600"/>
    <cellStyle name="Note 26 4 2 2" xfId="43601"/>
    <cellStyle name="Note 26 5" xfId="43602"/>
    <cellStyle name="Note 26 5 2" xfId="43603"/>
    <cellStyle name="Note 26 6" xfId="43604"/>
    <cellStyle name="Note 27" xfId="43605"/>
    <cellStyle name="Note 27 2" xfId="43606"/>
    <cellStyle name="Note 27 2 2" xfId="43607"/>
    <cellStyle name="Note 27 2 2 2" xfId="43608"/>
    <cellStyle name="Note 27 2 2 2 2" xfId="43609"/>
    <cellStyle name="Note 27 2 2 2 2 2" xfId="43610"/>
    <cellStyle name="Note 27 2 2 3" xfId="43611"/>
    <cellStyle name="Note 27 2 2 3 2" xfId="43612"/>
    <cellStyle name="Note 27 2 3" xfId="43613"/>
    <cellStyle name="Note 27 2 3 2" xfId="43614"/>
    <cellStyle name="Note 27 2 3 2 2" xfId="43615"/>
    <cellStyle name="Note 27 2 4" xfId="43616"/>
    <cellStyle name="Note 27 2 4 2" xfId="43617"/>
    <cellStyle name="Note 27 3" xfId="43618"/>
    <cellStyle name="Note 27 3 2" xfId="43619"/>
    <cellStyle name="Note 27 3 2 2" xfId="43620"/>
    <cellStyle name="Note 27 3 2 2 2" xfId="43621"/>
    <cellStyle name="Note 27 3 3" xfId="43622"/>
    <cellStyle name="Note 27 3 3 2" xfId="43623"/>
    <cellStyle name="Note 27 4" xfId="43624"/>
    <cellStyle name="Note 27 4 2" xfId="43625"/>
    <cellStyle name="Note 27 4 2 2" xfId="43626"/>
    <cellStyle name="Note 27 5" xfId="43627"/>
    <cellStyle name="Note 27 5 2" xfId="43628"/>
    <cellStyle name="Note 27 6" xfId="43629"/>
    <cellStyle name="Note 28" xfId="43630"/>
    <cellStyle name="Note 28 2" xfId="43631"/>
    <cellStyle name="Note 28 2 2" xfId="43632"/>
    <cellStyle name="Note 28 2 2 2" xfId="43633"/>
    <cellStyle name="Note 28 3" xfId="43634"/>
    <cellStyle name="Note 28 3 2" xfId="43635"/>
    <cellStyle name="Note 28 4" xfId="43636"/>
    <cellStyle name="Note 29" xfId="43637"/>
    <cellStyle name="Note 29 2" xfId="43638"/>
    <cellStyle name="Note 29 2 2" xfId="43639"/>
    <cellStyle name="Note 29 2 2 2" xfId="43640"/>
    <cellStyle name="Note 29 3" xfId="43641"/>
    <cellStyle name="Note 29 3 2" xfId="43642"/>
    <cellStyle name="Note 29 4" xfId="43643"/>
    <cellStyle name="Note 3" xfId="43644"/>
    <cellStyle name="Note 3 10" xfId="43645"/>
    <cellStyle name="Note 3 10 2" xfId="43646"/>
    <cellStyle name="Note 3 10 2 2" xfId="43647"/>
    <cellStyle name="Note 3 10 2 2 2" xfId="43648"/>
    <cellStyle name="Note 3 10 2 2 2 2" xfId="43649"/>
    <cellStyle name="Note 3 10 2 2 2 2 2" xfId="43650"/>
    <cellStyle name="Note 3 10 2 2 2 2 2 2" xfId="43651"/>
    <cellStyle name="Note 3 10 2 2 2 3" xfId="43652"/>
    <cellStyle name="Note 3 10 2 2 2 3 2" xfId="43653"/>
    <cellStyle name="Note 3 10 2 2 3" xfId="43654"/>
    <cellStyle name="Note 3 10 2 2 3 2" xfId="43655"/>
    <cellStyle name="Note 3 10 2 2 3 2 2" xfId="43656"/>
    <cellStyle name="Note 3 10 2 2 4" xfId="43657"/>
    <cellStyle name="Note 3 10 2 2 4 2" xfId="43658"/>
    <cellStyle name="Note 3 10 2 3" xfId="43659"/>
    <cellStyle name="Note 3 10 2 3 2" xfId="43660"/>
    <cellStyle name="Note 3 10 2 3 2 2" xfId="43661"/>
    <cellStyle name="Note 3 10 2 3 2 2 2" xfId="43662"/>
    <cellStyle name="Note 3 10 2 3 3" xfId="43663"/>
    <cellStyle name="Note 3 10 2 3 3 2" xfId="43664"/>
    <cellStyle name="Note 3 10 2 4" xfId="43665"/>
    <cellStyle name="Note 3 10 2 4 2" xfId="43666"/>
    <cellStyle name="Note 3 10 2 4 2 2" xfId="43667"/>
    <cellStyle name="Note 3 10 2 5" xfId="43668"/>
    <cellStyle name="Note 3 10 2 5 2" xfId="43669"/>
    <cellStyle name="Note 3 10 3" xfId="43670"/>
    <cellStyle name="Note 3 10 3 2" xfId="43671"/>
    <cellStyle name="Note 3 10 3 2 2" xfId="43672"/>
    <cellStyle name="Note 3 10 3 2 2 2" xfId="43673"/>
    <cellStyle name="Note 3 10 3 2 2 2 2" xfId="43674"/>
    <cellStyle name="Note 3 10 3 2 3" xfId="43675"/>
    <cellStyle name="Note 3 10 3 2 3 2" xfId="43676"/>
    <cellStyle name="Note 3 10 3 3" xfId="43677"/>
    <cellStyle name="Note 3 10 3 3 2" xfId="43678"/>
    <cellStyle name="Note 3 10 3 3 2 2" xfId="43679"/>
    <cellStyle name="Note 3 10 3 4" xfId="43680"/>
    <cellStyle name="Note 3 10 3 4 2" xfId="43681"/>
    <cellStyle name="Note 3 10 4" xfId="43682"/>
    <cellStyle name="Note 3 10 4 2" xfId="43683"/>
    <cellStyle name="Note 3 10 4 2 2" xfId="43684"/>
    <cellStyle name="Note 3 10 4 2 2 2" xfId="43685"/>
    <cellStyle name="Note 3 10 4 3" xfId="43686"/>
    <cellStyle name="Note 3 10 4 3 2" xfId="43687"/>
    <cellStyle name="Note 3 10 5" xfId="43688"/>
    <cellStyle name="Note 3 10 5 2" xfId="43689"/>
    <cellStyle name="Note 3 10 5 2 2" xfId="43690"/>
    <cellStyle name="Note 3 10 6" xfId="43691"/>
    <cellStyle name="Note 3 10 6 2" xfId="43692"/>
    <cellStyle name="Note 3 10 7" xfId="43693"/>
    <cellStyle name="Note 3 10 8" xfId="43694"/>
    <cellStyle name="Note 3 10 9" xfId="43695"/>
    <cellStyle name="Note 3 11" xfId="43696"/>
    <cellStyle name="Note 3 11 2" xfId="43697"/>
    <cellStyle name="Note 3 11 2 2" xfId="43698"/>
    <cellStyle name="Note 3 11 2 2 2" xfId="43699"/>
    <cellStyle name="Note 3 11 2 2 2 2" xfId="43700"/>
    <cellStyle name="Note 3 11 2 2 2 2 2" xfId="43701"/>
    <cellStyle name="Note 3 11 2 2 2 2 2 2" xfId="43702"/>
    <cellStyle name="Note 3 11 2 2 2 3" xfId="43703"/>
    <cellStyle name="Note 3 11 2 2 2 3 2" xfId="43704"/>
    <cellStyle name="Note 3 11 2 2 3" xfId="43705"/>
    <cellStyle name="Note 3 11 2 2 3 2" xfId="43706"/>
    <cellStyle name="Note 3 11 2 2 3 2 2" xfId="43707"/>
    <cellStyle name="Note 3 11 2 2 4" xfId="43708"/>
    <cellStyle name="Note 3 11 2 2 4 2" xfId="43709"/>
    <cellStyle name="Note 3 11 2 3" xfId="43710"/>
    <cellStyle name="Note 3 11 2 3 2" xfId="43711"/>
    <cellStyle name="Note 3 11 2 3 2 2" xfId="43712"/>
    <cellStyle name="Note 3 11 2 3 2 2 2" xfId="43713"/>
    <cellStyle name="Note 3 11 2 3 3" xfId="43714"/>
    <cellStyle name="Note 3 11 2 3 3 2" xfId="43715"/>
    <cellStyle name="Note 3 11 2 4" xfId="43716"/>
    <cellStyle name="Note 3 11 2 4 2" xfId="43717"/>
    <cellStyle name="Note 3 11 2 4 2 2" xfId="43718"/>
    <cellStyle name="Note 3 11 2 5" xfId="43719"/>
    <cellStyle name="Note 3 11 2 5 2" xfId="43720"/>
    <cellStyle name="Note 3 11 3" xfId="43721"/>
    <cellStyle name="Note 3 11 3 2" xfId="43722"/>
    <cellStyle name="Note 3 11 3 2 2" xfId="43723"/>
    <cellStyle name="Note 3 11 3 2 2 2" xfId="43724"/>
    <cellStyle name="Note 3 11 3 2 2 2 2" xfId="43725"/>
    <cellStyle name="Note 3 11 3 2 3" xfId="43726"/>
    <cellStyle name="Note 3 11 3 2 3 2" xfId="43727"/>
    <cellStyle name="Note 3 11 3 3" xfId="43728"/>
    <cellStyle name="Note 3 11 3 3 2" xfId="43729"/>
    <cellStyle name="Note 3 11 3 3 2 2" xfId="43730"/>
    <cellStyle name="Note 3 11 3 4" xfId="43731"/>
    <cellStyle name="Note 3 11 3 4 2" xfId="43732"/>
    <cellStyle name="Note 3 11 4" xfId="43733"/>
    <cellStyle name="Note 3 11 4 2" xfId="43734"/>
    <cellStyle name="Note 3 11 4 2 2" xfId="43735"/>
    <cellStyle name="Note 3 11 4 2 2 2" xfId="43736"/>
    <cellStyle name="Note 3 11 4 3" xfId="43737"/>
    <cellStyle name="Note 3 11 4 3 2" xfId="43738"/>
    <cellStyle name="Note 3 11 5" xfId="43739"/>
    <cellStyle name="Note 3 11 5 2" xfId="43740"/>
    <cellStyle name="Note 3 11 5 2 2" xfId="43741"/>
    <cellStyle name="Note 3 11 6" xfId="43742"/>
    <cellStyle name="Note 3 11 6 2" xfId="43743"/>
    <cellStyle name="Note 3 11 7" xfId="43744"/>
    <cellStyle name="Note 3 12" xfId="43745"/>
    <cellStyle name="Note 3 12 2" xfId="43746"/>
    <cellStyle name="Note 3 12 2 2" xfId="43747"/>
    <cellStyle name="Note 3 12 2 2 2" xfId="43748"/>
    <cellStyle name="Note 3 12 2 2 2 2" xfId="43749"/>
    <cellStyle name="Note 3 12 2 2 2 2 2" xfId="43750"/>
    <cellStyle name="Note 3 12 2 2 2 2 2 2" xfId="43751"/>
    <cellStyle name="Note 3 12 2 2 2 3" xfId="43752"/>
    <cellStyle name="Note 3 12 2 2 2 3 2" xfId="43753"/>
    <cellStyle name="Note 3 12 2 2 3" xfId="43754"/>
    <cellStyle name="Note 3 12 2 2 3 2" xfId="43755"/>
    <cellStyle name="Note 3 12 2 2 3 2 2" xfId="43756"/>
    <cellStyle name="Note 3 12 2 2 4" xfId="43757"/>
    <cellStyle name="Note 3 12 2 2 4 2" xfId="43758"/>
    <cellStyle name="Note 3 12 2 3" xfId="43759"/>
    <cellStyle name="Note 3 12 2 3 2" xfId="43760"/>
    <cellStyle name="Note 3 12 2 3 2 2" xfId="43761"/>
    <cellStyle name="Note 3 12 2 3 2 2 2" xfId="43762"/>
    <cellStyle name="Note 3 12 2 3 3" xfId="43763"/>
    <cellStyle name="Note 3 12 2 3 3 2" xfId="43764"/>
    <cellStyle name="Note 3 12 2 4" xfId="43765"/>
    <cellStyle name="Note 3 12 2 4 2" xfId="43766"/>
    <cellStyle name="Note 3 12 2 4 2 2" xfId="43767"/>
    <cellStyle name="Note 3 12 2 5" xfId="43768"/>
    <cellStyle name="Note 3 12 2 5 2" xfId="43769"/>
    <cellStyle name="Note 3 12 3" xfId="43770"/>
    <cellStyle name="Note 3 12 3 2" xfId="43771"/>
    <cellStyle name="Note 3 12 3 2 2" xfId="43772"/>
    <cellStyle name="Note 3 12 3 2 2 2" xfId="43773"/>
    <cellStyle name="Note 3 12 3 2 2 2 2" xfId="43774"/>
    <cellStyle name="Note 3 12 3 2 3" xfId="43775"/>
    <cellStyle name="Note 3 12 3 2 3 2" xfId="43776"/>
    <cellStyle name="Note 3 12 3 3" xfId="43777"/>
    <cellStyle name="Note 3 12 3 3 2" xfId="43778"/>
    <cellStyle name="Note 3 12 3 3 2 2" xfId="43779"/>
    <cellStyle name="Note 3 12 3 4" xfId="43780"/>
    <cellStyle name="Note 3 12 3 4 2" xfId="43781"/>
    <cellStyle name="Note 3 12 4" xfId="43782"/>
    <cellStyle name="Note 3 12 4 2" xfId="43783"/>
    <cellStyle name="Note 3 12 4 2 2" xfId="43784"/>
    <cellStyle name="Note 3 12 4 2 2 2" xfId="43785"/>
    <cellStyle name="Note 3 12 4 3" xfId="43786"/>
    <cellStyle name="Note 3 12 4 3 2" xfId="43787"/>
    <cellStyle name="Note 3 12 5" xfId="43788"/>
    <cellStyle name="Note 3 12 5 2" xfId="43789"/>
    <cellStyle name="Note 3 12 5 2 2" xfId="43790"/>
    <cellStyle name="Note 3 12 6" xfId="43791"/>
    <cellStyle name="Note 3 12 6 2" xfId="43792"/>
    <cellStyle name="Note 3 13" xfId="43793"/>
    <cellStyle name="Note 3 13 2" xfId="43794"/>
    <cellStyle name="Note 3 13 2 2" xfId="43795"/>
    <cellStyle name="Note 3 13 2 2 2" xfId="43796"/>
    <cellStyle name="Note 3 13 2 2 2 2" xfId="43797"/>
    <cellStyle name="Note 3 13 2 2 2 2 2" xfId="43798"/>
    <cellStyle name="Note 3 13 2 2 2 2 2 2" xfId="43799"/>
    <cellStyle name="Note 3 13 2 2 2 3" xfId="43800"/>
    <cellStyle name="Note 3 13 2 2 2 3 2" xfId="43801"/>
    <cellStyle name="Note 3 13 2 2 3" xfId="43802"/>
    <cellStyle name="Note 3 13 2 2 3 2" xfId="43803"/>
    <cellStyle name="Note 3 13 2 2 3 2 2" xfId="43804"/>
    <cellStyle name="Note 3 13 2 2 4" xfId="43805"/>
    <cellStyle name="Note 3 13 2 2 4 2" xfId="43806"/>
    <cellStyle name="Note 3 13 2 3" xfId="43807"/>
    <cellStyle name="Note 3 13 2 3 2" xfId="43808"/>
    <cellStyle name="Note 3 13 2 3 2 2" xfId="43809"/>
    <cellStyle name="Note 3 13 2 3 2 2 2" xfId="43810"/>
    <cellStyle name="Note 3 13 2 3 3" xfId="43811"/>
    <cellStyle name="Note 3 13 2 3 3 2" xfId="43812"/>
    <cellStyle name="Note 3 13 2 4" xfId="43813"/>
    <cellStyle name="Note 3 13 2 4 2" xfId="43814"/>
    <cellStyle name="Note 3 13 2 4 2 2" xfId="43815"/>
    <cellStyle name="Note 3 13 2 5" xfId="43816"/>
    <cellStyle name="Note 3 13 2 5 2" xfId="43817"/>
    <cellStyle name="Note 3 13 3" xfId="43818"/>
    <cellStyle name="Note 3 13 3 2" xfId="43819"/>
    <cellStyle name="Note 3 13 3 2 2" xfId="43820"/>
    <cellStyle name="Note 3 13 3 2 2 2" xfId="43821"/>
    <cellStyle name="Note 3 13 3 2 2 2 2" xfId="43822"/>
    <cellStyle name="Note 3 13 3 2 3" xfId="43823"/>
    <cellStyle name="Note 3 13 3 2 3 2" xfId="43824"/>
    <cellStyle name="Note 3 13 3 3" xfId="43825"/>
    <cellStyle name="Note 3 13 3 3 2" xfId="43826"/>
    <cellStyle name="Note 3 13 3 3 2 2" xfId="43827"/>
    <cellStyle name="Note 3 13 3 4" xfId="43828"/>
    <cellStyle name="Note 3 13 3 4 2" xfId="43829"/>
    <cellStyle name="Note 3 13 4" xfId="43830"/>
    <cellStyle name="Note 3 13 4 2" xfId="43831"/>
    <cellStyle name="Note 3 13 4 2 2" xfId="43832"/>
    <cellStyle name="Note 3 13 4 2 2 2" xfId="43833"/>
    <cellStyle name="Note 3 13 4 3" xfId="43834"/>
    <cellStyle name="Note 3 13 4 3 2" xfId="43835"/>
    <cellStyle name="Note 3 13 5" xfId="43836"/>
    <cellStyle name="Note 3 13 5 2" xfId="43837"/>
    <cellStyle name="Note 3 13 5 2 2" xfId="43838"/>
    <cellStyle name="Note 3 13 6" xfId="43839"/>
    <cellStyle name="Note 3 13 6 2" xfId="43840"/>
    <cellStyle name="Note 3 14" xfId="43841"/>
    <cellStyle name="Note 3 14 2" xfId="43842"/>
    <cellStyle name="Note 3 14 2 2" xfId="43843"/>
    <cellStyle name="Note 3 14 2 2 2" xfId="43844"/>
    <cellStyle name="Note 3 14 2 2 2 2" xfId="43845"/>
    <cellStyle name="Note 3 14 2 2 2 2 2" xfId="43846"/>
    <cellStyle name="Note 3 14 2 2 3" xfId="43847"/>
    <cellStyle name="Note 3 14 2 2 3 2" xfId="43848"/>
    <cellStyle name="Note 3 14 2 3" xfId="43849"/>
    <cellStyle name="Note 3 14 2 3 2" xfId="43850"/>
    <cellStyle name="Note 3 14 2 3 2 2" xfId="43851"/>
    <cellStyle name="Note 3 14 2 4" xfId="43852"/>
    <cellStyle name="Note 3 14 2 4 2" xfId="43853"/>
    <cellStyle name="Note 3 14 3" xfId="43854"/>
    <cellStyle name="Note 3 14 3 2" xfId="43855"/>
    <cellStyle name="Note 3 14 3 2 2" xfId="43856"/>
    <cellStyle name="Note 3 14 3 2 2 2" xfId="43857"/>
    <cellStyle name="Note 3 14 3 3" xfId="43858"/>
    <cellStyle name="Note 3 14 3 3 2" xfId="43859"/>
    <cellStyle name="Note 3 14 4" xfId="43860"/>
    <cellStyle name="Note 3 14 4 2" xfId="43861"/>
    <cellStyle name="Note 3 14 4 2 2" xfId="43862"/>
    <cellStyle name="Note 3 14 5" xfId="43863"/>
    <cellStyle name="Note 3 14 5 2" xfId="43864"/>
    <cellStyle name="Note 3 15" xfId="43865"/>
    <cellStyle name="Note 3 15 2" xfId="43866"/>
    <cellStyle name="Note 3 15 2 2" xfId="43867"/>
    <cellStyle name="Note 3 15 2 2 2" xfId="43868"/>
    <cellStyle name="Note 3 15 2 2 2 2" xfId="43869"/>
    <cellStyle name="Note 3 15 2 3" xfId="43870"/>
    <cellStyle name="Note 3 15 2 3 2" xfId="43871"/>
    <cellStyle name="Note 3 15 3" xfId="43872"/>
    <cellStyle name="Note 3 15 3 2" xfId="43873"/>
    <cellStyle name="Note 3 15 3 2 2" xfId="43874"/>
    <cellStyle name="Note 3 15 4" xfId="43875"/>
    <cellStyle name="Note 3 15 4 2" xfId="43876"/>
    <cellStyle name="Note 3 16" xfId="43877"/>
    <cellStyle name="Note 3 16 2" xfId="43878"/>
    <cellStyle name="Note 3 16 2 2" xfId="43879"/>
    <cellStyle name="Note 3 16 2 2 2" xfId="43880"/>
    <cellStyle name="Note 3 16 3" xfId="43881"/>
    <cellStyle name="Note 3 16 3 2" xfId="43882"/>
    <cellStyle name="Note 3 17" xfId="43883"/>
    <cellStyle name="Note 3 17 2" xfId="43884"/>
    <cellStyle name="Note 3 17 2 2" xfId="43885"/>
    <cellStyle name="Note 3 18" xfId="43886"/>
    <cellStyle name="Note 3 19" xfId="43887"/>
    <cellStyle name="Note 3 19 2" xfId="43888"/>
    <cellStyle name="Note 3 2" xfId="43889"/>
    <cellStyle name="Note 3 2 10" xfId="43890"/>
    <cellStyle name="Note 3 2 11" xfId="43891"/>
    <cellStyle name="Note 3 2 2" xfId="43892"/>
    <cellStyle name="Note 3 2 2 2" xfId="43893"/>
    <cellStyle name="Note 3 2 2 2 2" xfId="43894"/>
    <cellStyle name="Note 3 2 2 2 2 2" xfId="43895"/>
    <cellStyle name="Note 3 2 2 2 2 2 2" xfId="43896"/>
    <cellStyle name="Note 3 2 2 2 2 2 2 2" xfId="43897"/>
    <cellStyle name="Note 3 2 2 2 2 3" xfId="43898"/>
    <cellStyle name="Note 3 2 2 2 2 3 2" xfId="43899"/>
    <cellStyle name="Note 3 2 2 2 3" xfId="43900"/>
    <cellStyle name="Note 3 2 2 2 3 2" xfId="43901"/>
    <cellStyle name="Note 3 2 2 2 3 2 2" xfId="43902"/>
    <cellStyle name="Note 3 2 2 2 4" xfId="43903"/>
    <cellStyle name="Note 3 2 2 2 4 2" xfId="43904"/>
    <cellStyle name="Note 3 2 2 3" xfId="43905"/>
    <cellStyle name="Note 3 2 2 3 2" xfId="43906"/>
    <cellStyle name="Note 3 2 2 3 2 2" xfId="43907"/>
    <cellStyle name="Note 3 2 2 3 2 2 2" xfId="43908"/>
    <cellStyle name="Note 3 2 2 3 3" xfId="43909"/>
    <cellStyle name="Note 3 2 2 3 3 2" xfId="43910"/>
    <cellStyle name="Note 3 2 2 4" xfId="43911"/>
    <cellStyle name="Note 3 2 2 4 2" xfId="43912"/>
    <cellStyle name="Note 3 2 2 4 2 2" xfId="43913"/>
    <cellStyle name="Note 3 2 2 5" xfId="43914"/>
    <cellStyle name="Note 3 2 2 5 2" xfId="43915"/>
    <cellStyle name="Note 3 2 2 6" xfId="43916"/>
    <cellStyle name="Note 3 2 2 7" xfId="43917"/>
    <cellStyle name="Note 3 2 2 8" xfId="43918"/>
    <cellStyle name="Note 3 2 3" xfId="43919"/>
    <cellStyle name="Note 3 2 3 2" xfId="43920"/>
    <cellStyle name="Note 3 2 3 2 2" xfId="43921"/>
    <cellStyle name="Note 3 2 3 2 2 2" xfId="43922"/>
    <cellStyle name="Note 3 2 3 2 2 2 2" xfId="43923"/>
    <cellStyle name="Note 3 2 3 2 3" xfId="43924"/>
    <cellStyle name="Note 3 2 3 2 3 2" xfId="43925"/>
    <cellStyle name="Note 3 2 3 3" xfId="43926"/>
    <cellStyle name="Note 3 2 3 3 2" xfId="43927"/>
    <cellStyle name="Note 3 2 3 3 2 2" xfId="43928"/>
    <cellStyle name="Note 3 2 3 4" xfId="43929"/>
    <cellStyle name="Note 3 2 3 4 2" xfId="43930"/>
    <cellStyle name="Note 3 2 3 5" xfId="43931"/>
    <cellStyle name="Note 3 2 3 6" xfId="43932"/>
    <cellStyle name="Note 3 2 3 7" xfId="43933"/>
    <cellStyle name="Note 3 2 4" xfId="43934"/>
    <cellStyle name="Note 3 2 4 2" xfId="43935"/>
    <cellStyle name="Note 3 2 4 2 2" xfId="43936"/>
    <cellStyle name="Note 3 2 4 2 2 2" xfId="43937"/>
    <cellStyle name="Note 3 2 4 3" xfId="43938"/>
    <cellStyle name="Note 3 2 4 3 2" xfId="43939"/>
    <cellStyle name="Note 3 2 4 4" xfId="43940"/>
    <cellStyle name="Note 3 2 5" xfId="43941"/>
    <cellStyle name="Note 3 2 5 2" xfId="43942"/>
    <cellStyle name="Note 3 2 5 2 2" xfId="43943"/>
    <cellStyle name="Note 3 2 6" xfId="43944"/>
    <cellStyle name="Note 3 2 6 2" xfId="43945"/>
    <cellStyle name="Note 3 2 7" xfId="43946"/>
    <cellStyle name="Note 3 2 8" xfId="43947"/>
    <cellStyle name="Note 3 2 9" xfId="43948"/>
    <cellStyle name="Note 3 20" xfId="43949"/>
    <cellStyle name="Note 3 21" xfId="43950"/>
    <cellStyle name="Note 3 22" xfId="43951"/>
    <cellStyle name="Note 3 23" xfId="43952"/>
    <cellStyle name="Note 3 24" xfId="43953"/>
    <cellStyle name="Note 3 3" xfId="43954"/>
    <cellStyle name="Note 3 3 10" xfId="43955"/>
    <cellStyle name="Note 3 3 11" xfId="43956"/>
    <cellStyle name="Note 3 3 2" xfId="43957"/>
    <cellStyle name="Note 3 3 2 2" xfId="43958"/>
    <cellStyle name="Note 3 3 2 2 2" xfId="43959"/>
    <cellStyle name="Note 3 3 2 2 2 2" xfId="43960"/>
    <cellStyle name="Note 3 3 2 2 2 2 2" xfId="43961"/>
    <cellStyle name="Note 3 3 2 2 2 2 2 2" xfId="43962"/>
    <cellStyle name="Note 3 3 2 2 2 3" xfId="43963"/>
    <cellStyle name="Note 3 3 2 2 2 3 2" xfId="43964"/>
    <cellStyle name="Note 3 3 2 2 3" xfId="43965"/>
    <cellStyle name="Note 3 3 2 2 3 2" xfId="43966"/>
    <cellStyle name="Note 3 3 2 2 3 2 2" xfId="43967"/>
    <cellStyle name="Note 3 3 2 2 4" xfId="43968"/>
    <cellStyle name="Note 3 3 2 2 4 2" xfId="43969"/>
    <cellStyle name="Note 3 3 2 3" xfId="43970"/>
    <cellStyle name="Note 3 3 2 3 2" xfId="43971"/>
    <cellStyle name="Note 3 3 2 3 2 2" xfId="43972"/>
    <cellStyle name="Note 3 3 2 3 2 2 2" xfId="43973"/>
    <cellStyle name="Note 3 3 2 3 3" xfId="43974"/>
    <cellStyle name="Note 3 3 2 3 3 2" xfId="43975"/>
    <cellStyle name="Note 3 3 2 4" xfId="43976"/>
    <cellStyle name="Note 3 3 2 4 2" xfId="43977"/>
    <cellStyle name="Note 3 3 2 4 2 2" xfId="43978"/>
    <cellStyle name="Note 3 3 2 5" xfId="43979"/>
    <cellStyle name="Note 3 3 2 5 2" xfId="43980"/>
    <cellStyle name="Note 3 3 2 6" xfId="43981"/>
    <cellStyle name="Note 3 3 2 7" xfId="43982"/>
    <cellStyle name="Note 3 3 2 8" xfId="43983"/>
    <cellStyle name="Note 3 3 3" xfId="43984"/>
    <cellStyle name="Note 3 3 3 2" xfId="43985"/>
    <cellStyle name="Note 3 3 3 2 2" xfId="43986"/>
    <cellStyle name="Note 3 3 3 2 2 2" xfId="43987"/>
    <cellStyle name="Note 3 3 3 2 2 2 2" xfId="43988"/>
    <cellStyle name="Note 3 3 3 2 3" xfId="43989"/>
    <cellStyle name="Note 3 3 3 2 3 2" xfId="43990"/>
    <cellStyle name="Note 3 3 3 3" xfId="43991"/>
    <cellStyle name="Note 3 3 3 3 2" xfId="43992"/>
    <cellStyle name="Note 3 3 3 3 2 2" xfId="43993"/>
    <cellStyle name="Note 3 3 3 4" xfId="43994"/>
    <cellStyle name="Note 3 3 3 4 2" xfId="43995"/>
    <cellStyle name="Note 3 3 3 5" xfId="43996"/>
    <cellStyle name="Note 3 3 3 6" xfId="43997"/>
    <cellStyle name="Note 3 3 3 7" xfId="43998"/>
    <cellStyle name="Note 3 3 4" xfId="43999"/>
    <cellStyle name="Note 3 3 4 2" xfId="44000"/>
    <cellStyle name="Note 3 3 4 2 2" xfId="44001"/>
    <cellStyle name="Note 3 3 4 2 2 2" xfId="44002"/>
    <cellStyle name="Note 3 3 4 3" xfId="44003"/>
    <cellStyle name="Note 3 3 4 3 2" xfId="44004"/>
    <cellStyle name="Note 3 3 4 4" xfId="44005"/>
    <cellStyle name="Note 3 3 5" xfId="44006"/>
    <cellStyle name="Note 3 3 5 2" xfId="44007"/>
    <cellStyle name="Note 3 3 5 2 2" xfId="44008"/>
    <cellStyle name="Note 3 3 6" xfId="44009"/>
    <cellStyle name="Note 3 3 6 2" xfId="44010"/>
    <cellStyle name="Note 3 3 7" xfId="44011"/>
    <cellStyle name="Note 3 3 8" xfId="44012"/>
    <cellStyle name="Note 3 3 9" xfId="44013"/>
    <cellStyle name="Note 3 4" xfId="44014"/>
    <cellStyle name="Note 3 4 2" xfId="44015"/>
    <cellStyle name="Note 3 4 2 2" xfId="44016"/>
    <cellStyle name="Note 3 4 2 2 2" xfId="44017"/>
    <cellStyle name="Note 3 4 2 2 2 2" xfId="44018"/>
    <cellStyle name="Note 3 4 2 2 2 2 2" xfId="44019"/>
    <cellStyle name="Note 3 4 2 2 2 2 2 2" xfId="44020"/>
    <cellStyle name="Note 3 4 2 2 2 3" xfId="44021"/>
    <cellStyle name="Note 3 4 2 2 2 3 2" xfId="44022"/>
    <cellStyle name="Note 3 4 2 2 3" xfId="44023"/>
    <cellStyle name="Note 3 4 2 2 3 2" xfId="44024"/>
    <cellStyle name="Note 3 4 2 2 3 2 2" xfId="44025"/>
    <cellStyle name="Note 3 4 2 2 4" xfId="44026"/>
    <cellStyle name="Note 3 4 2 2 4 2" xfId="44027"/>
    <cellStyle name="Note 3 4 2 3" xfId="44028"/>
    <cellStyle name="Note 3 4 2 3 2" xfId="44029"/>
    <cellStyle name="Note 3 4 2 3 2 2" xfId="44030"/>
    <cellStyle name="Note 3 4 2 3 2 2 2" xfId="44031"/>
    <cellStyle name="Note 3 4 2 3 3" xfId="44032"/>
    <cellStyle name="Note 3 4 2 3 3 2" xfId="44033"/>
    <cellStyle name="Note 3 4 2 4" xfId="44034"/>
    <cellStyle name="Note 3 4 2 4 2" xfId="44035"/>
    <cellStyle name="Note 3 4 2 4 2 2" xfId="44036"/>
    <cellStyle name="Note 3 4 2 5" xfId="44037"/>
    <cellStyle name="Note 3 4 2 5 2" xfId="44038"/>
    <cellStyle name="Note 3 4 3" xfId="44039"/>
    <cellStyle name="Note 3 4 3 2" xfId="44040"/>
    <cellStyle name="Note 3 4 3 2 2" xfId="44041"/>
    <cellStyle name="Note 3 4 3 2 2 2" xfId="44042"/>
    <cellStyle name="Note 3 4 3 2 2 2 2" xfId="44043"/>
    <cellStyle name="Note 3 4 3 2 3" xfId="44044"/>
    <cellStyle name="Note 3 4 3 2 3 2" xfId="44045"/>
    <cellStyle name="Note 3 4 3 3" xfId="44046"/>
    <cellStyle name="Note 3 4 3 3 2" xfId="44047"/>
    <cellStyle name="Note 3 4 3 3 2 2" xfId="44048"/>
    <cellStyle name="Note 3 4 3 4" xfId="44049"/>
    <cellStyle name="Note 3 4 3 4 2" xfId="44050"/>
    <cellStyle name="Note 3 4 4" xfId="44051"/>
    <cellStyle name="Note 3 4 4 2" xfId="44052"/>
    <cellStyle name="Note 3 4 4 2 2" xfId="44053"/>
    <cellStyle name="Note 3 4 4 2 2 2" xfId="44054"/>
    <cellStyle name="Note 3 4 4 3" xfId="44055"/>
    <cellStyle name="Note 3 4 4 3 2" xfId="44056"/>
    <cellStyle name="Note 3 4 5" xfId="44057"/>
    <cellStyle name="Note 3 4 5 2" xfId="44058"/>
    <cellStyle name="Note 3 4 5 2 2" xfId="44059"/>
    <cellStyle name="Note 3 4 6" xfId="44060"/>
    <cellStyle name="Note 3 4 6 2" xfId="44061"/>
    <cellStyle name="Note 3 4 7" xfId="44062"/>
    <cellStyle name="Note 3 5" xfId="44063"/>
    <cellStyle name="Note 3 5 2" xfId="44064"/>
    <cellStyle name="Note 3 5 2 2" xfId="44065"/>
    <cellStyle name="Note 3 5 2 2 2" xfId="44066"/>
    <cellStyle name="Note 3 5 2 2 2 2" xfId="44067"/>
    <cellStyle name="Note 3 5 2 2 2 2 2" xfId="44068"/>
    <cellStyle name="Note 3 5 2 2 2 2 2 2" xfId="44069"/>
    <cellStyle name="Note 3 5 2 2 2 3" xfId="44070"/>
    <cellStyle name="Note 3 5 2 2 2 3 2" xfId="44071"/>
    <cellStyle name="Note 3 5 2 2 3" xfId="44072"/>
    <cellStyle name="Note 3 5 2 2 3 2" xfId="44073"/>
    <cellStyle name="Note 3 5 2 2 3 2 2" xfId="44074"/>
    <cellStyle name="Note 3 5 2 2 4" xfId="44075"/>
    <cellStyle name="Note 3 5 2 2 4 2" xfId="44076"/>
    <cellStyle name="Note 3 5 2 3" xfId="44077"/>
    <cellStyle name="Note 3 5 2 3 2" xfId="44078"/>
    <cellStyle name="Note 3 5 2 3 2 2" xfId="44079"/>
    <cellStyle name="Note 3 5 2 3 2 2 2" xfId="44080"/>
    <cellStyle name="Note 3 5 2 3 3" xfId="44081"/>
    <cellStyle name="Note 3 5 2 3 3 2" xfId="44082"/>
    <cellStyle name="Note 3 5 2 4" xfId="44083"/>
    <cellStyle name="Note 3 5 2 4 2" xfId="44084"/>
    <cellStyle name="Note 3 5 2 4 2 2" xfId="44085"/>
    <cellStyle name="Note 3 5 2 5" xfId="44086"/>
    <cellStyle name="Note 3 5 2 5 2" xfId="44087"/>
    <cellStyle name="Note 3 5 3" xfId="44088"/>
    <cellStyle name="Note 3 5 3 2" xfId="44089"/>
    <cellStyle name="Note 3 5 3 2 2" xfId="44090"/>
    <cellStyle name="Note 3 5 3 2 2 2" xfId="44091"/>
    <cellStyle name="Note 3 5 3 2 2 2 2" xfId="44092"/>
    <cellStyle name="Note 3 5 3 2 3" xfId="44093"/>
    <cellStyle name="Note 3 5 3 2 3 2" xfId="44094"/>
    <cellStyle name="Note 3 5 3 3" xfId="44095"/>
    <cellStyle name="Note 3 5 3 3 2" xfId="44096"/>
    <cellStyle name="Note 3 5 3 3 2 2" xfId="44097"/>
    <cellStyle name="Note 3 5 3 4" xfId="44098"/>
    <cellStyle name="Note 3 5 3 4 2" xfId="44099"/>
    <cellStyle name="Note 3 5 4" xfId="44100"/>
    <cellStyle name="Note 3 5 4 2" xfId="44101"/>
    <cellStyle name="Note 3 5 4 2 2" xfId="44102"/>
    <cellStyle name="Note 3 5 4 2 2 2" xfId="44103"/>
    <cellStyle name="Note 3 5 4 3" xfId="44104"/>
    <cellStyle name="Note 3 5 4 3 2" xfId="44105"/>
    <cellStyle name="Note 3 5 5" xfId="44106"/>
    <cellStyle name="Note 3 5 5 2" xfId="44107"/>
    <cellStyle name="Note 3 5 5 2 2" xfId="44108"/>
    <cellStyle name="Note 3 5 6" xfId="44109"/>
    <cellStyle name="Note 3 5 6 2" xfId="44110"/>
    <cellStyle name="Note 3 5 7" xfId="44111"/>
    <cellStyle name="Note 3 6" xfId="44112"/>
    <cellStyle name="Note 3 6 2" xfId="44113"/>
    <cellStyle name="Note 3 6 2 2" xfId="44114"/>
    <cellStyle name="Note 3 6 2 2 2" xfId="44115"/>
    <cellStyle name="Note 3 6 2 2 2 2" xfId="44116"/>
    <cellStyle name="Note 3 6 2 2 2 2 2" xfId="44117"/>
    <cellStyle name="Note 3 6 2 2 2 2 2 2" xfId="44118"/>
    <cellStyle name="Note 3 6 2 2 2 3" xfId="44119"/>
    <cellStyle name="Note 3 6 2 2 2 3 2" xfId="44120"/>
    <cellStyle name="Note 3 6 2 2 3" xfId="44121"/>
    <cellStyle name="Note 3 6 2 2 3 2" xfId="44122"/>
    <cellStyle name="Note 3 6 2 2 3 2 2" xfId="44123"/>
    <cellStyle name="Note 3 6 2 2 4" xfId="44124"/>
    <cellStyle name="Note 3 6 2 2 4 2" xfId="44125"/>
    <cellStyle name="Note 3 6 2 3" xfId="44126"/>
    <cellStyle name="Note 3 6 2 3 2" xfId="44127"/>
    <cellStyle name="Note 3 6 2 3 2 2" xfId="44128"/>
    <cellStyle name="Note 3 6 2 3 2 2 2" xfId="44129"/>
    <cellStyle name="Note 3 6 2 3 3" xfId="44130"/>
    <cellStyle name="Note 3 6 2 3 3 2" xfId="44131"/>
    <cellStyle name="Note 3 6 2 4" xfId="44132"/>
    <cellStyle name="Note 3 6 2 4 2" xfId="44133"/>
    <cellStyle name="Note 3 6 2 4 2 2" xfId="44134"/>
    <cellStyle name="Note 3 6 2 5" xfId="44135"/>
    <cellStyle name="Note 3 6 2 5 2" xfId="44136"/>
    <cellStyle name="Note 3 6 3" xfId="44137"/>
    <cellStyle name="Note 3 6 3 2" xfId="44138"/>
    <cellStyle name="Note 3 6 3 2 2" xfId="44139"/>
    <cellStyle name="Note 3 6 3 2 2 2" xfId="44140"/>
    <cellStyle name="Note 3 6 3 2 2 2 2" xfId="44141"/>
    <cellStyle name="Note 3 6 3 2 3" xfId="44142"/>
    <cellStyle name="Note 3 6 3 2 3 2" xfId="44143"/>
    <cellStyle name="Note 3 6 3 3" xfId="44144"/>
    <cellStyle name="Note 3 6 3 3 2" xfId="44145"/>
    <cellStyle name="Note 3 6 3 3 2 2" xfId="44146"/>
    <cellStyle name="Note 3 6 3 4" xfId="44147"/>
    <cellStyle name="Note 3 6 3 4 2" xfId="44148"/>
    <cellStyle name="Note 3 6 4" xfId="44149"/>
    <cellStyle name="Note 3 6 4 2" xfId="44150"/>
    <cellStyle name="Note 3 6 4 2 2" xfId="44151"/>
    <cellStyle name="Note 3 6 4 2 2 2" xfId="44152"/>
    <cellStyle name="Note 3 6 4 3" xfId="44153"/>
    <cellStyle name="Note 3 6 4 3 2" xfId="44154"/>
    <cellStyle name="Note 3 6 5" xfId="44155"/>
    <cellStyle name="Note 3 6 5 2" xfId="44156"/>
    <cellStyle name="Note 3 6 5 2 2" xfId="44157"/>
    <cellStyle name="Note 3 6 6" xfId="44158"/>
    <cellStyle name="Note 3 6 6 2" xfId="44159"/>
    <cellStyle name="Note 3 6 7" xfId="44160"/>
    <cellStyle name="Note 3 7" xfId="44161"/>
    <cellStyle name="Note 3 7 2" xfId="44162"/>
    <cellStyle name="Note 3 7 2 2" xfId="44163"/>
    <cellStyle name="Note 3 7 2 2 2" xfId="44164"/>
    <cellStyle name="Note 3 7 2 2 2 2" xfId="44165"/>
    <cellStyle name="Note 3 7 2 2 2 2 2" xfId="44166"/>
    <cellStyle name="Note 3 7 2 2 2 2 2 2" xfId="44167"/>
    <cellStyle name="Note 3 7 2 2 2 3" xfId="44168"/>
    <cellStyle name="Note 3 7 2 2 2 3 2" xfId="44169"/>
    <cellStyle name="Note 3 7 2 2 3" xfId="44170"/>
    <cellStyle name="Note 3 7 2 2 3 2" xfId="44171"/>
    <cellStyle name="Note 3 7 2 2 3 2 2" xfId="44172"/>
    <cellStyle name="Note 3 7 2 2 4" xfId="44173"/>
    <cellStyle name="Note 3 7 2 2 4 2" xfId="44174"/>
    <cellStyle name="Note 3 7 2 3" xfId="44175"/>
    <cellStyle name="Note 3 7 2 3 2" xfId="44176"/>
    <cellStyle name="Note 3 7 2 3 2 2" xfId="44177"/>
    <cellStyle name="Note 3 7 2 3 2 2 2" xfId="44178"/>
    <cellStyle name="Note 3 7 2 3 3" xfId="44179"/>
    <cellStyle name="Note 3 7 2 3 3 2" xfId="44180"/>
    <cellStyle name="Note 3 7 2 4" xfId="44181"/>
    <cellStyle name="Note 3 7 2 4 2" xfId="44182"/>
    <cellStyle name="Note 3 7 2 4 2 2" xfId="44183"/>
    <cellStyle name="Note 3 7 2 5" xfId="44184"/>
    <cellStyle name="Note 3 7 2 5 2" xfId="44185"/>
    <cellStyle name="Note 3 7 3" xfId="44186"/>
    <cellStyle name="Note 3 7 3 2" xfId="44187"/>
    <cellStyle name="Note 3 7 3 2 2" xfId="44188"/>
    <cellStyle name="Note 3 7 3 2 2 2" xfId="44189"/>
    <cellStyle name="Note 3 7 3 2 2 2 2" xfId="44190"/>
    <cellStyle name="Note 3 7 3 2 3" xfId="44191"/>
    <cellStyle name="Note 3 7 3 2 3 2" xfId="44192"/>
    <cellStyle name="Note 3 7 3 3" xfId="44193"/>
    <cellStyle name="Note 3 7 3 3 2" xfId="44194"/>
    <cellStyle name="Note 3 7 3 3 2 2" xfId="44195"/>
    <cellStyle name="Note 3 7 3 4" xfId="44196"/>
    <cellStyle name="Note 3 7 3 4 2" xfId="44197"/>
    <cellStyle name="Note 3 7 4" xfId="44198"/>
    <cellStyle name="Note 3 7 4 2" xfId="44199"/>
    <cellStyle name="Note 3 7 4 2 2" xfId="44200"/>
    <cellStyle name="Note 3 7 4 2 2 2" xfId="44201"/>
    <cellStyle name="Note 3 7 4 3" xfId="44202"/>
    <cellStyle name="Note 3 7 4 3 2" xfId="44203"/>
    <cellStyle name="Note 3 7 5" xfId="44204"/>
    <cellStyle name="Note 3 7 5 2" xfId="44205"/>
    <cellStyle name="Note 3 7 5 2 2" xfId="44206"/>
    <cellStyle name="Note 3 7 6" xfId="44207"/>
    <cellStyle name="Note 3 7 6 2" xfId="44208"/>
    <cellStyle name="Note 3 7 7" xfId="44209"/>
    <cellStyle name="Note 3 8" xfId="44210"/>
    <cellStyle name="Note 3 8 2" xfId="44211"/>
    <cellStyle name="Note 3 8 2 2" xfId="44212"/>
    <cellStyle name="Note 3 8 2 2 2" xfId="44213"/>
    <cellStyle name="Note 3 8 2 2 2 2" xfId="44214"/>
    <cellStyle name="Note 3 8 2 2 2 2 2" xfId="44215"/>
    <cellStyle name="Note 3 8 2 2 2 2 2 2" xfId="44216"/>
    <cellStyle name="Note 3 8 2 2 2 3" xfId="44217"/>
    <cellStyle name="Note 3 8 2 2 2 3 2" xfId="44218"/>
    <cellStyle name="Note 3 8 2 2 3" xfId="44219"/>
    <cellStyle name="Note 3 8 2 2 3 2" xfId="44220"/>
    <cellStyle name="Note 3 8 2 2 3 2 2" xfId="44221"/>
    <cellStyle name="Note 3 8 2 2 4" xfId="44222"/>
    <cellStyle name="Note 3 8 2 2 4 2" xfId="44223"/>
    <cellStyle name="Note 3 8 2 3" xfId="44224"/>
    <cellStyle name="Note 3 8 2 3 2" xfId="44225"/>
    <cellStyle name="Note 3 8 2 3 2 2" xfId="44226"/>
    <cellStyle name="Note 3 8 2 3 2 2 2" xfId="44227"/>
    <cellStyle name="Note 3 8 2 3 3" xfId="44228"/>
    <cellStyle name="Note 3 8 2 3 3 2" xfId="44229"/>
    <cellStyle name="Note 3 8 2 4" xfId="44230"/>
    <cellStyle name="Note 3 8 2 4 2" xfId="44231"/>
    <cellStyle name="Note 3 8 2 4 2 2" xfId="44232"/>
    <cellStyle name="Note 3 8 2 5" xfId="44233"/>
    <cellStyle name="Note 3 8 2 5 2" xfId="44234"/>
    <cellStyle name="Note 3 8 3" xfId="44235"/>
    <cellStyle name="Note 3 8 3 2" xfId="44236"/>
    <cellStyle name="Note 3 8 3 2 2" xfId="44237"/>
    <cellStyle name="Note 3 8 3 2 2 2" xfId="44238"/>
    <cellStyle name="Note 3 8 3 2 2 2 2" xfId="44239"/>
    <cellStyle name="Note 3 8 3 2 3" xfId="44240"/>
    <cellStyle name="Note 3 8 3 2 3 2" xfId="44241"/>
    <cellStyle name="Note 3 8 3 3" xfId="44242"/>
    <cellStyle name="Note 3 8 3 3 2" xfId="44243"/>
    <cellStyle name="Note 3 8 3 3 2 2" xfId="44244"/>
    <cellStyle name="Note 3 8 3 4" xfId="44245"/>
    <cellStyle name="Note 3 8 3 4 2" xfId="44246"/>
    <cellStyle name="Note 3 8 4" xfId="44247"/>
    <cellStyle name="Note 3 8 4 2" xfId="44248"/>
    <cellStyle name="Note 3 8 4 2 2" xfId="44249"/>
    <cellStyle name="Note 3 8 4 2 2 2" xfId="44250"/>
    <cellStyle name="Note 3 8 4 3" xfId="44251"/>
    <cellStyle name="Note 3 8 4 3 2" xfId="44252"/>
    <cellStyle name="Note 3 8 5" xfId="44253"/>
    <cellStyle name="Note 3 8 5 2" xfId="44254"/>
    <cellStyle name="Note 3 8 5 2 2" xfId="44255"/>
    <cellStyle name="Note 3 8 6" xfId="44256"/>
    <cellStyle name="Note 3 8 6 2" xfId="44257"/>
    <cellStyle name="Note 3 8 7" xfId="44258"/>
    <cellStyle name="Note 3 9" xfId="44259"/>
    <cellStyle name="Note 3 9 2" xfId="44260"/>
    <cellStyle name="Note 3 9 2 2" xfId="44261"/>
    <cellStyle name="Note 3 9 2 2 2" xfId="44262"/>
    <cellStyle name="Note 3 9 2 2 2 2" xfId="44263"/>
    <cellStyle name="Note 3 9 2 2 2 2 2" xfId="44264"/>
    <cellStyle name="Note 3 9 2 2 2 2 2 2" xfId="44265"/>
    <cellStyle name="Note 3 9 2 2 2 3" xfId="44266"/>
    <cellStyle name="Note 3 9 2 2 2 3 2" xfId="44267"/>
    <cellStyle name="Note 3 9 2 2 3" xfId="44268"/>
    <cellStyle name="Note 3 9 2 2 3 2" xfId="44269"/>
    <cellStyle name="Note 3 9 2 2 3 2 2" xfId="44270"/>
    <cellStyle name="Note 3 9 2 2 4" xfId="44271"/>
    <cellStyle name="Note 3 9 2 2 4 2" xfId="44272"/>
    <cellStyle name="Note 3 9 2 3" xfId="44273"/>
    <cellStyle name="Note 3 9 2 3 2" xfId="44274"/>
    <cellStyle name="Note 3 9 2 3 2 2" xfId="44275"/>
    <cellStyle name="Note 3 9 2 3 2 2 2" xfId="44276"/>
    <cellStyle name="Note 3 9 2 3 3" xfId="44277"/>
    <cellStyle name="Note 3 9 2 3 3 2" xfId="44278"/>
    <cellStyle name="Note 3 9 2 4" xfId="44279"/>
    <cellStyle name="Note 3 9 2 4 2" xfId="44280"/>
    <cellStyle name="Note 3 9 2 4 2 2" xfId="44281"/>
    <cellStyle name="Note 3 9 2 5" xfId="44282"/>
    <cellStyle name="Note 3 9 2 5 2" xfId="44283"/>
    <cellStyle name="Note 3 9 3" xfId="44284"/>
    <cellStyle name="Note 3 9 3 2" xfId="44285"/>
    <cellStyle name="Note 3 9 3 2 2" xfId="44286"/>
    <cellStyle name="Note 3 9 3 2 2 2" xfId="44287"/>
    <cellStyle name="Note 3 9 3 2 2 2 2" xfId="44288"/>
    <cellStyle name="Note 3 9 3 2 3" xfId="44289"/>
    <cellStyle name="Note 3 9 3 2 3 2" xfId="44290"/>
    <cellStyle name="Note 3 9 3 3" xfId="44291"/>
    <cellStyle name="Note 3 9 3 3 2" xfId="44292"/>
    <cellStyle name="Note 3 9 3 3 2 2" xfId="44293"/>
    <cellStyle name="Note 3 9 3 4" xfId="44294"/>
    <cellStyle name="Note 3 9 3 4 2" xfId="44295"/>
    <cellStyle name="Note 3 9 4" xfId="44296"/>
    <cellStyle name="Note 3 9 4 2" xfId="44297"/>
    <cellStyle name="Note 3 9 4 2 2" xfId="44298"/>
    <cellStyle name="Note 3 9 4 2 2 2" xfId="44299"/>
    <cellStyle name="Note 3 9 4 3" xfId="44300"/>
    <cellStyle name="Note 3 9 4 3 2" xfId="44301"/>
    <cellStyle name="Note 3 9 5" xfId="44302"/>
    <cellStyle name="Note 3 9 5 2" xfId="44303"/>
    <cellStyle name="Note 3 9 5 2 2" xfId="44304"/>
    <cellStyle name="Note 3 9 6" xfId="44305"/>
    <cellStyle name="Note 3 9 6 2" xfId="44306"/>
    <cellStyle name="Note 3 9 7" xfId="44307"/>
    <cellStyle name="Note 3 9 8" xfId="44308"/>
    <cellStyle name="Note 3 9 9" xfId="44309"/>
    <cellStyle name="Note 30" xfId="44310"/>
    <cellStyle name="Note 30 2" xfId="44311"/>
    <cellStyle name="Note 30 2 2" xfId="44312"/>
    <cellStyle name="Note 30 2 2 2" xfId="44313"/>
    <cellStyle name="Note 30 3" xfId="44314"/>
    <cellStyle name="Note 30 3 2" xfId="44315"/>
    <cellStyle name="Note 30 4" xfId="44316"/>
    <cellStyle name="Note 31" xfId="44317"/>
    <cellStyle name="Note 31 2" xfId="44318"/>
    <cellStyle name="Note 31 2 2" xfId="44319"/>
    <cellStyle name="Note 31 3" xfId="44320"/>
    <cellStyle name="Note 32" xfId="44321"/>
    <cellStyle name="Note 32 2" xfId="44322"/>
    <cellStyle name="Note 32 3" xfId="44323"/>
    <cellStyle name="Note 33" xfId="44324"/>
    <cellStyle name="Note 33 2" xfId="44325"/>
    <cellStyle name="Note 33 2 2" xfId="44326"/>
    <cellStyle name="Note 33 3" xfId="44327"/>
    <cellStyle name="Note 34" xfId="44328"/>
    <cellStyle name="Note 35" xfId="44329"/>
    <cellStyle name="Note 36" xfId="44330"/>
    <cellStyle name="Note 36 2" xfId="44331"/>
    <cellStyle name="Note 36 2 2" xfId="44332"/>
    <cellStyle name="Note 36 2 3" xfId="44333"/>
    <cellStyle name="Note 36 2 4" xfId="44334"/>
    <cellStyle name="Note 36 3" xfId="44335"/>
    <cellStyle name="Note 36 3 2" xfId="44336"/>
    <cellStyle name="Note 36 3 3" xfId="44337"/>
    <cellStyle name="Note 36 4" xfId="44338"/>
    <cellStyle name="Note 36 4 2" xfId="44339"/>
    <cellStyle name="Note 36 5" xfId="44340"/>
    <cellStyle name="Note 36 6" xfId="44341"/>
    <cellStyle name="Note 36 7" xfId="44342"/>
    <cellStyle name="Note 37" xfId="44343"/>
    <cellStyle name="Note 38" xfId="44344"/>
    <cellStyle name="Note 39" xfId="44345"/>
    <cellStyle name="Note 4" xfId="44346"/>
    <cellStyle name="Note 4 10" xfId="44347"/>
    <cellStyle name="Note 4 10 2" xfId="44348"/>
    <cellStyle name="Note 4 10 2 2" xfId="44349"/>
    <cellStyle name="Note 4 10 2 2 2" xfId="44350"/>
    <cellStyle name="Note 4 10 2 2 2 2" xfId="44351"/>
    <cellStyle name="Note 4 10 2 2 2 2 2" xfId="44352"/>
    <cellStyle name="Note 4 10 2 2 2 2 2 2" xfId="44353"/>
    <cellStyle name="Note 4 10 2 2 2 3" xfId="44354"/>
    <cellStyle name="Note 4 10 2 2 2 3 2" xfId="44355"/>
    <cellStyle name="Note 4 10 2 2 3" xfId="44356"/>
    <cellStyle name="Note 4 10 2 2 3 2" xfId="44357"/>
    <cellStyle name="Note 4 10 2 2 3 2 2" xfId="44358"/>
    <cellStyle name="Note 4 10 2 2 4" xfId="44359"/>
    <cellStyle name="Note 4 10 2 2 4 2" xfId="44360"/>
    <cellStyle name="Note 4 10 2 3" xfId="44361"/>
    <cellStyle name="Note 4 10 2 3 2" xfId="44362"/>
    <cellStyle name="Note 4 10 2 3 2 2" xfId="44363"/>
    <cellStyle name="Note 4 10 2 3 2 2 2" xfId="44364"/>
    <cellStyle name="Note 4 10 2 3 3" xfId="44365"/>
    <cellStyle name="Note 4 10 2 3 3 2" xfId="44366"/>
    <cellStyle name="Note 4 10 2 4" xfId="44367"/>
    <cellStyle name="Note 4 10 2 4 2" xfId="44368"/>
    <cellStyle name="Note 4 10 2 4 2 2" xfId="44369"/>
    <cellStyle name="Note 4 10 2 5" xfId="44370"/>
    <cellStyle name="Note 4 10 2 5 2" xfId="44371"/>
    <cellStyle name="Note 4 10 3" xfId="44372"/>
    <cellStyle name="Note 4 10 3 2" xfId="44373"/>
    <cellStyle name="Note 4 10 3 2 2" xfId="44374"/>
    <cellStyle name="Note 4 10 3 2 2 2" xfId="44375"/>
    <cellStyle name="Note 4 10 3 2 2 2 2" xfId="44376"/>
    <cellStyle name="Note 4 10 3 2 3" xfId="44377"/>
    <cellStyle name="Note 4 10 3 2 3 2" xfId="44378"/>
    <cellStyle name="Note 4 10 3 3" xfId="44379"/>
    <cellStyle name="Note 4 10 3 3 2" xfId="44380"/>
    <cellStyle name="Note 4 10 3 3 2 2" xfId="44381"/>
    <cellStyle name="Note 4 10 3 4" xfId="44382"/>
    <cellStyle name="Note 4 10 3 4 2" xfId="44383"/>
    <cellStyle name="Note 4 10 4" xfId="44384"/>
    <cellStyle name="Note 4 10 4 2" xfId="44385"/>
    <cellStyle name="Note 4 10 4 2 2" xfId="44386"/>
    <cellStyle name="Note 4 10 4 2 2 2" xfId="44387"/>
    <cellStyle name="Note 4 10 4 3" xfId="44388"/>
    <cellStyle name="Note 4 10 4 3 2" xfId="44389"/>
    <cellStyle name="Note 4 10 5" xfId="44390"/>
    <cellStyle name="Note 4 10 5 2" xfId="44391"/>
    <cellStyle name="Note 4 10 5 2 2" xfId="44392"/>
    <cellStyle name="Note 4 10 6" xfId="44393"/>
    <cellStyle name="Note 4 10 6 2" xfId="44394"/>
    <cellStyle name="Note 4 10 7" xfId="44395"/>
    <cellStyle name="Note 4 10 8" xfId="44396"/>
    <cellStyle name="Note 4 10 9" xfId="44397"/>
    <cellStyle name="Note 4 11" xfId="44398"/>
    <cellStyle name="Note 4 11 2" xfId="44399"/>
    <cellStyle name="Note 4 11 2 2" xfId="44400"/>
    <cellStyle name="Note 4 11 2 2 2" xfId="44401"/>
    <cellStyle name="Note 4 11 2 2 2 2" xfId="44402"/>
    <cellStyle name="Note 4 11 2 2 2 2 2" xfId="44403"/>
    <cellStyle name="Note 4 11 2 2 2 2 2 2" xfId="44404"/>
    <cellStyle name="Note 4 11 2 2 2 3" xfId="44405"/>
    <cellStyle name="Note 4 11 2 2 2 3 2" xfId="44406"/>
    <cellStyle name="Note 4 11 2 2 3" xfId="44407"/>
    <cellStyle name="Note 4 11 2 2 3 2" xfId="44408"/>
    <cellStyle name="Note 4 11 2 2 3 2 2" xfId="44409"/>
    <cellStyle name="Note 4 11 2 2 4" xfId="44410"/>
    <cellStyle name="Note 4 11 2 2 4 2" xfId="44411"/>
    <cellStyle name="Note 4 11 2 3" xfId="44412"/>
    <cellStyle name="Note 4 11 2 3 2" xfId="44413"/>
    <cellStyle name="Note 4 11 2 3 2 2" xfId="44414"/>
    <cellStyle name="Note 4 11 2 3 2 2 2" xfId="44415"/>
    <cellStyle name="Note 4 11 2 3 3" xfId="44416"/>
    <cellStyle name="Note 4 11 2 3 3 2" xfId="44417"/>
    <cellStyle name="Note 4 11 2 4" xfId="44418"/>
    <cellStyle name="Note 4 11 2 4 2" xfId="44419"/>
    <cellStyle name="Note 4 11 2 4 2 2" xfId="44420"/>
    <cellStyle name="Note 4 11 2 5" xfId="44421"/>
    <cellStyle name="Note 4 11 2 5 2" xfId="44422"/>
    <cellStyle name="Note 4 11 3" xfId="44423"/>
    <cellStyle name="Note 4 11 3 2" xfId="44424"/>
    <cellStyle name="Note 4 11 3 2 2" xfId="44425"/>
    <cellStyle name="Note 4 11 3 2 2 2" xfId="44426"/>
    <cellStyle name="Note 4 11 3 2 2 2 2" xfId="44427"/>
    <cellStyle name="Note 4 11 3 2 3" xfId="44428"/>
    <cellStyle name="Note 4 11 3 2 3 2" xfId="44429"/>
    <cellStyle name="Note 4 11 3 3" xfId="44430"/>
    <cellStyle name="Note 4 11 3 3 2" xfId="44431"/>
    <cellStyle name="Note 4 11 3 3 2 2" xfId="44432"/>
    <cellStyle name="Note 4 11 3 4" xfId="44433"/>
    <cellStyle name="Note 4 11 3 4 2" xfId="44434"/>
    <cellStyle name="Note 4 11 4" xfId="44435"/>
    <cellStyle name="Note 4 11 4 2" xfId="44436"/>
    <cellStyle name="Note 4 11 4 2 2" xfId="44437"/>
    <cellStyle name="Note 4 11 4 2 2 2" xfId="44438"/>
    <cellStyle name="Note 4 11 4 3" xfId="44439"/>
    <cellStyle name="Note 4 11 4 3 2" xfId="44440"/>
    <cellStyle name="Note 4 11 5" xfId="44441"/>
    <cellStyle name="Note 4 11 5 2" xfId="44442"/>
    <cellStyle name="Note 4 11 5 2 2" xfId="44443"/>
    <cellStyle name="Note 4 11 6" xfId="44444"/>
    <cellStyle name="Note 4 11 6 2" xfId="44445"/>
    <cellStyle name="Note 4 11 7" xfId="44446"/>
    <cellStyle name="Note 4 12" xfId="44447"/>
    <cellStyle name="Note 4 12 2" xfId="44448"/>
    <cellStyle name="Note 4 12 2 2" xfId="44449"/>
    <cellStyle name="Note 4 12 2 2 2" xfId="44450"/>
    <cellStyle name="Note 4 12 2 2 2 2" xfId="44451"/>
    <cellStyle name="Note 4 12 2 2 2 2 2" xfId="44452"/>
    <cellStyle name="Note 4 12 2 2 2 2 2 2" xfId="44453"/>
    <cellStyle name="Note 4 12 2 2 2 3" xfId="44454"/>
    <cellStyle name="Note 4 12 2 2 2 3 2" xfId="44455"/>
    <cellStyle name="Note 4 12 2 2 3" xfId="44456"/>
    <cellStyle name="Note 4 12 2 2 3 2" xfId="44457"/>
    <cellStyle name="Note 4 12 2 2 3 2 2" xfId="44458"/>
    <cellStyle name="Note 4 12 2 2 4" xfId="44459"/>
    <cellStyle name="Note 4 12 2 2 4 2" xfId="44460"/>
    <cellStyle name="Note 4 12 2 3" xfId="44461"/>
    <cellStyle name="Note 4 12 2 3 2" xfId="44462"/>
    <cellStyle name="Note 4 12 2 3 2 2" xfId="44463"/>
    <cellStyle name="Note 4 12 2 3 2 2 2" xfId="44464"/>
    <cellStyle name="Note 4 12 2 3 3" xfId="44465"/>
    <cellStyle name="Note 4 12 2 3 3 2" xfId="44466"/>
    <cellStyle name="Note 4 12 2 4" xfId="44467"/>
    <cellStyle name="Note 4 12 2 4 2" xfId="44468"/>
    <cellStyle name="Note 4 12 2 4 2 2" xfId="44469"/>
    <cellStyle name="Note 4 12 2 5" xfId="44470"/>
    <cellStyle name="Note 4 12 2 5 2" xfId="44471"/>
    <cellStyle name="Note 4 12 3" xfId="44472"/>
    <cellStyle name="Note 4 12 3 2" xfId="44473"/>
    <cellStyle name="Note 4 12 3 2 2" xfId="44474"/>
    <cellStyle name="Note 4 12 3 2 2 2" xfId="44475"/>
    <cellStyle name="Note 4 12 3 2 2 2 2" xfId="44476"/>
    <cellStyle name="Note 4 12 3 2 3" xfId="44477"/>
    <cellStyle name="Note 4 12 3 2 3 2" xfId="44478"/>
    <cellStyle name="Note 4 12 3 3" xfId="44479"/>
    <cellStyle name="Note 4 12 3 3 2" xfId="44480"/>
    <cellStyle name="Note 4 12 3 3 2 2" xfId="44481"/>
    <cellStyle name="Note 4 12 3 4" xfId="44482"/>
    <cellStyle name="Note 4 12 3 4 2" xfId="44483"/>
    <cellStyle name="Note 4 12 4" xfId="44484"/>
    <cellStyle name="Note 4 12 4 2" xfId="44485"/>
    <cellStyle name="Note 4 12 4 2 2" xfId="44486"/>
    <cellStyle name="Note 4 12 4 2 2 2" xfId="44487"/>
    <cellStyle name="Note 4 12 4 3" xfId="44488"/>
    <cellStyle name="Note 4 12 4 3 2" xfId="44489"/>
    <cellStyle name="Note 4 12 5" xfId="44490"/>
    <cellStyle name="Note 4 12 5 2" xfId="44491"/>
    <cellStyle name="Note 4 12 5 2 2" xfId="44492"/>
    <cellStyle name="Note 4 12 6" xfId="44493"/>
    <cellStyle name="Note 4 12 6 2" xfId="44494"/>
    <cellStyle name="Note 4 13" xfId="44495"/>
    <cellStyle name="Note 4 13 2" xfId="44496"/>
    <cellStyle name="Note 4 13 2 2" xfId="44497"/>
    <cellStyle name="Note 4 13 2 2 2" xfId="44498"/>
    <cellStyle name="Note 4 13 2 2 2 2" xfId="44499"/>
    <cellStyle name="Note 4 13 2 2 2 2 2" xfId="44500"/>
    <cellStyle name="Note 4 13 2 2 2 2 2 2" xfId="44501"/>
    <cellStyle name="Note 4 13 2 2 2 3" xfId="44502"/>
    <cellStyle name="Note 4 13 2 2 2 3 2" xfId="44503"/>
    <cellStyle name="Note 4 13 2 2 3" xfId="44504"/>
    <cellStyle name="Note 4 13 2 2 3 2" xfId="44505"/>
    <cellStyle name="Note 4 13 2 2 3 2 2" xfId="44506"/>
    <cellStyle name="Note 4 13 2 2 4" xfId="44507"/>
    <cellStyle name="Note 4 13 2 2 4 2" xfId="44508"/>
    <cellStyle name="Note 4 13 2 3" xfId="44509"/>
    <cellStyle name="Note 4 13 2 3 2" xfId="44510"/>
    <cellStyle name="Note 4 13 2 3 2 2" xfId="44511"/>
    <cellStyle name="Note 4 13 2 3 2 2 2" xfId="44512"/>
    <cellStyle name="Note 4 13 2 3 3" xfId="44513"/>
    <cellStyle name="Note 4 13 2 3 3 2" xfId="44514"/>
    <cellStyle name="Note 4 13 2 4" xfId="44515"/>
    <cellStyle name="Note 4 13 2 4 2" xfId="44516"/>
    <cellStyle name="Note 4 13 2 4 2 2" xfId="44517"/>
    <cellStyle name="Note 4 13 2 5" xfId="44518"/>
    <cellStyle name="Note 4 13 2 5 2" xfId="44519"/>
    <cellStyle name="Note 4 13 3" xfId="44520"/>
    <cellStyle name="Note 4 13 3 2" xfId="44521"/>
    <cellStyle name="Note 4 13 3 2 2" xfId="44522"/>
    <cellStyle name="Note 4 13 3 2 2 2" xfId="44523"/>
    <cellStyle name="Note 4 13 3 2 2 2 2" xfId="44524"/>
    <cellStyle name="Note 4 13 3 2 3" xfId="44525"/>
    <cellStyle name="Note 4 13 3 2 3 2" xfId="44526"/>
    <cellStyle name="Note 4 13 3 3" xfId="44527"/>
    <cellStyle name="Note 4 13 3 3 2" xfId="44528"/>
    <cellStyle name="Note 4 13 3 3 2 2" xfId="44529"/>
    <cellStyle name="Note 4 13 3 4" xfId="44530"/>
    <cellStyle name="Note 4 13 3 4 2" xfId="44531"/>
    <cellStyle name="Note 4 13 4" xfId="44532"/>
    <cellStyle name="Note 4 13 4 2" xfId="44533"/>
    <cellStyle name="Note 4 13 4 2 2" xfId="44534"/>
    <cellStyle name="Note 4 13 4 2 2 2" xfId="44535"/>
    <cellStyle name="Note 4 13 4 3" xfId="44536"/>
    <cellStyle name="Note 4 13 4 3 2" xfId="44537"/>
    <cellStyle name="Note 4 13 5" xfId="44538"/>
    <cellStyle name="Note 4 13 5 2" xfId="44539"/>
    <cellStyle name="Note 4 13 5 2 2" xfId="44540"/>
    <cellStyle name="Note 4 13 6" xfId="44541"/>
    <cellStyle name="Note 4 13 6 2" xfId="44542"/>
    <cellStyle name="Note 4 14" xfId="44543"/>
    <cellStyle name="Note 4 14 2" xfId="44544"/>
    <cellStyle name="Note 4 14 2 2" xfId="44545"/>
    <cellStyle name="Note 4 14 2 2 2" xfId="44546"/>
    <cellStyle name="Note 4 14 2 2 2 2" xfId="44547"/>
    <cellStyle name="Note 4 14 2 2 2 2 2" xfId="44548"/>
    <cellStyle name="Note 4 14 2 2 3" xfId="44549"/>
    <cellStyle name="Note 4 14 2 2 3 2" xfId="44550"/>
    <cellStyle name="Note 4 14 2 3" xfId="44551"/>
    <cellStyle name="Note 4 14 2 3 2" xfId="44552"/>
    <cellStyle name="Note 4 14 2 3 2 2" xfId="44553"/>
    <cellStyle name="Note 4 14 2 4" xfId="44554"/>
    <cellStyle name="Note 4 14 2 4 2" xfId="44555"/>
    <cellStyle name="Note 4 14 3" xfId="44556"/>
    <cellStyle name="Note 4 14 3 2" xfId="44557"/>
    <cellStyle name="Note 4 14 3 2 2" xfId="44558"/>
    <cellStyle name="Note 4 14 3 2 2 2" xfId="44559"/>
    <cellStyle name="Note 4 14 3 3" xfId="44560"/>
    <cellStyle name="Note 4 14 3 3 2" xfId="44561"/>
    <cellStyle name="Note 4 14 4" xfId="44562"/>
    <cellStyle name="Note 4 14 4 2" xfId="44563"/>
    <cellStyle name="Note 4 14 4 2 2" xfId="44564"/>
    <cellStyle name="Note 4 14 5" xfId="44565"/>
    <cellStyle name="Note 4 14 5 2" xfId="44566"/>
    <cellStyle name="Note 4 15" xfId="44567"/>
    <cellStyle name="Note 4 15 2" xfId="44568"/>
    <cellStyle name="Note 4 15 2 2" xfId="44569"/>
    <cellStyle name="Note 4 15 2 2 2" xfId="44570"/>
    <cellStyle name="Note 4 15 2 2 2 2" xfId="44571"/>
    <cellStyle name="Note 4 15 2 3" xfId="44572"/>
    <cellStyle name="Note 4 15 2 3 2" xfId="44573"/>
    <cellStyle name="Note 4 15 3" xfId="44574"/>
    <cellStyle name="Note 4 15 3 2" xfId="44575"/>
    <cellStyle name="Note 4 15 3 2 2" xfId="44576"/>
    <cellStyle name="Note 4 15 4" xfId="44577"/>
    <cellStyle name="Note 4 15 4 2" xfId="44578"/>
    <cellStyle name="Note 4 16" xfId="44579"/>
    <cellStyle name="Note 4 16 2" xfId="44580"/>
    <cellStyle name="Note 4 16 2 2" xfId="44581"/>
    <cellStyle name="Note 4 16 2 2 2" xfId="44582"/>
    <cellStyle name="Note 4 16 3" xfId="44583"/>
    <cellStyle name="Note 4 16 3 2" xfId="44584"/>
    <cellStyle name="Note 4 17" xfId="44585"/>
    <cellStyle name="Note 4 17 2" xfId="44586"/>
    <cellStyle name="Note 4 17 2 2" xfId="44587"/>
    <cellStyle name="Note 4 18" xfId="44588"/>
    <cellStyle name="Note 4 18 2" xfId="44589"/>
    <cellStyle name="Note 4 19" xfId="44590"/>
    <cellStyle name="Note 4 2" xfId="44591"/>
    <cellStyle name="Note 4 2 10" xfId="44592"/>
    <cellStyle name="Note 4 2 11" xfId="44593"/>
    <cellStyle name="Note 4 2 2" xfId="44594"/>
    <cellStyle name="Note 4 2 2 2" xfId="44595"/>
    <cellStyle name="Note 4 2 2 2 2" xfId="44596"/>
    <cellStyle name="Note 4 2 2 2 2 2" xfId="44597"/>
    <cellStyle name="Note 4 2 2 2 2 2 2" xfId="44598"/>
    <cellStyle name="Note 4 2 2 2 2 2 2 2" xfId="44599"/>
    <cellStyle name="Note 4 2 2 2 2 3" xfId="44600"/>
    <cellStyle name="Note 4 2 2 2 2 3 2" xfId="44601"/>
    <cellStyle name="Note 4 2 2 2 3" xfId="44602"/>
    <cellStyle name="Note 4 2 2 2 3 2" xfId="44603"/>
    <cellStyle name="Note 4 2 2 2 3 2 2" xfId="44604"/>
    <cellStyle name="Note 4 2 2 2 4" xfId="44605"/>
    <cellStyle name="Note 4 2 2 2 4 2" xfId="44606"/>
    <cellStyle name="Note 4 2 2 3" xfId="44607"/>
    <cellStyle name="Note 4 2 2 3 2" xfId="44608"/>
    <cellStyle name="Note 4 2 2 3 2 2" xfId="44609"/>
    <cellStyle name="Note 4 2 2 3 2 2 2" xfId="44610"/>
    <cellStyle name="Note 4 2 2 3 3" xfId="44611"/>
    <cellStyle name="Note 4 2 2 3 3 2" xfId="44612"/>
    <cellStyle name="Note 4 2 2 4" xfId="44613"/>
    <cellStyle name="Note 4 2 2 4 2" xfId="44614"/>
    <cellStyle name="Note 4 2 2 4 2 2" xfId="44615"/>
    <cellStyle name="Note 4 2 2 5" xfId="44616"/>
    <cellStyle name="Note 4 2 2 5 2" xfId="44617"/>
    <cellStyle name="Note 4 2 2 6" xfId="44618"/>
    <cellStyle name="Note 4 2 2 7" xfId="44619"/>
    <cellStyle name="Note 4 2 2 8" xfId="44620"/>
    <cellStyle name="Note 4 2 3" xfId="44621"/>
    <cellStyle name="Note 4 2 3 2" xfId="44622"/>
    <cellStyle name="Note 4 2 3 2 2" xfId="44623"/>
    <cellStyle name="Note 4 2 3 2 2 2" xfId="44624"/>
    <cellStyle name="Note 4 2 3 2 2 2 2" xfId="44625"/>
    <cellStyle name="Note 4 2 3 2 3" xfId="44626"/>
    <cellStyle name="Note 4 2 3 2 3 2" xfId="44627"/>
    <cellStyle name="Note 4 2 3 3" xfId="44628"/>
    <cellStyle name="Note 4 2 3 3 2" xfId="44629"/>
    <cellStyle name="Note 4 2 3 3 2 2" xfId="44630"/>
    <cellStyle name="Note 4 2 3 4" xfId="44631"/>
    <cellStyle name="Note 4 2 3 4 2" xfId="44632"/>
    <cellStyle name="Note 4 2 3 5" xfId="44633"/>
    <cellStyle name="Note 4 2 3 6" xfId="44634"/>
    <cellStyle name="Note 4 2 3 7" xfId="44635"/>
    <cellStyle name="Note 4 2 4" xfId="44636"/>
    <cellStyle name="Note 4 2 4 2" xfId="44637"/>
    <cellStyle name="Note 4 2 4 2 2" xfId="44638"/>
    <cellStyle name="Note 4 2 4 2 2 2" xfId="44639"/>
    <cellStyle name="Note 4 2 4 3" xfId="44640"/>
    <cellStyle name="Note 4 2 4 3 2" xfId="44641"/>
    <cellStyle name="Note 4 2 4 4" xfId="44642"/>
    <cellStyle name="Note 4 2 5" xfId="44643"/>
    <cellStyle name="Note 4 2 5 2" xfId="44644"/>
    <cellStyle name="Note 4 2 5 2 2" xfId="44645"/>
    <cellStyle name="Note 4 2 6" xfId="44646"/>
    <cellStyle name="Note 4 2 6 2" xfId="44647"/>
    <cellStyle name="Note 4 2 7" xfId="44648"/>
    <cellStyle name="Note 4 2 8" xfId="44649"/>
    <cellStyle name="Note 4 2 9" xfId="44650"/>
    <cellStyle name="Note 4 20" xfId="44651"/>
    <cellStyle name="Note 4 21" xfId="44652"/>
    <cellStyle name="Note 4 22" xfId="44653"/>
    <cellStyle name="Note 4 23" xfId="44654"/>
    <cellStyle name="Note 4 3" xfId="44655"/>
    <cellStyle name="Note 4 3 10" xfId="44656"/>
    <cellStyle name="Note 4 3 11" xfId="44657"/>
    <cellStyle name="Note 4 3 2" xfId="44658"/>
    <cellStyle name="Note 4 3 2 2" xfId="44659"/>
    <cellStyle name="Note 4 3 2 2 2" xfId="44660"/>
    <cellStyle name="Note 4 3 2 2 2 2" xfId="44661"/>
    <cellStyle name="Note 4 3 2 2 2 2 2" xfId="44662"/>
    <cellStyle name="Note 4 3 2 2 2 2 2 2" xfId="44663"/>
    <cellStyle name="Note 4 3 2 2 2 3" xfId="44664"/>
    <cellStyle name="Note 4 3 2 2 2 3 2" xfId="44665"/>
    <cellStyle name="Note 4 3 2 2 3" xfId="44666"/>
    <cellStyle name="Note 4 3 2 2 3 2" xfId="44667"/>
    <cellStyle name="Note 4 3 2 2 3 2 2" xfId="44668"/>
    <cellStyle name="Note 4 3 2 2 4" xfId="44669"/>
    <cellStyle name="Note 4 3 2 2 4 2" xfId="44670"/>
    <cellStyle name="Note 4 3 2 3" xfId="44671"/>
    <cellStyle name="Note 4 3 2 3 2" xfId="44672"/>
    <cellStyle name="Note 4 3 2 3 2 2" xfId="44673"/>
    <cellStyle name="Note 4 3 2 3 2 2 2" xfId="44674"/>
    <cellStyle name="Note 4 3 2 3 3" xfId="44675"/>
    <cellStyle name="Note 4 3 2 3 3 2" xfId="44676"/>
    <cellStyle name="Note 4 3 2 4" xfId="44677"/>
    <cellStyle name="Note 4 3 2 4 2" xfId="44678"/>
    <cellStyle name="Note 4 3 2 4 2 2" xfId="44679"/>
    <cellStyle name="Note 4 3 2 5" xfId="44680"/>
    <cellStyle name="Note 4 3 2 5 2" xfId="44681"/>
    <cellStyle name="Note 4 3 2 6" xfId="44682"/>
    <cellStyle name="Note 4 3 2 7" xfId="44683"/>
    <cellStyle name="Note 4 3 2 8" xfId="44684"/>
    <cellStyle name="Note 4 3 3" xfId="44685"/>
    <cellStyle name="Note 4 3 3 2" xfId="44686"/>
    <cellStyle name="Note 4 3 3 2 2" xfId="44687"/>
    <cellStyle name="Note 4 3 3 2 2 2" xfId="44688"/>
    <cellStyle name="Note 4 3 3 2 2 2 2" xfId="44689"/>
    <cellStyle name="Note 4 3 3 2 3" xfId="44690"/>
    <cellStyle name="Note 4 3 3 2 3 2" xfId="44691"/>
    <cellStyle name="Note 4 3 3 3" xfId="44692"/>
    <cellStyle name="Note 4 3 3 3 2" xfId="44693"/>
    <cellStyle name="Note 4 3 3 3 2 2" xfId="44694"/>
    <cellStyle name="Note 4 3 3 4" xfId="44695"/>
    <cellStyle name="Note 4 3 3 4 2" xfId="44696"/>
    <cellStyle name="Note 4 3 3 5" xfId="44697"/>
    <cellStyle name="Note 4 3 3 6" xfId="44698"/>
    <cellStyle name="Note 4 3 3 7" xfId="44699"/>
    <cellStyle name="Note 4 3 4" xfId="44700"/>
    <cellStyle name="Note 4 3 4 2" xfId="44701"/>
    <cellStyle name="Note 4 3 4 2 2" xfId="44702"/>
    <cellStyle name="Note 4 3 4 2 2 2" xfId="44703"/>
    <cellStyle name="Note 4 3 4 3" xfId="44704"/>
    <cellStyle name="Note 4 3 4 3 2" xfId="44705"/>
    <cellStyle name="Note 4 3 4 4" xfId="44706"/>
    <cellStyle name="Note 4 3 5" xfId="44707"/>
    <cellStyle name="Note 4 3 5 2" xfId="44708"/>
    <cellStyle name="Note 4 3 5 2 2" xfId="44709"/>
    <cellStyle name="Note 4 3 6" xfId="44710"/>
    <cellStyle name="Note 4 3 6 2" xfId="44711"/>
    <cellStyle name="Note 4 3 7" xfId="44712"/>
    <cellStyle name="Note 4 3 8" xfId="44713"/>
    <cellStyle name="Note 4 3 9" xfId="44714"/>
    <cellStyle name="Note 4 4" xfId="44715"/>
    <cellStyle name="Note 4 4 2" xfId="44716"/>
    <cellStyle name="Note 4 4 2 2" xfId="44717"/>
    <cellStyle name="Note 4 4 2 2 2" xfId="44718"/>
    <cellStyle name="Note 4 4 2 2 2 2" xfId="44719"/>
    <cellStyle name="Note 4 4 2 2 2 2 2" xfId="44720"/>
    <cellStyle name="Note 4 4 2 2 2 2 2 2" xfId="44721"/>
    <cellStyle name="Note 4 4 2 2 2 3" xfId="44722"/>
    <cellStyle name="Note 4 4 2 2 2 3 2" xfId="44723"/>
    <cellStyle name="Note 4 4 2 2 3" xfId="44724"/>
    <cellStyle name="Note 4 4 2 2 3 2" xfId="44725"/>
    <cellStyle name="Note 4 4 2 2 3 2 2" xfId="44726"/>
    <cellStyle name="Note 4 4 2 2 4" xfId="44727"/>
    <cellStyle name="Note 4 4 2 2 4 2" xfId="44728"/>
    <cellStyle name="Note 4 4 2 3" xfId="44729"/>
    <cellStyle name="Note 4 4 2 3 2" xfId="44730"/>
    <cellStyle name="Note 4 4 2 3 2 2" xfId="44731"/>
    <cellStyle name="Note 4 4 2 3 2 2 2" xfId="44732"/>
    <cellStyle name="Note 4 4 2 3 3" xfId="44733"/>
    <cellStyle name="Note 4 4 2 3 3 2" xfId="44734"/>
    <cellStyle name="Note 4 4 2 4" xfId="44735"/>
    <cellStyle name="Note 4 4 2 4 2" xfId="44736"/>
    <cellStyle name="Note 4 4 2 4 2 2" xfId="44737"/>
    <cellStyle name="Note 4 4 2 5" xfId="44738"/>
    <cellStyle name="Note 4 4 2 5 2" xfId="44739"/>
    <cellStyle name="Note 4 4 3" xfId="44740"/>
    <cellStyle name="Note 4 4 3 2" xfId="44741"/>
    <cellStyle name="Note 4 4 3 2 2" xfId="44742"/>
    <cellStyle name="Note 4 4 3 2 2 2" xfId="44743"/>
    <cellStyle name="Note 4 4 3 2 2 2 2" xfId="44744"/>
    <cellStyle name="Note 4 4 3 2 3" xfId="44745"/>
    <cellStyle name="Note 4 4 3 2 3 2" xfId="44746"/>
    <cellStyle name="Note 4 4 3 3" xfId="44747"/>
    <cellStyle name="Note 4 4 3 3 2" xfId="44748"/>
    <cellStyle name="Note 4 4 3 3 2 2" xfId="44749"/>
    <cellStyle name="Note 4 4 3 4" xfId="44750"/>
    <cellStyle name="Note 4 4 3 4 2" xfId="44751"/>
    <cellStyle name="Note 4 4 4" xfId="44752"/>
    <cellStyle name="Note 4 4 4 2" xfId="44753"/>
    <cellStyle name="Note 4 4 4 2 2" xfId="44754"/>
    <cellStyle name="Note 4 4 4 2 2 2" xfId="44755"/>
    <cellStyle name="Note 4 4 4 3" xfId="44756"/>
    <cellStyle name="Note 4 4 4 3 2" xfId="44757"/>
    <cellStyle name="Note 4 4 5" xfId="44758"/>
    <cellStyle name="Note 4 4 5 2" xfId="44759"/>
    <cellStyle name="Note 4 4 5 2 2" xfId="44760"/>
    <cellStyle name="Note 4 4 6" xfId="44761"/>
    <cellStyle name="Note 4 4 6 2" xfId="44762"/>
    <cellStyle name="Note 4 4 7" xfId="44763"/>
    <cellStyle name="Note 4 5" xfId="44764"/>
    <cellStyle name="Note 4 5 2" xfId="44765"/>
    <cellStyle name="Note 4 5 2 2" xfId="44766"/>
    <cellStyle name="Note 4 5 2 2 2" xfId="44767"/>
    <cellStyle name="Note 4 5 2 2 2 2" xfId="44768"/>
    <cellStyle name="Note 4 5 2 2 2 2 2" xfId="44769"/>
    <cellStyle name="Note 4 5 2 2 2 2 2 2" xfId="44770"/>
    <cellStyle name="Note 4 5 2 2 2 3" xfId="44771"/>
    <cellStyle name="Note 4 5 2 2 2 3 2" xfId="44772"/>
    <cellStyle name="Note 4 5 2 2 3" xfId="44773"/>
    <cellStyle name="Note 4 5 2 2 3 2" xfId="44774"/>
    <cellStyle name="Note 4 5 2 2 3 2 2" xfId="44775"/>
    <cellStyle name="Note 4 5 2 2 4" xfId="44776"/>
    <cellStyle name="Note 4 5 2 2 4 2" xfId="44777"/>
    <cellStyle name="Note 4 5 2 3" xfId="44778"/>
    <cellStyle name="Note 4 5 2 3 2" xfId="44779"/>
    <cellStyle name="Note 4 5 2 3 2 2" xfId="44780"/>
    <cellStyle name="Note 4 5 2 3 2 2 2" xfId="44781"/>
    <cellStyle name="Note 4 5 2 3 3" xfId="44782"/>
    <cellStyle name="Note 4 5 2 3 3 2" xfId="44783"/>
    <cellStyle name="Note 4 5 2 4" xfId="44784"/>
    <cellStyle name="Note 4 5 2 4 2" xfId="44785"/>
    <cellStyle name="Note 4 5 2 4 2 2" xfId="44786"/>
    <cellStyle name="Note 4 5 2 5" xfId="44787"/>
    <cellStyle name="Note 4 5 2 5 2" xfId="44788"/>
    <cellStyle name="Note 4 5 3" xfId="44789"/>
    <cellStyle name="Note 4 5 3 2" xfId="44790"/>
    <cellStyle name="Note 4 5 3 2 2" xfId="44791"/>
    <cellStyle name="Note 4 5 3 2 2 2" xfId="44792"/>
    <cellStyle name="Note 4 5 3 2 2 2 2" xfId="44793"/>
    <cellStyle name="Note 4 5 3 2 3" xfId="44794"/>
    <cellStyle name="Note 4 5 3 2 3 2" xfId="44795"/>
    <cellStyle name="Note 4 5 3 3" xfId="44796"/>
    <cellStyle name="Note 4 5 3 3 2" xfId="44797"/>
    <cellStyle name="Note 4 5 3 3 2 2" xfId="44798"/>
    <cellStyle name="Note 4 5 3 4" xfId="44799"/>
    <cellStyle name="Note 4 5 3 4 2" xfId="44800"/>
    <cellStyle name="Note 4 5 4" xfId="44801"/>
    <cellStyle name="Note 4 5 4 2" xfId="44802"/>
    <cellStyle name="Note 4 5 4 2 2" xfId="44803"/>
    <cellStyle name="Note 4 5 4 2 2 2" xfId="44804"/>
    <cellStyle name="Note 4 5 4 3" xfId="44805"/>
    <cellStyle name="Note 4 5 4 3 2" xfId="44806"/>
    <cellStyle name="Note 4 5 5" xfId="44807"/>
    <cellStyle name="Note 4 5 5 2" xfId="44808"/>
    <cellStyle name="Note 4 5 5 2 2" xfId="44809"/>
    <cellStyle name="Note 4 5 6" xfId="44810"/>
    <cellStyle name="Note 4 5 6 2" xfId="44811"/>
    <cellStyle name="Note 4 5 7" xfId="44812"/>
    <cellStyle name="Note 4 6" xfId="44813"/>
    <cellStyle name="Note 4 6 2" xfId="44814"/>
    <cellStyle name="Note 4 6 2 2" xfId="44815"/>
    <cellStyle name="Note 4 6 2 2 2" xfId="44816"/>
    <cellStyle name="Note 4 6 2 2 2 2" xfId="44817"/>
    <cellStyle name="Note 4 6 2 2 2 2 2" xfId="44818"/>
    <cellStyle name="Note 4 6 2 2 2 2 2 2" xfId="44819"/>
    <cellStyle name="Note 4 6 2 2 2 3" xfId="44820"/>
    <cellStyle name="Note 4 6 2 2 2 3 2" xfId="44821"/>
    <cellStyle name="Note 4 6 2 2 3" xfId="44822"/>
    <cellStyle name="Note 4 6 2 2 3 2" xfId="44823"/>
    <cellStyle name="Note 4 6 2 2 3 2 2" xfId="44824"/>
    <cellStyle name="Note 4 6 2 2 4" xfId="44825"/>
    <cellStyle name="Note 4 6 2 2 4 2" xfId="44826"/>
    <cellStyle name="Note 4 6 2 3" xfId="44827"/>
    <cellStyle name="Note 4 6 2 3 2" xfId="44828"/>
    <cellStyle name="Note 4 6 2 3 2 2" xfId="44829"/>
    <cellStyle name="Note 4 6 2 3 2 2 2" xfId="44830"/>
    <cellStyle name="Note 4 6 2 3 3" xfId="44831"/>
    <cellStyle name="Note 4 6 2 3 3 2" xfId="44832"/>
    <cellStyle name="Note 4 6 2 4" xfId="44833"/>
    <cellStyle name="Note 4 6 2 4 2" xfId="44834"/>
    <cellStyle name="Note 4 6 2 4 2 2" xfId="44835"/>
    <cellStyle name="Note 4 6 2 5" xfId="44836"/>
    <cellStyle name="Note 4 6 2 5 2" xfId="44837"/>
    <cellStyle name="Note 4 6 3" xfId="44838"/>
    <cellStyle name="Note 4 6 3 2" xfId="44839"/>
    <cellStyle name="Note 4 6 3 2 2" xfId="44840"/>
    <cellStyle name="Note 4 6 3 2 2 2" xfId="44841"/>
    <cellStyle name="Note 4 6 3 2 2 2 2" xfId="44842"/>
    <cellStyle name="Note 4 6 3 2 3" xfId="44843"/>
    <cellStyle name="Note 4 6 3 2 3 2" xfId="44844"/>
    <cellStyle name="Note 4 6 3 3" xfId="44845"/>
    <cellStyle name="Note 4 6 3 3 2" xfId="44846"/>
    <cellStyle name="Note 4 6 3 3 2 2" xfId="44847"/>
    <cellStyle name="Note 4 6 3 4" xfId="44848"/>
    <cellStyle name="Note 4 6 3 4 2" xfId="44849"/>
    <cellStyle name="Note 4 6 4" xfId="44850"/>
    <cellStyle name="Note 4 6 4 2" xfId="44851"/>
    <cellStyle name="Note 4 6 4 2 2" xfId="44852"/>
    <cellStyle name="Note 4 6 4 2 2 2" xfId="44853"/>
    <cellStyle name="Note 4 6 4 3" xfId="44854"/>
    <cellStyle name="Note 4 6 4 3 2" xfId="44855"/>
    <cellStyle name="Note 4 6 5" xfId="44856"/>
    <cellStyle name="Note 4 6 5 2" xfId="44857"/>
    <cellStyle name="Note 4 6 5 2 2" xfId="44858"/>
    <cellStyle name="Note 4 6 6" xfId="44859"/>
    <cellStyle name="Note 4 6 6 2" xfId="44860"/>
    <cellStyle name="Note 4 6 7" xfId="44861"/>
    <cellStyle name="Note 4 7" xfId="44862"/>
    <cellStyle name="Note 4 7 2" xfId="44863"/>
    <cellStyle name="Note 4 7 2 2" xfId="44864"/>
    <cellStyle name="Note 4 7 2 2 2" xfId="44865"/>
    <cellStyle name="Note 4 7 2 2 2 2" xfId="44866"/>
    <cellStyle name="Note 4 7 2 2 2 2 2" xfId="44867"/>
    <cellStyle name="Note 4 7 2 2 2 2 2 2" xfId="44868"/>
    <cellStyle name="Note 4 7 2 2 2 3" xfId="44869"/>
    <cellStyle name="Note 4 7 2 2 2 3 2" xfId="44870"/>
    <cellStyle name="Note 4 7 2 2 3" xfId="44871"/>
    <cellStyle name="Note 4 7 2 2 3 2" xfId="44872"/>
    <cellStyle name="Note 4 7 2 2 3 2 2" xfId="44873"/>
    <cellStyle name="Note 4 7 2 2 4" xfId="44874"/>
    <cellStyle name="Note 4 7 2 2 4 2" xfId="44875"/>
    <cellStyle name="Note 4 7 2 3" xfId="44876"/>
    <cellStyle name="Note 4 7 2 3 2" xfId="44877"/>
    <cellStyle name="Note 4 7 2 3 2 2" xfId="44878"/>
    <cellStyle name="Note 4 7 2 3 2 2 2" xfId="44879"/>
    <cellStyle name="Note 4 7 2 3 3" xfId="44880"/>
    <cellStyle name="Note 4 7 2 3 3 2" xfId="44881"/>
    <cellStyle name="Note 4 7 2 4" xfId="44882"/>
    <cellStyle name="Note 4 7 2 4 2" xfId="44883"/>
    <cellStyle name="Note 4 7 2 4 2 2" xfId="44884"/>
    <cellStyle name="Note 4 7 2 5" xfId="44885"/>
    <cellStyle name="Note 4 7 2 5 2" xfId="44886"/>
    <cellStyle name="Note 4 7 3" xfId="44887"/>
    <cellStyle name="Note 4 7 3 2" xfId="44888"/>
    <cellStyle name="Note 4 7 3 2 2" xfId="44889"/>
    <cellStyle name="Note 4 7 3 2 2 2" xfId="44890"/>
    <cellStyle name="Note 4 7 3 2 2 2 2" xfId="44891"/>
    <cellStyle name="Note 4 7 3 2 3" xfId="44892"/>
    <cellStyle name="Note 4 7 3 2 3 2" xfId="44893"/>
    <cellStyle name="Note 4 7 3 3" xfId="44894"/>
    <cellStyle name="Note 4 7 3 3 2" xfId="44895"/>
    <cellStyle name="Note 4 7 3 3 2 2" xfId="44896"/>
    <cellStyle name="Note 4 7 3 4" xfId="44897"/>
    <cellStyle name="Note 4 7 3 4 2" xfId="44898"/>
    <cellStyle name="Note 4 7 4" xfId="44899"/>
    <cellStyle name="Note 4 7 4 2" xfId="44900"/>
    <cellStyle name="Note 4 7 4 2 2" xfId="44901"/>
    <cellStyle name="Note 4 7 4 2 2 2" xfId="44902"/>
    <cellStyle name="Note 4 7 4 3" xfId="44903"/>
    <cellStyle name="Note 4 7 4 3 2" xfId="44904"/>
    <cellStyle name="Note 4 7 5" xfId="44905"/>
    <cellStyle name="Note 4 7 5 2" xfId="44906"/>
    <cellStyle name="Note 4 7 5 2 2" xfId="44907"/>
    <cellStyle name="Note 4 7 6" xfId="44908"/>
    <cellStyle name="Note 4 7 6 2" xfId="44909"/>
    <cellStyle name="Note 4 7 7" xfId="44910"/>
    <cellStyle name="Note 4 8" xfId="44911"/>
    <cellStyle name="Note 4 8 2" xfId="44912"/>
    <cellStyle name="Note 4 8 2 2" xfId="44913"/>
    <cellStyle name="Note 4 8 2 2 2" xfId="44914"/>
    <cellStyle name="Note 4 8 2 2 2 2" xfId="44915"/>
    <cellStyle name="Note 4 8 2 2 2 2 2" xfId="44916"/>
    <cellStyle name="Note 4 8 2 2 2 2 2 2" xfId="44917"/>
    <cellStyle name="Note 4 8 2 2 2 3" xfId="44918"/>
    <cellStyle name="Note 4 8 2 2 2 3 2" xfId="44919"/>
    <cellStyle name="Note 4 8 2 2 3" xfId="44920"/>
    <cellStyle name="Note 4 8 2 2 3 2" xfId="44921"/>
    <cellStyle name="Note 4 8 2 2 3 2 2" xfId="44922"/>
    <cellStyle name="Note 4 8 2 2 4" xfId="44923"/>
    <cellStyle name="Note 4 8 2 2 4 2" xfId="44924"/>
    <cellStyle name="Note 4 8 2 3" xfId="44925"/>
    <cellStyle name="Note 4 8 2 3 2" xfId="44926"/>
    <cellStyle name="Note 4 8 2 3 2 2" xfId="44927"/>
    <cellStyle name="Note 4 8 2 3 2 2 2" xfId="44928"/>
    <cellStyle name="Note 4 8 2 3 3" xfId="44929"/>
    <cellStyle name="Note 4 8 2 3 3 2" xfId="44930"/>
    <cellStyle name="Note 4 8 2 4" xfId="44931"/>
    <cellStyle name="Note 4 8 2 4 2" xfId="44932"/>
    <cellStyle name="Note 4 8 2 4 2 2" xfId="44933"/>
    <cellStyle name="Note 4 8 2 5" xfId="44934"/>
    <cellStyle name="Note 4 8 2 5 2" xfId="44935"/>
    <cellStyle name="Note 4 8 3" xfId="44936"/>
    <cellStyle name="Note 4 8 3 2" xfId="44937"/>
    <cellStyle name="Note 4 8 3 2 2" xfId="44938"/>
    <cellStyle name="Note 4 8 3 2 2 2" xfId="44939"/>
    <cellStyle name="Note 4 8 3 2 2 2 2" xfId="44940"/>
    <cellStyle name="Note 4 8 3 2 3" xfId="44941"/>
    <cellStyle name="Note 4 8 3 2 3 2" xfId="44942"/>
    <cellStyle name="Note 4 8 3 3" xfId="44943"/>
    <cellStyle name="Note 4 8 3 3 2" xfId="44944"/>
    <cellStyle name="Note 4 8 3 3 2 2" xfId="44945"/>
    <cellStyle name="Note 4 8 3 4" xfId="44946"/>
    <cellStyle name="Note 4 8 3 4 2" xfId="44947"/>
    <cellStyle name="Note 4 8 4" xfId="44948"/>
    <cellStyle name="Note 4 8 4 2" xfId="44949"/>
    <cellStyle name="Note 4 8 4 2 2" xfId="44950"/>
    <cellStyle name="Note 4 8 4 2 2 2" xfId="44951"/>
    <cellStyle name="Note 4 8 4 3" xfId="44952"/>
    <cellStyle name="Note 4 8 4 3 2" xfId="44953"/>
    <cellStyle name="Note 4 8 5" xfId="44954"/>
    <cellStyle name="Note 4 8 5 2" xfId="44955"/>
    <cellStyle name="Note 4 8 5 2 2" xfId="44956"/>
    <cellStyle name="Note 4 8 6" xfId="44957"/>
    <cellStyle name="Note 4 8 6 2" xfId="44958"/>
    <cellStyle name="Note 4 8 7" xfId="44959"/>
    <cellStyle name="Note 4 9" xfId="44960"/>
    <cellStyle name="Note 4 9 2" xfId="44961"/>
    <cellStyle name="Note 4 9 2 2" xfId="44962"/>
    <cellStyle name="Note 4 9 2 2 2" xfId="44963"/>
    <cellStyle name="Note 4 9 2 2 2 2" xfId="44964"/>
    <cellStyle name="Note 4 9 2 2 2 2 2" xfId="44965"/>
    <cellStyle name="Note 4 9 2 2 2 2 2 2" xfId="44966"/>
    <cellStyle name="Note 4 9 2 2 2 3" xfId="44967"/>
    <cellStyle name="Note 4 9 2 2 2 3 2" xfId="44968"/>
    <cellStyle name="Note 4 9 2 2 3" xfId="44969"/>
    <cellStyle name="Note 4 9 2 2 3 2" xfId="44970"/>
    <cellStyle name="Note 4 9 2 2 3 2 2" xfId="44971"/>
    <cellStyle name="Note 4 9 2 2 4" xfId="44972"/>
    <cellStyle name="Note 4 9 2 2 4 2" xfId="44973"/>
    <cellStyle name="Note 4 9 2 3" xfId="44974"/>
    <cellStyle name="Note 4 9 2 3 2" xfId="44975"/>
    <cellStyle name="Note 4 9 2 3 2 2" xfId="44976"/>
    <cellStyle name="Note 4 9 2 3 2 2 2" xfId="44977"/>
    <cellStyle name="Note 4 9 2 3 3" xfId="44978"/>
    <cellStyle name="Note 4 9 2 3 3 2" xfId="44979"/>
    <cellStyle name="Note 4 9 2 4" xfId="44980"/>
    <cellStyle name="Note 4 9 2 4 2" xfId="44981"/>
    <cellStyle name="Note 4 9 2 4 2 2" xfId="44982"/>
    <cellStyle name="Note 4 9 2 5" xfId="44983"/>
    <cellStyle name="Note 4 9 2 5 2" xfId="44984"/>
    <cellStyle name="Note 4 9 3" xfId="44985"/>
    <cellStyle name="Note 4 9 3 2" xfId="44986"/>
    <cellStyle name="Note 4 9 3 2 2" xfId="44987"/>
    <cellStyle name="Note 4 9 3 2 2 2" xfId="44988"/>
    <cellStyle name="Note 4 9 3 2 2 2 2" xfId="44989"/>
    <cellStyle name="Note 4 9 3 2 3" xfId="44990"/>
    <cellStyle name="Note 4 9 3 2 3 2" xfId="44991"/>
    <cellStyle name="Note 4 9 3 3" xfId="44992"/>
    <cellStyle name="Note 4 9 3 3 2" xfId="44993"/>
    <cellStyle name="Note 4 9 3 3 2 2" xfId="44994"/>
    <cellStyle name="Note 4 9 3 4" xfId="44995"/>
    <cellStyle name="Note 4 9 3 4 2" xfId="44996"/>
    <cellStyle name="Note 4 9 4" xfId="44997"/>
    <cellStyle name="Note 4 9 4 2" xfId="44998"/>
    <cellStyle name="Note 4 9 4 2 2" xfId="44999"/>
    <cellStyle name="Note 4 9 4 2 2 2" xfId="45000"/>
    <cellStyle name="Note 4 9 4 3" xfId="45001"/>
    <cellStyle name="Note 4 9 4 3 2" xfId="45002"/>
    <cellStyle name="Note 4 9 5" xfId="45003"/>
    <cellStyle name="Note 4 9 5 2" xfId="45004"/>
    <cellStyle name="Note 4 9 5 2 2" xfId="45005"/>
    <cellStyle name="Note 4 9 6" xfId="45006"/>
    <cellStyle name="Note 4 9 6 2" xfId="45007"/>
    <cellStyle name="Note 4 9 7" xfId="45008"/>
    <cellStyle name="Note 4 9 8" xfId="45009"/>
    <cellStyle name="Note 4 9 9" xfId="45010"/>
    <cellStyle name="Note 40" xfId="45011"/>
    <cellStyle name="Note 40 2" xfId="45012"/>
    <cellStyle name="Note 40 2 2" xfId="45013"/>
    <cellStyle name="Note 40 2 3" xfId="45014"/>
    <cellStyle name="Note 40 2 4" xfId="45015"/>
    <cellStyle name="Note 40 3" xfId="45016"/>
    <cellStyle name="Note 40 3 2" xfId="45017"/>
    <cellStyle name="Note 40 3 3" xfId="45018"/>
    <cellStyle name="Note 40 4" xfId="45019"/>
    <cellStyle name="Note 40 4 2" xfId="45020"/>
    <cellStyle name="Note 40 5" xfId="45021"/>
    <cellStyle name="Note 40 6" xfId="45022"/>
    <cellStyle name="Note 40 7" xfId="45023"/>
    <cellStyle name="Note 41" xfId="45024"/>
    <cellStyle name="Note 41 2" xfId="45025"/>
    <cellStyle name="Note 41 2 2" xfId="45026"/>
    <cellStyle name="Note 41 2 3" xfId="45027"/>
    <cellStyle name="Note 41 2 4" xfId="45028"/>
    <cellStyle name="Note 41 3" xfId="45029"/>
    <cellStyle name="Note 41 3 2" xfId="45030"/>
    <cellStyle name="Note 41 3 3" xfId="45031"/>
    <cellStyle name="Note 41 4" xfId="45032"/>
    <cellStyle name="Note 41 4 2" xfId="45033"/>
    <cellStyle name="Note 41 5" xfId="45034"/>
    <cellStyle name="Note 41 6" xfId="45035"/>
    <cellStyle name="Note 41 7" xfId="45036"/>
    <cellStyle name="Note 42" xfId="45037"/>
    <cellStyle name="Note 42 2" xfId="45038"/>
    <cellStyle name="Note 42 2 2" xfId="45039"/>
    <cellStyle name="Note 42 2 3" xfId="45040"/>
    <cellStyle name="Note 42 2 4" xfId="45041"/>
    <cellStyle name="Note 42 3" xfId="45042"/>
    <cellStyle name="Note 42 3 2" xfId="45043"/>
    <cellStyle name="Note 42 3 3" xfId="45044"/>
    <cellStyle name="Note 42 4" xfId="45045"/>
    <cellStyle name="Note 42 4 2" xfId="45046"/>
    <cellStyle name="Note 42 5" xfId="45047"/>
    <cellStyle name="Note 42 6" xfId="45048"/>
    <cellStyle name="Note 42 7" xfId="45049"/>
    <cellStyle name="Note 43" xfId="45050"/>
    <cellStyle name="Note 43 2" xfId="45051"/>
    <cellStyle name="Note 43 2 2" xfId="45052"/>
    <cellStyle name="Note 43 2 3" xfId="45053"/>
    <cellStyle name="Note 43 2 4" xfId="45054"/>
    <cellStyle name="Note 43 3" xfId="45055"/>
    <cellStyle name="Note 43 3 2" xfId="45056"/>
    <cellStyle name="Note 43 3 3" xfId="45057"/>
    <cellStyle name="Note 43 4" xfId="45058"/>
    <cellStyle name="Note 43 4 2" xfId="45059"/>
    <cellStyle name="Note 43 5" xfId="45060"/>
    <cellStyle name="Note 43 6" xfId="45061"/>
    <cellStyle name="Note 43 7" xfId="45062"/>
    <cellStyle name="Note 44" xfId="45063"/>
    <cellStyle name="Note 44 2" xfId="45064"/>
    <cellStyle name="Note 44 2 2" xfId="45065"/>
    <cellStyle name="Note 44 2 3" xfId="45066"/>
    <cellStyle name="Note 44 2 4" xfId="45067"/>
    <cellStyle name="Note 44 3" xfId="45068"/>
    <cellStyle name="Note 44 3 2" xfId="45069"/>
    <cellStyle name="Note 44 3 3" xfId="45070"/>
    <cellStyle name="Note 44 4" xfId="45071"/>
    <cellStyle name="Note 44 4 2" xfId="45072"/>
    <cellStyle name="Note 44 5" xfId="45073"/>
    <cellStyle name="Note 44 6" xfId="45074"/>
    <cellStyle name="Note 44 7" xfId="45075"/>
    <cellStyle name="Note 45" xfId="45076"/>
    <cellStyle name="Note 45 2" xfId="45077"/>
    <cellStyle name="Note 45 2 2" xfId="45078"/>
    <cellStyle name="Note 45 2 3" xfId="45079"/>
    <cellStyle name="Note 45 2 4" xfId="45080"/>
    <cellStyle name="Note 45 3" xfId="45081"/>
    <cellStyle name="Note 45 3 2" xfId="45082"/>
    <cellStyle name="Note 45 3 3" xfId="45083"/>
    <cellStyle name="Note 45 4" xfId="45084"/>
    <cellStyle name="Note 45 4 2" xfId="45085"/>
    <cellStyle name="Note 45 5" xfId="45086"/>
    <cellStyle name="Note 45 6" xfId="45087"/>
    <cellStyle name="Note 45 7" xfId="45088"/>
    <cellStyle name="Note 46" xfId="45089"/>
    <cellStyle name="Note 46 2" xfId="45090"/>
    <cellStyle name="Note 46 2 2" xfId="45091"/>
    <cellStyle name="Note 46 2 3" xfId="45092"/>
    <cellStyle name="Note 46 2 4" xfId="45093"/>
    <cellStyle name="Note 46 3" xfId="45094"/>
    <cellStyle name="Note 46 3 2" xfId="45095"/>
    <cellStyle name="Note 46 3 3" xfId="45096"/>
    <cellStyle name="Note 46 4" xfId="45097"/>
    <cellStyle name="Note 46 4 2" xfId="45098"/>
    <cellStyle name="Note 46 5" xfId="45099"/>
    <cellStyle name="Note 46 6" xfId="45100"/>
    <cellStyle name="Note 46 7" xfId="45101"/>
    <cellStyle name="Note 47" xfId="45102"/>
    <cellStyle name="Note 47 2" xfId="45103"/>
    <cellStyle name="Note 47 2 2" xfId="45104"/>
    <cellStyle name="Note 47 2 3" xfId="45105"/>
    <cellStyle name="Note 47 2 4" xfId="45106"/>
    <cellStyle name="Note 47 3" xfId="45107"/>
    <cellStyle name="Note 47 3 2" xfId="45108"/>
    <cellStyle name="Note 47 3 3" xfId="45109"/>
    <cellStyle name="Note 47 4" xfId="45110"/>
    <cellStyle name="Note 47 4 2" xfId="45111"/>
    <cellStyle name="Note 47 5" xfId="45112"/>
    <cellStyle name="Note 47 6" xfId="45113"/>
    <cellStyle name="Note 47 7" xfId="45114"/>
    <cellStyle name="Note 48" xfId="45115"/>
    <cellStyle name="Note 48 2" xfId="45116"/>
    <cellStyle name="Note 48 2 2" xfId="45117"/>
    <cellStyle name="Note 48 2 3" xfId="45118"/>
    <cellStyle name="Note 48 2 4" xfId="45119"/>
    <cellStyle name="Note 48 3" xfId="45120"/>
    <cellStyle name="Note 48 3 2" xfId="45121"/>
    <cellStyle name="Note 48 3 3" xfId="45122"/>
    <cellStyle name="Note 48 4" xfId="45123"/>
    <cellStyle name="Note 48 4 2" xfId="45124"/>
    <cellStyle name="Note 48 5" xfId="45125"/>
    <cellStyle name="Note 48 6" xfId="45126"/>
    <cellStyle name="Note 48 7" xfId="45127"/>
    <cellStyle name="Note 49" xfId="45128"/>
    <cellStyle name="Note 49 2" xfId="45129"/>
    <cellStyle name="Note 49 2 2" xfId="45130"/>
    <cellStyle name="Note 49 2 3" xfId="45131"/>
    <cellStyle name="Note 49 2 4" xfId="45132"/>
    <cellStyle name="Note 49 3" xfId="45133"/>
    <cellStyle name="Note 49 3 2" xfId="45134"/>
    <cellStyle name="Note 49 3 3" xfId="45135"/>
    <cellStyle name="Note 49 4" xfId="45136"/>
    <cellStyle name="Note 49 4 2" xfId="45137"/>
    <cellStyle name="Note 49 5" xfId="45138"/>
    <cellStyle name="Note 49 6" xfId="45139"/>
    <cellStyle name="Note 49 7" xfId="45140"/>
    <cellStyle name="Note 5" xfId="45141"/>
    <cellStyle name="Note 5 10" xfId="45142"/>
    <cellStyle name="Note 5 11" xfId="45143"/>
    <cellStyle name="Note 5 12" xfId="45144"/>
    <cellStyle name="Note 5 13" xfId="45145"/>
    <cellStyle name="Note 5 2" xfId="45146"/>
    <cellStyle name="Note 5 2 2" xfId="45147"/>
    <cellStyle name="Note 5 3" xfId="45148"/>
    <cellStyle name="Note 5 3 2" xfId="45149"/>
    <cellStyle name="Note 5 4" xfId="45150"/>
    <cellStyle name="Note 5 4 2" xfId="45151"/>
    <cellStyle name="Note 5 5" xfId="45152"/>
    <cellStyle name="Note 5 5 2" xfId="45153"/>
    <cellStyle name="Note 5 6" xfId="45154"/>
    <cellStyle name="Note 5 6 2" xfId="45155"/>
    <cellStyle name="Note 5 7" xfId="45156"/>
    <cellStyle name="Note 5 7 2" xfId="45157"/>
    <cellStyle name="Note 5 8" xfId="45158"/>
    <cellStyle name="Note 5 8 2" xfId="45159"/>
    <cellStyle name="Note 5 9" xfId="45160"/>
    <cellStyle name="Note 50" xfId="45161"/>
    <cellStyle name="Note 50 2" xfId="45162"/>
    <cellStyle name="Note 50 2 2" xfId="45163"/>
    <cellStyle name="Note 50 2 3" xfId="45164"/>
    <cellStyle name="Note 50 2 4" xfId="45165"/>
    <cellStyle name="Note 50 3" xfId="45166"/>
    <cellStyle name="Note 50 3 2" xfId="45167"/>
    <cellStyle name="Note 50 3 3" xfId="45168"/>
    <cellStyle name="Note 50 4" xfId="45169"/>
    <cellStyle name="Note 50 4 2" xfId="45170"/>
    <cellStyle name="Note 50 5" xfId="45171"/>
    <cellStyle name="Note 50 6" xfId="45172"/>
    <cellStyle name="Note 50 7" xfId="45173"/>
    <cellStyle name="Note 51" xfId="45174"/>
    <cellStyle name="Note 51 2" xfId="45175"/>
    <cellStyle name="Note 51 2 2" xfId="45176"/>
    <cellStyle name="Note 51 2 3" xfId="45177"/>
    <cellStyle name="Note 51 2 4" xfId="45178"/>
    <cellStyle name="Note 51 3" xfId="45179"/>
    <cellStyle name="Note 51 3 2" xfId="45180"/>
    <cellStyle name="Note 51 3 3" xfId="45181"/>
    <cellStyle name="Note 51 4" xfId="45182"/>
    <cellStyle name="Note 51 4 2" xfId="45183"/>
    <cellStyle name="Note 51 5" xfId="45184"/>
    <cellStyle name="Note 51 6" xfId="45185"/>
    <cellStyle name="Note 51 7" xfId="45186"/>
    <cellStyle name="Note 52" xfId="45187"/>
    <cellStyle name="Note 52 2" xfId="45188"/>
    <cellStyle name="Note 52 2 2" xfId="45189"/>
    <cellStyle name="Note 52 2 3" xfId="45190"/>
    <cellStyle name="Note 52 2 4" xfId="45191"/>
    <cellStyle name="Note 52 3" xfId="45192"/>
    <cellStyle name="Note 52 3 2" xfId="45193"/>
    <cellStyle name="Note 52 3 3" xfId="45194"/>
    <cellStyle name="Note 52 4" xfId="45195"/>
    <cellStyle name="Note 52 4 2" xfId="45196"/>
    <cellStyle name="Note 52 5" xfId="45197"/>
    <cellStyle name="Note 52 6" xfId="45198"/>
    <cellStyle name="Note 52 7" xfId="45199"/>
    <cellStyle name="Note 53" xfId="45200"/>
    <cellStyle name="Note 53 2" xfId="45201"/>
    <cellStyle name="Note 53 2 2" xfId="45202"/>
    <cellStyle name="Note 53 2 3" xfId="45203"/>
    <cellStyle name="Note 53 2 4" xfId="45204"/>
    <cellStyle name="Note 53 3" xfId="45205"/>
    <cellStyle name="Note 53 3 2" xfId="45206"/>
    <cellStyle name="Note 53 3 3" xfId="45207"/>
    <cellStyle name="Note 53 4" xfId="45208"/>
    <cellStyle name="Note 53 4 2" xfId="45209"/>
    <cellStyle name="Note 53 5" xfId="45210"/>
    <cellStyle name="Note 53 6" xfId="45211"/>
    <cellStyle name="Note 53 7" xfId="45212"/>
    <cellStyle name="Note 54" xfId="45213"/>
    <cellStyle name="Note 54 2" xfId="45214"/>
    <cellStyle name="Note 54 2 2" xfId="45215"/>
    <cellStyle name="Note 54 2 3" xfId="45216"/>
    <cellStyle name="Note 54 2 4" xfId="45217"/>
    <cellStyle name="Note 54 3" xfId="45218"/>
    <cellStyle name="Note 54 3 2" xfId="45219"/>
    <cellStyle name="Note 54 3 3" xfId="45220"/>
    <cellStyle name="Note 54 4" xfId="45221"/>
    <cellStyle name="Note 54 4 2" xfId="45222"/>
    <cellStyle name="Note 54 5" xfId="45223"/>
    <cellStyle name="Note 54 6" xfId="45224"/>
    <cellStyle name="Note 54 7" xfId="45225"/>
    <cellStyle name="Note 55" xfId="45226"/>
    <cellStyle name="Note 55 2" xfId="45227"/>
    <cellStyle name="Note 55 2 2" xfId="45228"/>
    <cellStyle name="Note 55 2 3" xfId="45229"/>
    <cellStyle name="Note 55 2 4" xfId="45230"/>
    <cellStyle name="Note 55 3" xfId="45231"/>
    <cellStyle name="Note 55 3 2" xfId="45232"/>
    <cellStyle name="Note 55 3 3" xfId="45233"/>
    <cellStyle name="Note 55 4" xfId="45234"/>
    <cellStyle name="Note 55 4 2" xfId="45235"/>
    <cellStyle name="Note 55 5" xfId="45236"/>
    <cellStyle name="Note 55 6" xfId="45237"/>
    <cellStyle name="Note 55 7" xfId="45238"/>
    <cellStyle name="Note 56" xfId="45239"/>
    <cellStyle name="Note 56 2" xfId="45240"/>
    <cellStyle name="Note 56 2 2" xfId="45241"/>
    <cellStyle name="Note 56 2 3" xfId="45242"/>
    <cellStyle name="Note 56 2 4" xfId="45243"/>
    <cellStyle name="Note 56 3" xfId="45244"/>
    <cellStyle name="Note 56 3 2" xfId="45245"/>
    <cellStyle name="Note 56 3 3" xfId="45246"/>
    <cellStyle name="Note 56 4" xfId="45247"/>
    <cellStyle name="Note 56 4 2" xfId="45248"/>
    <cellStyle name="Note 56 5" xfId="45249"/>
    <cellStyle name="Note 56 6" xfId="45250"/>
    <cellStyle name="Note 56 7" xfId="45251"/>
    <cellStyle name="Note 57" xfId="45252"/>
    <cellStyle name="Note 57 2" xfId="45253"/>
    <cellStyle name="Note 57 2 2" xfId="45254"/>
    <cellStyle name="Note 57 2 3" xfId="45255"/>
    <cellStyle name="Note 57 2 4" xfId="45256"/>
    <cellStyle name="Note 57 3" xfId="45257"/>
    <cellStyle name="Note 57 3 2" xfId="45258"/>
    <cellStyle name="Note 57 3 3" xfId="45259"/>
    <cellStyle name="Note 57 4" xfId="45260"/>
    <cellStyle name="Note 57 4 2" xfId="45261"/>
    <cellStyle name="Note 57 5" xfId="45262"/>
    <cellStyle name="Note 57 6" xfId="45263"/>
    <cellStyle name="Note 57 7" xfId="45264"/>
    <cellStyle name="Note 58" xfId="45265"/>
    <cellStyle name="Note 59" xfId="45266"/>
    <cellStyle name="Note 6" xfId="45267"/>
    <cellStyle name="Note 6 10" xfId="45268"/>
    <cellStyle name="Note 6 10 2" xfId="45269"/>
    <cellStyle name="Note 6 10 3" xfId="45270"/>
    <cellStyle name="Note 6 11" xfId="45271"/>
    <cellStyle name="Note 6 11 2" xfId="45272"/>
    <cellStyle name="Note 6 12" xfId="45273"/>
    <cellStyle name="Note 6 13" xfId="45274"/>
    <cellStyle name="Note 6 14" xfId="45275"/>
    <cellStyle name="Note 6 2" xfId="45276"/>
    <cellStyle name="Note 6 3" xfId="45277"/>
    <cellStyle name="Note 6 4" xfId="45278"/>
    <cellStyle name="Note 6 5" xfId="45279"/>
    <cellStyle name="Note 6 6" xfId="45280"/>
    <cellStyle name="Note 6 7" xfId="45281"/>
    <cellStyle name="Note 6 8" xfId="45282"/>
    <cellStyle name="Note 6 9" xfId="45283"/>
    <cellStyle name="Note 6 9 2" xfId="45284"/>
    <cellStyle name="Note 6 9 3" xfId="45285"/>
    <cellStyle name="Note 6 9 4" xfId="45286"/>
    <cellStyle name="Note 60" xfId="45287"/>
    <cellStyle name="Note 61" xfId="45288"/>
    <cellStyle name="Note 62" xfId="45289"/>
    <cellStyle name="Note 63" xfId="45290"/>
    <cellStyle name="Note 64" xfId="45291"/>
    <cellStyle name="Note 65" xfId="45292"/>
    <cellStyle name="Note 65 2" xfId="45293"/>
    <cellStyle name="Note 65 2 2" xfId="45294"/>
    <cellStyle name="Note 65 2 3" xfId="45295"/>
    <cellStyle name="Note 65 2 4" xfId="45296"/>
    <cellStyle name="Note 65 3" xfId="45297"/>
    <cellStyle name="Note 65 3 2" xfId="45298"/>
    <cellStyle name="Note 65 3 3" xfId="45299"/>
    <cellStyle name="Note 65 4" xfId="45300"/>
    <cellStyle name="Note 65 4 2" xfId="45301"/>
    <cellStyle name="Note 65 5" xfId="45302"/>
    <cellStyle name="Note 65 6" xfId="45303"/>
    <cellStyle name="Note 65 7" xfId="45304"/>
    <cellStyle name="Note 66" xfId="45305"/>
    <cellStyle name="Note 66 2" xfId="45306"/>
    <cellStyle name="Note 66 2 2" xfId="45307"/>
    <cellStyle name="Note 66 2 3" xfId="45308"/>
    <cellStyle name="Note 66 2 4" xfId="45309"/>
    <cellStyle name="Note 66 3" xfId="45310"/>
    <cellStyle name="Note 66 3 2" xfId="45311"/>
    <cellStyle name="Note 66 3 3" xfId="45312"/>
    <cellStyle name="Note 66 4" xfId="45313"/>
    <cellStyle name="Note 66 4 2" xfId="45314"/>
    <cellStyle name="Note 66 5" xfId="45315"/>
    <cellStyle name="Note 66 6" xfId="45316"/>
    <cellStyle name="Note 66 7" xfId="45317"/>
    <cellStyle name="Note 67" xfId="45318"/>
    <cellStyle name="Note 67 2" xfId="45319"/>
    <cellStyle name="Note 67 2 2" xfId="45320"/>
    <cellStyle name="Note 67 2 3" xfId="45321"/>
    <cellStyle name="Note 67 2 4" xfId="45322"/>
    <cellStyle name="Note 67 3" xfId="45323"/>
    <cellStyle name="Note 67 3 2" xfId="45324"/>
    <cellStyle name="Note 67 3 3" xfId="45325"/>
    <cellStyle name="Note 67 4" xfId="45326"/>
    <cellStyle name="Note 67 4 2" xfId="45327"/>
    <cellStyle name="Note 67 5" xfId="45328"/>
    <cellStyle name="Note 67 6" xfId="45329"/>
    <cellStyle name="Note 67 7" xfId="45330"/>
    <cellStyle name="Note 68" xfId="45331"/>
    <cellStyle name="Note 68 2" xfId="45332"/>
    <cellStyle name="Note 68 2 2" xfId="45333"/>
    <cellStyle name="Note 68 2 3" xfId="45334"/>
    <cellStyle name="Note 68 2 4" xfId="45335"/>
    <cellStyle name="Note 68 3" xfId="45336"/>
    <cellStyle name="Note 68 3 2" xfId="45337"/>
    <cellStyle name="Note 68 3 3" xfId="45338"/>
    <cellStyle name="Note 68 4" xfId="45339"/>
    <cellStyle name="Note 68 4 2" xfId="45340"/>
    <cellStyle name="Note 68 5" xfId="45341"/>
    <cellStyle name="Note 68 6" xfId="45342"/>
    <cellStyle name="Note 68 7" xfId="45343"/>
    <cellStyle name="Note 69" xfId="45344"/>
    <cellStyle name="Note 69 2" xfId="45345"/>
    <cellStyle name="Note 69 2 2" xfId="45346"/>
    <cellStyle name="Note 69 2 3" xfId="45347"/>
    <cellStyle name="Note 69 2 4" xfId="45348"/>
    <cellStyle name="Note 69 3" xfId="45349"/>
    <cellStyle name="Note 69 3 2" xfId="45350"/>
    <cellStyle name="Note 69 3 3" xfId="45351"/>
    <cellStyle name="Note 69 4" xfId="45352"/>
    <cellStyle name="Note 69 4 2" xfId="45353"/>
    <cellStyle name="Note 69 5" xfId="45354"/>
    <cellStyle name="Note 69 6" xfId="45355"/>
    <cellStyle name="Note 69 7" xfId="45356"/>
    <cellStyle name="Note 7" xfId="45357"/>
    <cellStyle name="Note 7 2" xfId="45358"/>
    <cellStyle name="Note 7 3" xfId="45359"/>
    <cellStyle name="Note 70" xfId="45360"/>
    <cellStyle name="Note 70 2" xfId="45361"/>
    <cellStyle name="Note 70 2 2" xfId="45362"/>
    <cellStyle name="Note 70 2 3" xfId="45363"/>
    <cellStyle name="Note 70 2 4" xfId="45364"/>
    <cellStyle name="Note 70 3" xfId="45365"/>
    <cellStyle name="Note 70 3 2" xfId="45366"/>
    <cellStyle name="Note 70 3 3" xfId="45367"/>
    <cellStyle name="Note 70 4" xfId="45368"/>
    <cellStyle name="Note 70 4 2" xfId="45369"/>
    <cellStyle name="Note 70 5" xfId="45370"/>
    <cellStyle name="Note 70 6" xfId="45371"/>
    <cellStyle name="Note 70 7" xfId="45372"/>
    <cellStyle name="Note 71" xfId="45373"/>
    <cellStyle name="Note 71 2" xfId="45374"/>
    <cellStyle name="Note 71 2 2" xfId="45375"/>
    <cellStyle name="Note 71 2 3" xfId="45376"/>
    <cellStyle name="Note 71 2 4" xfId="45377"/>
    <cellStyle name="Note 71 3" xfId="45378"/>
    <cellStyle name="Note 71 3 2" xfId="45379"/>
    <cellStyle name="Note 71 3 3" xfId="45380"/>
    <cellStyle name="Note 71 4" xfId="45381"/>
    <cellStyle name="Note 71 4 2" xfId="45382"/>
    <cellStyle name="Note 71 5" xfId="45383"/>
    <cellStyle name="Note 71 6" xfId="45384"/>
    <cellStyle name="Note 71 7" xfId="45385"/>
    <cellStyle name="Note 72" xfId="45386"/>
    <cellStyle name="Note 72 2" xfId="45387"/>
    <cellStyle name="Note 72 2 2" xfId="45388"/>
    <cellStyle name="Note 72 2 3" xfId="45389"/>
    <cellStyle name="Note 72 2 4" xfId="45390"/>
    <cellStyle name="Note 72 3" xfId="45391"/>
    <cellStyle name="Note 72 3 2" xfId="45392"/>
    <cellStyle name="Note 72 3 3" xfId="45393"/>
    <cellStyle name="Note 72 4" xfId="45394"/>
    <cellStyle name="Note 72 4 2" xfId="45395"/>
    <cellStyle name="Note 72 5" xfId="45396"/>
    <cellStyle name="Note 72 6" xfId="45397"/>
    <cellStyle name="Note 72 7" xfId="45398"/>
    <cellStyle name="Note 73" xfId="45399"/>
    <cellStyle name="Note 73 2" xfId="45400"/>
    <cellStyle name="Note 73 2 2" xfId="45401"/>
    <cellStyle name="Note 73 2 3" xfId="45402"/>
    <cellStyle name="Note 73 2 4" xfId="45403"/>
    <cellStyle name="Note 73 3" xfId="45404"/>
    <cellStyle name="Note 73 3 2" xfId="45405"/>
    <cellStyle name="Note 73 3 3" xfId="45406"/>
    <cellStyle name="Note 73 4" xfId="45407"/>
    <cellStyle name="Note 73 4 2" xfId="45408"/>
    <cellStyle name="Note 73 5" xfId="45409"/>
    <cellStyle name="Note 73 6" xfId="45410"/>
    <cellStyle name="Note 73 7" xfId="45411"/>
    <cellStyle name="Note 74" xfId="45412"/>
    <cellStyle name="Note 74 2" xfId="45413"/>
    <cellStyle name="Note 74 2 2" xfId="45414"/>
    <cellStyle name="Note 74 2 3" xfId="45415"/>
    <cellStyle name="Note 74 2 4" xfId="45416"/>
    <cellStyle name="Note 74 3" xfId="45417"/>
    <cellStyle name="Note 74 3 2" xfId="45418"/>
    <cellStyle name="Note 74 3 3" xfId="45419"/>
    <cellStyle name="Note 74 4" xfId="45420"/>
    <cellStyle name="Note 74 4 2" xfId="45421"/>
    <cellStyle name="Note 74 5" xfId="45422"/>
    <cellStyle name="Note 74 6" xfId="45423"/>
    <cellStyle name="Note 74 7" xfId="45424"/>
    <cellStyle name="Note 75" xfId="45425"/>
    <cellStyle name="Note 75 2" xfId="45426"/>
    <cellStyle name="Note 75 2 2" xfId="45427"/>
    <cellStyle name="Note 75 2 3" xfId="45428"/>
    <cellStyle name="Note 75 2 4" xfId="45429"/>
    <cellStyle name="Note 75 3" xfId="45430"/>
    <cellStyle name="Note 75 3 2" xfId="45431"/>
    <cellStyle name="Note 75 3 3" xfId="45432"/>
    <cellStyle name="Note 75 4" xfId="45433"/>
    <cellStyle name="Note 75 4 2" xfId="45434"/>
    <cellStyle name="Note 75 5" xfId="45435"/>
    <cellStyle name="Note 75 6" xfId="45436"/>
    <cellStyle name="Note 75 7" xfId="45437"/>
    <cellStyle name="Note 76" xfId="45438"/>
    <cellStyle name="Note 76 2" xfId="45439"/>
    <cellStyle name="Note 76 2 2" xfId="45440"/>
    <cellStyle name="Note 76 2 3" xfId="45441"/>
    <cellStyle name="Note 76 2 4" xfId="45442"/>
    <cellStyle name="Note 76 3" xfId="45443"/>
    <cellStyle name="Note 76 3 2" xfId="45444"/>
    <cellStyle name="Note 76 3 3" xfId="45445"/>
    <cellStyle name="Note 76 4" xfId="45446"/>
    <cellStyle name="Note 76 4 2" xfId="45447"/>
    <cellStyle name="Note 76 5" xfId="45448"/>
    <cellStyle name="Note 76 6" xfId="45449"/>
    <cellStyle name="Note 76 7" xfId="45450"/>
    <cellStyle name="Note 77" xfId="45451"/>
    <cellStyle name="Note 77 2" xfId="45452"/>
    <cellStyle name="Note 77 2 2" xfId="45453"/>
    <cellStyle name="Note 77 2 3" xfId="45454"/>
    <cellStyle name="Note 77 2 4" xfId="45455"/>
    <cellStyle name="Note 77 3" xfId="45456"/>
    <cellStyle name="Note 77 3 2" xfId="45457"/>
    <cellStyle name="Note 77 3 3" xfId="45458"/>
    <cellStyle name="Note 77 4" xfId="45459"/>
    <cellStyle name="Note 77 4 2" xfId="45460"/>
    <cellStyle name="Note 77 5" xfId="45461"/>
    <cellStyle name="Note 77 6" xfId="45462"/>
    <cellStyle name="Note 77 7" xfId="45463"/>
    <cellStyle name="Note 78" xfId="45464"/>
    <cellStyle name="Note 79" xfId="45465"/>
    <cellStyle name="Note 8" xfId="45466"/>
    <cellStyle name="Note 8 10" xfId="45467"/>
    <cellStyle name="Note 8 11" xfId="45468"/>
    <cellStyle name="Note 8 2" xfId="45469"/>
    <cellStyle name="Note 8 2 10" xfId="45470"/>
    <cellStyle name="Note 8 2 2" xfId="45471"/>
    <cellStyle name="Note 8 2 2 2" xfId="45472"/>
    <cellStyle name="Note 8 2 2 2 2" xfId="45473"/>
    <cellStyle name="Note 8 2 2 2 3" xfId="45474"/>
    <cellStyle name="Note 8 2 2 2 4" xfId="45475"/>
    <cellStyle name="Note 8 2 2 3" xfId="45476"/>
    <cellStyle name="Note 8 2 2 3 2" xfId="45477"/>
    <cellStyle name="Note 8 2 2 3 3" xfId="45478"/>
    <cellStyle name="Note 8 2 2 4" xfId="45479"/>
    <cellStyle name="Note 8 2 2 4 2" xfId="45480"/>
    <cellStyle name="Note 8 2 2 5" xfId="45481"/>
    <cellStyle name="Note 8 2 2 6" xfId="45482"/>
    <cellStyle name="Note 8 2 2 7" xfId="45483"/>
    <cellStyle name="Note 8 2 3" xfId="45484"/>
    <cellStyle name="Note 8 2 3 2" xfId="45485"/>
    <cellStyle name="Note 8 2 3 2 2" xfId="45486"/>
    <cellStyle name="Note 8 2 3 2 3" xfId="45487"/>
    <cellStyle name="Note 8 2 3 2 4" xfId="45488"/>
    <cellStyle name="Note 8 2 3 3" xfId="45489"/>
    <cellStyle name="Note 8 2 3 3 2" xfId="45490"/>
    <cellStyle name="Note 8 2 3 3 3" xfId="45491"/>
    <cellStyle name="Note 8 2 3 4" xfId="45492"/>
    <cellStyle name="Note 8 2 3 4 2" xfId="45493"/>
    <cellStyle name="Note 8 2 3 5" xfId="45494"/>
    <cellStyle name="Note 8 2 3 6" xfId="45495"/>
    <cellStyle name="Note 8 2 3 7" xfId="45496"/>
    <cellStyle name="Note 8 2 4" xfId="45497"/>
    <cellStyle name="Note 8 2 4 2" xfId="45498"/>
    <cellStyle name="Note 8 2 4 2 2" xfId="45499"/>
    <cellStyle name="Note 8 2 4 2 3" xfId="45500"/>
    <cellStyle name="Note 8 2 4 2 4" xfId="45501"/>
    <cellStyle name="Note 8 2 4 3" xfId="45502"/>
    <cellStyle name="Note 8 2 4 3 2" xfId="45503"/>
    <cellStyle name="Note 8 2 4 3 3" xfId="45504"/>
    <cellStyle name="Note 8 2 4 4" xfId="45505"/>
    <cellStyle name="Note 8 2 4 4 2" xfId="45506"/>
    <cellStyle name="Note 8 2 4 5" xfId="45507"/>
    <cellStyle name="Note 8 2 4 6" xfId="45508"/>
    <cellStyle name="Note 8 2 4 7" xfId="45509"/>
    <cellStyle name="Note 8 2 5" xfId="45510"/>
    <cellStyle name="Note 8 2 5 2" xfId="45511"/>
    <cellStyle name="Note 8 2 5 3" xfId="45512"/>
    <cellStyle name="Note 8 2 5 4" xfId="45513"/>
    <cellStyle name="Note 8 2 6" xfId="45514"/>
    <cellStyle name="Note 8 2 6 2" xfId="45515"/>
    <cellStyle name="Note 8 2 6 3" xfId="45516"/>
    <cellStyle name="Note 8 2 7" xfId="45517"/>
    <cellStyle name="Note 8 2 7 2" xfId="45518"/>
    <cellStyle name="Note 8 2 8" xfId="45519"/>
    <cellStyle name="Note 8 2 9" xfId="45520"/>
    <cellStyle name="Note 8 3" xfId="45521"/>
    <cellStyle name="Note 8 3 2" xfId="45522"/>
    <cellStyle name="Note 8 3 2 2" xfId="45523"/>
    <cellStyle name="Note 8 3 2 3" xfId="45524"/>
    <cellStyle name="Note 8 3 2 4" xfId="45525"/>
    <cellStyle name="Note 8 3 3" xfId="45526"/>
    <cellStyle name="Note 8 3 3 2" xfId="45527"/>
    <cellStyle name="Note 8 3 3 3" xfId="45528"/>
    <cellStyle name="Note 8 3 4" xfId="45529"/>
    <cellStyle name="Note 8 3 4 2" xfId="45530"/>
    <cellStyle name="Note 8 3 5" xfId="45531"/>
    <cellStyle name="Note 8 3 6" xfId="45532"/>
    <cellStyle name="Note 8 3 7" xfId="45533"/>
    <cellStyle name="Note 8 4" xfId="45534"/>
    <cellStyle name="Note 8 4 2" xfId="45535"/>
    <cellStyle name="Note 8 4 2 2" xfId="45536"/>
    <cellStyle name="Note 8 4 2 3" xfId="45537"/>
    <cellStyle name="Note 8 4 2 4" xfId="45538"/>
    <cellStyle name="Note 8 4 3" xfId="45539"/>
    <cellStyle name="Note 8 4 3 2" xfId="45540"/>
    <cellStyle name="Note 8 4 3 3" xfId="45541"/>
    <cellStyle name="Note 8 4 4" xfId="45542"/>
    <cellStyle name="Note 8 4 4 2" xfId="45543"/>
    <cellStyle name="Note 8 4 5" xfId="45544"/>
    <cellStyle name="Note 8 4 6" xfId="45545"/>
    <cellStyle name="Note 8 4 7" xfId="45546"/>
    <cellStyle name="Note 8 5" xfId="45547"/>
    <cellStyle name="Note 8 5 2" xfId="45548"/>
    <cellStyle name="Note 8 5 2 2" xfId="45549"/>
    <cellStyle name="Note 8 5 2 3" xfId="45550"/>
    <cellStyle name="Note 8 5 2 4" xfId="45551"/>
    <cellStyle name="Note 8 5 3" xfId="45552"/>
    <cellStyle name="Note 8 5 3 2" xfId="45553"/>
    <cellStyle name="Note 8 5 3 3" xfId="45554"/>
    <cellStyle name="Note 8 5 4" xfId="45555"/>
    <cellStyle name="Note 8 5 4 2" xfId="45556"/>
    <cellStyle name="Note 8 5 5" xfId="45557"/>
    <cellStyle name="Note 8 5 6" xfId="45558"/>
    <cellStyle name="Note 8 5 7" xfId="45559"/>
    <cellStyle name="Note 8 6" xfId="45560"/>
    <cellStyle name="Note 8 6 2" xfId="45561"/>
    <cellStyle name="Note 8 6 3" xfId="45562"/>
    <cellStyle name="Note 8 7" xfId="45563"/>
    <cellStyle name="Note 8 7 2" xfId="45564"/>
    <cellStyle name="Note 8 7 3" xfId="45565"/>
    <cellStyle name="Note 8 8" xfId="45566"/>
    <cellStyle name="Note 8 8 2" xfId="45567"/>
    <cellStyle name="Note 8 9" xfId="45568"/>
    <cellStyle name="Note 80" xfId="45569"/>
    <cellStyle name="Note 9" xfId="45570"/>
    <cellStyle name="Note 9 10" xfId="45571"/>
    <cellStyle name="Note 9 2" xfId="45572"/>
    <cellStyle name="Note 9 2 2" xfId="45573"/>
    <cellStyle name="Note 9 2 2 2" xfId="45574"/>
    <cellStyle name="Note 9 2 2 3" xfId="45575"/>
    <cellStyle name="Note 9 2 2 4" xfId="45576"/>
    <cellStyle name="Note 9 2 3" xfId="45577"/>
    <cellStyle name="Note 9 2 3 2" xfId="45578"/>
    <cellStyle name="Note 9 2 3 3" xfId="45579"/>
    <cellStyle name="Note 9 2 4" xfId="45580"/>
    <cellStyle name="Note 9 2 4 2" xfId="45581"/>
    <cellStyle name="Note 9 2 5" xfId="45582"/>
    <cellStyle name="Note 9 2 6" xfId="45583"/>
    <cellStyle name="Note 9 2 7" xfId="45584"/>
    <cellStyle name="Note 9 3" xfId="45585"/>
    <cellStyle name="Note 9 3 2" xfId="45586"/>
    <cellStyle name="Note 9 3 2 2" xfId="45587"/>
    <cellStyle name="Note 9 3 2 3" xfId="45588"/>
    <cellStyle name="Note 9 3 2 4" xfId="45589"/>
    <cellStyle name="Note 9 3 3" xfId="45590"/>
    <cellStyle name="Note 9 3 3 2" xfId="45591"/>
    <cellStyle name="Note 9 3 3 3" xfId="45592"/>
    <cellStyle name="Note 9 3 4" xfId="45593"/>
    <cellStyle name="Note 9 3 4 2" xfId="45594"/>
    <cellStyle name="Note 9 3 5" xfId="45595"/>
    <cellStyle name="Note 9 3 6" xfId="45596"/>
    <cellStyle name="Note 9 3 7" xfId="45597"/>
    <cellStyle name="Note 9 4" xfId="45598"/>
    <cellStyle name="Note 9 4 2" xfId="45599"/>
    <cellStyle name="Note 9 4 2 2" xfId="45600"/>
    <cellStyle name="Note 9 4 2 3" xfId="45601"/>
    <cellStyle name="Note 9 4 2 4" xfId="45602"/>
    <cellStyle name="Note 9 4 3" xfId="45603"/>
    <cellStyle name="Note 9 4 3 2" xfId="45604"/>
    <cellStyle name="Note 9 4 3 3" xfId="45605"/>
    <cellStyle name="Note 9 4 4" xfId="45606"/>
    <cellStyle name="Note 9 4 4 2" xfId="45607"/>
    <cellStyle name="Note 9 4 5" xfId="45608"/>
    <cellStyle name="Note 9 4 6" xfId="45609"/>
    <cellStyle name="Note 9 4 7" xfId="45610"/>
    <cellStyle name="Note 9 5" xfId="45611"/>
    <cellStyle name="Note 9 5 2" xfId="45612"/>
    <cellStyle name="Note 9 5 3" xfId="45613"/>
    <cellStyle name="Note 9 6" xfId="45614"/>
    <cellStyle name="Note 9 6 2" xfId="45615"/>
    <cellStyle name="Note 9 6 3" xfId="45616"/>
    <cellStyle name="Note 9 7" xfId="45617"/>
    <cellStyle name="Note 9 7 2" xfId="45618"/>
    <cellStyle name="Note 9 8" xfId="45619"/>
    <cellStyle name="Note 9 9" xfId="45620"/>
    <cellStyle name="nPlosion" xfId="45621"/>
    <cellStyle name="nPlosion 2" xfId="45622"/>
    <cellStyle name="nPlosion 3" xfId="45623"/>
    <cellStyle name="nPlosion 4" xfId="45624"/>
    <cellStyle name="nPlosion 5" xfId="45625"/>
    <cellStyle name="nPlosion 6" xfId="45626"/>
    <cellStyle name="Number" xfId="45627"/>
    <cellStyle name="Number2DecimalStyle" xfId="45628"/>
    <cellStyle name="Number4DecimalStyle" xfId="45629"/>
    <cellStyle name="nVision" xfId="45630"/>
    <cellStyle name="OBI_ColHeader" xfId="45631"/>
    <cellStyle name="optionalDate" xfId="45632"/>
    <cellStyle name="optionalDate 2" xfId="45633"/>
    <cellStyle name="optionalExposure" xfId="45634"/>
    <cellStyle name="optionalExposure 2" xfId="45635"/>
    <cellStyle name="optionalExposure 2 2" xfId="45636"/>
    <cellStyle name="optionalExposure 3" xfId="45637"/>
    <cellStyle name="optionalExposure 4" xfId="45638"/>
    <cellStyle name="optionalExposure 5" xfId="45639"/>
    <cellStyle name="optionalExposure_Northern Rock" xfId="45640"/>
    <cellStyle name="optionalMaturity" xfId="45641"/>
    <cellStyle name="optionalMaturity 2" xfId="45642"/>
    <cellStyle name="optionalPD" xfId="45643"/>
    <cellStyle name="optionalPD 2" xfId="45644"/>
    <cellStyle name="optionalPercentage" xfId="45645"/>
    <cellStyle name="optionalPercentage 2" xfId="45646"/>
    <cellStyle name="optionalPercentageL" xfId="45647"/>
    <cellStyle name="optionalPercentageL 2" xfId="45648"/>
    <cellStyle name="optionalPercentageS" xfId="45649"/>
    <cellStyle name="optionalPercentageS 2" xfId="45650"/>
    <cellStyle name="optionalSelection" xfId="45651"/>
    <cellStyle name="optionalSelection 2" xfId="45652"/>
    <cellStyle name="optionalText" xfId="45653"/>
    <cellStyle name="optionalText 2" xfId="45654"/>
    <cellStyle name="orange text cell" xfId="45655"/>
    <cellStyle name="Output 10" xfId="45656"/>
    <cellStyle name="Output 10 2" xfId="45657"/>
    <cellStyle name="Output 11" xfId="45658"/>
    <cellStyle name="Output 11 2" xfId="45659"/>
    <cellStyle name="Output 12" xfId="45660"/>
    <cellStyle name="Output 12 2" xfId="45661"/>
    <cellStyle name="Output 13" xfId="45662"/>
    <cellStyle name="Output 13 2" xfId="45663"/>
    <cellStyle name="Output 14" xfId="45664"/>
    <cellStyle name="Output 14 2" xfId="45665"/>
    <cellStyle name="Output 14 3" xfId="45666"/>
    <cellStyle name="Output 15" xfId="45667"/>
    <cellStyle name="Output 15 2" xfId="45668"/>
    <cellStyle name="Output 16" xfId="45669"/>
    <cellStyle name="Output 16 2" xfId="45670"/>
    <cellStyle name="Output 17" xfId="45671"/>
    <cellStyle name="Output 17 2" xfId="45672"/>
    <cellStyle name="Output 18" xfId="45673"/>
    <cellStyle name="Output 18 2" xfId="45674"/>
    <cellStyle name="Output 19" xfId="45675"/>
    <cellStyle name="Output 19 2" xfId="45676"/>
    <cellStyle name="Output 2" xfId="45677"/>
    <cellStyle name="Output 2 10" xfId="45678"/>
    <cellStyle name="Output 2 11" xfId="45679"/>
    <cellStyle name="Output 2 12" xfId="45680"/>
    <cellStyle name="Output 2 13" xfId="45681"/>
    <cellStyle name="Output 2 14" xfId="45682"/>
    <cellStyle name="Output 2 14 2" xfId="45683"/>
    <cellStyle name="Output 2 15" xfId="45684"/>
    <cellStyle name="Output 2 2" xfId="45685"/>
    <cellStyle name="Output 2 2 2" xfId="45686"/>
    <cellStyle name="Output 2 3" xfId="45687"/>
    <cellStyle name="Output 2 4" xfId="45688"/>
    <cellStyle name="Output 2 5" xfId="45689"/>
    <cellStyle name="Output 2 6" xfId="45690"/>
    <cellStyle name="Output 2 7" xfId="45691"/>
    <cellStyle name="Output 2 8" xfId="45692"/>
    <cellStyle name="Output 2 9" xfId="45693"/>
    <cellStyle name="Output 2_Northern Rock" xfId="45694"/>
    <cellStyle name="Output 20" xfId="45695"/>
    <cellStyle name="Output 21" xfId="45696"/>
    <cellStyle name="Output 22" xfId="45697"/>
    <cellStyle name="Output 23" xfId="45698"/>
    <cellStyle name="Output 24" xfId="45699"/>
    <cellStyle name="Output 25" xfId="45700"/>
    <cellStyle name="Output 26" xfId="45701"/>
    <cellStyle name="Output 27" xfId="45702"/>
    <cellStyle name="Output 28" xfId="45703"/>
    <cellStyle name="Output 29" xfId="45704"/>
    <cellStyle name="Output 3" xfId="45705"/>
    <cellStyle name="Output 3 2" xfId="45706"/>
    <cellStyle name="Output 3 2 2" xfId="45707"/>
    <cellStyle name="Output 3 3" xfId="45708"/>
    <cellStyle name="Output 3 4" xfId="45709"/>
    <cellStyle name="Output 30" xfId="45710"/>
    <cellStyle name="Output 31" xfId="45711"/>
    <cellStyle name="Output 32" xfId="45712"/>
    <cellStyle name="Output 33" xfId="45713"/>
    <cellStyle name="Output 34" xfId="45714"/>
    <cellStyle name="Output 35" xfId="45715"/>
    <cellStyle name="Output 36" xfId="45716"/>
    <cellStyle name="Output 37" xfId="45717"/>
    <cellStyle name="Output 38" xfId="45718"/>
    <cellStyle name="Output 39" xfId="45719"/>
    <cellStyle name="Output 4" xfId="45720"/>
    <cellStyle name="Output 4 2" xfId="45721"/>
    <cellStyle name="Output 4 3" xfId="45722"/>
    <cellStyle name="Output 40" xfId="45723"/>
    <cellStyle name="Output 41" xfId="45724"/>
    <cellStyle name="Output 42" xfId="45725"/>
    <cellStyle name="Output 43" xfId="45726"/>
    <cellStyle name="Output 44" xfId="45727"/>
    <cellStyle name="Output 45" xfId="45728"/>
    <cellStyle name="Output 46" xfId="45729"/>
    <cellStyle name="Output 47" xfId="45730"/>
    <cellStyle name="Output 5" xfId="45731"/>
    <cellStyle name="Output 5 2" xfId="45732"/>
    <cellStyle name="Output 6" xfId="45733"/>
    <cellStyle name="Output 6 2" xfId="45734"/>
    <cellStyle name="Output 6 3" xfId="45735"/>
    <cellStyle name="Output 7" xfId="45736"/>
    <cellStyle name="Output 7 2" xfId="45737"/>
    <cellStyle name="Output 7 3" xfId="45738"/>
    <cellStyle name="Output 8" xfId="45739"/>
    <cellStyle name="Output 8 2" xfId="45740"/>
    <cellStyle name="Output 9" xfId="45741"/>
    <cellStyle name="Output 9 2" xfId="45742"/>
    <cellStyle name="OUTPUT AMOUNTS" xfId="45743"/>
    <cellStyle name="OUTPUT COLUMN HEADINGS" xfId="45744"/>
    <cellStyle name="Output Line Items" xfId="45745"/>
    <cellStyle name="OUTPUT REPORT HEADING" xfId="45746"/>
    <cellStyle name="OUTPUT REPORT TITLE" xfId="45747"/>
    <cellStyle name="Percent" xfId="2" builtinId="5"/>
    <cellStyle name="Percent {2}" xfId="45748"/>
    <cellStyle name="Percent 10" xfId="45749"/>
    <cellStyle name="Percent 10 2" xfId="45750"/>
    <cellStyle name="Percent 10 2 2" xfId="45751"/>
    <cellStyle name="Percent 10 2 2 2" xfId="45752"/>
    <cellStyle name="Percent 10 3" xfId="45753"/>
    <cellStyle name="Percent 10 3 2" xfId="45754"/>
    <cellStyle name="Percent 11" xfId="45755"/>
    <cellStyle name="Percent 11 2" xfId="45756"/>
    <cellStyle name="Percent 11 2 2" xfId="45757"/>
    <cellStyle name="Percent 12" xfId="45758"/>
    <cellStyle name="Percent 12 2" xfId="45759"/>
    <cellStyle name="Percent 12 2 2" xfId="45760"/>
    <cellStyle name="Percent 12 3" xfId="45761"/>
    <cellStyle name="Percent 13" xfId="45762"/>
    <cellStyle name="Percent 13 2" xfId="45763"/>
    <cellStyle name="Percent 13 2 2" xfId="45764"/>
    <cellStyle name="Percent 13 3" xfId="45765"/>
    <cellStyle name="Percent 14" xfId="45766"/>
    <cellStyle name="Percent 14 2" xfId="45767"/>
    <cellStyle name="Percent 15" xfId="45768"/>
    <cellStyle name="Percent 15 2" xfId="45769"/>
    <cellStyle name="Percent 15 3" xfId="6"/>
    <cellStyle name="Percent 16" xfId="45770"/>
    <cellStyle name="Percent 16 2" xfId="45771"/>
    <cellStyle name="Percent 17" xfId="45772"/>
    <cellStyle name="Percent 17 2" xfId="45773"/>
    <cellStyle name="Percent 18" xfId="45774"/>
    <cellStyle name="Percent 19" xfId="45775"/>
    <cellStyle name="Percent 2" xfId="45776"/>
    <cellStyle name="Percent 2 2" xfId="45777"/>
    <cellStyle name="Percent 2 2 2" xfId="45778"/>
    <cellStyle name="Percent 2 2 2 2" xfId="45779"/>
    <cellStyle name="Percent 2 2 3" xfId="45780"/>
    <cellStyle name="Percent 2 3" xfId="45781"/>
    <cellStyle name="Percent 2 3 2" xfId="45782"/>
    <cellStyle name="Percent 2 3 2 2" xfId="45783"/>
    <cellStyle name="Percent 2 4" xfId="45784"/>
    <cellStyle name="Percent 2 5" xfId="45785"/>
    <cellStyle name="Percent 2 6" xfId="45786"/>
    <cellStyle name="Percent 2 7" xfId="45787"/>
    <cellStyle name="Percent 2_Northern Rock" xfId="45788"/>
    <cellStyle name="Percent 20" xfId="45789"/>
    <cellStyle name="Percent 21" xfId="45790"/>
    <cellStyle name="Percent 22" xfId="45791"/>
    <cellStyle name="Percent 23" xfId="45792"/>
    <cellStyle name="Percent 24" xfId="45793"/>
    <cellStyle name="Percent 25" xfId="45794"/>
    <cellStyle name="Percent 26" xfId="45795"/>
    <cellStyle name="Percent 27" xfId="45796"/>
    <cellStyle name="Percent 28" xfId="45797"/>
    <cellStyle name="Percent 29" xfId="45798"/>
    <cellStyle name="Percent 3" xfId="45799"/>
    <cellStyle name="Percent 3 2" xfId="45800"/>
    <cellStyle name="Percent 3 2 2" xfId="45801"/>
    <cellStyle name="Percent 3 2 2 2" xfId="45802"/>
    <cellStyle name="Percent 3 2 3" xfId="45803"/>
    <cellStyle name="Percent 3 2 4" xfId="45804"/>
    <cellStyle name="Percent 3 3" xfId="45805"/>
    <cellStyle name="Percent 3 3 2" xfId="45806"/>
    <cellStyle name="Percent 3 3 3" xfId="45807"/>
    <cellStyle name="Percent 3 3 4" xfId="45808"/>
    <cellStyle name="Percent 3 4" xfId="45809"/>
    <cellStyle name="Percent 3 4 2" xfId="45810"/>
    <cellStyle name="Percent 3 4 3" xfId="45811"/>
    <cellStyle name="Percent 3 4 4" xfId="45812"/>
    <cellStyle name="Percent 3 5" xfId="45813"/>
    <cellStyle name="Percent 3 5 2" xfId="45814"/>
    <cellStyle name="Percent 3 6" xfId="45815"/>
    <cellStyle name="Percent 3 7" xfId="45816"/>
    <cellStyle name="Percent 3 8" xfId="45817"/>
    <cellStyle name="Percent 3 9" xfId="45818"/>
    <cellStyle name="Percent 30" xfId="45819"/>
    <cellStyle name="Percent 31" xfId="45820"/>
    <cellStyle name="Percent 32" xfId="45821"/>
    <cellStyle name="Percent 32 2" xfId="45822"/>
    <cellStyle name="Percent 33" xfId="45823"/>
    <cellStyle name="Percent 33 2" xfId="45824"/>
    <cellStyle name="Percent 34" xfId="45825"/>
    <cellStyle name="Percent 35" xfId="45826"/>
    <cellStyle name="Percent 4" xfId="45827"/>
    <cellStyle name="Percent 4 2" xfId="45828"/>
    <cellStyle name="Percent 4 2 2" xfId="45829"/>
    <cellStyle name="Percent 4 3" xfId="45830"/>
    <cellStyle name="Percent 5" xfId="45831"/>
    <cellStyle name="Percent 5 2" xfId="45832"/>
    <cellStyle name="Percent 6" xfId="45833"/>
    <cellStyle name="Percent 6 2" xfId="45834"/>
    <cellStyle name="Percent 7" xfId="45835"/>
    <cellStyle name="Percent 7 2" xfId="45836"/>
    <cellStyle name="Percent 8" xfId="45837"/>
    <cellStyle name="Percent 8 2" xfId="45838"/>
    <cellStyle name="Percent 9" xfId="45839"/>
    <cellStyle name="Percent 9 2" xfId="45840"/>
    <cellStyle name="PSChar" xfId="45841"/>
    <cellStyle name="PSChar 2" xfId="45842"/>
    <cellStyle name="PSChar 3" xfId="45843"/>
    <cellStyle name="PSChar 4" xfId="45844"/>
    <cellStyle name="PSChar 5" xfId="45845"/>
    <cellStyle name="PSDate" xfId="45846"/>
    <cellStyle name="PSDate 2" xfId="45847"/>
    <cellStyle name="PSDate 3" xfId="45848"/>
    <cellStyle name="PSDate 4" xfId="45849"/>
    <cellStyle name="PSDate 5" xfId="45850"/>
    <cellStyle name="PSDec" xfId="45851"/>
    <cellStyle name="PSDec 2" xfId="45852"/>
    <cellStyle name="PSDec 3" xfId="45853"/>
    <cellStyle name="PSDec 4" xfId="45854"/>
    <cellStyle name="PSDec 5" xfId="45855"/>
    <cellStyle name="PSHeading" xfId="45856"/>
    <cellStyle name="PSHeading 2" xfId="45857"/>
    <cellStyle name="PSHeading 3" xfId="45858"/>
    <cellStyle name="PSHeading 4" xfId="45859"/>
    <cellStyle name="PSHeading_00111 - ATA &amp; ATT" xfId="45860"/>
    <cellStyle name="PSInt" xfId="45861"/>
    <cellStyle name="PSInt 2" xfId="45862"/>
    <cellStyle name="PSInt 3" xfId="45863"/>
    <cellStyle name="PSSpacer" xfId="45864"/>
    <cellStyle name="PSSpacer 2" xfId="45865"/>
    <cellStyle name="PSSpacer 3" xfId="45866"/>
    <cellStyle name="R00A" xfId="45867"/>
    <cellStyle name="R00A 2" xfId="45868"/>
    <cellStyle name="R00A 2 2" xfId="45869"/>
    <cellStyle name="R00A_As of Adjustments" xfId="45870"/>
    <cellStyle name="R00B" xfId="45871"/>
    <cellStyle name="R00B 2" xfId="45872"/>
    <cellStyle name="R00B 3" xfId="45873"/>
    <cellStyle name="R00B_CONTRACT VS MARKET VARIANCE" xfId="45874"/>
    <cellStyle name="R00L" xfId="45875"/>
    <cellStyle name="R00L 2" xfId="45876"/>
    <cellStyle name="R00L 2 2" xfId="45877"/>
    <cellStyle name="R00L_As of Adjustments" xfId="45878"/>
    <cellStyle name="R01A" xfId="45879"/>
    <cellStyle name="R01A 2" xfId="45880"/>
    <cellStyle name="R01A 2 2" xfId="45881"/>
    <cellStyle name="R01A_RSA BLANKRE" xfId="45882"/>
    <cellStyle name="R01B" xfId="45883"/>
    <cellStyle name="R01B 2" xfId="45884"/>
    <cellStyle name="R01B 3" xfId="45885"/>
    <cellStyle name="R01B 4" xfId="45886"/>
    <cellStyle name="R01B_RSA BLANKRE" xfId="45887"/>
    <cellStyle name="R01H" xfId="45888"/>
    <cellStyle name="R01H 2" xfId="45889"/>
    <cellStyle name="R01H 2 2" xfId="45890"/>
    <cellStyle name="R01H_RSA BLANKRE" xfId="45891"/>
    <cellStyle name="R01L" xfId="45892"/>
    <cellStyle name="R01L 2" xfId="45893"/>
    <cellStyle name="R01L 2 2" xfId="45894"/>
    <cellStyle name="R01L_RSA BLANKRE" xfId="45895"/>
    <cellStyle name="R02A" xfId="45896"/>
    <cellStyle name="R02A 2" xfId="45897"/>
    <cellStyle name="R02A 2 2" xfId="45898"/>
    <cellStyle name="R02A_RSA BLANKRE" xfId="45899"/>
    <cellStyle name="R02B" xfId="45900"/>
    <cellStyle name="R02B 2" xfId="45901"/>
    <cellStyle name="R02H" xfId="45902"/>
    <cellStyle name="R02H 2" xfId="45903"/>
    <cellStyle name="R02H 2 2" xfId="45904"/>
    <cellStyle name="R02H_RSA BLANKRE" xfId="45905"/>
    <cellStyle name="R02L" xfId="45906"/>
    <cellStyle name="R02L 2" xfId="45907"/>
    <cellStyle name="R02L 2 2" xfId="45908"/>
    <cellStyle name="R02L_RSA BLANKRE" xfId="45909"/>
    <cellStyle name="R03A" xfId="45910"/>
    <cellStyle name="R03A 2" xfId="45911"/>
    <cellStyle name="R03A 2 2" xfId="45912"/>
    <cellStyle name="R03A_RSA BLANKRE" xfId="45913"/>
    <cellStyle name="R03B" xfId="45914"/>
    <cellStyle name="R03B 2" xfId="45915"/>
    <cellStyle name="R03H" xfId="45916"/>
    <cellStyle name="R03H 2" xfId="45917"/>
    <cellStyle name="R03H 2 2" xfId="45918"/>
    <cellStyle name="R03H_RSA BLANKRE" xfId="45919"/>
    <cellStyle name="R03L" xfId="45920"/>
    <cellStyle name="R03L 2" xfId="45921"/>
    <cellStyle name="R03L 2 2" xfId="45922"/>
    <cellStyle name="R03L_RSA BLANKRE" xfId="45923"/>
    <cellStyle name="R04A" xfId="45924"/>
    <cellStyle name="R04A 2" xfId="45925"/>
    <cellStyle name="R04A 2 2" xfId="45926"/>
    <cellStyle name="R04A_RSA BLANKRE" xfId="45927"/>
    <cellStyle name="R04B" xfId="45928"/>
    <cellStyle name="R04B 2" xfId="45929"/>
    <cellStyle name="R04H" xfId="45930"/>
    <cellStyle name="R04H 2" xfId="45931"/>
    <cellStyle name="R04H 2 2" xfId="45932"/>
    <cellStyle name="R04H_RSA BLANKRE" xfId="45933"/>
    <cellStyle name="R04L" xfId="45934"/>
    <cellStyle name="R04L 2" xfId="45935"/>
    <cellStyle name="R04L 2 2" xfId="45936"/>
    <cellStyle name="R04L_RSA BLANKRE" xfId="45937"/>
    <cellStyle name="R05A" xfId="45938"/>
    <cellStyle name="R05A 2" xfId="45939"/>
    <cellStyle name="R05A 2 2" xfId="45940"/>
    <cellStyle name="R05A_RSA BLANKRE" xfId="45941"/>
    <cellStyle name="R05B" xfId="45942"/>
    <cellStyle name="R05B 2" xfId="45943"/>
    <cellStyle name="R05H" xfId="45944"/>
    <cellStyle name="R05H 2" xfId="45945"/>
    <cellStyle name="R05H 2 2" xfId="45946"/>
    <cellStyle name="R05H_RSA BLANKRE" xfId="45947"/>
    <cellStyle name="R05L" xfId="45948"/>
    <cellStyle name="R05L 2" xfId="45949"/>
    <cellStyle name="R05L 3" xfId="45950"/>
    <cellStyle name="R05L 4" xfId="45951"/>
    <cellStyle name="R05L_RSA BLANKRE" xfId="45952"/>
    <cellStyle name="R06A" xfId="45953"/>
    <cellStyle name="R06A 2" xfId="45954"/>
    <cellStyle name="R06A 2 2" xfId="45955"/>
    <cellStyle name="R06A_RSA BLANKRE" xfId="45956"/>
    <cellStyle name="R06B" xfId="45957"/>
    <cellStyle name="R06B 2" xfId="45958"/>
    <cellStyle name="R06H" xfId="45959"/>
    <cellStyle name="R06H 2" xfId="45960"/>
    <cellStyle name="R06H 2 2" xfId="45961"/>
    <cellStyle name="R06H_RSA BLANKRE" xfId="45962"/>
    <cellStyle name="R06L" xfId="45963"/>
    <cellStyle name="R06L 2" xfId="45964"/>
    <cellStyle name="R06L 2 2" xfId="45965"/>
    <cellStyle name="R06L_RSA BLANKRE" xfId="45966"/>
    <cellStyle name="R07A" xfId="45967"/>
    <cellStyle name="R07A 2" xfId="45968"/>
    <cellStyle name="R07A 2 2" xfId="45969"/>
    <cellStyle name="R07A_RSA BLANKRE" xfId="45970"/>
    <cellStyle name="R07B" xfId="45971"/>
    <cellStyle name="R07B 2" xfId="45972"/>
    <cellStyle name="R07H" xfId="45973"/>
    <cellStyle name="R07H 2" xfId="45974"/>
    <cellStyle name="R07H 2 2" xfId="45975"/>
    <cellStyle name="R07H_RSA BLANKRE" xfId="45976"/>
    <cellStyle name="R07L" xfId="45977"/>
    <cellStyle name="R07L 2" xfId="45978"/>
    <cellStyle name="R07L 2 2" xfId="45979"/>
    <cellStyle name="R07L_RSA BLANKRE" xfId="45980"/>
    <cellStyle name="RangeBelow" xfId="45981"/>
    <cellStyle name="reviseExposure" xfId="45982"/>
    <cellStyle name="showCheck" xfId="45983"/>
    <cellStyle name="showExposure" xfId="45984"/>
    <cellStyle name="showExposure 2" xfId="45985"/>
    <cellStyle name="showParameterE" xfId="45986"/>
    <cellStyle name="showParameterE 2" xfId="45987"/>
    <cellStyle name="showParameterS" xfId="45988"/>
    <cellStyle name="showPD" xfId="45989"/>
    <cellStyle name="showPercentage" xfId="45990"/>
    <cellStyle name="showSelection" xfId="45991"/>
    <cellStyle name="Single Border" xfId="45992"/>
    <cellStyle name="Standaard_Blad1" xfId="45993"/>
    <cellStyle name="Standard_Ergebnisse" xfId="45994"/>
    <cellStyle name="Style 1" xfId="45995"/>
    <cellStyle name="Style 1 2" xfId="45996"/>
    <cellStyle name="Style 1 3" xfId="45997"/>
    <cellStyle name="Style 2" xfId="45998"/>
    <cellStyle name="STYLE1 - Style1" xfId="45999"/>
    <cellStyle name="STYLE2 - Style2" xfId="46000"/>
    <cellStyle name="STYLE3 - Style3" xfId="46001"/>
    <cellStyle name="STYLE4 - Style4" xfId="46002"/>
    <cellStyle name="SubRoutine" xfId="46003"/>
    <cellStyle name="subtitle" xfId="46004"/>
    <cellStyle name="sup2Date" xfId="46005"/>
    <cellStyle name="sup2Int" xfId="46006"/>
    <cellStyle name="sup2ParameterE" xfId="46007"/>
    <cellStyle name="sup2Percentage" xfId="46008"/>
    <cellStyle name="sup2PercentageL" xfId="46009"/>
    <cellStyle name="sup2PercentageM" xfId="46010"/>
    <cellStyle name="sup2Selection" xfId="46011"/>
    <cellStyle name="sup2Text" xfId="46012"/>
    <cellStyle name="sup3ParameterE" xfId="46013"/>
    <cellStyle name="sup3Percentage" xfId="46014"/>
    <cellStyle name="supDate" xfId="46015"/>
    <cellStyle name="supDate 2" xfId="46016"/>
    <cellStyle name="supFloat" xfId="46017"/>
    <cellStyle name="supFloat 2" xfId="46018"/>
    <cellStyle name="supInt" xfId="46019"/>
    <cellStyle name="supInt 2" xfId="46020"/>
    <cellStyle name="supParameterE" xfId="46021"/>
    <cellStyle name="supParameterE 2" xfId="46022"/>
    <cellStyle name="supParameterS" xfId="46023"/>
    <cellStyle name="supParameterS 2" xfId="46024"/>
    <cellStyle name="supPD" xfId="46025"/>
    <cellStyle name="supPD 2" xfId="46026"/>
    <cellStyle name="supPercentage" xfId="46027"/>
    <cellStyle name="supPercentage 2" xfId="46028"/>
    <cellStyle name="supPercentageL" xfId="46029"/>
    <cellStyle name="supPercentageL 2" xfId="46030"/>
    <cellStyle name="supPercentageM" xfId="46031"/>
    <cellStyle name="supPercentageM 2" xfId="46032"/>
    <cellStyle name="supSelection" xfId="46033"/>
    <cellStyle name="supSelection 2" xfId="46034"/>
    <cellStyle name="supText" xfId="46035"/>
    <cellStyle name="supText 2" xfId="46036"/>
    <cellStyle name="t" xfId="46037"/>
    <cellStyle name="Table" xfId="46038"/>
    <cellStyle name="TextStyle" xfId="46039"/>
    <cellStyle name="Title 10" xfId="46040"/>
    <cellStyle name="Title 10 2" xfId="46041"/>
    <cellStyle name="Title 11" xfId="46042"/>
    <cellStyle name="Title 11 2" xfId="46043"/>
    <cellStyle name="Title 12" xfId="46044"/>
    <cellStyle name="Title 12 2" xfId="46045"/>
    <cellStyle name="Title 13" xfId="46046"/>
    <cellStyle name="Title 13 2" xfId="46047"/>
    <cellStyle name="Title 14" xfId="46048"/>
    <cellStyle name="Title 14 2" xfId="46049"/>
    <cellStyle name="Title 14 3" xfId="46050"/>
    <cellStyle name="Title 15" xfId="46051"/>
    <cellStyle name="Title 15 2" xfId="46052"/>
    <cellStyle name="Title 16" xfId="46053"/>
    <cellStyle name="Title 17" xfId="46054"/>
    <cellStyle name="Title 18" xfId="46055"/>
    <cellStyle name="Title 19" xfId="46056"/>
    <cellStyle name="Title 2" xfId="46057"/>
    <cellStyle name="Title 2 10" xfId="46058"/>
    <cellStyle name="Title 2 11" xfId="46059"/>
    <cellStyle name="Title 2 12" xfId="46060"/>
    <cellStyle name="Title 2 13" xfId="46061"/>
    <cellStyle name="Title 2 14" xfId="46062"/>
    <cellStyle name="Title 2 2" xfId="46063"/>
    <cellStyle name="Title 2 2 2" xfId="46064"/>
    <cellStyle name="Title 2 3" xfId="46065"/>
    <cellStyle name="Title 2 4" xfId="46066"/>
    <cellStyle name="Title 2 5" xfId="46067"/>
    <cellStyle name="Title 2 6" xfId="46068"/>
    <cellStyle name="Title 2 7" xfId="46069"/>
    <cellStyle name="Title 2 8" xfId="46070"/>
    <cellStyle name="Title 2 9" xfId="46071"/>
    <cellStyle name="Title 20" xfId="46072"/>
    <cellStyle name="Title 21" xfId="46073"/>
    <cellStyle name="Title 22" xfId="46074"/>
    <cellStyle name="Title 23" xfId="46075"/>
    <cellStyle name="Title 24" xfId="46076"/>
    <cellStyle name="Title 25" xfId="46077"/>
    <cellStyle name="Title 26" xfId="46078"/>
    <cellStyle name="Title 27" xfId="46079"/>
    <cellStyle name="Title 28" xfId="46080"/>
    <cellStyle name="Title 29" xfId="46081"/>
    <cellStyle name="Title 3" xfId="46082"/>
    <cellStyle name="Title 3 2" xfId="46083"/>
    <cellStyle name="Title 3 3" xfId="46084"/>
    <cellStyle name="Title 30" xfId="46085"/>
    <cellStyle name="Title 31" xfId="46086"/>
    <cellStyle name="Title 32" xfId="46087"/>
    <cellStyle name="Title 33" xfId="46088"/>
    <cellStyle name="Title 34" xfId="46089"/>
    <cellStyle name="Title 35" xfId="46090"/>
    <cellStyle name="Title 36" xfId="46091"/>
    <cellStyle name="Title 37" xfId="46092"/>
    <cellStyle name="Title 38" xfId="46093"/>
    <cellStyle name="Title 39" xfId="46094"/>
    <cellStyle name="Title 4" xfId="46095"/>
    <cellStyle name="Title 4 2" xfId="46096"/>
    <cellStyle name="Title 40" xfId="46097"/>
    <cellStyle name="Title 41" xfId="46098"/>
    <cellStyle name="Title 42" xfId="46099"/>
    <cellStyle name="Title 43" xfId="46100"/>
    <cellStyle name="Title 44" xfId="46101"/>
    <cellStyle name="Title 45" xfId="46102"/>
    <cellStyle name="Title 46" xfId="46103"/>
    <cellStyle name="Title 47" xfId="46104"/>
    <cellStyle name="Title 5" xfId="46105"/>
    <cellStyle name="Title 5 2" xfId="46106"/>
    <cellStyle name="Title 6" xfId="46107"/>
    <cellStyle name="Title 6 2" xfId="46108"/>
    <cellStyle name="Title 6 3" xfId="46109"/>
    <cellStyle name="Title 7" xfId="46110"/>
    <cellStyle name="Title 7 2" xfId="46111"/>
    <cellStyle name="Title 7 3" xfId="46112"/>
    <cellStyle name="Title 8" xfId="46113"/>
    <cellStyle name="Title 8 2" xfId="46114"/>
    <cellStyle name="Title 9" xfId="46115"/>
    <cellStyle name="Title 9 2" xfId="46116"/>
    <cellStyle name="Total 10" xfId="46117"/>
    <cellStyle name="Total 10 2" xfId="46118"/>
    <cellStyle name="Total 11" xfId="46119"/>
    <cellStyle name="Total 11 2" xfId="46120"/>
    <cellStyle name="Total 12" xfId="46121"/>
    <cellStyle name="Total 12 2" xfId="46122"/>
    <cellStyle name="Total 13" xfId="46123"/>
    <cellStyle name="Total 13 2" xfId="46124"/>
    <cellStyle name="Total 14" xfId="46125"/>
    <cellStyle name="Total 14 2" xfId="46126"/>
    <cellStyle name="Total 14 3" xfId="46127"/>
    <cellStyle name="Total 15" xfId="46128"/>
    <cellStyle name="Total 15 2" xfId="46129"/>
    <cellStyle name="Total 16" xfId="46130"/>
    <cellStyle name="Total 16 2" xfId="46131"/>
    <cellStyle name="Total 17" xfId="46132"/>
    <cellStyle name="Total 17 2" xfId="46133"/>
    <cellStyle name="Total 18" xfId="46134"/>
    <cellStyle name="Total 18 2" xfId="46135"/>
    <cellStyle name="Total 19" xfId="46136"/>
    <cellStyle name="Total 19 2" xfId="46137"/>
    <cellStyle name="Total 2" xfId="46138"/>
    <cellStyle name="Total 2 10" xfId="46139"/>
    <cellStyle name="Total 2 11" xfId="46140"/>
    <cellStyle name="Total 2 12" xfId="46141"/>
    <cellStyle name="Total 2 13" xfId="46142"/>
    <cellStyle name="Total 2 14" xfId="46143"/>
    <cellStyle name="Total 2 14 2" xfId="46144"/>
    <cellStyle name="Total 2 15" xfId="46145"/>
    <cellStyle name="Total 2 2" xfId="46146"/>
    <cellStyle name="Total 2 2 2" xfId="46147"/>
    <cellStyle name="Total 2 3" xfId="46148"/>
    <cellStyle name="Total 2 4" xfId="46149"/>
    <cellStyle name="Total 2 5" xfId="46150"/>
    <cellStyle name="Total 2 6" xfId="46151"/>
    <cellStyle name="Total 2 7" xfId="46152"/>
    <cellStyle name="Total 2 8" xfId="46153"/>
    <cellStyle name="Total 2 9" xfId="46154"/>
    <cellStyle name="Total 2_Northern Rock" xfId="46155"/>
    <cellStyle name="Total 20" xfId="46156"/>
    <cellStyle name="Total 21" xfId="46157"/>
    <cellStyle name="Total 22" xfId="46158"/>
    <cellStyle name="Total 23" xfId="46159"/>
    <cellStyle name="Total 24" xfId="46160"/>
    <cellStyle name="Total 25" xfId="46161"/>
    <cellStyle name="Total 26" xfId="46162"/>
    <cellStyle name="Total 27" xfId="46163"/>
    <cellStyle name="Total 28" xfId="46164"/>
    <cellStyle name="Total 29" xfId="46165"/>
    <cellStyle name="Total 3" xfId="46166"/>
    <cellStyle name="Total 3 2" xfId="46167"/>
    <cellStyle name="Total 3 2 2" xfId="46168"/>
    <cellStyle name="Total 3 3" xfId="46169"/>
    <cellStyle name="Total 3 4" xfId="46170"/>
    <cellStyle name="Total 30" xfId="46171"/>
    <cellStyle name="Total 31" xfId="46172"/>
    <cellStyle name="Total 32" xfId="46173"/>
    <cellStyle name="Total 33" xfId="46174"/>
    <cellStyle name="Total 34" xfId="46175"/>
    <cellStyle name="Total 35" xfId="46176"/>
    <cellStyle name="Total 36" xfId="46177"/>
    <cellStyle name="Total 37" xfId="46178"/>
    <cellStyle name="Total 38" xfId="46179"/>
    <cellStyle name="Total 39" xfId="46180"/>
    <cellStyle name="Total 4" xfId="46181"/>
    <cellStyle name="Total 4 2" xfId="46182"/>
    <cellStyle name="Total 4 3" xfId="46183"/>
    <cellStyle name="Total 40" xfId="46184"/>
    <cellStyle name="Total 41" xfId="46185"/>
    <cellStyle name="Total 42" xfId="46186"/>
    <cellStyle name="Total 43" xfId="46187"/>
    <cellStyle name="Total 44" xfId="46188"/>
    <cellStyle name="Total 45" xfId="46189"/>
    <cellStyle name="Total 46" xfId="46190"/>
    <cellStyle name="Total 47" xfId="46191"/>
    <cellStyle name="Total 5" xfId="46192"/>
    <cellStyle name="Total 5 2" xfId="46193"/>
    <cellStyle name="Total 6" xfId="46194"/>
    <cellStyle name="Total 6 2" xfId="46195"/>
    <cellStyle name="Total 6 3" xfId="46196"/>
    <cellStyle name="Total 7" xfId="46197"/>
    <cellStyle name="Total 7 2" xfId="46198"/>
    <cellStyle name="Total 7 3" xfId="46199"/>
    <cellStyle name="Total 8" xfId="46200"/>
    <cellStyle name="Total 8 2" xfId="46201"/>
    <cellStyle name="Total 9" xfId="46202"/>
    <cellStyle name="Total 9 2" xfId="46203"/>
    <cellStyle name="valueno0" xfId="46204"/>
    <cellStyle name="Währung [0]_Abflusssteuer - und Abwasserhebeanlagen" xfId="46205"/>
    <cellStyle name="Währung_Abflusssteuer - und Abwasserhebeanlagen" xfId="46206"/>
    <cellStyle name="Währung0" xfId="46207"/>
    <cellStyle name="Warning Text 10" xfId="46208"/>
    <cellStyle name="Warning Text 10 2" xfId="46209"/>
    <cellStyle name="Warning Text 11" xfId="46210"/>
    <cellStyle name="Warning Text 11 2" xfId="46211"/>
    <cellStyle name="Warning Text 12" xfId="46212"/>
    <cellStyle name="Warning Text 12 2" xfId="46213"/>
    <cellStyle name="Warning Text 13" xfId="46214"/>
    <cellStyle name="Warning Text 13 2" xfId="46215"/>
    <cellStyle name="Warning Text 14" xfId="46216"/>
    <cellStyle name="Warning Text 14 2" xfId="46217"/>
    <cellStyle name="Warning Text 14 3" xfId="46218"/>
    <cellStyle name="Warning Text 15" xfId="46219"/>
    <cellStyle name="Warning Text 15 2" xfId="46220"/>
    <cellStyle name="Warning Text 16" xfId="46221"/>
    <cellStyle name="Warning Text 16 2" xfId="46222"/>
    <cellStyle name="Warning Text 17" xfId="46223"/>
    <cellStyle name="Warning Text 17 2" xfId="46224"/>
    <cellStyle name="Warning Text 18" xfId="46225"/>
    <cellStyle name="Warning Text 18 2" xfId="46226"/>
    <cellStyle name="Warning Text 19" xfId="46227"/>
    <cellStyle name="Warning Text 19 2" xfId="46228"/>
    <cellStyle name="Warning Text 2" xfId="46229"/>
    <cellStyle name="Warning Text 2 10" xfId="46230"/>
    <cellStyle name="Warning Text 2 11" xfId="46231"/>
    <cellStyle name="Warning Text 2 12" xfId="46232"/>
    <cellStyle name="Warning Text 2 13" xfId="46233"/>
    <cellStyle name="Warning Text 2 14" xfId="46234"/>
    <cellStyle name="Warning Text 2 14 2" xfId="46235"/>
    <cellStyle name="Warning Text 2 2" xfId="46236"/>
    <cellStyle name="Warning Text 2 2 2" xfId="46237"/>
    <cellStyle name="Warning Text 2 3" xfId="46238"/>
    <cellStyle name="Warning Text 2 4" xfId="46239"/>
    <cellStyle name="Warning Text 2 5" xfId="46240"/>
    <cellStyle name="Warning Text 2 6" xfId="46241"/>
    <cellStyle name="Warning Text 2 7" xfId="46242"/>
    <cellStyle name="Warning Text 2 8" xfId="46243"/>
    <cellStyle name="Warning Text 2 9" xfId="46244"/>
    <cellStyle name="Warning Text 20" xfId="46245"/>
    <cellStyle name="Warning Text 21" xfId="46246"/>
    <cellStyle name="Warning Text 22" xfId="46247"/>
    <cellStyle name="Warning Text 23" xfId="46248"/>
    <cellStyle name="Warning Text 24" xfId="46249"/>
    <cellStyle name="Warning Text 25" xfId="46250"/>
    <cellStyle name="Warning Text 26" xfId="46251"/>
    <cellStyle name="Warning Text 27" xfId="46252"/>
    <cellStyle name="Warning Text 28" xfId="46253"/>
    <cellStyle name="Warning Text 29" xfId="46254"/>
    <cellStyle name="Warning Text 3" xfId="46255"/>
    <cellStyle name="Warning Text 3 2" xfId="46256"/>
    <cellStyle name="Warning Text 3 2 2" xfId="46257"/>
    <cellStyle name="Warning Text 3 3" xfId="46258"/>
    <cellStyle name="Warning Text 3 4" xfId="46259"/>
    <cellStyle name="Warning Text 30" xfId="46260"/>
    <cellStyle name="Warning Text 31" xfId="46261"/>
    <cellStyle name="Warning Text 32" xfId="46262"/>
    <cellStyle name="Warning Text 33" xfId="46263"/>
    <cellStyle name="Warning Text 34" xfId="46264"/>
    <cellStyle name="Warning Text 35" xfId="46265"/>
    <cellStyle name="Warning Text 36" xfId="46266"/>
    <cellStyle name="Warning Text 37" xfId="46267"/>
    <cellStyle name="Warning Text 38" xfId="46268"/>
    <cellStyle name="Warning Text 39" xfId="46269"/>
    <cellStyle name="Warning Text 4" xfId="46270"/>
    <cellStyle name="Warning Text 4 2" xfId="46271"/>
    <cellStyle name="Warning Text 4 3" xfId="46272"/>
    <cellStyle name="Warning Text 40" xfId="46273"/>
    <cellStyle name="Warning Text 41" xfId="46274"/>
    <cellStyle name="Warning Text 42" xfId="46275"/>
    <cellStyle name="Warning Text 43" xfId="46276"/>
    <cellStyle name="Warning Text 44" xfId="46277"/>
    <cellStyle name="Warning Text 45" xfId="46278"/>
    <cellStyle name="Warning Text 46" xfId="46279"/>
    <cellStyle name="Warning Text 47" xfId="46280"/>
    <cellStyle name="Warning Text 5" xfId="46281"/>
    <cellStyle name="Warning Text 5 2" xfId="46282"/>
    <cellStyle name="Warning Text 6" xfId="46283"/>
    <cellStyle name="Warning Text 6 2" xfId="46284"/>
    <cellStyle name="Warning Text 6 3" xfId="46285"/>
    <cellStyle name="Warning Text 7" xfId="46286"/>
    <cellStyle name="Warning Text 7 2" xfId="46287"/>
    <cellStyle name="Warning Text 7 3" xfId="46288"/>
    <cellStyle name="Warning Text 8" xfId="46289"/>
    <cellStyle name="Warning Text 8 2" xfId="46290"/>
    <cellStyle name="Warning Text 9" xfId="46291"/>
    <cellStyle name="Warning Text 9 2" xfId="46292"/>
  </cellStyles>
  <dxfs count="1446">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
      <fill>
        <patternFill>
          <bgColor theme="9" tint="0.39994506668294322"/>
        </patternFill>
      </fill>
    </dxf>
    <dxf>
      <fill>
        <patternFill>
          <bgColor rgb="FF00FFCC"/>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externalLink" Target="externalLinks/externalLink9.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externalLink" Target="externalLinks/externalLink7.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2</xdr:col>
      <xdr:colOff>0</xdr:colOff>
      <xdr:row>0</xdr:row>
      <xdr:rowOff>0</xdr:rowOff>
    </xdr:from>
    <xdr:ext cx="104775" cy="161925"/>
    <xdr:sp macro="" textlink="">
      <xdr:nvSpPr>
        <xdr:cNvPr id="2" name="Text Box 3261"/>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3" name="Text Box 3262"/>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4" name="Text Box 3263"/>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5" name="Text Box 3264"/>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6" name="Text Box 3265"/>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7" name="Text Box 3266"/>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8" name="Text Box 3267"/>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9" name="Text Box 3268"/>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0" name="Text Box 3261"/>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1" name="Text Box 3262"/>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2" name="Text Box 3263"/>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3" name="Text Box 3264"/>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4" name="Text Box 3265"/>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5" name="Text Box 3266"/>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6" name="Text Box 3267"/>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7" name="Text Box 3268"/>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8" name="Text Box 3261"/>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9" name="Text Box 3262"/>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0" name="Text Box 3263"/>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1" name="Text Box 3264"/>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2" name="Text Box 3265"/>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3" name="Text Box 3266"/>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4" name="Text Box 3267"/>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5" name="Text Box 3268"/>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6" name="Text Box 3261"/>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7" name="Text Box 3262"/>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8" name="Text Box 3263"/>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9" name="Text Box 3264"/>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30" name="Text Box 3265"/>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31" name="Text Box 3266"/>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32" name="Text Box 3267"/>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33" name="Text Box 3268"/>
        <xdr:cNvSpPr txBox="1">
          <a:spLocks noChangeArrowheads="1"/>
        </xdr:cNvSpPr>
      </xdr:nvSpPr>
      <xdr:spPr bwMode="auto">
        <a:xfrm>
          <a:off x="847725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34" name="Text Box 3261"/>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35" name="Text Box 3262"/>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36" name="Text Box 3263"/>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37" name="Text Box 3264"/>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38" name="Text Box 3265"/>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39" name="Text Box 3266"/>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40" name="Text Box 3267"/>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41" name="Text Box 3268"/>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42" name="Text Box 3261"/>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43" name="Text Box 3262"/>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44" name="Text Box 3263"/>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45" name="Text Box 3264"/>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46" name="Text Box 3265"/>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47" name="Text Box 3266"/>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48" name="Text Box 3267"/>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77</xdr:row>
      <xdr:rowOff>0</xdr:rowOff>
    </xdr:from>
    <xdr:ext cx="104775" cy="161925"/>
    <xdr:sp macro="" textlink="">
      <xdr:nvSpPr>
        <xdr:cNvPr id="49" name="Text Box 3268"/>
        <xdr:cNvSpPr txBox="1">
          <a:spLocks noChangeArrowheads="1"/>
        </xdr:cNvSpPr>
      </xdr:nvSpPr>
      <xdr:spPr bwMode="auto">
        <a:xfrm>
          <a:off x="2219325" y="1328737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466725</xdr:colOff>
          <xdr:row>14</xdr:row>
          <xdr:rowOff>171450</xdr:rowOff>
        </xdr:from>
        <xdr:to>
          <xdr:col>4</xdr:col>
          <xdr:colOff>400050</xdr:colOff>
          <xdr:row>16</xdr:row>
          <xdr:rowOff>76200</xdr:rowOff>
        </xdr:to>
        <xdr:sp macro="" textlink="">
          <xdr:nvSpPr>
            <xdr:cNvPr id="63489" name="Button 1" hidden="1">
              <a:extLst>
                <a:ext uri="{63B3BB69-23CF-44E3-9099-C40C66FF867C}">
                  <a14:compatExt spid="_x0000_s634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FoumulaGenerating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561975</xdr:colOff>
          <xdr:row>6</xdr:row>
          <xdr:rowOff>180975</xdr:rowOff>
        </xdr:from>
        <xdr:to>
          <xdr:col>4</xdr:col>
          <xdr:colOff>523875</xdr:colOff>
          <xdr:row>8</xdr:row>
          <xdr:rowOff>85725</xdr:rowOff>
        </xdr:to>
        <xdr:sp macro="" textlink="">
          <xdr:nvSpPr>
            <xdr:cNvPr id="63490" name="Button 2" hidden="1">
              <a:extLst>
                <a:ext uri="{63B3BB69-23CF-44E3-9099-C40C66FF867C}">
                  <a14:compatExt spid="_x0000_s634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17</xdr:row>
          <xdr:rowOff>104775</xdr:rowOff>
        </xdr:from>
        <xdr:to>
          <xdr:col>4</xdr:col>
          <xdr:colOff>419100</xdr:colOff>
          <xdr:row>19</xdr:row>
          <xdr:rowOff>9525</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ExtractComments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552450</xdr:colOff>
          <xdr:row>20</xdr:row>
          <xdr:rowOff>95250</xdr:rowOff>
        </xdr:from>
        <xdr:to>
          <xdr:col>4</xdr:col>
          <xdr:colOff>333375</xdr:colOff>
          <xdr:row>24</xdr:row>
          <xdr:rowOff>142875</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Comments to</a:t>
              </a:r>
            </a:p>
            <a:p>
              <a:pPr algn="ctr" rtl="0">
                <a:defRPr sz="1000"/>
              </a:pPr>
              <a:r>
                <a:rPr lang="en-US" sz="1100" b="0" i="0" u="none" strike="noStrike" baseline="0">
                  <a:solidFill>
                    <a:srgbClr val="000000"/>
                  </a:solidFill>
                  <a:latin typeface="Calibri"/>
                </a:rPr>
                <a:t>N:\FR2052a\NotApplicable\Ready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619125</xdr:colOff>
          <xdr:row>4</xdr:row>
          <xdr:rowOff>114300</xdr:rowOff>
        </xdr:from>
        <xdr:to>
          <xdr:col>4</xdr:col>
          <xdr:colOff>533400</xdr:colOff>
          <xdr:row>6</xdr:row>
          <xdr:rowOff>104775</xdr:rowOff>
        </xdr:to>
        <xdr:sp macro="" textlink="">
          <xdr:nvSpPr>
            <xdr:cNvPr id="63493" name="Button 5" hidden="1">
              <a:extLst>
                <a:ext uri="{63B3BB69-23CF-44E3-9099-C40C66FF867C}">
                  <a14:compatExt spid="_x0000_s634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LastMonth Data Copy for 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504825</xdr:colOff>
          <xdr:row>9</xdr:row>
          <xdr:rowOff>171450</xdr:rowOff>
        </xdr:from>
        <xdr:to>
          <xdr:col>2</xdr:col>
          <xdr:colOff>219075</xdr:colOff>
          <xdr:row>12</xdr:row>
          <xdr:rowOff>76200</xdr:rowOff>
        </xdr:to>
        <xdr:sp macro="" textlink="">
          <xdr:nvSpPr>
            <xdr:cNvPr id="63494" name="Button 6" hidden="1">
              <a:extLst>
                <a:ext uri="{63B3BB69-23CF-44E3-9099-C40C66FF867C}">
                  <a14:compatExt spid="_x0000_s634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Values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xdr:colOff>
          <xdr:row>9</xdr:row>
          <xdr:rowOff>180975</xdr:rowOff>
        </xdr:from>
        <xdr:to>
          <xdr:col>4</xdr:col>
          <xdr:colOff>447675</xdr:colOff>
          <xdr:row>12</xdr:row>
          <xdr:rowOff>104775</xdr:rowOff>
        </xdr:to>
        <xdr:sp macro="" textlink="">
          <xdr:nvSpPr>
            <xdr:cNvPr id="63495" name="Button 7" hidden="1">
              <a:extLst>
                <a:ext uri="{63B3BB69-23CF-44E3-9099-C40C66FF867C}">
                  <a14:compatExt spid="_x0000_s634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Values Paste in MM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65</xdr:col>
          <xdr:colOff>257175</xdr:colOff>
          <xdr:row>1</xdr:row>
          <xdr:rowOff>0</xdr:rowOff>
        </xdr:from>
        <xdr:to>
          <xdr:col>69</xdr:col>
          <xdr:colOff>257175</xdr:colOff>
          <xdr:row>1</xdr:row>
          <xdr:rowOff>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3</xdr:col>
      <xdr:colOff>0</xdr:colOff>
      <xdr:row>0</xdr:row>
      <xdr:rowOff>0</xdr:rowOff>
    </xdr:from>
    <xdr:ext cx="104775" cy="161925"/>
    <xdr:sp macro="" textlink="">
      <xdr:nvSpPr>
        <xdr:cNvPr id="2" name="Text Box 3261"/>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3" name="Text Box 3262"/>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4" name="Text Box 3263"/>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5" name="Text Box 3264"/>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6" name="Text Box 3265"/>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7" name="Text Box 3266"/>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8" name="Text Box 3267"/>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9" name="Text Box 3268"/>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10" name="Text Box 3261"/>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11" name="Text Box 3262"/>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12" name="Text Box 3263"/>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13" name="Text Box 3264"/>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14" name="Text Box 3265"/>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15" name="Text Box 3266"/>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16" name="Text Box 3267"/>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17" name="Text Box 3268"/>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18" name="Text Box 3261"/>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19" name="Text Box 3262"/>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20" name="Text Box 3263"/>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21" name="Text Box 3264"/>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22" name="Text Box 3265"/>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23" name="Text Box 3266"/>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24" name="Text Box 3267"/>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25" name="Text Box 3268"/>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26" name="Text Box 3261"/>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27" name="Text Box 3262"/>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28" name="Text Box 3263"/>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29" name="Text Box 3264"/>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30" name="Text Box 3265"/>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31" name="Text Box 3266"/>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32" name="Text Box 3267"/>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0</xdr:colOff>
      <xdr:row>0</xdr:row>
      <xdr:rowOff>0</xdr:rowOff>
    </xdr:from>
    <xdr:ext cx="104775" cy="161925"/>
    <xdr:sp macro="" textlink="">
      <xdr:nvSpPr>
        <xdr:cNvPr id="33" name="Text Box 3268"/>
        <xdr:cNvSpPr txBox="1">
          <a:spLocks noChangeArrowheads="1"/>
        </xdr:cNvSpPr>
      </xdr:nvSpPr>
      <xdr:spPr bwMode="auto">
        <a:xfrm>
          <a:off x="18288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34" name="Text Box 3261"/>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35" name="Text Box 3262"/>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36" name="Text Box 3263"/>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37" name="Text Box 3264"/>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38" name="Text Box 3265"/>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39" name="Text Box 3266"/>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40" name="Text Box 3267"/>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41" name="Text Box 3268"/>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42" name="Text Box 3261"/>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43" name="Text Box 3262"/>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44" name="Text Box 3263"/>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45" name="Text Box 3264"/>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46" name="Text Box 3265"/>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47" name="Text Box 3266"/>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48" name="Text Box 3267"/>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78</xdr:row>
      <xdr:rowOff>0</xdr:rowOff>
    </xdr:from>
    <xdr:ext cx="104775" cy="161925"/>
    <xdr:sp macro="" textlink="">
      <xdr:nvSpPr>
        <xdr:cNvPr id="49" name="Text Box 3268"/>
        <xdr:cNvSpPr txBox="1">
          <a:spLocks noChangeArrowheads="1"/>
        </xdr:cNvSpPr>
      </xdr:nvSpPr>
      <xdr:spPr bwMode="auto">
        <a:xfrm>
          <a:off x="1219200" y="12468225"/>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wsDr>
</file>

<file path=xl/drawings/drawing5.xml><?xml version="1.0" encoding="utf-8"?>
<xdr:wsDr xmlns:xdr="http://schemas.openxmlformats.org/drawingml/2006/spreadsheetDrawing" xmlns:a="http://schemas.openxmlformats.org/drawingml/2006/main">
  <xdr:oneCellAnchor>
    <xdr:from>
      <xdr:col>2</xdr:col>
      <xdr:colOff>0</xdr:colOff>
      <xdr:row>0</xdr:row>
      <xdr:rowOff>0</xdr:rowOff>
    </xdr:from>
    <xdr:ext cx="104775" cy="161925"/>
    <xdr:sp macro="" textlink="">
      <xdr:nvSpPr>
        <xdr:cNvPr id="2" name="Text Box 3261"/>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3" name="Text Box 3262"/>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4" name="Text Box 3263"/>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5" name="Text Box 3264"/>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6" name="Text Box 3265"/>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7" name="Text Box 3266"/>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8" name="Text Box 3267"/>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9" name="Text Box 3268"/>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0" name="Text Box 3261"/>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1" name="Text Box 3262"/>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2" name="Text Box 3263"/>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3" name="Text Box 3264"/>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4" name="Text Box 3265"/>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5" name="Text Box 3266"/>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6" name="Text Box 3267"/>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7" name="Text Box 3268"/>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8" name="Text Box 3261"/>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19" name="Text Box 3262"/>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0" name="Text Box 3263"/>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1" name="Text Box 3264"/>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2" name="Text Box 3265"/>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3" name="Text Box 3266"/>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4" name="Text Box 3267"/>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5" name="Text Box 3268"/>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6" name="Text Box 3261"/>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7" name="Text Box 3262"/>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8" name="Text Box 3263"/>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29" name="Text Box 3264"/>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30" name="Text Box 3265"/>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31" name="Text Box 3266"/>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32" name="Text Box 3267"/>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xdr:col>
      <xdr:colOff>0</xdr:colOff>
      <xdr:row>0</xdr:row>
      <xdr:rowOff>0</xdr:rowOff>
    </xdr:from>
    <xdr:ext cx="104775" cy="161925"/>
    <xdr:sp macro="" textlink="">
      <xdr:nvSpPr>
        <xdr:cNvPr id="33" name="Text Box 3268"/>
        <xdr:cNvSpPr txBox="1">
          <a:spLocks noChangeArrowheads="1"/>
        </xdr:cNvSpPr>
      </xdr:nvSpPr>
      <xdr:spPr bwMode="auto">
        <a:xfrm>
          <a:off x="1219200" y="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34" name="Text Box 3261"/>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35" name="Text Box 3262"/>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36" name="Text Box 3263"/>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37" name="Text Box 3264"/>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38" name="Text Box 3265"/>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39" name="Text Box 3266"/>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40" name="Text Box 3267"/>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41" name="Text Box 3268"/>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42" name="Text Box 3261"/>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43" name="Text Box 3262"/>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44" name="Text Box 3263"/>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45" name="Text Box 3264"/>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46" name="Text Box 3265"/>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47" name="Text Box 3266"/>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48" name="Text Box 3267"/>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xdr:col>
      <xdr:colOff>0</xdr:colOff>
      <xdr:row>90</xdr:row>
      <xdr:rowOff>0</xdr:rowOff>
    </xdr:from>
    <xdr:ext cx="104775" cy="161925"/>
    <xdr:sp macro="" textlink="">
      <xdr:nvSpPr>
        <xdr:cNvPr id="49" name="Text Box 3268"/>
        <xdr:cNvSpPr txBox="1">
          <a:spLocks noChangeArrowheads="1"/>
        </xdr:cNvSpPr>
      </xdr:nvSpPr>
      <xdr:spPr bwMode="auto">
        <a:xfrm>
          <a:off x="609600" y="14573250"/>
          <a:ext cx="1047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8</xdr:row>
          <xdr:rowOff>47625</xdr:rowOff>
        </xdr:from>
        <xdr:to>
          <xdr:col>2</xdr:col>
          <xdr:colOff>219075</xdr:colOff>
          <xdr:row>11</xdr:row>
          <xdr:rowOff>76200</xdr:rowOff>
        </xdr:to>
        <xdr:sp macro="" textlink="">
          <xdr:nvSpPr>
            <xdr:cNvPr id="55297" name="Button 1" hidden="1">
              <a:extLst>
                <a:ext uri="{63B3BB69-23CF-44E3-9099-C40C66FF867C}">
                  <a14:compatExt spid="_x0000_s552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ImportComments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523875</xdr:colOff>
          <xdr:row>17</xdr:row>
          <xdr:rowOff>104775</xdr:rowOff>
        </xdr:from>
        <xdr:to>
          <xdr:col>9</xdr:col>
          <xdr:colOff>666750</xdr:colOff>
          <xdr:row>22</xdr:row>
          <xdr:rowOff>0</xdr:rowOff>
        </xdr:to>
        <xdr:sp macro="" textlink="">
          <xdr:nvSpPr>
            <xdr:cNvPr id="12291" name="Button 3" hidden="1">
              <a:extLst>
                <a:ext uri="{63B3BB69-23CF-44E3-9099-C40C66FF867C}">
                  <a14:compatExt spid="_x0000_s122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Org Number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1914525</xdr:colOff>
          <xdr:row>13</xdr:row>
          <xdr:rowOff>95250</xdr:rowOff>
        </xdr:from>
        <xdr:to>
          <xdr:col>3</xdr:col>
          <xdr:colOff>0</xdr:colOff>
          <xdr:row>17</xdr:row>
          <xdr:rowOff>66675</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733425</xdr:colOff>
          <xdr:row>17</xdr:row>
          <xdr:rowOff>38100</xdr:rowOff>
        </xdr:from>
        <xdr:to>
          <xdr:col>1</xdr:col>
          <xdr:colOff>2257425</xdr:colOff>
          <xdr:row>22</xdr:row>
          <xdr:rowOff>28575</xdr:rowOff>
        </xdr:to>
        <xdr:sp macro="" textlink="">
          <xdr:nvSpPr>
            <xdr:cNvPr id="60417" name="Button 1" hidden="1">
              <a:extLst>
                <a:ext uri="{63B3BB69-23CF-44E3-9099-C40C66FF867C}">
                  <a14:compatExt spid="_x0000_s604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1914525</xdr:colOff>
          <xdr:row>13</xdr:row>
          <xdr:rowOff>95250</xdr:rowOff>
        </xdr:from>
        <xdr:to>
          <xdr:col>3</xdr:col>
          <xdr:colOff>0</xdr:colOff>
          <xdr:row>17</xdr:row>
          <xdr:rowOff>66675</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1914525</xdr:colOff>
          <xdr:row>13</xdr:row>
          <xdr:rowOff>95250</xdr:rowOff>
        </xdr:from>
        <xdr:to>
          <xdr:col>3</xdr:col>
          <xdr:colOff>0</xdr:colOff>
          <xdr:row>17</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Basel%20III\2014%20Ratios\03-31-3014\Template\US-Basel_III_monitoring_template_v2-7-1-Liquidit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NYM/Corporate%20Treasury/Frank/Liquidity/Liquidity%20Stress%20Test/2008/LST%206_30_08/Consolidated%20Co/LST%206_30_08%20Fina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Almis/Deposit%20Reporting%20and%20Analysis/Deposit%20Reports/Consolidated%20Report%20v0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lmis/Deposit%20Reporting%20and%20Analysis/Deposit%20Reports/Individual%20LoB%20Report%20Drop-Down%20v0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XBBLMQV/AppData/Local/Microsoft/Windows/Temporary%20Internet%20Files/Content.Outlook/UQR9TNV6/Designated%20Dividends%20Q4%202014%20Worksheet%20(2).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G:\Deposit%20Reporting%20and%20Analysis\LCR%20Projections\REDESIGN%20LCR%20for%202014_03_31%20w%20NIB%20roll-off.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4G%20Liquidity%20Reporting/4G%20Reports/01%20January%202015/1-30/4G%20Checklist%20January-30-2015..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sylu/AppData/Local/Microsoft/Windows/Temporary%20Internet%20Files/Content.Outlook/28FH9XML/BOCI%20UAT%20-%20All%20Portfolio%20Raw%20Data%20as%20of%204.28.17%20for%206.22.17%20UAT.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WCRFSV02\users8\hbd889\Bank%20Data%20Warehouse\C&amp;CIP\DMMIS\CP-Related%20BDW%20Subject%20Areas\Facility\BDW%20Facility%20DRs_2011062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Info"/>
      <sheetName val="DefCapB3"/>
      <sheetName val="DefCapB3-MI"/>
      <sheetName val="Leverage Ratio"/>
      <sheetName val="LCR"/>
      <sheetName val="NSFR"/>
      <sheetName val="TBHPE"/>
      <sheetName val="IRRBB"/>
      <sheetName val="CSRBB"/>
      <sheetName val="Partial use"/>
      <sheetName val="Checks"/>
      <sheetName val="Parameters"/>
    </sheetNames>
    <sheetDataSet>
      <sheetData sheetId="0">
        <row r="58">
          <cell r="D58" t="str">
            <v/>
          </cell>
        </row>
      </sheetData>
      <sheetData sheetId="1">
        <row r="24">
          <cell r="D24" t="str">
            <v/>
          </cell>
        </row>
      </sheetData>
      <sheetData sheetId="2"/>
      <sheetData sheetId="3">
        <row r="1">
          <cell r="D1">
            <v>0</v>
          </cell>
        </row>
      </sheetData>
      <sheetData sheetId="4">
        <row r="1">
          <cell r="D1">
            <v>0</v>
          </cell>
        </row>
      </sheetData>
      <sheetData sheetId="5">
        <row r="7">
          <cell r="B7" t="str">
            <v>Check: row 6 ≤ D58 + D61 + D66 in the General Info worksheet</v>
          </cell>
        </row>
      </sheetData>
      <sheetData sheetId="6"/>
      <sheetData sheetId="7"/>
      <sheetData sheetId="8">
        <row r="43">
          <cell r="B43" t="str">
            <v>Check: totals above should equal totals in panel A1</v>
          </cell>
        </row>
      </sheetData>
      <sheetData sheetId="9">
        <row r="6">
          <cell r="B6" t="str">
            <v>Sovereigns; of which:</v>
          </cell>
        </row>
      </sheetData>
      <sheetData sheetId="10"/>
      <sheetData sheetId="11">
        <row r="12">
          <cell r="F12">
            <v>1</v>
          </cell>
        </row>
        <row r="89">
          <cell r="D89" t="str">
            <v>Yes</v>
          </cell>
        </row>
        <row r="90">
          <cell r="D90" t="str">
            <v>No</v>
          </cell>
        </row>
        <row r="92">
          <cell r="D92">
            <v>1</v>
          </cell>
        </row>
        <row r="93">
          <cell r="D93">
            <v>2</v>
          </cell>
        </row>
        <row r="107">
          <cell r="D107" t="str">
            <v>IFRS</v>
          </cell>
        </row>
        <row r="108">
          <cell r="D108" t="str">
            <v>US GAAP</v>
          </cell>
        </row>
        <row r="109">
          <cell r="D109" t="str">
            <v>Other national accounting standard</v>
          </cell>
        </row>
        <row r="110">
          <cell r="D110" t="str">
            <v>Joint stock company</v>
          </cell>
        </row>
        <row r="111">
          <cell r="D111" t="str">
            <v>Mutual / cooperative</v>
          </cell>
        </row>
        <row r="112">
          <cell r="D112" t="str">
            <v>Other non-joint stock company</v>
          </cell>
        </row>
        <row r="113">
          <cell r="C113">
            <v>1</v>
          </cell>
        </row>
        <row r="114">
          <cell r="C114">
            <v>2</v>
          </cell>
        </row>
        <row r="115">
          <cell r="C115">
            <v>4</v>
          </cell>
        </row>
        <row r="116">
          <cell r="C116">
            <v>5</v>
          </cell>
        </row>
        <row r="117">
          <cell r="C117">
            <v>6</v>
          </cell>
        </row>
        <row r="118">
          <cell r="C118">
            <v>7</v>
          </cell>
        </row>
        <row r="119">
          <cell r="C119">
            <v>8</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FP_Summary"/>
      <sheetName val="CFP"/>
      <sheetName val="Deposit Balances"/>
      <sheetName val="BK Liq Mat"/>
      <sheetName val="MEL Liq Mat"/>
      <sheetName val="Loans"/>
      <sheetName val="Leases_Legacy BK"/>
      <sheetName val="BNYM Sec"/>
      <sheetName val="Collateral"/>
      <sheetName val="BAs"/>
      <sheetName val="Other Data"/>
      <sheetName val="LTD"/>
      <sheetName val="Assumptions"/>
      <sheetName val="No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thly Snapshot"/>
      <sheetName val="RUN-OFF-w Surge&amp;Downgrade - Dec"/>
      <sheetName val="RUN-OFF-w Surge&amp;Downgrade"/>
      <sheetName val="RUN-OFF-w Surge"/>
      <sheetName val="RUN-OFF-Stepwise Logic"/>
      <sheetName val="RUN-OFF-Realigned LoB"/>
      <sheetName val="SUB-LoB - Summary"/>
      <sheetName val="SUB-LoB - Business Category"/>
      <sheetName val="CUR-CurrencySummary"/>
      <sheetName val="CurrencyPivot"/>
      <sheetName val="CUR-Full List of High Rates"/>
      <sheetName val="CUR-High Rates - Barneo"/>
      <sheetName val="2013_11_30"/>
      <sheetName val="BankPivot"/>
      <sheetName val="Sub-LoB to CC Report"/>
      <sheetName val="Sub-LoB to CC Report - Business"/>
      <sheetName val="Client Type Re-Class Summary"/>
      <sheetName val="Client Type Re-Class"/>
      <sheetName val="Client Presence Across Firm"/>
      <sheetName val="SIC"/>
      <sheetName val="Deposit Term"/>
      <sheetName val="LoB by SIC Breakdown"/>
      <sheetName val="Currency by LoB"/>
      <sheetName val="2014_01_31"/>
      <sheetName val="Ref"/>
      <sheetName val="2013_12_31"/>
      <sheetName val="Layout"/>
      <sheetName val="ACS vs Ac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2">
          <cell r="Q2" t="str">
            <v>ALTERNATIVE INVESTMENT SERVICES</v>
          </cell>
        </row>
        <row r="3">
          <cell r="Q3" t="str">
            <v>ASSET MANAGEMENT</v>
          </cell>
        </row>
        <row r="4">
          <cell r="Q4" t="str">
            <v>ASSET SERVICING</v>
          </cell>
        </row>
        <row r="5">
          <cell r="Q5" t="str">
            <v>BROKER DEALER SERVICES</v>
          </cell>
        </row>
        <row r="6">
          <cell r="Q6" t="str">
            <v>CORPORATE TREASURY</v>
          </cell>
        </row>
        <row r="7">
          <cell r="Q7" t="str">
            <v>CORPORATE TRUST</v>
          </cell>
        </row>
        <row r="8">
          <cell r="Q8" t="str">
            <v>CREDIT</v>
          </cell>
        </row>
        <row r="9">
          <cell r="Q9" t="str">
            <v>DEPOSITARY RECEIPTS</v>
          </cell>
        </row>
        <row r="10">
          <cell r="Q10" t="str">
            <v>GLOBAL COLLATERAL SERVICES</v>
          </cell>
        </row>
        <row r="11">
          <cell r="Q11" t="str">
            <v>GLOBAL LIQUIDITY SERVICES</v>
          </cell>
        </row>
        <row r="12">
          <cell r="Q12" t="str">
            <v>GLOBAL MARKETS</v>
          </cell>
        </row>
        <row r="13">
          <cell r="Q13" t="str">
            <v>OTHER</v>
          </cell>
        </row>
        <row r="14">
          <cell r="Q14" t="str">
            <v>SHAREOWNER SERVICES</v>
          </cell>
        </row>
        <row r="15">
          <cell r="Q15" t="str">
            <v>TREASURY SERVICES</v>
          </cell>
        </row>
        <row r="16">
          <cell r="Q16" t="str">
            <v>WEALTH MANAGEMENT</v>
          </cell>
        </row>
      </sheetData>
      <sheetData sheetId="25"/>
      <sheetData sheetId="26"/>
      <sheetData sheetId="2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3_11_30"/>
      <sheetName val="2013_12_31"/>
      <sheetName val="Monthly Snapshot"/>
      <sheetName val="Ref"/>
      <sheetName val="Bank Historical"/>
      <sheetName val="BankPivot"/>
      <sheetName val="Bank vs Other"/>
    </sheetNames>
    <sheetDataSet>
      <sheetData sheetId="0"/>
      <sheetData sheetId="1"/>
      <sheetData sheetId="2"/>
      <sheetData sheetId="3">
        <row r="2">
          <cell r="M2" t="str">
            <v>ALTERNATIVE INVESTMENT SERVICES</v>
          </cell>
        </row>
        <row r="3">
          <cell r="M3" t="str">
            <v>ASSET MANAGEMENT</v>
          </cell>
        </row>
        <row r="4">
          <cell r="M4" t="str">
            <v>ASSET SERVICING</v>
          </cell>
        </row>
        <row r="5">
          <cell r="M5" t="str">
            <v>BROKER DEALER SERVICES</v>
          </cell>
        </row>
        <row r="6">
          <cell r="M6" t="str">
            <v>CORPORATE TREASURY</v>
          </cell>
        </row>
        <row r="7">
          <cell r="M7" t="str">
            <v>CORPORATE TRUST</v>
          </cell>
        </row>
        <row r="8">
          <cell r="M8" t="str">
            <v>CREDIT</v>
          </cell>
        </row>
        <row r="9">
          <cell r="M9" t="str">
            <v>DEPOSITARY RECEIPTS</v>
          </cell>
        </row>
        <row r="10">
          <cell r="M10" t="str">
            <v>GLOBAL COLLATERAL SERVICES</v>
          </cell>
        </row>
        <row r="11">
          <cell r="M11" t="str">
            <v>GLOBAL LIQUIDITY SERVICES</v>
          </cell>
        </row>
        <row r="12">
          <cell r="M12" t="str">
            <v>GLOBAL MARKETS</v>
          </cell>
        </row>
        <row r="13">
          <cell r="M13" t="str">
            <v>OTHER</v>
          </cell>
        </row>
        <row r="14">
          <cell r="M14" t="str">
            <v>SHAREOWNER SERVICES</v>
          </cell>
        </row>
        <row r="15">
          <cell r="M15" t="str">
            <v>TREASURY SERVICES</v>
          </cell>
        </row>
        <row r="16">
          <cell r="M16" t="str">
            <v>WEALTH MANAGEMENT</v>
          </cell>
        </row>
      </sheetData>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BNYM"/>
      <sheetName val="BNY Mellon, N.A."/>
      <sheetName val="BNYM Trust Co NA"/>
      <sheetName val="Trust Delaware"/>
      <sheetName val="BNYM Trust Co. of IL"/>
      <sheetName val="Select Date"/>
      <sheetName val="Y9C Input (BNYM)"/>
      <sheetName val="Y9C Input (BNYM NA)"/>
      <sheetName val="Y9C Input (BNYM Trust Co NA)"/>
      <sheetName val="Y9C Input (IL Trust Co)"/>
      <sheetName val="Y9C Input (BNYM Trust Del)"/>
    </sheetNames>
    <sheetDataSet>
      <sheetData sheetId="0"/>
      <sheetData sheetId="1">
        <row r="78">
          <cell r="F78">
            <v>2412000</v>
          </cell>
        </row>
      </sheetData>
      <sheetData sheetId="2">
        <row r="82">
          <cell r="F82">
            <v>158821</v>
          </cell>
        </row>
      </sheetData>
      <sheetData sheetId="3">
        <row r="69">
          <cell r="F69">
            <v>69270</v>
          </cell>
        </row>
      </sheetData>
      <sheetData sheetId="4">
        <row r="62">
          <cell r="G62">
            <v>5358</v>
          </cell>
        </row>
      </sheetData>
      <sheetData sheetId="5">
        <row r="20">
          <cell r="I20">
            <v>46750</v>
          </cell>
        </row>
      </sheetData>
      <sheetData sheetId="6">
        <row r="24">
          <cell r="K24" t="str">
            <v>December 31, 2014</v>
          </cell>
          <cell r="L24">
            <v>42004</v>
          </cell>
          <cell r="N24">
            <v>41639</v>
          </cell>
          <cell r="O24">
            <v>41274</v>
          </cell>
          <cell r="P24">
            <v>2014</v>
          </cell>
          <cell r="Q24">
            <v>2013</v>
          </cell>
          <cell r="R24">
            <v>2012</v>
          </cell>
        </row>
      </sheetData>
      <sheetData sheetId="7"/>
      <sheetData sheetId="8"/>
      <sheetData sheetId="9"/>
      <sheetData sheetId="10"/>
      <sheetData sheetId="1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
      <sheetName val="LCR"/>
      <sheetName val="LCR-Region"/>
      <sheetName val="LCR-LE"/>
      <sheetName val="2014_03_31"/>
      <sheetName val="Deposit Data Layout"/>
      <sheetName val="Ref"/>
      <sheetName val="Rates"/>
      <sheetName val="Ratings Layout"/>
      <sheetName val="Ratings"/>
      <sheetName val="ACS 2014_04_21"/>
      <sheetName val="Slide"/>
    </sheetNames>
    <sheetDataSet>
      <sheetData sheetId="0" refreshError="1"/>
      <sheetData sheetId="1" refreshError="1"/>
      <sheetData sheetId="2" refreshError="1"/>
      <sheetData sheetId="3" refreshError="1"/>
      <sheetData sheetId="4"/>
      <sheetData sheetId="5" refreshError="1"/>
      <sheetData sheetId="6">
        <row r="2">
          <cell r="Q2" t="str">
            <v>ALTERNATIVE INVESTMENT SERVICES</v>
          </cell>
          <cell r="U2" t="str">
            <v>Americas</v>
          </cell>
          <cell r="W2" t="str">
            <v>BNY CAYMAN BRANCH</v>
          </cell>
        </row>
        <row r="3">
          <cell r="Q3" t="str">
            <v>ASSET MANAGEMENT</v>
          </cell>
          <cell r="U3" t="str">
            <v>International</v>
          </cell>
          <cell r="W3" t="str">
            <v>BNY LUXEMBOURG SA-MILAN BRANCH</v>
          </cell>
        </row>
        <row r="4">
          <cell r="Q4" t="str">
            <v>ASSET SERVICING</v>
          </cell>
          <cell r="W4" t="str">
            <v>BNY MELLON SA/NV</v>
          </cell>
        </row>
        <row r="5">
          <cell r="Q5" t="str">
            <v>BROKER DEALER SERVICES</v>
          </cell>
          <cell r="W5" t="str">
            <v>BNYM - BRUSSELS BRANCH</v>
          </cell>
        </row>
        <row r="6">
          <cell r="Q6" t="str">
            <v>CORPORATE TREASURY</v>
          </cell>
          <cell r="W6" t="str">
            <v>BNYM - FRANKFURT BRANCH</v>
          </cell>
        </row>
        <row r="7">
          <cell r="Q7" t="str">
            <v>CORPORATE TRUST</v>
          </cell>
          <cell r="W7" t="str">
            <v>BNYM - HONG KONG BRANCH</v>
          </cell>
        </row>
        <row r="8">
          <cell r="Q8" t="str">
            <v>CREDIT</v>
          </cell>
          <cell r="W8" t="str">
            <v>BNYM - INSTITUTIONAL BANK</v>
          </cell>
        </row>
        <row r="9">
          <cell r="Q9" t="str">
            <v>DEPOSITARY RECEIPTS</v>
          </cell>
          <cell r="W9" t="str">
            <v>BNYM - LONDON BRANCH</v>
          </cell>
        </row>
        <row r="10">
          <cell r="Q10" t="str">
            <v>GLOBAL COLLATERAL SERVICES</v>
          </cell>
          <cell r="W10" t="str">
            <v>BNYM - SEOUL BRANCH</v>
          </cell>
        </row>
        <row r="11">
          <cell r="Q11" t="str">
            <v>GLOBAL LIQUIDITY SERVICES</v>
          </cell>
          <cell r="W11" t="str">
            <v>BNYM - SINGAPORE BRANCH</v>
          </cell>
        </row>
        <row r="12">
          <cell r="Q12" t="str">
            <v>GLOBAL MARKETS</v>
          </cell>
          <cell r="W12" t="str">
            <v>BNYM - TAIPEI BRANCH</v>
          </cell>
        </row>
        <row r="13">
          <cell r="Q13" t="str">
            <v>OTHER</v>
          </cell>
          <cell r="W13" t="str">
            <v>BNYM - TOKYO BRANCH</v>
          </cell>
        </row>
        <row r="14">
          <cell r="Q14" t="str">
            <v>SHAREOWNER SERVICES</v>
          </cell>
          <cell r="W14" t="str">
            <v>BNYM (INTL) LTD</v>
          </cell>
        </row>
        <row r="15">
          <cell r="Q15" t="str">
            <v>TREASURY SERVICES</v>
          </cell>
          <cell r="W15" t="str">
            <v>BNYM (INTL) LTD - LUX BRANCH</v>
          </cell>
        </row>
        <row r="16">
          <cell r="Q16" t="str">
            <v>WEALTH MANAGEMENT</v>
          </cell>
          <cell r="W16" t="str">
            <v>BNYM (LUXEMBOURG) S.A.</v>
          </cell>
        </row>
        <row r="17">
          <cell r="Q17" t="str">
            <v>Consolidated</v>
          </cell>
          <cell r="W17" t="str">
            <v>BNYM IRELAND LTD</v>
          </cell>
        </row>
        <row r="18">
          <cell r="W18" t="str">
            <v>BNYM NATIONAL ASSOCIATION</v>
          </cell>
        </row>
        <row r="19">
          <cell r="W19" t="str">
            <v>BNYM SA/NV AMSTERDAM BRANCH</v>
          </cell>
        </row>
        <row r="20">
          <cell r="W20" t="str">
            <v>BNYM SA/NV FRANKFURT BRANCH</v>
          </cell>
        </row>
        <row r="21">
          <cell r="W21" t="str">
            <v>BNYM SA/NV LONDON BRANCH</v>
          </cell>
        </row>
        <row r="22">
          <cell r="W22" t="str">
            <v>BNYM SA/NV LUXEMBOURG BRANCH</v>
          </cell>
        </row>
        <row r="23">
          <cell r="W23" t="str">
            <v>BNYM TRUST OF DELAWARE</v>
          </cell>
        </row>
        <row r="24">
          <cell r="W24" t="str">
            <v>BNYM-AUSTRALIA BRANCH</v>
          </cell>
        </row>
        <row r="25">
          <cell r="W25" t="str">
            <v>BNYM-CANADA BRANCH</v>
          </cell>
        </row>
      </sheetData>
      <sheetData sheetId="7" refreshError="1"/>
      <sheetData sheetId="8" refreshError="1"/>
      <sheetData sheetId="9" refreshError="1"/>
      <sheetData sheetId="10" refreshError="1"/>
      <sheetData sheetId="1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cklist"/>
      <sheetName val="Contacts"/>
      <sheetName val="positionsb3jwilso27586"/>
      <sheetName val="positionsb3jwilso6206"/>
      <sheetName val="manual reverse repo maturities"/>
      <sheetName val="BNYM-SF-TR 2014-04-30"/>
      <sheetName val="Reserve Req for 9.1, 9.2"/>
      <sheetName val="BNYM-SF-TR 2014_06.30"/>
      <sheetName val="Maturity Buckets"/>
      <sheetName val="Pivot 12_31"/>
      <sheetName val="BNYM-SF-TR_12_31"/>
      <sheetName val="BNYM-SF-TR 01_30_15"/>
    </sheetNames>
    <sheetDataSet>
      <sheetData sheetId="0">
        <row r="2">
          <cell r="C2">
            <v>42034</v>
          </cell>
        </row>
      </sheetData>
      <sheetData sheetId="1"/>
      <sheetData sheetId="2"/>
      <sheetData sheetId="3"/>
      <sheetData sheetId="4"/>
      <sheetData sheetId="5">
        <row r="5">
          <cell r="E5">
            <v>1000000</v>
          </cell>
          <cell r="F5">
            <v>0.63934999999999997</v>
          </cell>
          <cell r="L5">
            <v>0.23435</v>
          </cell>
        </row>
        <row r="6">
          <cell r="E6">
            <v>500000</v>
          </cell>
          <cell r="F6">
            <v>0.62485000000000002</v>
          </cell>
          <cell r="L6">
            <v>0.23485</v>
          </cell>
        </row>
        <row r="7">
          <cell r="E7">
            <v>100000</v>
          </cell>
          <cell r="F7">
            <v>0.71484999999999999</v>
          </cell>
          <cell r="L7">
            <v>0.23485</v>
          </cell>
        </row>
        <row r="8">
          <cell r="E8">
            <v>100000</v>
          </cell>
          <cell r="F8">
            <v>0.69484999999999997</v>
          </cell>
          <cell r="L8">
            <v>0.23485</v>
          </cell>
        </row>
        <row r="9">
          <cell r="E9">
            <v>100000</v>
          </cell>
          <cell r="F9">
            <v>0.77485000000000004</v>
          </cell>
          <cell r="L9">
            <v>0.23485</v>
          </cell>
        </row>
        <row r="10">
          <cell r="E10">
            <v>300000</v>
          </cell>
          <cell r="F10">
            <v>0.69484999999999997</v>
          </cell>
          <cell r="L10">
            <v>0.23485</v>
          </cell>
        </row>
        <row r="11">
          <cell r="E11">
            <v>250000</v>
          </cell>
          <cell r="F11">
            <v>0.68445</v>
          </cell>
          <cell r="L11">
            <v>0.23444999999999999</v>
          </cell>
        </row>
        <row r="12">
          <cell r="E12">
            <v>150000</v>
          </cell>
          <cell r="F12">
            <v>0.70984999999999998</v>
          </cell>
          <cell r="L12">
            <v>0.23485</v>
          </cell>
        </row>
        <row r="13">
          <cell r="E13">
            <v>250000</v>
          </cell>
          <cell r="F13">
            <v>0.70445000000000002</v>
          </cell>
          <cell r="L13">
            <v>0.23444999999999999</v>
          </cell>
        </row>
        <row r="14">
          <cell r="E14">
            <v>200000</v>
          </cell>
          <cell r="F14">
            <v>0.4536</v>
          </cell>
          <cell r="L14">
            <v>0.2336</v>
          </cell>
        </row>
        <row r="15">
          <cell r="E15">
            <v>50000</v>
          </cell>
          <cell r="F15">
            <v>0.44864999999999999</v>
          </cell>
          <cell r="L15">
            <v>0.22864999999999999</v>
          </cell>
        </row>
        <row r="16">
          <cell r="E16">
            <v>250000</v>
          </cell>
          <cell r="F16">
            <v>0.47434999999999999</v>
          </cell>
          <cell r="L16">
            <v>0.23435</v>
          </cell>
        </row>
        <row r="17">
          <cell r="E17">
            <v>250000</v>
          </cell>
          <cell r="F17">
            <v>0.50485000000000002</v>
          </cell>
          <cell r="L17">
            <v>0.23485</v>
          </cell>
        </row>
        <row r="18">
          <cell r="E18">
            <v>200000</v>
          </cell>
          <cell r="F18">
            <v>0.50360000000000005</v>
          </cell>
          <cell r="L18">
            <v>0.2336</v>
          </cell>
        </row>
        <row r="19">
          <cell r="E19">
            <v>500000</v>
          </cell>
          <cell r="F19">
            <v>0.68330000000000002</v>
          </cell>
          <cell r="L19">
            <v>0.23330000000000001</v>
          </cell>
        </row>
        <row r="20">
          <cell r="E20">
            <v>500000</v>
          </cell>
          <cell r="F20">
            <v>0.69335000000000002</v>
          </cell>
          <cell r="L20">
            <v>0.23335</v>
          </cell>
        </row>
        <row r="21">
          <cell r="E21">
            <v>350000</v>
          </cell>
          <cell r="F21">
            <v>0.56440000000000001</v>
          </cell>
          <cell r="L21">
            <v>0.2344</v>
          </cell>
        </row>
        <row r="22">
          <cell r="E22">
            <v>100000</v>
          </cell>
          <cell r="F22">
            <v>0.76439999999999997</v>
          </cell>
          <cell r="L22">
            <v>0.2344</v>
          </cell>
        </row>
        <row r="23">
          <cell r="E23">
            <v>250000</v>
          </cell>
          <cell r="F23">
            <v>0.87729999999999997</v>
          </cell>
          <cell r="L23">
            <v>0.2273</v>
          </cell>
        </row>
        <row r="24">
          <cell r="E24">
            <v>250000</v>
          </cell>
          <cell r="F24">
            <v>0.72729999999999995</v>
          </cell>
          <cell r="L24">
            <v>0.2273</v>
          </cell>
        </row>
        <row r="25">
          <cell r="E25">
            <v>500000</v>
          </cell>
          <cell r="F25">
            <v>0.82730000000000004</v>
          </cell>
          <cell r="L25">
            <v>0.2273</v>
          </cell>
        </row>
        <row r="26">
          <cell r="E26">
            <v>250000</v>
          </cell>
          <cell r="F26">
            <v>0.72860000000000003</v>
          </cell>
          <cell r="L26">
            <v>0.2286</v>
          </cell>
        </row>
        <row r="27">
          <cell r="E27">
            <v>500000</v>
          </cell>
          <cell r="F27">
            <v>0.54784999999999995</v>
          </cell>
          <cell r="L27">
            <v>0.22785</v>
          </cell>
        </row>
        <row r="28">
          <cell r="E28">
            <v>150000</v>
          </cell>
          <cell r="F28">
            <v>0.7056</v>
          </cell>
          <cell r="L28">
            <v>0.2356</v>
          </cell>
        </row>
        <row r="29">
          <cell r="E29">
            <v>500000</v>
          </cell>
          <cell r="F29">
            <v>0.87729999999999997</v>
          </cell>
          <cell r="L29">
            <v>0.2273</v>
          </cell>
        </row>
        <row r="30">
          <cell r="E30">
            <v>500000</v>
          </cell>
          <cell r="F30">
            <v>0.72760000000000002</v>
          </cell>
          <cell r="L30">
            <v>0.23760000000000001</v>
          </cell>
        </row>
        <row r="31">
          <cell r="E31">
            <v>500000</v>
          </cell>
          <cell r="F31">
            <v>0.71330000000000005</v>
          </cell>
          <cell r="L31">
            <v>0.23330000000000001</v>
          </cell>
        </row>
        <row r="32">
          <cell r="E32">
            <v>150000</v>
          </cell>
          <cell r="F32">
            <v>0.53110000000000002</v>
          </cell>
          <cell r="L32">
            <v>0.2361</v>
          </cell>
        </row>
        <row r="33">
          <cell r="E33">
            <v>200000</v>
          </cell>
          <cell r="F33">
            <v>0.98434999999999995</v>
          </cell>
          <cell r="L33">
            <v>0.23435</v>
          </cell>
        </row>
        <row r="34">
          <cell r="E34">
            <v>500000</v>
          </cell>
          <cell r="F34">
            <v>0.92730000000000001</v>
          </cell>
          <cell r="L34">
            <v>0.2273</v>
          </cell>
        </row>
        <row r="35">
          <cell r="E35">
            <v>700000</v>
          </cell>
          <cell r="F35">
            <v>0.69730000000000003</v>
          </cell>
          <cell r="L35">
            <v>0.2273</v>
          </cell>
        </row>
        <row r="36">
          <cell r="E36">
            <v>500000</v>
          </cell>
          <cell r="F36">
            <v>0.69584999999999997</v>
          </cell>
          <cell r="L36">
            <v>0.22585</v>
          </cell>
        </row>
        <row r="37">
          <cell r="E37">
            <v>250000</v>
          </cell>
          <cell r="F37">
            <v>0.92730000000000001</v>
          </cell>
          <cell r="L37">
            <v>0.2273</v>
          </cell>
        </row>
        <row r="38">
          <cell r="E38">
            <v>250000</v>
          </cell>
          <cell r="F38">
            <v>0.77729999999999999</v>
          </cell>
          <cell r="L38">
            <v>0.2273</v>
          </cell>
        </row>
        <row r="39">
          <cell r="E39">
            <v>250000</v>
          </cell>
          <cell r="F39">
            <v>0.53610000000000002</v>
          </cell>
          <cell r="L39">
            <v>0.2361</v>
          </cell>
        </row>
        <row r="40">
          <cell r="E40">
            <v>350000</v>
          </cell>
          <cell r="F40">
            <v>0.53434999999999999</v>
          </cell>
          <cell r="L40">
            <v>0.23435</v>
          </cell>
        </row>
        <row r="41">
          <cell r="E41">
            <v>150000</v>
          </cell>
          <cell r="F41">
            <v>0.55435000000000001</v>
          </cell>
          <cell r="L41">
            <v>0.23435</v>
          </cell>
        </row>
        <row r="42">
          <cell r="E42">
            <v>400000</v>
          </cell>
          <cell r="F42">
            <v>0.57635000000000003</v>
          </cell>
          <cell r="L42">
            <v>0.22635</v>
          </cell>
        </row>
        <row r="43">
          <cell r="E43">
            <v>300000</v>
          </cell>
          <cell r="F43">
            <v>0.43</v>
          </cell>
          <cell r="L43">
            <v>0.43</v>
          </cell>
        </row>
        <row r="44">
          <cell r="E44">
            <v>200000</v>
          </cell>
          <cell r="F44">
            <v>0.5</v>
          </cell>
          <cell r="L44">
            <v>0.5</v>
          </cell>
        </row>
        <row r="45">
          <cell r="E45">
            <v>100000</v>
          </cell>
          <cell r="F45">
            <v>0.44</v>
          </cell>
          <cell r="L45">
            <v>0.44</v>
          </cell>
        </row>
        <row r="46">
          <cell r="E46">
            <v>250000</v>
          </cell>
          <cell r="F46">
            <v>0.5373</v>
          </cell>
          <cell r="L46">
            <v>0.2273</v>
          </cell>
        </row>
        <row r="47">
          <cell r="E47">
            <v>100000</v>
          </cell>
          <cell r="F47">
            <v>0.36</v>
          </cell>
          <cell r="L47">
            <v>0.36</v>
          </cell>
        </row>
      </sheetData>
      <sheetData sheetId="6"/>
      <sheetData sheetId="7"/>
      <sheetData sheetId="8"/>
      <sheetData sheetId="9"/>
      <sheetData sheetId="10"/>
      <sheetData sheetId="1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Portfolio raw data"/>
      <sheetName val="RawData"/>
      <sheetName val="BOCI UAT - All Portfolio Raw Da"/>
    </sheetNames>
    <sheetDataSet>
      <sheetData sheetId="0" refreshError="1"/>
      <sheetData sheetId="1"/>
      <sheetData sheetId="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
      <sheetName val="Control Page"/>
      <sheetName val="BDW Facility DRs_20110628"/>
      <sheetName val="2.2 &amp; 3.2 DRs NOT in Data Dict"/>
      <sheetName val="CustomField Notes"/>
      <sheetName val="&quot;NULL&quot; Default Values"/>
      <sheetName val="PivotTable"/>
      <sheetName val="Attribute Definitions from RMP"/>
      <sheetName val="Value List"/>
      <sheetName val="Attributes"/>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mailto:KENXIANG@BOCUSA.COM" TargetMode="External"/><Relationship Id="rId5" Type="http://schemas.openxmlformats.org/officeDocument/2006/relationships/ctrlProp" Target="../ctrlProps/ctrlProp11.xml"/><Relationship Id="rId4" Type="http://schemas.openxmlformats.org/officeDocument/2006/relationships/vmlDrawing" Target="../drawings/vmlDrawing6.v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9.xml"/></Relationships>
</file>

<file path=xl/worksheets/_rels/sheet22.xml.rels><?xml version="1.0" encoding="UTF-8" standalone="yes"?>
<Relationships xmlns="http://schemas.openxmlformats.org/package/2006/relationships"><Relationship Id="rId3" Type="http://schemas.openxmlformats.org/officeDocument/2006/relationships/hyperlink" Target="mailto:FMD-FR2052a@BOCUSA.COM" TargetMode="External"/><Relationship Id="rId7" Type="http://schemas.openxmlformats.org/officeDocument/2006/relationships/ctrlProp" Target="../ctrlProps/ctrlProp13.xml"/><Relationship Id="rId2" Type="http://schemas.openxmlformats.org/officeDocument/2006/relationships/hyperlink" Target="mailto:YYMA@BOCUSA.COM" TargetMode="External"/><Relationship Id="rId1" Type="http://schemas.openxmlformats.org/officeDocument/2006/relationships/hyperlink" Target="mailto:KENXIANG@BOCUSA.COM" TargetMode="External"/><Relationship Id="rId6" Type="http://schemas.openxmlformats.org/officeDocument/2006/relationships/vmlDrawing" Target="../drawings/vmlDrawing8.vml"/><Relationship Id="rId5" Type="http://schemas.openxmlformats.org/officeDocument/2006/relationships/drawing" Target="../drawings/drawing10.xml"/><Relationship Id="rId4"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hyperlink" Target="mailto:KENXIANG@BOCUSA.COM" TargetMode="External"/><Relationship Id="rId7" Type="http://schemas.openxmlformats.org/officeDocument/2006/relationships/ctrlProp" Target="../ctrlProps/ctrlProp14.xml"/><Relationship Id="rId2" Type="http://schemas.openxmlformats.org/officeDocument/2006/relationships/hyperlink" Target="mailto:YYMA@BOCUSA.COM" TargetMode="External"/><Relationship Id="rId1" Type="http://schemas.openxmlformats.org/officeDocument/2006/relationships/hyperlink" Target="mailto:RJLI@BOCUSA.COM" TargetMode="External"/><Relationship Id="rId6" Type="http://schemas.openxmlformats.org/officeDocument/2006/relationships/vmlDrawing" Target="../drawings/vmlDrawing9.vml"/><Relationship Id="rId5" Type="http://schemas.openxmlformats.org/officeDocument/2006/relationships/drawing" Target="../drawings/drawing11.xml"/><Relationship Id="rId4"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01"/>
  <sheetViews>
    <sheetView workbookViewId="0"/>
  </sheetViews>
  <sheetFormatPr defaultRowHeight="12.75"/>
  <cols>
    <col min="1" max="1" width="33.28515625" style="84" customWidth="1"/>
    <col min="2" max="2" width="93.85546875" style="24" bestFit="1" customWidth="1"/>
    <col min="3" max="3" width="17.7109375" style="24" customWidth="1"/>
    <col min="4" max="4" width="17.5703125" style="24" customWidth="1"/>
    <col min="5" max="5" width="19.140625" style="24" bestFit="1" customWidth="1"/>
    <col min="6" max="9" width="19" style="24" bestFit="1" customWidth="1"/>
    <col min="10" max="16384" width="9.140625" style="24"/>
  </cols>
  <sheetData>
    <row r="1" spans="1:5" s="4" customFormat="1" ht="26.25">
      <c r="A1" s="67" t="s">
        <v>443</v>
      </c>
      <c r="B1" s="67"/>
      <c r="C1" s="66"/>
      <c r="D1" s="24"/>
      <c r="E1" s="5"/>
    </row>
    <row r="2" spans="1:5" s="4" customFormat="1" ht="18" customHeight="1">
      <c r="A2" s="132" t="s">
        <v>181</v>
      </c>
      <c r="B2" s="65" t="s">
        <v>182</v>
      </c>
      <c r="C2" s="64" t="s">
        <v>183</v>
      </c>
    </row>
    <row r="3" spans="1:5" s="4" customFormat="1" ht="15">
      <c r="A3" s="130"/>
      <c r="B3" s="63"/>
      <c r="C3" s="62"/>
    </row>
    <row r="4" spans="1:5" s="4" customFormat="1">
      <c r="C4" s="61"/>
    </row>
    <row r="5" spans="1:5" s="4" customFormat="1" ht="21">
      <c r="A5" s="88" t="s">
        <v>187</v>
      </c>
      <c r="B5" s="33"/>
      <c r="C5" s="33"/>
    </row>
    <row r="6" spans="1:5" s="4" customFormat="1">
      <c r="A6" s="90"/>
      <c r="B6" s="60"/>
      <c r="C6" s="59"/>
    </row>
    <row r="7" spans="1:5" s="4" customFormat="1">
      <c r="A7" s="104" t="s">
        <v>199</v>
      </c>
      <c r="B7" s="54"/>
      <c r="C7" s="53"/>
    </row>
    <row r="8" spans="1:5" s="4" customFormat="1" ht="15.75" customHeight="1">
      <c r="A8" s="106">
        <v>1</v>
      </c>
      <c r="B8" s="57" t="s">
        <v>200</v>
      </c>
      <c r="C8" s="50"/>
    </row>
    <row r="9" spans="1:5" s="4" customFormat="1" ht="15.75" customHeight="1">
      <c r="A9" s="105"/>
      <c r="B9" s="45" t="s">
        <v>201</v>
      </c>
      <c r="C9" s="27">
        <f>NonLCRTemplate!D9</f>
        <v>33058.6</v>
      </c>
      <c r="D9" s="41"/>
    </row>
    <row r="10" spans="1:5" s="4" customFormat="1" ht="12" customHeight="1">
      <c r="A10" s="105"/>
      <c r="B10" s="45" t="s">
        <v>202</v>
      </c>
      <c r="C10" s="27">
        <f>NonLCRTemplate!D10</f>
        <v>0</v>
      </c>
    </row>
    <row r="11" spans="1:5" s="4" customFormat="1" ht="12" customHeight="1">
      <c r="A11" s="105"/>
      <c r="B11" s="45" t="s">
        <v>203</v>
      </c>
      <c r="C11" s="27">
        <f>NonLCRTemplate!D11</f>
        <v>0</v>
      </c>
    </row>
    <row r="12" spans="1:5" s="4" customFormat="1" ht="15.75" customHeight="1">
      <c r="A12" s="106">
        <v>2</v>
      </c>
      <c r="B12" s="57" t="s">
        <v>204</v>
      </c>
      <c r="C12" s="50"/>
    </row>
    <row r="13" spans="1:5" s="4" customFormat="1" ht="15.75" customHeight="1">
      <c r="A13" s="105"/>
      <c r="B13" s="45" t="s">
        <v>201</v>
      </c>
      <c r="C13" s="27">
        <f>NonLCRTemplate!D13</f>
        <v>0</v>
      </c>
    </row>
    <row r="14" spans="1:5" s="4" customFormat="1" ht="12" customHeight="1">
      <c r="A14" s="105"/>
      <c r="B14" s="45" t="s">
        <v>202</v>
      </c>
      <c r="C14" s="27">
        <f>NonLCRTemplate!D14</f>
        <v>0</v>
      </c>
    </row>
    <row r="15" spans="1:5" s="4" customFormat="1" ht="12" customHeight="1">
      <c r="A15" s="105"/>
      <c r="B15" s="45" t="s">
        <v>203</v>
      </c>
      <c r="C15" s="27">
        <f>NonLCRTemplate!D15</f>
        <v>0</v>
      </c>
    </row>
    <row r="16" spans="1:5" s="4" customFormat="1" ht="15.75" customHeight="1">
      <c r="A16" s="106">
        <v>3</v>
      </c>
      <c r="B16" s="57" t="s">
        <v>204</v>
      </c>
      <c r="C16" s="50"/>
    </row>
    <row r="17" spans="1:3" s="4" customFormat="1" ht="15.75" customHeight="1">
      <c r="A17" s="105"/>
      <c r="B17" s="45" t="s">
        <v>201</v>
      </c>
      <c r="C17" s="27">
        <f>NonLCRTemplate!D17</f>
        <v>0</v>
      </c>
    </row>
    <row r="18" spans="1:3" s="4" customFormat="1" ht="12" customHeight="1">
      <c r="A18" s="105"/>
      <c r="B18" s="45" t="s">
        <v>202</v>
      </c>
      <c r="C18" s="27">
        <f>NonLCRTemplate!D18</f>
        <v>0</v>
      </c>
    </row>
    <row r="19" spans="1:3" s="4" customFormat="1" ht="12" customHeight="1">
      <c r="A19" s="105"/>
      <c r="B19" s="45" t="s">
        <v>203</v>
      </c>
      <c r="C19" s="27">
        <f>NonLCRTemplate!D19</f>
        <v>0</v>
      </c>
    </row>
    <row r="20" spans="1:3" s="4" customFormat="1">
      <c r="A20" s="104" t="s">
        <v>205</v>
      </c>
      <c r="B20" s="54"/>
      <c r="C20" s="53"/>
    </row>
    <row r="21" spans="1:3" s="4" customFormat="1" ht="15.75" customHeight="1">
      <c r="A21" s="106">
        <v>4</v>
      </c>
      <c r="B21" s="57" t="s">
        <v>206</v>
      </c>
      <c r="C21" s="50"/>
    </row>
    <row r="22" spans="1:3" s="4" customFormat="1" ht="15.75" customHeight="1">
      <c r="A22" s="105"/>
      <c r="B22" s="45" t="s">
        <v>201</v>
      </c>
      <c r="C22" s="27">
        <f>NonLCRTemplate!D22</f>
        <v>0</v>
      </c>
    </row>
    <row r="23" spans="1:3" s="4" customFormat="1" ht="12" customHeight="1">
      <c r="A23" s="105"/>
      <c r="B23" s="45" t="s">
        <v>202</v>
      </c>
      <c r="C23" s="27">
        <f>NonLCRTemplate!D23</f>
        <v>0</v>
      </c>
    </row>
    <row r="24" spans="1:3" s="4" customFormat="1" ht="12" customHeight="1">
      <c r="A24" s="105"/>
      <c r="B24" s="45" t="s">
        <v>203</v>
      </c>
      <c r="C24" s="27">
        <f>NonLCRTemplate!D24</f>
        <v>0</v>
      </c>
    </row>
    <row r="25" spans="1:3" s="4" customFormat="1" ht="15.75" customHeight="1">
      <c r="A25" s="106">
        <v>5</v>
      </c>
      <c r="B25" s="57" t="s">
        <v>207</v>
      </c>
      <c r="C25" s="50"/>
    </row>
    <row r="26" spans="1:3" s="4" customFormat="1" ht="15.75" customHeight="1">
      <c r="A26" s="105"/>
      <c r="B26" s="45" t="s">
        <v>201</v>
      </c>
      <c r="C26" s="27">
        <f>NonLCRTemplate!D26</f>
        <v>0</v>
      </c>
    </row>
    <row r="27" spans="1:3" s="4" customFormat="1" ht="12" customHeight="1">
      <c r="A27" s="105"/>
      <c r="B27" s="45" t="s">
        <v>202</v>
      </c>
      <c r="C27" s="27">
        <f>NonLCRTemplate!D27</f>
        <v>0</v>
      </c>
    </row>
    <row r="28" spans="1:3" s="4" customFormat="1" ht="12" customHeight="1">
      <c r="A28" s="105"/>
      <c r="B28" s="45" t="s">
        <v>203</v>
      </c>
      <c r="C28" s="27">
        <f>NonLCRTemplate!D28</f>
        <v>0</v>
      </c>
    </row>
    <row r="29" spans="1:3" s="4" customFormat="1" ht="15.75" customHeight="1">
      <c r="A29" s="106">
        <v>6</v>
      </c>
      <c r="B29" s="57" t="s">
        <v>208</v>
      </c>
      <c r="C29" s="50"/>
    </row>
    <row r="30" spans="1:3" s="4" customFormat="1" ht="15.75" customHeight="1">
      <c r="A30" s="105"/>
      <c r="B30" s="45" t="s">
        <v>201</v>
      </c>
      <c r="C30" s="27">
        <f>NonLCRTemplate!D30</f>
        <v>0</v>
      </c>
    </row>
    <row r="31" spans="1:3" s="4" customFormat="1" ht="12" customHeight="1">
      <c r="A31" s="105"/>
      <c r="B31" s="45" t="s">
        <v>202</v>
      </c>
      <c r="C31" s="27">
        <f>NonLCRTemplate!D31</f>
        <v>0</v>
      </c>
    </row>
    <row r="32" spans="1:3" s="4" customFormat="1" ht="12" customHeight="1">
      <c r="A32" s="105"/>
      <c r="B32" s="45" t="s">
        <v>203</v>
      </c>
      <c r="C32" s="27">
        <f>NonLCRTemplate!D32</f>
        <v>0</v>
      </c>
    </row>
    <row r="33" spans="1:3" s="4" customFormat="1">
      <c r="A33" s="104" t="s">
        <v>209</v>
      </c>
      <c r="B33" s="54"/>
      <c r="C33" s="53"/>
    </row>
    <row r="34" spans="1:3" s="4" customFormat="1" ht="15">
      <c r="A34" s="102">
        <v>7</v>
      </c>
      <c r="B34" s="48" t="s">
        <v>210</v>
      </c>
      <c r="C34" s="52"/>
    </row>
    <row r="35" spans="1:3" s="4" customFormat="1" ht="15">
      <c r="A35" s="101"/>
      <c r="B35" s="48" t="s">
        <v>211</v>
      </c>
      <c r="C35" s="27">
        <f>NonLCRTemplate!D36</f>
        <v>0</v>
      </c>
    </row>
    <row r="36" spans="1:3" s="4" customFormat="1" ht="15">
      <c r="A36" s="101"/>
      <c r="B36" s="48" t="s">
        <v>212</v>
      </c>
      <c r="C36" s="27">
        <f>NonLCRTemplate!D37</f>
        <v>0</v>
      </c>
    </row>
    <row r="37" spans="1:3" s="4" customFormat="1" ht="15">
      <c r="A37" s="101"/>
      <c r="B37" s="48" t="s">
        <v>213</v>
      </c>
      <c r="C37" s="27">
        <f>NonLCRTemplate!D38</f>
        <v>0</v>
      </c>
    </row>
    <row r="38" spans="1:3" s="4" customFormat="1">
      <c r="A38" s="102"/>
      <c r="B38" s="48"/>
      <c r="C38" s="50"/>
    </row>
    <row r="39" spans="1:3" s="4" customFormat="1" ht="15">
      <c r="A39" s="101"/>
      <c r="B39" s="48" t="s">
        <v>214</v>
      </c>
      <c r="C39" s="27">
        <f>NonLCRTemplate!D40</f>
        <v>0</v>
      </c>
    </row>
    <row r="40" spans="1:3" s="4" customFormat="1" ht="15">
      <c r="A40" s="100"/>
      <c r="B40" s="48" t="s">
        <v>215</v>
      </c>
      <c r="C40" s="27">
        <f>NonLCRTemplate!D41</f>
        <v>0</v>
      </c>
    </row>
    <row r="41" spans="1:3" s="4" customFormat="1" ht="15">
      <c r="A41" s="100"/>
      <c r="B41" s="48" t="s">
        <v>216</v>
      </c>
      <c r="C41" s="27">
        <f>NonLCRTemplate!D42</f>
        <v>0</v>
      </c>
    </row>
    <row r="42" spans="1:3" s="4" customFormat="1">
      <c r="A42" s="102">
        <v>8</v>
      </c>
      <c r="B42" s="48" t="s">
        <v>217</v>
      </c>
      <c r="C42" s="50"/>
    </row>
    <row r="43" spans="1:3" s="4" customFormat="1" ht="15">
      <c r="A43" s="101"/>
      <c r="B43" s="48" t="s">
        <v>211</v>
      </c>
      <c r="C43" s="27">
        <f>NonLCRTemplate!D44</f>
        <v>0</v>
      </c>
    </row>
    <row r="44" spans="1:3" s="4" customFormat="1" ht="15">
      <c r="A44" s="100"/>
      <c r="B44" s="48" t="s">
        <v>212</v>
      </c>
      <c r="C44" s="27">
        <f>NonLCRTemplate!D45</f>
        <v>0</v>
      </c>
    </row>
    <row r="45" spans="1:3" s="4" customFormat="1" ht="15">
      <c r="A45" s="100"/>
      <c r="B45" s="48" t="s">
        <v>213</v>
      </c>
      <c r="C45" s="27">
        <f>NonLCRTemplate!D46</f>
        <v>0</v>
      </c>
    </row>
    <row r="46" spans="1:3" s="4" customFormat="1" ht="15">
      <c r="A46" s="102"/>
      <c r="B46" s="48"/>
      <c r="C46" s="52"/>
    </row>
    <row r="47" spans="1:3" s="4" customFormat="1" ht="15">
      <c r="A47" s="101"/>
      <c r="B47" s="48" t="s">
        <v>214</v>
      </c>
      <c r="C47" s="27">
        <f>NonLCRTemplate!D48</f>
        <v>0</v>
      </c>
    </row>
    <row r="48" spans="1:3" s="4" customFormat="1" ht="15">
      <c r="A48" s="100"/>
      <c r="B48" s="48" t="s">
        <v>215</v>
      </c>
      <c r="C48" s="27">
        <f>NonLCRTemplate!D49</f>
        <v>0</v>
      </c>
    </row>
    <row r="49" spans="1:8" s="4" customFormat="1" ht="15">
      <c r="A49" s="100"/>
      <c r="B49" s="48" t="s">
        <v>216</v>
      </c>
      <c r="C49" s="27">
        <f>NonLCRTemplate!D50</f>
        <v>0</v>
      </c>
    </row>
    <row r="50" spans="1:8" s="4" customFormat="1">
      <c r="A50" s="102">
        <v>9</v>
      </c>
      <c r="B50" s="48" t="s">
        <v>218</v>
      </c>
      <c r="C50" s="50"/>
    </row>
    <row r="51" spans="1:8" s="4" customFormat="1" ht="15">
      <c r="A51" s="101"/>
      <c r="B51" s="48" t="s">
        <v>219</v>
      </c>
      <c r="C51" s="27">
        <f>NonLCRTemplate!D52</f>
        <v>0</v>
      </c>
    </row>
    <row r="52" spans="1:8" s="4" customFormat="1" ht="15">
      <c r="A52" s="100"/>
      <c r="B52" s="48" t="s">
        <v>220</v>
      </c>
      <c r="C52" s="27">
        <f>NonLCRTemplate!D53</f>
        <v>0</v>
      </c>
    </row>
    <row r="53" spans="1:8" s="4" customFormat="1" ht="15">
      <c r="A53" s="100"/>
      <c r="B53" s="48" t="s">
        <v>221</v>
      </c>
      <c r="C53" s="27">
        <f>NonLCRTemplate!D54</f>
        <v>0</v>
      </c>
    </row>
    <row r="54" spans="1:8" s="4" customFormat="1">
      <c r="A54" s="102"/>
      <c r="B54" s="48"/>
      <c r="C54" s="50"/>
    </row>
    <row r="55" spans="1:8" s="4" customFormat="1" ht="15">
      <c r="A55" s="101"/>
      <c r="B55" s="48" t="s">
        <v>222</v>
      </c>
      <c r="C55" s="27">
        <f>NonLCRTemplate!D56</f>
        <v>0</v>
      </c>
    </row>
    <row r="56" spans="1:8" s="4" customFormat="1" ht="15">
      <c r="A56" s="100"/>
      <c r="B56" s="48" t="s">
        <v>223</v>
      </c>
      <c r="C56" s="27">
        <f>NonLCRTemplate!D57</f>
        <v>0</v>
      </c>
    </row>
    <row r="57" spans="1:8" s="4" customFormat="1" ht="15">
      <c r="A57" s="100"/>
      <c r="B57" s="48" t="s">
        <v>224</v>
      </c>
      <c r="C57" s="27">
        <f>NonLCRTemplate!D58</f>
        <v>0</v>
      </c>
    </row>
    <row r="58" spans="1:8">
      <c r="A58" s="99"/>
      <c r="B58" s="47"/>
      <c r="C58" s="47"/>
      <c r="D58" s="47"/>
    </row>
    <row r="59" spans="1:8" s="4" customFormat="1" ht="21">
      <c r="A59" s="88" t="s">
        <v>225</v>
      </c>
      <c r="B59" s="33"/>
      <c r="C59" s="203" t="s">
        <v>410</v>
      </c>
      <c r="D59" s="204"/>
    </row>
    <row r="60" spans="1:8">
      <c r="A60" s="93"/>
      <c r="C60" s="32" t="s">
        <v>409</v>
      </c>
      <c r="D60" s="31" t="s">
        <v>408</v>
      </c>
    </row>
    <row r="61" spans="1:8" s="4" customFormat="1" ht="15">
      <c r="A61" s="97">
        <v>10</v>
      </c>
      <c r="B61" s="45" t="s">
        <v>226</v>
      </c>
      <c r="C61" s="27">
        <f>NonLCRTemplate!D62</f>
        <v>160.57999999999998</v>
      </c>
      <c r="D61" s="27">
        <f>NonLCRTemplate!E62</f>
        <v>160.57999999999998</v>
      </c>
      <c r="E61" s="24"/>
      <c r="F61" s="24"/>
      <c r="G61" s="24"/>
      <c r="H61" s="24"/>
    </row>
    <row r="62" spans="1:8" s="4" customFormat="1" ht="15">
      <c r="A62" s="97">
        <f>A61+1</f>
        <v>11</v>
      </c>
      <c r="B62" s="45" t="s">
        <v>227</v>
      </c>
      <c r="C62" s="27">
        <f>NonLCRTemplate!D63</f>
        <v>134.15</v>
      </c>
      <c r="D62" s="27">
        <f>NonLCRTemplate!E63</f>
        <v>134.15</v>
      </c>
      <c r="E62" s="24"/>
      <c r="F62" s="24"/>
      <c r="G62" s="24"/>
      <c r="H62" s="24"/>
    </row>
    <row r="63" spans="1:8" s="4" customFormat="1" ht="15">
      <c r="A63" s="97">
        <f t="shared" ref="A63:A126" si="0">A62+1</f>
        <v>12</v>
      </c>
      <c r="B63" s="45" t="s">
        <v>228</v>
      </c>
      <c r="C63" s="27">
        <f>NonLCRTemplate!D64</f>
        <v>0</v>
      </c>
      <c r="D63" s="27">
        <f>NonLCRTemplate!E64</f>
        <v>0</v>
      </c>
      <c r="E63" s="24"/>
      <c r="F63" s="24"/>
      <c r="G63" s="24"/>
      <c r="H63" s="24"/>
    </row>
    <row r="64" spans="1:8" s="4" customFormat="1" ht="15">
      <c r="A64" s="97">
        <f t="shared" si="0"/>
        <v>13</v>
      </c>
      <c r="B64" s="45" t="s">
        <v>229</v>
      </c>
      <c r="C64" s="27">
        <f>NonLCRTemplate!D65</f>
        <v>0</v>
      </c>
      <c r="D64" s="27">
        <f>NonLCRTemplate!E65</f>
        <v>0</v>
      </c>
      <c r="E64" s="24"/>
      <c r="F64" s="24"/>
      <c r="G64" s="24"/>
      <c r="H64" s="24"/>
    </row>
    <row r="65" spans="1:8" s="4" customFormat="1" ht="15">
      <c r="A65" s="97">
        <f t="shared" si="0"/>
        <v>14</v>
      </c>
      <c r="B65" s="45" t="s">
        <v>230</v>
      </c>
      <c r="C65" s="27">
        <f>NonLCRTemplate!D66</f>
        <v>0</v>
      </c>
      <c r="D65" s="27">
        <f>NonLCRTemplate!E66</f>
        <v>0</v>
      </c>
      <c r="E65" s="24"/>
      <c r="F65" s="24"/>
      <c r="G65" s="24"/>
      <c r="H65" s="24"/>
    </row>
    <row r="66" spans="1:8" s="4" customFormat="1" ht="15">
      <c r="A66" s="97">
        <f t="shared" si="0"/>
        <v>15</v>
      </c>
      <c r="B66" s="45" t="s">
        <v>230</v>
      </c>
      <c r="C66" s="27">
        <f>NonLCRTemplate!D67</f>
        <v>0</v>
      </c>
      <c r="D66" s="27">
        <f>NonLCRTemplate!E67</f>
        <v>0</v>
      </c>
      <c r="E66" s="24"/>
      <c r="F66" s="24"/>
      <c r="G66" s="24"/>
      <c r="H66" s="24"/>
    </row>
    <row r="67" spans="1:8" s="4" customFormat="1" ht="15">
      <c r="A67" s="97">
        <f t="shared" si="0"/>
        <v>16</v>
      </c>
      <c r="B67" s="45" t="s">
        <v>230</v>
      </c>
      <c r="C67" s="27">
        <f>NonLCRTemplate!D68</f>
        <v>0</v>
      </c>
      <c r="D67" s="27">
        <f>NonLCRTemplate!E68</f>
        <v>0</v>
      </c>
      <c r="E67" s="24"/>
      <c r="F67" s="24"/>
      <c r="G67" s="24"/>
      <c r="H67" s="24"/>
    </row>
    <row r="68" spans="1:8" s="4" customFormat="1" ht="15">
      <c r="A68" s="97">
        <f t="shared" si="0"/>
        <v>17</v>
      </c>
      <c r="B68" s="45" t="s">
        <v>230</v>
      </c>
      <c r="C68" s="27">
        <f>NonLCRTemplate!D69</f>
        <v>0</v>
      </c>
      <c r="D68" s="27">
        <f>NonLCRTemplate!E69</f>
        <v>0</v>
      </c>
      <c r="E68" s="24"/>
      <c r="F68" s="24"/>
      <c r="G68" s="24"/>
      <c r="H68" s="24"/>
    </row>
    <row r="69" spans="1:8" s="4" customFormat="1" ht="15">
      <c r="A69" s="97">
        <f t="shared" si="0"/>
        <v>18</v>
      </c>
      <c r="B69" s="45" t="s">
        <v>231</v>
      </c>
      <c r="C69" s="27">
        <f>NonLCRTemplate!D70</f>
        <v>0</v>
      </c>
      <c r="D69" s="27">
        <f>NonLCRTemplate!E70</f>
        <v>0</v>
      </c>
      <c r="E69" s="24"/>
      <c r="F69" s="24"/>
      <c r="G69" s="24"/>
      <c r="H69" s="24"/>
    </row>
    <row r="70" spans="1:8" s="4" customFormat="1" ht="15">
      <c r="A70" s="97">
        <f t="shared" si="0"/>
        <v>19</v>
      </c>
      <c r="B70" s="45" t="s">
        <v>232</v>
      </c>
      <c r="C70" s="27">
        <f>NonLCRTemplate!D71</f>
        <v>108.94999999999999</v>
      </c>
      <c r="D70" s="27">
        <f>NonLCRTemplate!E71</f>
        <v>108.94999999999999</v>
      </c>
      <c r="E70" s="24"/>
      <c r="F70" s="24"/>
      <c r="G70" s="24"/>
      <c r="H70" s="24"/>
    </row>
    <row r="71" spans="1:8" s="4" customFormat="1" ht="15">
      <c r="A71" s="97">
        <f t="shared" si="0"/>
        <v>20</v>
      </c>
      <c r="B71" s="45" t="s">
        <v>233</v>
      </c>
      <c r="C71" s="27">
        <f>NonLCRTemplate!D72</f>
        <v>0</v>
      </c>
      <c r="D71" s="27">
        <f>NonLCRTemplate!E72</f>
        <v>0</v>
      </c>
      <c r="E71" s="24"/>
      <c r="F71" s="24"/>
      <c r="G71" s="24"/>
      <c r="H71" s="24"/>
    </row>
    <row r="72" spans="1:8" s="4" customFormat="1" ht="15">
      <c r="A72" s="97">
        <f t="shared" si="0"/>
        <v>21</v>
      </c>
      <c r="B72" s="45" t="s">
        <v>234</v>
      </c>
      <c r="C72" s="27">
        <f>NonLCRTemplate!D73</f>
        <v>0</v>
      </c>
      <c r="D72" s="27">
        <f>NonLCRTemplate!E73</f>
        <v>0</v>
      </c>
      <c r="E72" s="24"/>
      <c r="F72" s="24"/>
      <c r="G72" s="24"/>
      <c r="H72" s="24"/>
    </row>
    <row r="73" spans="1:8" s="4" customFormat="1" ht="15">
      <c r="A73" s="97">
        <f t="shared" si="0"/>
        <v>22</v>
      </c>
      <c r="B73" s="45" t="s">
        <v>235</v>
      </c>
      <c r="C73" s="27">
        <f>NonLCRTemplate!D74</f>
        <v>51.41</v>
      </c>
      <c r="D73" s="27">
        <f>NonLCRTemplate!E74</f>
        <v>51.41</v>
      </c>
      <c r="E73" s="24"/>
      <c r="F73" s="24"/>
      <c r="G73" s="24"/>
      <c r="H73" s="24"/>
    </row>
    <row r="74" spans="1:8" s="4" customFormat="1" ht="15">
      <c r="A74" s="97">
        <f t="shared" si="0"/>
        <v>23</v>
      </c>
      <c r="B74" s="45" t="s">
        <v>236</v>
      </c>
      <c r="C74" s="27">
        <f>NonLCRTemplate!D75</f>
        <v>16564.249999999996</v>
      </c>
      <c r="D74" s="27">
        <f>NonLCRTemplate!E75</f>
        <v>16564.249999999996</v>
      </c>
      <c r="E74" s="24"/>
      <c r="F74" s="24"/>
      <c r="G74" s="24"/>
      <c r="H74" s="24"/>
    </row>
    <row r="75" spans="1:8" s="4" customFormat="1" ht="15">
      <c r="A75" s="97">
        <f t="shared" si="0"/>
        <v>24</v>
      </c>
      <c r="B75" s="45" t="s">
        <v>237</v>
      </c>
      <c r="C75" s="27">
        <f>NonLCRTemplate!D76</f>
        <v>560</v>
      </c>
      <c r="D75" s="27">
        <f>NonLCRTemplate!E76</f>
        <v>560</v>
      </c>
      <c r="E75" s="24"/>
      <c r="F75" s="24"/>
      <c r="G75" s="24"/>
      <c r="H75" s="24"/>
    </row>
    <row r="76" spans="1:8" s="4" customFormat="1" ht="15">
      <c r="A76" s="97">
        <f t="shared" si="0"/>
        <v>25</v>
      </c>
      <c r="B76" s="45" t="s">
        <v>238</v>
      </c>
      <c r="C76" s="27">
        <f>NonLCRTemplate!D77</f>
        <v>0</v>
      </c>
      <c r="D76" s="27">
        <f>NonLCRTemplate!E77</f>
        <v>0</v>
      </c>
      <c r="E76" s="24"/>
      <c r="F76" s="24"/>
      <c r="G76" s="24"/>
      <c r="H76" s="24"/>
    </row>
    <row r="77" spans="1:8" s="4" customFormat="1" ht="15">
      <c r="A77" s="97">
        <f t="shared" si="0"/>
        <v>26</v>
      </c>
      <c r="B77" s="45" t="s">
        <v>238</v>
      </c>
      <c r="C77" s="27">
        <f>NonLCRTemplate!D78</f>
        <v>0</v>
      </c>
      <c r="D77" s="27">
        <f>NonLCRTemplate!E78</f>
        <v>0</v>
      </c>
      <c r="E77" s="24"/>
      <c r="F77" s="24"/>
      <c r="G77" s="24"/>
      <c r="H77" s="24"/>
    </row>
    <row r="78" spans="1:8" s="4" customFormat="1" ht="15">
      <c r="A78" s="97">
        <f t="shared" si="0"/>
        <v>27</v>
      </c>
      <c r="B78" s="45" t="s">
        <v>239</v>
      </c>
      <c r="C78" s="27">
        <f>NonLCRTemplate!D79</f>
        <v>667.2</v>
      </c>
      <c r="D78" s="27">
        <f>NonLCRTemplate!E79</f>
        <v>667.2</v>
      </c>
      <c r="E78" s="24"/>
      <c r="F78" s="24"/>
      <c r="G78" s="24"/>
      <c r="H78" s="24"/>
    </row>
    <row r="79" spans="1:8" s="4" customFormat="1" ht="15">
      <c r="A79" s="97">
        <f t="shared" si="0"/>
        <v>28</v>
      </c>
      <c r="B79" s="45" t="s">
        <v>240</v>
      </c>
      <c r="C79" s="27">
        <f>NonLCRTemplate!D80</f>
        <v>0</v>
      </c>
      <c r="D79" s="27">
        <f>NonLCRTemplate!E80</f>
        <v>0</v>
      </c>
      <c r="E79" s="24"/>
      <c r="F79" s="24"/>
      <c r="G79" s="24"/>
      <c r="H79" s="24"/>
    </row>
    <row r="80" spans="1:8" s="4" customFormat="1" ht="15">
      <c r="A80" s="97">
        <f t="shared" si="0"/>
        <v>29</v>
      </c>
      <c r="B80" s="45" t="s">
        <v>241</v>
      </c>
      <c r="C80" s="27">
        <f>NonLCRTemplate!D81</f>
        <v>0</v>
      </c>
      <c r="D80" s="27">
        <f>NonLCRTemplate!E81</f>
        <v>0</v>
      </c>
      <c r="E80" s="24"/>
      <c r="F80" s="24"/>
      <c r="G80" s="24"/>
      <c r="H80" s="24"/>
    </row>
    <row r="81" spans="1:8" s="4" customFormat="1" ht="15">
      <c r="A81" s="97">
        <f t="shared" si="0"/>
        <v>30</v>
      </c>
      <c r="B81" s="45" t="s">
        <v>242</v>
      </c>
      <c r="C81" s="27">
        <f>NonLCRTemplate!D82</f>
        <v>0</v>
      </c>
      <c r="D81" s="27">
        <f>NonLCRTemplate!E82</f>
        <v>0</v>
      </c>
      <c r="E81" s="24"/>
      <c r="F81" s="24"/>
      <c r="G81" s="24"/>
      <c r="H81" s="24"/>
    </row>
    <row r="82" spans="1:8" s="4" customFormat="1" ht="15">
      <c r="A82" s="97">
        <f t="shared" si="0"/>
        <v>31</v>
      </c>
      <c r="B82" s="45" t="s">
        <v>243</v>
      </c>
      <c r="C82" s="27">
        <f>NonLCRTemplate!D83</f>
        <v>0</v>
      </c>
      <c r="D82" s="27">
        <f>NonLCRTemplate!E83</f>
        <v>0</v>
      </c>
      <c r="E82" s="24"/>
      <c r="F82" s="24"/>
      <c r="G82" s="24"/>
      <c r="H82" s="24"/>
    </row>
    <row r="83" spans="1:8" s="4" customFormat="1" ht="15">
      <c r="A83" s="97">
        <f t="shared" si="0"/>
        <v>32</v>
      </c>
      <c r="B83" s="45" t="s">
        <v>243</v>
      </c>
      <c r="C83" s="27">
        <f>NonLCRTemplate!D84</f>
        <v>0</v>
      </c>
      <c r="D83" s="27">
        <f>NonLCRTemplate!E84</f>
        <v>0</v>
      </c>
      <c r="E83" s="24"/>
      <c r="F83" s="24"/>
      <c r="G83" s="24"/>
      <c r="H83" s="24"/>
    </row>
    <row r="84" spans="1:8" s="4" customFormat="1" ht="15">
      <c r="A84" s="97">
        <f t="shared" si="0"/>
        <v>33</v>
      </c>
      <c r="B84" s="45" t="s">
        <v>244</v>
      </c>
      <c r="C84" s="27">
        <f>NonLCRTemplate!D85</f>
        <v>0</v>
      </c>
      <c r="D84" s="27">
        <f>NonLCRTemplate!E85</f>
        <v>0</v>
      </c>
      <c r="E84" s="24"/>
      <c r="F84" s="24"/>
      <c r="G84" s="24"/>
      <c r="H84" s="24"/>
    </row>
    <row r="85" spans="1:8" s="4" customFormat="1" ht="15">
      <c r="A85" s="97">
        <f t="shared" si="0"/>
        <v>34</v>
      </c>
      <c r="B85" s="45" t="s">
        <v>245</v>
      </c>
      <c r="C85" s="27">
        <f>NonLCRTemplate!D86</f>
        <v>0</v>
      </c>
      <c r="D85" s="27">
        <f>NonLCRTemplate!E86</f>
        <v>0</v>
      </c>
      <c r="E85" s="24"/>
      <c r="F85" s="24"/>
      <c r="G85" s="24"/>
      <c r="H85" s="24"/>
    </row>
    <row r="86" spans="1:8" s="4" customFormat="1" ht="15">
      <c r="A86" s="97">
        <f t="shared" si="0"/>
        <v>35</v>
      </c>
      <c r="B86" s="45" t="s">
        <v>246</v>
      </c>
      <c r="C86" s="27">
        <f>NonLCRTemplate!D87</f>
        <v>0</v>
      </c>
      <c r="D86" s="27">
        <f>NonLCRTemplate!E87</f>
        <v>0</v>
      </c>
      <c r="E86" s="24"/>
      <c r="F86" s="24"/>
      <c r="G86" s="24"/>
      <c r="H86" s="24"/>
    </row>
    <row r="87" spans="1:8" s="4" customFormat="1" ht="15">
      <c r="A87" s="97">
        <f t="shared" si="0"/>
        <v>36</v>
      </c>
      <c r="B87" s="45" t="s">
        <v>247</v>
      </c>
      <c r="C87" s="27">
        <f>NonLCRTemplate!D88</f>
        <v>0</v>
      </c>
      <c r="D87" s="27">
        <f>NonLCRTemplate!E88</f>
        <v>0</v>
      </c>
      <c r="E87" s="24"/>
      <c r="F87" s="24"/>
      <c r="G87" s="24"/>
      <c r="H87" s="24"/>
    </row>
    <row r="88" spans="1:8" s="4" customFormat="1" ht="15">
      <c r="A88" s="97">
        <f t="shared" si="0"/>
        <v>37</v>
      </c>
      <c r="B88" s="45" t="s">
        <v>248</v>
      </c>
      <c r="C88" s="27">
        <f>NonLCRTemplate!D89</f>
        <v>0</v>
      </c>
      <c r="D88" s="27">
        <f>NonLCRTemplate!E89</f>
        <v>0</v>
      </c>
      <c r="E88" s="24"/>
      <c r="F88" s="24"/>
      <c r="G88" s="24"/>
      <c r="H88" s="24"/>
    </row>
    <row r="89" spans="1:8" s="4" customFormat="1" ht="15">
      <c r="A89" s="97">
        <f t="shared" si="0"/>
        <v>38</v>
      </c>
      <c r="B89" s="45" t="s">
        <v>249</v>
      </c>
      <c r="C89" s="27">
        <f>NonLCRTemplate!D90</f>
        <v>0</v>
      </c>
      <c r="D89" s="27">
        <f>NonLCRTemplate!E90</f>
        <v>0</v>
      </c>
      <c r="E89" s="24"/>
      <c r="F89" s="24"/>
      <c r="G89" s="24"/>
      <c r="H89" s="24"/>
    </row>
    <row r="90" spans="1:8" s="4" customFormat="1" ht="15">
      <c r="A90" s="97">
        <f t="shared" si="0"/>
        <v>39</v>
      </c>
      <c r="B90" s="45" t="s">
        <v>250</v>
      </c>
      <c r="C90" s="27">
        <f>NonLCRTemplate!D91</f>
        <v>70.7</v>
      </c>
      <c r="D90" s="27">
        <f>NonLCRTemplate!E91</f>
        <v>70.7</v>
      </c>
      <c r="E90" s="24"/>
      <c r="F90" s="24"/>
      <c r="G90" s="24"/>
      <c r="H90" s="24"/>
    </row>
    <row r="91" spans="1:8" s="4" customFormat="1" ht="15">
      <c r="A91" s="97">
        <f t="shared" si="0"/>
        <v>40</v>
      </c>
      <c r="B91" s="45" t="s">
        <v>251</v>
      </c>
      <c r="C91" s="27">
        <f>NonLCRTemplate!D92</f>
        <v>0</v>
      </c>
      <c r="D91" s="27">
        <f>NonLCRTemplate!E92</f>
        <v>0</v>
      </c>
      <c r="E91" s="24"/>
      <c r="F91" s="24"/>
      <c r="G91" s="24"/>
      <c r="H91" s="24"/>
    </row>
    <row r="92" spans="1:8" s="4" customFormat="1" ht="15">
      <c r="A92" s="97">
        <f t="shared" si="0"/>
        <v>41</v>
      </c>
      <c r="B92" s="45" t="s">
        <v>252</v>
      </c>
      <c r="C92" s="27">
        <f>NonLCRTemplate!D93</f>
        <v>0</v>
      </c>
      <c r="D92" s="27">
        <f>NonLCRTemplate!E93</f>
        <v>0</v>
      </c>
      <c r="E92" s="24"/>
      <c r="F92" s="24"/>
      <c r="G92" s="24"/>
      <c r="H92" s="24"/>
    </row>
    <row r="93" spans="1:8" s="4" customFormat="1" ht="15">
      <c r="A93" s="97">
        <f t="shared" si="0"/>
        <v>42</v>
      </c>
      <c r="B93" s="45" t="s">
        <v>253</v>
      </c>
      <c r="C93" s="27">
        <f>NonLCRTemplate!D94</f>
        <v>0</v>
      </c>
      <c r="D93" s="27">
        <f>NonLCRTemplate!E94</f>
        <v>0</v>
      </c>
      <c r="E93" s="24"/>
      <c r="F93" s="24"/>
      <c r="G93" s="24"/>
      <c r="H93" s="24"/>
    </row>
    <row r="94" spans="1:8" s="4" customFormat="1" ht="15">
      <c r="A94" s="97">
        <f t="shared" si="0"/>
        <v>43</v>
      </c>
      <c r="B94" s="45" t="s">
        <v>254</v>
      </c>
      <c r="C94" s="27">
        <f>NonLCRTemplate!D95</f>
        <v>0</v>
      </c>
      <c r="D94" s="27">
        <f>NonLCRTemplate!E95</f>
        <v>0</v>
      </c>
      <c r="E94" s="24"/>
      <c r="F94" s="24"/>
      <c r="G94" s="24"/>
      <c r="H94" s="24"/>
    </row>
    <row r="95" spans="1:8" s="4" customFormat="1" ht="15">
      <c r="A95" s="97">
        <f t="shared" si="0"/>
        <v>44</v>
      </c>
      <c r="B95" s="45" t="s">
        <v>255</v>
      </c>
      <c r="C95" s="27">
        <f>NonLCRTemplate!D96</f>
        <v>2989.07</v>
      </c>
      <c r="D95" s="27">
        <f>NonLCRTemplate!E96</f>
        <v>2989.07</v>
      </c>
      <c r="E95" s="24"/>
      <c r="F95" s="24"/>
      <c r="G95" s="24"/>
      <c r="H95" s="24"/>
    </row>
    <row r="96" spans="1:8" s="4" customFormat="1" ht="15">
      <c r="A96" s="97">
        <f t="shared" si="0"/>
        <v>45</v>
      </c>
      <c r="B96" s="45" t="s">
        <v>256</v>
      </c>
      <c r="C96" s="27">
        <f>NonLCRTemplate!D97</f>
        <v>0</v>
      </c>
      <c r="D96" s="27">
        <f>NonLCRTemplate!E97</f>
        <v>0</v>
      </c>
      <c r="E96" s="24"/>
      <c r="F96" s="24"/>
      <c r="G96" s="24"/>
      <c r="H96" s="24"/>
    </row>
    <row r="97" spans="1:8" s="4" customFormat="1" ht="15">
      <c r="A97" s="97">
        <f t="shared" si="0"/>
        <v>46</v>
      </c>
      <c r="B97" s="46" t="s">
        <v>257</v>
      </c>
      <c r="C97" s="27">
        <f>NonLCRTemplate!D98</f>
        <v>15.079999999999998</v>
      </c>
      <c r="D97" s="27">
        <f>NonLCRTemplate!E98</f>
        <v>15.079999999999998</v>
      </c>
      <c r="E97" s="24"/>
      <c r="F97" s="24"/>
      <c r="G97" s="24"/>
      <c r="H97" s="24"/>
    </row>
    <row r="98" spans="1:8" s="4" customFormat="1" ht="15">
      <c r="A98" s="97">
        <f t="shared" si="0"/>
        <v>47</v>
      </c>
      <c r="B98" s="46" t="s">
        <v>258</v>
      </c>
      <c r="C98" s="27">
        <f>NonLCRTemplate!D99</f>
        <v>3047.11</v>
      </c>
      <c r="D98" s="27">
        <f>NonLCRTemplate!E99</f>
        <v>3047.11</v>
      </c>
      <c r="E98" s="24"/>
      <c r="F98" s="24"/>
      <c r="G98" s="24"/>
      <c r="H98" s="24"/>
    </row>
    <row r="99" spans="1:8" s="4" customFormat="1" ht="15">
      <c r="A99" s="97">
        <f t="shared" si="0"/>
        <v>48</v>
      </c>
      <c r="B99" s="46" t="s">
        <v>258</v>
      </c>
      <c r="C99" s="27">
        <f>NonLCRTemplate!D100</f>
        <v>0</v>
      </c>
      <c r="D99" s="27">
        <f>NonLCRTemplate!E100</f>
        <v>0</v>
      </c>
      <c r="E99" s="24"/>
      <c r="F99" s="24"/>
      <c r="G99" s="24"/>
      <c r="H99" s="24"/>
    </row>
    <row r="100" spans="1:8" s="4" customFormat="1" ht="15">
      <c r="A100" s="97">
        <f t="shared" si="0"/>
        <v>49</v>
      </c>
      <c r="B100" s="46" t="s">
        <v>259</v>
      </c>
      <c r="C100" s="27">
        <f>NonLCRTemplate!D101</f>
        <v>1086.78</v>
      </c>
      <c r="D100" s="27">
        <f>NonLCRTemplate!E101</f>
        <v>1086.78</v>
      </c>
      <c r="E100" s="24"/>
      <c r="F100" s="24"/>
      <c r="G100" s="24"/>
      <c r="H100" s="24"/>
    </row>
    <row r="101" spans="1:8" s="4" customFormat="1" ht="15">
      <c r="A101" s="97">
        <f t="shared" si="0"/>
        <v>50</v>
      </c>
      <c r="B101" s="46" t="s">
        <v>260</v>
      </c>
      <c r="C101" s="27">
        <f>NonLCRTemplate!D102</f>
        <v>2431.14</v>
      </c>
      <c r="D101" s="27">
        <f>NonLCRTemplate!E102</f>
        <v>2431.14</v>
      </c>
      <c r="E101" s="24"/>
      <c r="F101" s="24"/>
      <c r="G101" s="24"/>
      <c r="H101" s="24"/>
    </row>
    <row r="102" spans="1:8" s="4" customFormat="1" ht="15">
      <c r="A102" s="97">
        <f t="shared" si="0"/>
        <v>51</v>
      </c>
      <c r="B102" s="46" t="s">
        <v>260</v>
      </c>
      <c r="C102" s="27">
        <f>NonLCRTemplate!D103</f>
        <v>14240.84</v>
      </c>
      <c r="D102" s="27">
        <f>NonLCRTemplate!E103</f>
        <v>14240.84</v>
      </c>
      <c r="E102" s="24"/>
      <c r="F102" s="24"/>
      <c r="G102" s="24"/>
      <c r="H102" s="24"/>
    </row>
    <row r="103" spans="1:8" s="4" customFormat="1" ht="15">
      <c r="A103" s="97">
        <f t="shared" si="0"/>
        <v>52</v>
      </c>
      <c r="B103" s="46" t="s">
        <v>261</v>
      </c>
      <c r="C103" s="27">
        <f>NonLCRTemplate!D104</f>
        <v>0</v>
      </c>
      <c r="D103" s="27">
        <f>NonLCRTemplate!E104</f>
        <v>0</v>
      </c>
      <c r="E103" s="24"/>
      <c r="F103" s="24"/>
      <c r="G103" s="24"/>
      <c r="H103" s="24"/>
    </row>
    <row r="104" spans="1:8" s="4" customFormat="1" ht="15">
      <c r="A104" s="97">
        <f t="shared" si="0"/>
        <v>53</v>
      </c>
      <c r="B104" s="46" t="s">
        <v>262</v>
      </c>
      <c r="C104" s="27">
        <f>NonLCRTemplate!D105</f>
        <v>30.75</v>
      </c>
      <c r="D104" s="27">
        <f>NonLCRTemplate!E105</f>
        <v>30.75</v>
      </c>
      <c r="E104" s="24"/>
      <c r="F104" s="24"/>
      <c r="G104" s="24"/>
      <c r="H104" s="24"/>
    </row>
    <row r="105" spans="1:8" s="4" customFormat="1" ht="15">
      <c r="A105" s="97">
        <f t="shared" si="0"/>
        <v>54</v>
      </c>
      <c r="B105" s="46" t="s">
        <v>263</v>
      </c>
      <c r="C105" s="27">
        <f>NonLCRTemplate!D106</f>
        <v>21475.4</v>
      </c>
      <c r="D105" s="27">
        <f>NonLCRTemplate!E106</f>
        <v>21475.4</v>
      </c>
      <c r="E105" s="24"/>
      <c r="F105" s="24"/>
      <c r="G105" s="24"/>
      <c r="H105" s="24"/>
    </row>
    <row r="106" spans="1:8" s="4" customFormat="1" ht="15">
      <c r="A106" s="97">
        <f t="shared" si="0"/>
        <v>55</v>
      </c>
      <c r="B106" s="46" t="s">
        <v>263</v>
      </c>
      <c r="C106" s="27">
        <f>NonLCRTemplate!D107</f>
        <v>147.19999999999999</v>
      </c>
      <c r="D106" s="27">
        <f>NonLCRTemplate!E107</f>
        <v>147.19999999999999</v>
      </c>
      <c r="E106" s="24"/>
      <c r="F106" s="24"/>
      <c r="G106" s="24"/>
      <c r="H106" s="24"/>
    </row>
    <row r="107" spans="1:8" s="4" customFormat="1" ht="15">
      <c r="A107" s="97">
        <f t="shared" si="0"/>
        <v>56</v>
      </c>
      <c r="B107" s="46" t="s">
        <v>264</v>
      </c>
      <c r="C107" s="27">
        <f>NonLCRTemplate!D108</f>
        <v>0</v>
      </c>
      <c r="D107" s="27">
        <f>NonLCRTemplate!E108</f>
        <v>0</v>
      </c>
      <c r="E107" s="24"/>
      <c r="F107" s="24"/>
      <c r="G107" s="24"/>
      <c r="H107" s="24"/>
    </row>
    <row r="108" spans="1:8" s="4" customFormat="1" ht="15">
      <c r="A108" s="97">
        <f t="shared" si="0"/>
        <v>57</v>
      </c>
      <c r="B108" s="46" t="s">
        <v>264</v>
      </c>
      <c r="C108" s="27">
        <f>NonLCRTemplate!D109</f>
        <v>0.95</v>
      </c>
      <c r="D108" s="27">
        <f>NonLCRTemplate!E109</f>
        <v>0</v>
      </c>
      <c r="E108" s="24"/>
      <c r="F108" s="24"/>
      <c r="G108" s="24"/>
      <c r="H108" s="24"/>
    </row>
    <row r="109" spans="1:8" s="4" customFormat="1" ht="15">
      <c r="A109" s="97">
        <f t="shared" si="0"/>
        <v>58</v>
      </c>
      <c r="B109" s="45" t="s">
        <v>265</v>
      </c>
      <c r="C109" s="27">
        <f>NonLCRTemplate!D110</f>
        <v>0</v>
      </c>
      <c r="D109" s="27">
        <f>NonLCRTemplate!E110</f>
        <v>0</v>
      </c>
      <c r="E109" s="24"/>
      <c r="F109" s="24"/>
      <c r="G109" s="24"/>
      <c r="H109" s="24"/>
    </row>
    <row r="110" spans="1:8" s="4" customFormat="1" ht="15">
      <c r="A110" s="97">
        <f t="shared" si="0"/>
        <v>59</v>
      </c>
      <c r="B110" s="45" t="s">
        <v>266</v>
      </c>
      <c r="C110" s="27">
        <f>NonLCRTemplate!D111</f>
        <v>0</v>
      </c>
      <c r="D110" s="27">
        <f>NonLCRTemplate!E111</f>
        <v>0</v>
      </c>
      <c r="E110" s="24"/>
      <c r="F110" s="24"/>
      <c r="G110" s="24"/>
      <c r="H110" s="24"/>
    </row>
    <row r="111" spans="1:8" s="4" customFormat="1" ht="15">
      <c r="A111" s="97">
        <f t="shared" si="0"/>
        <v>60</v>
      </c>
      <c r="B111" s="45" t="s">
        <v>267</v>
      </c>
      <c r="C111" s="27">
        <f>NonLCRTemplate!D112</f>
        <v>0</v>
      </c>
      <c r="D111" s="27">
        <f>NonLCRTemplate!E112</f>
        <v>0</v>
      </c>
      <c r="E111" s="24"/>
      <c r="F111" s="24"/>
      <c r="G111" s="24"/>
      <c r="H111" s="24"/>
    </row>
    <row r="112" spans="1:8" s="4" customFormat="1" ht="15">
      <c r="A112" s="97">
        <f t="shared" si="0"/>
        <v>61</v>
      </c>
      <c r="B112" s="45" t="s">
        <v>267</v>
      </c>
      <c r="C112" s="27">
        <f>NonLCRTemplate!D113</f>
        <v>0</v>
      </c>
      <c r="D112" s="27">
        <f>NonLCRTemplate!E113</f>
        <v>0</v>
      </c>
      <c r="E112" s="24"/>
      <c r="F112" s="24"/>
      <c r="G112" s="24"/>
      <c r="H112" s="24"/>
    </row>
    <row r="113" spans="1:8" s="4" customFormat="1" ht="15">
      <c r="A113" s="97">
        <f t="shared" si="0"/>
        <v>62</v>
      </c>
      <c r="B113" s="45" t="s">
        <v>267</v>
      </c>
      <c r="C113" s="27">
        <f>NonLCRTemplate!D114</f>
        <v>0</v>
      </c>
      <c r="D113" s="27">
        <f>NonLCRTemplate!E114</f>
        <v>0</v>
      </c>
      <c r="E113" s="24"/>
      <c r="F113" s="24"/>
      <c r="G113" s="24"/>
      <c r="H113" s="24"/>
    </row>
    <row r="114" spans="1:8" s="4" customFormat="1" ht="15">
      <c r="A114" s="97">
        <f t="shared" si="0"/>
        <v>63</v>
      </c>
      <c r="B114" s="45" t="s">
        <v>268</v>
      </c>
      <c r="C114" s="27">
        <f>NonLCRTemplate!D115</f>
        <v>0</v>
      </c>
      <c r="D114" s="27">
        <f>NonLCRTemplate!E115</f>
        <v>0</v>
      </c>
      <c r="E114" s="24"/>
      <c r="F114" s="24"/>
      <c r="G114" s="24"/>
      <c r="H114" s="24"/>
    </row>
    <row r="115" spans="1:8" s="4" customFormat="1" ht="15">
      <c r="A115" s="97">
        <f t="shared" si="0"/>
        <v>64</v>
      </c>
      <c r="B115" s="45" t="s">
        <v>268</v>
      </c>
      <c r="C115" s="27">
        <f>NonLCRTemplate!D116</f>
        <v>0</v>
      </c>
      <c r="D115" s="27">
        <f>NonLCRTemplate!E116</f>
        <v>0</v>
      </c>
      <c r="E115" s="24"/>
      <c r="F115" s="24"/>
      <c r="G115" s="24"/>
      <c r="H115" s="24"/>
    </row>
    <row r="116" spans="1:8" s="4" customFormat="1" ht="15">
      <c r="A116" s="97">
        <f t="shared" si="0"/>
        <v>65</v>
      </c>
      <c r="B116" s="45" t="s">
        <v>268</v>
      </c>
      <c r="C116" s="27">
        <f>NonLCRTemplate!D117</f>
        <v>0</v>
      </c>
      <c r="D116" s="27">
        <f>NonLCRTemplate!E117</f>
        <v>0</v>
      </c>
      <c r="E116" s="24"/>
      <c r="F116" s="24"/>
      <c r="G116" s="24"/>
      <c r="H116" s="24"/>
    </row>
    <row r="117" spans="1:8" s="4" customFormat="1" ht="15">
      <c r="A117" s="97">
        <f t="shared" si="0"/>
        <v>66</v>
      </c>
      <c r="B117" s="45" t="s">
        <v>269</v>
      </c>
      <c r="C117" s="27">
        <f>NonLCRTemplate!D118</f>
        <v>0</v>
      </c>
      <c r="D117" s="27">
        <f>NonLCRTemplate!E118</f>
        <v>0</v>
      </c>
      <c r="E117" s="24"/>
      <c r="F117" s="24"/>
      <c r="G117" s="24"/>
      <c r="H117" s="24"/>
    </row>
    <row r="118" spans="1:8" s="4" customFormat="1" ht="15">
      <c r="A118" s="97">
        <f t="shared" si="0"/>
        <v>67</v>
      </c>
      <c r="B118" s="45" t="s">
        <v>269</v>
      </c>
      <c r="C118" s="27">
        <f>NonLCRTemplate!D119</f>
        <v>0</v>
      </c>
      <c r="D118" s="27">
        <f>NonLCRTemplate!E119</f>
        <v>0</v>
      </c>
      <c r="E118" s="24"/>
      <c r="F118" s="24"/>
      <c r="G118" s="24"/>
      <c r="H118" s="24"/>
    </row>
    <row r="119" spans="1:8" s="4" customFormat="1" ht="15">
      <c r="A119" s="97">
        <f t="shared" si="0"/>
        <v>68</v>
      </c>
      <c r="B119" s="45" t="s">
        <v>270</v>
      </c>
      <c r="C119" s="27">
        <f>NonLCRTemplate!D120</f>
        <v>0</v>
      </c>
      <c r="D119" s="27">
        <f>NonLCRTemplate!E120</f>
        <v>0</v>
      </c>
      <c r="E119" s="24"/>
      <c r="F119" s="24"/>
      <c r="G119" s="24"/>
      <c r="H119" s="24"/>
    </row>
    <row r="120" spans="1:8" s="4" customFormat="1" ht="15">
      <c r="A120" s="97">
        <f t="shared" si="0"/>
        <v>69</v>
      </c>
      <c r="B120" s="45" t="s">
        <v>270</v>
      </c>
      <c r="C120" s="27">
        <f>NonLCRTemplate!D121</f>
        <v>0</v>
      </c>
      <c r="D120" s="27">
        <f>NonLCRTemplate!E121</f>
        <v>0</v>
      </c>
      <c r="E120" s="24"/>
      <c r="F120" s="24"/>
      <c r="G120" s="24"/>
      <c r="H120" s="24"/>
    </row>
    <row r="121" spans="1:8" s="4" customFormat="1" ht="15">
      <c r="A121" s="97">
        <f t="shared" si="0"/>
        <v>70</v>
      </c>
      <c r="B121" s="45" t="s">
        <v>270</v>
      </c>
      <c r="C121" s="27">
        <f>NonLCRTemplate!D122</f>
        <v>0</v>
      </c>
      <c r="D121" s="27">
        <f>NonLCRTemplate!E122</f>
        <v>0</v>
      </c>
      <c r="E121" s="24"/>
      <c r="F121" s="24"/>
      <c r="G121" s="24"/>
      <c r="H121" s="24"/>
    </row>
    <row r="122" spans="1:8" s="4" customFormat="1" ht="15">
      <c r="A122" s="97">
        <f t="shared" si="0"/>
        <v>71</v>
      </c>
      <c r="B122" s="45" t="s">
        <v>270</v>
      </c>
      <c r="C122" s="27">
        <f>NonLCRTemplate!D123</f>
        <v>0</v>
      </c>
      <c r="D122" s="27">
        <f>NonLCRTemplate!E123</f>
        <v>0</v>
      </c>
      <c r="E122" s="24"/>
      <c r="F122" s="24"/>
      <c r="G122" s="24"/>
      <c r="H122" s="24"/>
    </row>
    <row r="123" spans="1:8" s="4" customFormat="1" ht="15">
      <c r="A123" s="97">
        <f t="shared" si="0"/>
        <v>72</v>
      </c>
      <c r="B123" s="45" t="s">
        <v>271</v>
      </c>
      <c r="C123" s="27">
        <f>NonLCRTemplate!D124</f>
        <v>0</v>
      </c>
      <c r="D123" s="27">
        <f>NonLCRTemplate!E124</f>
        <v>0</v>
      </c>
      <c r="E123" s="24"/>
      <c r="F123" s="24"/>
      <c r="G123" s="24"/>
      <c r="H123" s="24"/>
    </row>
    <row r="124" spans="1:8" s="4" customFormat="1" ht="15">
      <c r="A124" s="97">
        <f t="shared" si="0"/>
        <v>73</v>
      </c>
      <c r="B124" s="45" t="s">
        <v>272</v>
      </c>
      <c r="C124" s="27">
        <f>NonLCRTemplate!D125</f>
        <v>0</v>
      </c>
      <c r="D124" s="27">
        <f>NonLCRTemplate!E125</f>
        <v>0</v>
      </c>
      <c r="E124" s="24"/>
      <c r="F124" s="24"/>
      <c r="G124" s="24"/>
      <c r="H124" s="24"/>
    </row>
    <row r="125" spans="1:8" s="4" customFormat="1" ht="15">
      <c r="A125" s="97">
        <f t="shared" si="0"/>
        <v>74</v>
      </c>
      <c r="B125" s="45" t="s">
        <v>272</v>
      </c>
      <c r="C125" s="27">
        <f>NonLCRTemplate!D126</f>
        <v>0</v>
      </c>
      <c r="D125" s="27">
        <f>NonLCRTemplate!E126</f>
        <v>0</v>
      </c>
      <c r="E125" s="24"/>
      <c r="F125" s="24"/>
      <c r="G125" s="24"/>
      <c r="H125" s="24"/>
    </row>
    <row r="126" spans="1:8" s="4" customFormat="1" ht="15">
      <c r="A126" s="97">
        <f t="shared" si="0"/>
        <v>75</v>
      </c>
      <c r="B126" s="45" t="s">
        <v>272</v>
      </c>
      <c r="C126" s="27">
        <f>NonLCRTemplate!D127</f>
        <v>2.1399999999999997</v>
      </c>
      <c r="D126" s="27">
        <f>NonLCRTemplate!E127</f>
        <v>0</v>
      </c>
      <c r="E126" s="24"/>
      <c r="F126" s="24"/>
      <c r="G126" s="24"/>
      <c r="H126" s="24"/>
    </row>
    <row r="127" spans="1:8" s="4" customFormat="1" ht="15">
      <c r="A127" s="97">
        <f t="shared" ref="A127:A149" si="1">A126+1</f>
        <v>76</v>
      </c>
      <c r="B127" s="45" t="s">
        <v>272</v>
      </c>
      <c r="C127" s="27">
        <f>NonLCRTemplate!D128</f>
        <v>0</v>
      </c>
      <c r="D127" s="27">
        <f>NonLCRTemplate!E128</f>
        <v>0</v>
      </c>
      <c r="E127" s="24"/>
      <c r="F127" s="24"/>
      <c r="G127" s="24"/>
      <c r="H127" s="24"/>
    </row>
    <row r="128" spans="1:8" s="4" customFormat="1" ht="15">
      <c r="A128" s="97">
        <f t="shared" si="1"/>
        <v>77</v>
      </c>
      <c r="B128" s="45" t="s">
        <v>412</v>
      </c>
      <c r="C128" s="27">
        <f>NonLCRTemplate!D129</f>
        <v>0</v>
      </c>
      <c r="D128" s="27">
        <f>NonLCRTemplate!E129</f>
        <v>0</v>
      </c>
      <c r="E128" s="24"/>
      <c r="F128" s="24"/>
      <c r="G128" s="24"/>
      <c r="H128" s="24"/>
    </row>
    <row r="129" spans="1:8" s="4" customFormat="1" ht="15">
      <c r="A129" s="97">
        <f t="shared" si="1"/>
        <v>78</v>
      </c>
      <c r="B129" s="45" t="s">
        <v>275</v>
      </c>
      <c r="C129" s="27">
        <f>NonLCRTemplate!D130</f>
        <v>1.53</v>
      </c>
      <c r="D129" s="27">
        <f>NonLCRTemplate!E130</f>
        <v>0</v>
      </c>
      <c r="E129" s="24"/>
      <c r="F129" s="24"/>
      <c r="G129" s="24"/>
      <c r="H129" s="24"/>
    </row>
    <row r="130" spans="1:8" s="4" customFormat="1" ht="15">
      <c r="A130" s="97">
        <f t="shared" si="1"/>
        <v>79</v>
      </c>
      <c r="B130" s="45" t="s">
        <v>412</v>
      </c>
      <c r="C130" s="27">
        <f>NonLCRTemplate!D131</f>
        <v>0</v>
      </c>
      <c r="D130" s="27">
        <f>NonLCRTemplate!E131</f>
        <v>0</v>
      </c>
      <c r="E130" s="24"/>
      <c r="F130" s="24"/>
      <c r="G130" s="24"/>
      <c r="H130" s="24"/>
    </row>
    <row r="131" spans="1:8" s="4" customFormat="1" ht="15">
      <c r="A131" s="97">
        <f t="shared" si="1"/>
        <v>80</v>
      </c>
      <c r="B131" s="45" t="s">
        <v>275</v>
      </c>
      <c r="C131" s="27">
        <f>NonLCRTemplate!D132</f>
        <v>0</v>
      </c>
      <c r="D131" s="27">
        <f>NonLCRTemplate!E132</f>
        <v>0</v>
      </c>
      <c r="E131" s="24"/>
      <c r="F131" s="24"/>
      <c r="G131" s="24"/>
      <c r="H131" s="24"/>
    </row>
    <row r="132" spans="1:8" s="4" customFormat="1" ht="15">
      <c r="A132" s="97">
        <f t="shared" si="1"/>
        <v>81</v>
      </c>
      <c r="B132" s="45" t="s">
        <v>277</v>
      </c>
      <c r="C132" s="27">
        <f>NonLCRTemplate!D133</f>
        <v>0</v>
      </c>
      <c r="D132" s="27">
        <f>NonLCRTemplate!E133</f>
        <v>0</v>
      </c>
      <c r="E132" s="24"/>
      <c r="F132" s="24"/>
      <c r="G132" s="24"/>
      <c r="H132" s="24"/>
    </row>
    <row r="133" spans="1:8" s="4" customFormat="1" ht="15">
      <c r="A133" s="97">
        <f t="shared" si="1"/>
        <v>82</v>
      </c>
      <c r="B133" s="45" t="s">
        <v>278</v>
      </c>
      <c r="C133" s="27">
        <f>NonLCRTemplate!D134</f>
        <v>0</v>
      </c>
      <c r="D133" s="27">
        <f>NonLCRTemplate!E134</f>
        <v>0</v>
      </c>
      <c r="E133" s="24"/>
      <c r="F133" s="24"/>
      <c r="G133" s="24"/>
      <c r="H133" s="24"/>
    </row>
    <row r="134" spans="1:8" s="4" customFormat="1" ht="15">
      <c r="A134" s="97">
        <f t="shared" si="1"/>
        <v>83</v>
      </c>
      <c r="B134" s="45" t="s">
        <v>279</v>
      </c>
      <c r="C134" s="27">
        <f>NonLCRTemplate!D135</f>
        <v>0</v>
      </c>
      <c r="D134" s="27">
        <f>NonLCRTemplate!E135</f>
        <v>0</v>
      </c>
      <c r="E134" s="24"/>
      <c r="F134" s="24"/>
      <c r="G134" s="24"/>
      <c r="H134" s="24"/>
    </row>
    <row r="135" spans="1:8" s="4" customFormat="1" ht="15">
      <c r="A135" s="97">
        <f t="shared" si="1"/>
        <v>84</v>
      </c>
      <c r="B135" s="45" t="s">
        <v>280</v>
      </c>
      <c r="C135" s="27">
        <f>NonLCRTemplate!D136</f>
        <v>0</v>
      </c>
      <c r="D135" s="27">
        <f>NonLCRTemplate!E136</f>
        <v>0</v>
      </c>
      <c r="E135" s="24"/>
      <c r="F135" s="24"/>
      <c r="G135" s="24"/>
      <c r="H135" s="24"/>
    </row>
    <row r="136" spans="1:8" s="4" customFormat="1" ht="15">
      <c r="A136" s="97">
        <f t="shared" si="1"/>
        <v>85</v>
      </c>
      <c r="B136" s="45" t="s">
        <v>281</v>
      </c>
      <c r="C136" s="27">
        <f>NonLCRTemplate!D137</f>
        <v>0</v>
      </c>
      <c r="D136" s="27">
        <f>NonLCRTemplate!E137</f>
        <v>0</v>
      </c>
      <c r="E136" s="24"/>
      <c r="F136" s="24"/>
      <c r="G136" s="24"/>
      <c r="H136" s="24"/>
    </row>
    <row r="137" spans="1:8" s="4" customFormat="1" ht="15">
      <c r="A137" s="97">
        <f t="shared" si="1"/>
        <v>86</v>
      </c>
      <c r="B137" s="45" t="s">
        <v>282</v>
      </c>
      <c r="C137" s="27">
        <f>NonLCRTemplate!D138</f>
        <v>0</v>
      </c>
      <c r="D137" s="27">
        <f>NonLCRTemplate!E138</f>
        <v>0</v>
      </c>
      <c r="E137" s="24"/>
      <c r="F137" s="24"/>
      <c r="G137" s="24"/>
      <c r="H137" s="24"/>
    </row>
    <row r="138" spans="1:8" s="4" customFormat="1" ht="15">
      <c r="A138" s="97">
        <f t="shared" si="1"/>
        <v>87</v>
      </c>
      <c r="B138" s="45" t="s">
        <v>283</v>
      </c>
      <c r="C138" s="27">
        <f>NonLCRTemplate!D139</f>
        <v>0</v>
      </c>
      <c r="D138" s="27">
        <f>NonLCRTemplate!E139</f>
        <v>0</v>
      </c>
      <c r="E138" s="24"/>
      <c r="F138" s="24"/>
      <c r="G138" s="24"/>
      <c r="H138" s="24"/>
    </row>
    <row r="139" spans="1:8" s="4" customFormat="1" ht="15">
      <c r="A139" s="97">
        <f t="shared" si="1"/>
        <v>88</v>
      </c>
      <c r="B139" s="45" t="s">
        <v>284</v>
      </c>
      <c r="C139" s="27">
        <f>NonLCRTemplate!D140</f>
        <v>0</v>
      </c>
      <c r="D139" s="27">
        <f>NonLCRTemplate!E140</f>
        <v>0</v>
      </c>
      <c r="E139" s="24"/>
      <c r="F139" s="24"/>
      <c r="G139" s="24"/>
      <c r="H139" s="24"/>
    </row>
    <row r="140" spans="1:8" s="4" customFormat="1" ht="15">
      <c r="A140" s="97">
        <f t="shared" si="1"/>
        <v>89</v>
      </c>
      <c r="B140" s="45" t="s">
        <v>285</v>
      </c>
      <c r="C140" s="27">
        <f>NonLCRTemplate!D141</f>
        <v>0</v>
      </c>
      <c r="D140" s="27">
        <f>NonLCRTemplate!E141</f>
        <v>0</v>
      </c>
      <c r="E140" s="24"/>
      <c r="F140" s="24"/>
      <c r="G140" s="24"/>
      <c r="H140" s="24"/>
    </row>
    <row r="141" spans="1:8" s="4" customFormat="1" ht="15">
      <c r="A141" s="97">
        <f t="shared" si="1"/>
        <v>90</v>
      </c>
      <c r="B141" s="45" t="s">
        <v>286</v>
      </c>
      <c r="C141" s="27">
        <f>NonLCRTemplate!D142</f>
        <v>0</v>
      </c>
      <c r="D141" s="27">
        <f>NonLCRTemplate!E142</f>
        <v>0</v>
      </c>
      <c r="E141" s="24"/>
      <c r="F141" s="24"/>
      <c r="G141" s="24"/>
      <c r="H141" s="24"/>
    </row>
    <row r="142" spans="1:8" s="4" customFormat="1" ht="15">
      <c r="A142" s="97">
        <f t="shared" si="1"/>
        <v>91</v>
      </c>
      <c r="B142" s="45" t="s">
        <v>287</v>
      </c>
      <c r="C142" s="27">
        <f>NonLCRTemplate!D143</f>
        <v>0</v>
      </c>
      <c r="D142" s="27">
        <f>NonLCRTemplate!E143</f>
        <v>0</v>
      </c>
      <c r="E142" s="24"/>
      <c r="F142" s="24"/>
      <c r="G142" s="24"/>
      <c r="H142" s="24"/>
    </row>
    <row r="143" spans="1:8" s="4" customFormat="1" ht="15">
      <c r="A143" s="97">
        <f t="shared" si="1"/>
        <v>92</v>
      </c>
      <c r="B143" s="45" t="s">
        <v>288</v>
      </c>
      <c r="C143" s="27">
        <f>NonLCRTemplate!D144</f>
        <v>0</v>
      </c>
      <c r="D143" s="27">
        <f>NonLCRTemplate!E144</f>
        <v>0</v>
      </c>
      <c r="E143" s="24"/>
      <c r="F143" s="24"/>
      <c r="G143" s="24"/>
      <c r="H143" s="24"/>
    </row>
    <row r="144" spans="1:8" s="4" customFormat="1" ht="15">
      <c r="A144" s="97">
        <f t="shared" si="1"/>
        <v>93</v>
      </c>
      <c r="B144" s="45" t="s">
        <v>289</v>
      </c>
      <c r="C144" s="27">
        <f>NonLCRTemplate!D145</f>
        <v>0</v>
      </c>
      <c r="D144" s="27">
        <f>NonLCRTemplate!E145</f>
        <v>0</v>
      </c>
      <c r="E144" s="24"/>
      <c r="F144" s="24"/>
      <c r="G144" s="24"/>
      <c r="H144" s="24"/>
    </row>
    <row r="145" spans="1:9" s="4" customFormat="1" ht="15">
      <c r="A145" s="97">
        <f t="shared" si="1"/>
        <v>94</v>
      </c>
      <c r="B145" s="45" t="s">
        <v>290</v>
      </c>
      <c r="C145" s="27">
        <f>NonLCRTemplate!D146</f>
        <v>0</v>
      </c>
      <c r="D145" s="27">
        <f>NonLCRTemplate!E146</f>
        <v>0</v>
      </c>
      <c r="E145" s="24"/>
      <c r="F145" s="24"/>
      <c r="G145" s="24"/>
      <c r="H145" s="24"/>
    </row>
    <row r="146" spans="1:9" s="4" customFormat="1" ht="15">
      <c r="A146" s="97">
        <f t="shared" si="1"/>
        <v>95</v>
      </c>
      <c r="B146" s="45" t="s">
        <v>290</v>
      </c>
      <c r="C146" s="27">
        <f>NonLCRTemplate!D147</f>
        <v>0</v>
      </c>
      <c r="D146" s="27">
        <f>NonLCRTemplate!E147</f>
        <v>0</v>
      </c>
      <c r="E146" s="24"/>
      <c r="F146" s="24"/>
      <c r="G146" s="24"/>
      <c r="H146" s="24"/>
    </row>
    <row r="147" spans="1:9" s="4" customFormat="1" ht="15">
      <c r="A147" s="97">
        <f t="shared" si="1"/>
        <v>96</v>
      </c>
      <c r="B147" s="45" t="s">
        <v>290</v>
      </c>
      <c r="C147" s="27">
        <f>NonLCRTemplate!D148</f>
        <v>0</v>
      </c>
      <c r="D147" s="27">
        <f>NonLCRTemplate!E148</f>
        <v>0</v>
      </c>
      <c r="E147" s="24"/>
      <c r="F147" s="24"/>
      <c r="G147" s="24"/>
      <c r="H147" s="24"/>
    </row>
    <row r="148" spans="1:9" s="4" customFormat="1" ht="15">
      <c r="A148" s="97">
        <f t="shared" si="1"/>
        <v>97</v>
      </c>
      <c r="B148" s="45" t="s">
        <v>291</v>
      </c>
      <c r="C148" s="27">
        <f>NonLCRTemplate!D149</f>
        <v>42.16</v>
      </c>
      <c r="D148" s="27">
        <f>NonLCRTemplate!E149</f>
        <v>42.16</v>
      </c>
      <c r="E148" s="24"/>
      <c r="F148" s="24"/>
      <c r="G148" s="24"/>
      <c r="H148" s="24"/>
    </row>
    <row r="149" spans="1:9" s="4" customFormat="1" ht="15">
      <c r="A149" s="97">
        <f t="shared" si="1"/>
        <v>98</v>
      </c>
      <c r="B149" s="45" t="s">
        <v>291</v>
      </c>
      <c r="C149" s="27">
        <f>NonLCRTemplate!D150</f>
        <v>0</v>
      </c>
      <c r="D149" s="27">
        <f>NonLCRTemplate!E150</f>
        <v>0</v>
      </c>
      <c r="E149" s="24"/>
      <c r="F149" s="24"/>
      <c r="G149" s="24"/>
      <c r="H149" s="24"/>
    </row>
    <row r="150" spans="1:9" s="4" customFormat="1">
      <c r="A150" s="96"/>
      <c r="B150" s="38" t="s">
        <v>194</v>
      </c>
      <c r="C150" s="37"/>
      <c r="D150" s="36"/>
      <c r="E150" s="34"/>
      <c r="F150" s="24"/>
      <c r="G150" s="24"/>
      <c r="H150" s="24"/>
    </row>
    <row r="151" spans="1:9" s="4" customFormat="1" ht="15">
      <c r="A151" s="95"/>
      <c r="B151" s="44"/>
      <c r="C151" s="43"/>
      <c r="D151" s="42"/>
      <c r="E151" s="35"/>
      <c r="F151" s="35"/>
      <c r="G151" s="35"/>
      <c r="H151" s="35"/>
      <c r="I151" s="41"/>
    </row>
    <row r="152" spans="1:9" s="4" customFormat="1" ht="21">
      <c r="A152" s="88" t="s">
        <v>292</v>
      </c>
      <c r="B152" s="33"/>
      <c r="C152" s="203" t="s">
        <v>410</v>
      </c>
      <c r="D152" s="204"/>
    </row>
    <row r="153" spans="1:9">
      <c r="A153" s="93"/>
      <c r="C153" s="32" t="s">
        <v>409</v>
      </c>
      <c r="D153" s="31" t="s">
        <v>408</v>
      </c>
    </row>
    <row r="154" spans="1:9" s="4" customFormat="1" ht="15">
      <c r="A154" s="90">
        <f>A149+1</f>
        <v>99</v>
      </c>
      <c r="B154" s="39" t="s">
        <v>293</v>
      </c>
      <c r="C154" s="40">
        <f>NonLCRTemplate!D155</f>
        <v>108.99000000000001</v>
      </c>
      <c r="D154" s="27">
        <f>NonLCRTemplate!E155</f>
        <v>108.99000000000001</v>
      </c>
    </row>
    <row r="155" spans="1:9" s="4" customFormat="1" ht="15">
      <c r="A155" s="90">
        <f>A154+1</f>
        <v>100</v>
      </c>
      <c r="B155" s="39" t="s">
        <v>294</v>
      </c>
      <c r="C155" s="27">
        <f>NonLCRTemplate!D156</f>
        <v>0</v>
      </c>
      <c r="D155" s="27">
        <f>NonLCRTemplate!E156</f>
        <v>0</v>
      </c>
    </row>
    <row r="156" spans="1:9" s="4" customFormat="1" ht="15">
      <c r="A156" s="90">
        <f t="shared" ref="A156:A187" si="2">A155+1</f>
        <v>101</v>
      </c>
      <c r="B156" s="39" t="s">
        <v>294</v>
      </c>
      <c r="C156" s="27">
        <f>NonLCRTemplate!D157</f>
        <v>0.35</v>
      </c>
      <c r="D156" s="27">
        <f>NonLCRTemplate!E157</f>
        <v>0.35</v>
      </c>
    </row>
    <row r="157" spans="1:9" s="4" customFormat="1" ht="15">
      <c r="A157" s="90">
        <f t="shared" si="2"/>
        <v>102</v>
      </c>
      <c r="B157" s="39" t="s">
        <v>295</v>
      </c>
      <c r="C157" s="27">
        <f>NonLCRTemplate!D158</f>
        <v>382.07</v>
      </c>
      <c r="D157" s="27">
        <f>NonLCRTemplate!E158</f>
        <v>382.07</v>
      </c>
    </row>
    <row r="158" spans="1:9" s="4" customFormat="1" ht="15">
      <c r="A158" s="90">
        <f t="shared" si="2"/>
        <v>103</v>
      </c>
      <c r="B158" s="39" t="s">
        <v>295</v>
      </c>
      <c r="C158" s="27">
        <f>NonLCRTemplate!D159</f>
        <v>0</v>
      </c>
      <c r="D158" s="27">
        <f>NonLCRTemplate!E159</f>
        <v>0</v>
      </c>
    </row>
    <row r="159" spans="1:9" s="4" customFormat="1" ht="15">
      <c r="A159" s="90">
        <f t="shared" si="2"/>
        <v>104</v>
      </c>
      <c r="B159" s="39" t="s">
        <v>295</v>
      </c>
      <c r="C159" s="27">
        <f>NonLCRTemplate!D160</f>
        <v>302.27</v>
      </c>
      <c r="D159" s="27">
        <f>NonLCRTemplate!E160</f>
        <v>302.27</v>
      </c>
    </row>
    <row r="160" spans="1:9" s="4" customFormat="1" ht="15">
      <c r="A160" s="90">
        <f t="shared" si="2"/>
        <v>105</v>
      </c>
      <c r="B160" s="39" t="s">
        <v>296</v>
      </c>
      <c r="C160" s="27">
        <f>NonLCRTemplate!D161</f>
        <v>94.259999999999991</v>
      </c>
      <c r="D160" s="27">
        <f>NonLCRTemplate!E161</f>
        <v>85.41</v>
      </c>
    </row>
    <row r="161" spans="1:4" s="4" customFormat="1" ht="15">
      <c r="A161" s="90">
        <f t="shared" si="2"/>
        <v>106</v>
      </c>
      <c r="B161" s="39" t="s">
        <v>296</v>
      </c>
      <c r="C161" s="27">
        <f>NonLCRTemplate!D162</f>
        <v>257.36</v>
      </c>
      <c r="D161" s="27">
        <f>NonLCRTemplate!E162</f>
        <v>257.36</v>
      </c>
    </row>
    <row r="162" spans="1:4" s="4" customFormat="1" ht="15">
      <c r="A162" s="90">
        <f t="shared" si="2"/>
        <v>107</v>
      </c>
      <c r="B162" s="39" t="s">
        <v>297</v>
      </c>
      <c r="C162" s="27">
        <f>NonLCRTemplate!D163</f>
        <v>0</v>
      </c>
      <c r="D162" s="27">
        <f>NonLCRTemplate!E163</f>
        <v>0</v>
      </c>
    </row>
    <row r="163" spans="1:4" s="4" customFormat="1" ht="15">
      <c r="A163" s="90">
        <f t="shared" si="2"/>
        <v>108</v>
      </c>
      <c r="B163" s="39" t="s">
        <v>297</v>
      </c>
      <c r="C163" s="27">
        <f>NonLCRTemplate!D164</f>
        <v>0</v>
      </c>
      <c r="D163" s="27">
        <f>NonLCRTemplate!E164</f>
        <v>0</v>
      </c>
    </row>
    <row r="164" spans="1:4" s="4" customFormat="1" ht="15">
      <c r="A164" s="90">
        <f t="shared" si="2"/>
        <v>109</v>
      </c>
      <c r="B164" s="39" t="s">
        <v>298</v>
      </c>
      <c r="C164" s="27">
        <f>NonLCRTemplate!D165</f>
        <v>0</v>
      </c>
      <c r="D164" s="27">
        <f>NonLCRTemplate!E165</f>
        <v>0</v>
      </c>
    </row>
    <row r="165" spans="1:4" s="4" customFormat="1" ht="15">
      <c r="A165" s="90">
        <f t="shared" si="2"/>
        <v>110</v>
      </c>
      <c r="B165" s="39" t="s">
        <v>299</v>
      </c>
      <c r="C165" s="27">
        <f>NonLCRTemplate!D166</f>
        <v>0</v>
      </c>
      <c r="D165" s="27">
        <f>NonLCRTemplate!E166</f>
        <v>0</v>
      </c>
    </row>
    <row r="166" spans="1:4" s="4" customFormat="1" ht="15">
      <c r="A166" s="90">
        <f t="shared" si="2"/>
        <v>111</v>
      </c>
      <c r="B166" s="39" t="s">
        <v>299</v>
      </c>
      <c r="C166" s="27">
        <f>NonLCRTemplate!D167</f>
        <v>0</v>
      </c>
      <c r="D166" s="27">
        <f>NonLCRTemplate!E167</f>
        <v>0</v>
      </c>
    </row>
    <row r="167" spans="1:4" s="4" customFormat="1" ht="15">
      <c r="A167" s="90">
        <f t="shared" si="2"/>
        <v>112</v>
      </c>
      <c r="B167" s="39" t="s">
        <v>299</v>
      </c>
      <c r="C167" s="27">
        <f>NonLCRTemplate!D168</f>
        <v>0</v>
      </c>
      <c r="D167" s="27">
        <f>NonLCRTemplate!E168</f>
        <v>0</v>
      </c>
    </row>
    <row r="168" spans="1:4" s="4" customFormat="1" ht="15">
      <c r="A168" s="90">
        <f t="shared" si="2"/>
        <v>113</v>
      </c>
      <c r="B168" s="39" t="s">
        <v>300</v>
      </c>
      <c r="C168" s="27">
        <f>NonLCRTemplate!D169</f>
        <v>0</v>
      </c>
      <c r="D168" s="27">
        <f>NonLCRTemplate!E169</f>
        <v>0</v>
      </c>
    </row>
    <row r="169" spans="1:4" s="4" customFormat="1" ht="15">
      <c r="A169" s="90">
        <f t="shared" si="2"/>
        <v>114</v>
      </c>
      <c r="B169" s="39" t="s">
        <v>300</v>
      </c>
      <c r="C169" s="27">
        <f>NonLCRTemplate!D170</f>
        <v>0</v>
      </c>
      <c r="D169" s="27">
        <f>NonLCRTemplate!E170</f>
        <v>0</v>
      </c>
    </row>
    <row r="170" spans="1:4" s="4" customFormat="1" ht="15">
      <c r="A170" s="90">
        <f t="shared" si="2"/>
        <v>115</v>
      </c>
      <c r="B170" s="39" t="s">
        <v>301</v>
      </c>
      <c r="C170" s="27">
        <f>NonLCRTemplate!D171</f>
        <v>0</v>
      </c>
      <c r="D170" s="27">
        <f>NonLCRTemplate!E171</f>
        <v>0</v>
      </c>
    </row>
    <row r="171" spans="1:4" s="4" customFormat="1" ht="15">
      <c r="A171" s="90">
        <f t="shared" si="2"/>
        <v>116</v>
      </c>
      <c r="B171" s="39" t="s">
        <v>301</v>
      </c>
      <c r="C171" s="27">
        <f>NonLCRTemplate!D172</f>
        <v>0</v>
      </c>
      <c r="D171" s="27">
        <f>NonLCRTemplate!E172</f>
        <v>0</v>
      </c>
    </row>
    <row r="172" spans="1:4" s="4" customFormat="1" ht="15">
      <c r="A172" s="90">
        <f t="shared" si="2"/>
        <v>117</v>
      </c>
      <c r="B172" s="39" t="s">
        <v>302</v>
      </c>
      <c r="C172" s="27">
        <f>NonLCRTemplate!D173</f>
        <v>0</v>
      </c>
      <c r="D172" s="27">
        <f>NonLCRTemplate!E173</f>
        <v>0</v>
      </c>
    </row>
    <row r="173" spans="1:4" s="4" customFormat="1" ht="15">
      <c r="A173" s="90">
        <f t="shared" si="2"/>
        <v>118</v>
      </c>
      <c r="B173" s="39" t="s">
        <v>302</v>
      </c>
      <c r="C173" s="27">
        <f>NonLCRTemplate!D174</f>
        <v>0</v>
      </c>
      <c r="D173" s="27">
        <f>NonLCRTemplate!E174</f>
        <v>0</v>
      </c>
    </row>
    <row r="174" spans="1:4" s="4" customFormat="1" ht="15">
      <c r="A174" s="90">
        <f t="shared" si="2"/>
        <v>119</v>
      </c>
      <c r="B174" s="39" t="s">
        <v>303</v>
      </c>
      <c r="C174" s="27">
        <f>NonLCRTemplate!D175</f>
        <v>0</v>
      </c>
      <c r="D174" s="27">
        <f>NonLCRTemplate!E175</f>
        <v>0</v>
      </c>
    </row>
    <row r="175" spans="1:4" s="4" customFormat="1" ht="15">
      <c r="A175" s="90">
        <f t="shared" si="2"/>
        <v>120</v>
      </c>
      <c r="B175" s="39" t="s">
        <v>304</v>
      </c>
      <c r="C175" s="27">
        <f>NonLCRTemplate!D176</f>
        <v>0</v>
      </c>
      <c r="D175" s="27">
        <f>NonLCRTemplate!E176</f>
        <v>0</v>
      </c>
    </row>
    <row r="176" spans="1:4" s="4" customFormat="1" ht="15">
      <c r="A176" s="90">
        <f t="shared" si="2"/>
        <v>121</v>
      </c>
      <c r="B176" s="39" t="s">
        <v>305</v>
      </c>
      <c r="C176" s="27">
        <f>NonLCRTemplate!D177</f>
        <v>0</v>
      </c>
      <c r="D176" s="27">
        <f>NonLCRTemplate!E177</f>
        <v>0</v>
      </c>
    </row>
    <row r="177" spans="1:9" s="4" customFormat="1" ht="15">
      <c r="A177" s="90">
        <f t="shared" si="2"/>
        <v>122</v>
      </c>
      <c r="B177" s="39" t="s">
        <v>306</v>
      </c>
      <c r="C177" s="27">
        <f>NonLCRTemplate!D178</f>
        <v>0</v>
      </c>
      <c r="D177" s="27">
        <f>NonLCRTemplate!E178</f>
        <v>0</v>
      </c>
    </row>
    <row r="178" spans="1:9" s="4" customFormat="1" ht="15">
      <c r="A178" s="90">
        <f t="shared" si="2"/>
        <v>123</v>
      </c>
      <c r="B178" s="39" t="s">
        <v>307</v>
      </c>
      <c r="C178" s="27">
        <f>NonLCRTemplate!D179</f>
        <v>0</v>
      </c>
      <c r="D178" s="27">
        <f>NonLCRTemplate!E179</f>
        <v>0</v>
      </c>
    </row>
    <row r="179" spans="1:9" s="4" customFormat="1" ht="15">
      <c r="A179" s="90">
        <f t="shared" si="2"/>
        <v>124</v>
      </c>
      <c r="B179" s="39" t="s">
        <v>308</v>
      </c>
      <c r="C179" s="27">
        <f>NonLCRTemplate!D180</f>
        <v>0</v>
      </c>
      <c r="D179" s="27">
        <f>NonLCRTemplate!E180</f>
        <v>0</v>
      </c>
    </row>
    <row r="180" spans="1:9" s="4" customFormat="1" ht="15">
      <c r="A180" s="90">
        <f t="shared" si="2"/>
        <v>125</v>
      </c>
      <c r="B180" s="39" t="s">
        <v>309</v>
      </c>
      <c r="C180" s="27">
        <f>NonLCRTemplate!D181</f>
        <v>0</v>
      </c>
      <c r="D180" s="27">
        <f>NonLCRTemplate!E181</f>
        <v>0</v>
      </c>
    </row>
    <row r="181" spans="1:9" s="4" customFormat="1" ht="15">
      <c r="A181" s="90">
        <f t="shared" si="2"/>
        <v>126</v>
      </c>
      <c r="B181" s="39" t="s">
        <v>310</v>
      </c>
      <c r="C181" s="27">
        <f>NonLCRTemplate!D182</f>
        <v>0</v>
      </c>
      <c r="D181" s="27">
        <f>NonLCRTemplate!E182</f>
        <v>0</v>
      </c>
    </row>
    <row r="182" spans="1:9" s="4" customFormat="1" ht="15">
      <c r="A182" s="90">
        <f t="shared" si="2"/>
        <v>127</v>
      </c>
      <c r="B182" s="39" t="s">
        <v>311</v>
      </c>
      <c r="C182" s="27">
        <f>NonLCRTemplate!D183</f>
        <v>0</v>
      </c>
      <c r="D182" s="27">
        <f>NonLCRTemplate!E183</f>
        <v>0</v>
      </c>
    </row>
    <row r="183" spans="1:9" s="4" customFormat="1" ht="15">
      <c r="A183" s="90">
        <f t="shared" si="2"/>
        <v>128</v>
      </c>
      <c r="B183" s="39" t="s">
        <v>312</v>
      </c>
      <c r="C183" s="27">
        <f>NonLCRTemplate!D184</f>
        <v>0</v>
      </c>
      <c r="D183" s="27">
        <f>NonLCRTemplate!E184</f>
        <v>0</v>
      </c>
    </row>
    <row r="184" spans="1:9" s="4" customFormat="1" ht="15">
      <c r="A184" s="90">
        <f t="shared" si="2"/>
        <v>129</v>
      </c>
      <c r="B184" s="39" t="s">
        <v>313</v>
      </c>
      <c r="C184" s="27">
        <f>NonLCRTemplate!D185</f>
        <v>0</v>
      </c>
      <c r="D184" s="27">
        <f>NonLCRTemplate!E185</f>
        <v>0</v>
      </c>
    </row>
    <row r="185" spans="1:9" s="4" customFormat="1" ht="15">
      <c r="A185" s="90">
        <f t="shared" si="2"/>
        <v>130</v>
      </c>
      <c r="B185" s="39" t="s">
        <v>314</v>
      </c>
      <c r="C185" s="27">
        <f>NonLCRTemplate!D186</f>
        <v>0</v>
      </c>
      <c r="D185" s="27">
        <f>NonLCRTemplate!E186</f>
        <v>0</v>
      </c>
    </row>
    <row r="186" spans="1:9" s="4" customFormat="1" ht="15">
      <c r="A186" s="90">
        <f t="shared" si="2"/>
        <v>131</v>
      </c>
      <c r="B186" s="39" t="s">
        <v>315</v>
      </c>
      <c r="C186" s="27">
        <f>NonLCRTemplate!D187</f>
        <v>0</v>
      </c>
      <c r="D186" s="27">
        <f>NonLCRTemplate!E187</f>
        <v>0</v>
      </c>
    </row>
    <row r="187" spans="1:9" s="4" customFormat="1" ht="15">
      <c r="A187" s="90">
        <f t="shared" si="2"/>
        <v>132</v>
      </c>
      <c r="B187" s="39" t="s">
        <v>316</v>
      </c>
      <c r="C187" s="27">
        <f>NonLCRTemplate!D188</f>
        <v>0.27</v>
      </c>
      <c r="D187" s="27">
        <f>NonLCRTemplate!E188</f>
        <v>0.27</v>
      </c>
    </row>
    <row r="188" spans="1:9" ht="15">
      <c r="A188" s="89"/>
      <c r="B188" s="38" t="s">
        <v>195</v>
      </c>
      <c r="C188" s="37"/>
      <c r="D188" s="36"/>
      <c r="E188" s="35"/>
      <c r="F188" s="35"/>
      <c r="G188" s="35"/>
      <c r="H188" s="35"/>
      <c r="I188" s="34"/>
    </row>
    <row r="190" spans="1:9" ht="23.25">
      <c r="A190" s="88" t="s">
        <v>411</v>
      </c>
      <c r="B190" s="33"/>
      <c r="C190" s="203" t="s">
        <v>410</v>
      </c>
      <c r="D190" s="204"/>
    </row>
    <row r="191" spans="1:9">
      <c r="B191" s="29"/>
      <c r="C191" s="32" t="s">
        <v>409</v>
      </c>
      <c r="D191" s="31" t="s">
        <v>408</v>
      </c>
    </row>
    <row r="192" spans="1:9" ht="15">
      <c r="A192" s="205" t="s">
        <v>225</v>
      </c>
      <c r="B192" s="30" t="s">
        <v>317</v>
      </c>
      <c r="C192" s="27">
        <f>NonLCRTemplate!D193</f>
        <v>0</v>
      </c>
      <c r="D192" s="27">
        <f>NonLCRTemplate!E193</f>
        <v>0</v>
      </c>
    </row>
    <row r="193" spans="1:4" ht="15">
      <c r="A193" s="206"/>
      <c r="B193" s="30" t="s">
        <v>318</v>
      </c>
      <c r="C193" s="27">
        <f>NonLCRTemplate!D194</f>
        <v>0</v>
      </c>
      <c r="D193" s="27">
        <f>NonLCRTemplate!E194</f>
        <v>0</v>
      </c>
    </row>
    <row r="194" spans="1:4" ht="15">
      <c r="A194" s="207"/>
      <c r="B194" s="28" t="s">
        <v>319</v>
      </c>
      <c r="C194" s="27">
        <f>NonLCRTemplate!D195</f>
        <v>0</v>
      </c>
      <c r="D194" s="27">
        <f>NonLCRTemplate!E195</f>
        <v>0</v>
      </c>
    </row>
    <row r="195" spans="1:4">
      <c r="A195" s="86"/>
      <c r="C195" s="29"/>
      <c r="D195" s="29"/>
    </row>
    <row r="196" spans="1:4" ht="15">
      <c r="A196" s="205" t="s">
        <v>292</v>
      </c>
      <c r="B196" s="28" t="s">
        <v>320</v>
      </c>
      <c r="C196" s="27">
        <f>NonLCRTemplate!D197</f>
        <v>0</v>
      </c>
      <c r="D196" s="27">
        <f>NonLCRTemplate!E197</f>
        <v>0</v>
      </c>
    </row>
    <row r="197" spans="1:4" ht="15">
      <c r="A197" s="208"/>
      <c r="B197" s="28" t="s">
        <v>321</v>
      </c>
      <c r="C197" s="27">
        <f>NonLCRTemplate!D198</f>
        <v>0</v>
      </c>
      <c r="D197" s="27">
        <f>NonLCRTemplate!E198</f>
        <v>0</v>
      </c>
    </row>
    <row r="199" spans="1:4" ht="15.75">
      <c r="A199" s="26" t="s">
        <v>322</v>
      </c>
    </row>
    <row r="200" spans="1:4">
      <c r="A200" s="85" t="s">
        <v>323</v>
      </c>
    </row>
    <row r="201" spans="1:4">
      <c r="A201" s="25" t="s">
        <v>324</v>
      </c>
    </row>
  </sheetData>
  <mergeCells count="5">
    <mergeCell ref="C59:D59"/>
    <mergeCell ref="C152:D152"/>
    <mergeCell ref="C190:D190"/>
    <mergeCell ref="A192:A194"/>
    <mergeCell ref="A196:A197"/>
  </mergeCells>
  <conditionalFormatting sqref="C188:D188 C7:C11">
    <cfRule type="expression" dxfId="1445" priority="241">
      <formula>#REF!="Weight chg"</formula>
    </cfRule>
    <cfRule type="expression" dxfId="1444" priority="242">
      <formula>#REF!="BCBS only"</formula>
    </cfRule>
    <cfRule type="expression" dxfId="1443" priority="243">
      <formula>#REF!="US NPR"</formula>
    </cfRule>
  </conditionalFormatting>
  <conditionalFormatting sqref="B151 B162:B188 F191:H194 E188:H188 E151:H151 B4:B11 B58 D58 E106:G108 B97:B108 D154:D187 C61:D148 B154:C160 D202 D206 C2:C3 C150:D150">
    <cfRule type="expression" dxfId="1442" priority="244">
      <formula>#REF!="Weight chg"</formula>
    </cfRule>
    <cfRule type="expression" dxfId="1441" priority="245">
      <formula>#REF!="BCBS only"</formula>
    </cfRule>
    <cfRule type="expression" dxfId="1440" priority="246">
      <formula>#REF!="US NPR"</formula>
    </cfRule>
  </conditionalFormatting>
  <conditionalFormatting sqref="C189 C198:C1048576 B34 B60 B42 B50">
    <cfRule type="expression" dxfId="1439" priority="238">
      <formula>#REF!="Weight chg"</formula>
    </cfRule>
    <cfRule type="expression" dxfId="1438" priority="239">
      <formula>#REF!="BCBS only"</formula>
    </cfRule>
    <cfRule type="expression" dxfId="1437" priority="240">
      <formula>#REF!="US NPR"</formula>
    </cfRule>
  </conditionalFormatting>
  <conditionalFormatting sqref="C151">
    <cfRule type="expression" dxfId="1436" priority="235">
      <formula>#REF!="Weight chg"</formula>
    </cfRule>
    <cfRule type="expression" dxfId="1435" priority="236">
      <formula>#REF!="BCBS only"</formula>
    </cfRule>
    <cfRule type="expression" dxfId="1434" priority="237">
      <formula>#REF!="US NPR"</formula>
    </cfRule>
  </conditionalFormatting>
  <conditionalFormatting sqref="E190">
    <cfRule type="expression" dxfId="1433" priority="232">
      <formula>#REF!="Weight chg"</formula>
    </cfRule>
    <cfRule type="expression" dxfId="1432" priority="233">
      <formula>#REF!="BCBS only"</formula>
    </cfRule>
    <cfRule type="expression" dxfId="1431" priority="234">
      <formula>#REF!="US NPR"</formula>
    </cfRule>
  </conditionalFormatting>
  <conditionalFormatting sqref="D151">
    <cfRule type="expression" dxfId="1430" priority="229">
      <formula>#REF!="Weight chg"</formula>
    </cfRule>
    <cfRule type="expression" dxfId="1429" priority="230">
      <formula>#REF!="BCBS only"</formula>
    </cfRule>
    <cfRule type="expression" dxfId="1428" priority="231">
      <formula>#REF!="US NPR"</formula>
    </cfRule>
  </conditionalFormatting>
  <conditionalFormatting sqref="C60">
    <cfRule type="expression" dxfId="1427" priority="214">
      <formula>#REF!="Weight chg"</formula>
    </cfRule>
    <cfRule type="expression" dxfId="1426" priority="215">
      <formula>#REF!="BCBS only"</formula>
    </cfRule>
    <cfRule type="expression" dxfId="1425" priority="216">
      <formula>#REF!="US NPR"</formula>
    </cfRule>
  </conditionalFormatting>
  <conditionalFormatting sqref="E102:G102">
    <cfRule type="expression" dxfId="1424" priority="220">
      <formula>#REF!="Weight chg"</formula>
    </cfRule>
    <cfRule type="expression" dxfId="1423" priority="221">
      <formula>#REF!="BCBS only"</formula>
    </cfRule>
    <cfRule type="expression" dxfId="1422" priority="222">
      <formula>#REF!="US NPR"</formula>
    </cfRule>
  </conditionalFormatting>
  <conditionalFormatting sqref="E103:G105">
    <cfRule type="expression" dxfId="1421" priority="226">
      <formula>#REF!="Weight chg"</formula>
    </cfRule>
    <cfRule type="expression" dxfId="1420" priority="227">
      <formula>#REF!="BCBS only"</formula>
    </cfRule>
    <cfRule type="expression" dxfId="1419" priority="228">
      <formula>#REF!="US NPR"</formula>
    </cfRule>
  </conditionalFormatting>
  <conditionalFormatting sqref="E100:G101">
    <cfRule type="expression" dxfId="1418" priority="223">
      <formula>#REF!="Weight chg"</formula>
    </cfRule>
    <cfRule type="expression" dxfId="1417" priority="224">
      <formula>#REF!="BCBS only"</formula>
    </cfRule>
    <cfRule type="expression" dxfId="1416" priority="225">
      <formula>#REF!="US NPR"</formula>
    </cfRule>
  </conditionalFormatting>
  <conditionalFormatting sqref="D60">
    <cfRule type="expression" dxfId="1415" priority="211">
      <formula>#REF!="Weight chg"</formula>
    </cfRule>
    <cfRule type="expression" dxfId="1414" priority="212">
      <formula>#REF!="BCBS only"</formula>
    </cfRule>
    <cfRule type="expression" dxfId="1413" priority="213">
      <formula>#REF!="US NPR"</formula>
    </cfRule>
  </conditionalFormatting>
  <conditionalFormatting sqref="C58">
    <cfRule type="expression" dxfId="1412" priority="208">
      <formula>#REF!="Weight chg"</formula>
    </cfRule>
    <cfRule type="expression" dxfId="1411" priority="209">
      <formula>#REF!="BCBS only"</formula>
    </cfRule>
    <cfRule type="expression" dxfId="1410" priority="210">
      <formula>#REF!="US NPR"</formula>
    </cfRule>
  </conditionalFormatting>
  <conditionalFormatting sqref="D189">
    <cfRule type="expression" dxfId="1409" priority="217">
      <formula>#REF!="Weight chg"</formula>
    </cfRule>
    <cfRule type="expression" dxfId="1408" priority="218">
      <formula>#REF!="BCBS only"</formula>
    </cfRule>
    <cfRule type="expression" dxfId="1407" priority="219">
      <formula>#REF!="US NPR"</formula>
    </cfRule>
  </conditionalFormatting>
  <conditionalFormatting sqref="D204">
    <cfRule type="expression" dxfId="1406" priority="202">
      <formula>#REF!="Weight chg"</formula>
    </cfRule>
    <cfRule type="expression" dxfId="1405" priority="203">
      <formula>#REF!="BCBS only"</formula>
    </cfRule>
    <cfRule type="expression" dxfId="1404" priority="204">
      <formula>#REF!="US NPR"</formula>
    </cfRule>
  </conditionalFormatting>
  <conditionalFormatting sqref="D201">
    <cfRule type="expression" dxfId="1403" priority="205">
      <formula>#REF!="Weight chg"</formula>
    </cfRule>
    <cfRule type="expression" dxfId="1402" priority="206">
      <formula>#REF!="BCBS only"</formula>
    </cfRule>
    <cfRule type="expression" dxfId="1401" priority="207">
      <formula>#REF!="US NPR"</formula>
    </cfRule>
  </conditionalFormatting>
  <conditionalFormatting sqref="B16:B19">
    <cfRule type="expression" dxfId="1400" priority="193">
      <formula>#REF!="Weight chg"</formula>
    </cfRule>
    <cfRule type="expression" dxfId="1399" priority="194">
      <formula>#REF!="BCBS only"</formula>
    </cfRule>
    <cfRule type="expression" dxfId="1398" priority="195">
      <formula>#REF!="US NPR"</formula>
    </cfRule>
  </conditionalFormatting>
  <conditionalFormatting sqref="B20">
    <cfRule type="expression" dxfId="1397" priority="187">
      <formula>#REF!="Weight chg"</formula>
    </cfRule>
    <cfRule type="expression" dxfId="1396" priority="188">
      <formula>#REF!="BCBS only"</formula>
    </cfRule>
    <cfRule type="expression" dxfId="1395" priority="189">
      <formula>#REF!="US NPR"</formula>
    </cfRule>
  </conditionalFormatting>
  <conditionalFormatting sqref="B21:B24">
    <cfRule type="expression" dxfId="1394" priority="181">
      <formula>#REF!="Weight chg"</formula>
    </cfRule>
    <cfRule type="expression" dxfId="1393" priority="182">
      <formula>#REF!="BCBS only"</formula>
    </cfRule>
    <cfRule type="expression" dxfId="1392" priority="183">
      <formula>#REF!="US NPR"</formula>
    </cfRule>
  </conditionalFormatting>
  <conditionalFormatting sqref="C33">
    <cfRule type="expression" dxfId="1391" priority="163">
      <formula>#REF!="Weight chg"</formula>
    </cfRule>
    <cfRule type="expression" dxfId="1390" priority="164">
      <formula>#REF!="BCBS only"</formula>
    </cfRule>
    <cfRule type="expression" dxfId="1389" priority="165">
      <formula>#REF!="US NPR"</formula>
    </cfRule>
  </conditionalFormatting>
  <conditionalFormatting sqref="C12">
    <cfRule type="expression" dxfId="1388" priority="196">
      <formula>#REF!="Weight chg"</formula>
    </cfRule>
    <cfRule type="expression" dxfId="1387" priority="197">
      <formula>#REF!="BCBS only"</formula>
    </cfRule>
    <cfRule type="expression" dxfId="1386" priority="198">
      <formula>#REF!="US NPR"</formula>
    </cfRule>
  </conditionalFormatting>
  <conditionalFormatting sqref="B12:B15">
    <cfRule type="expression" dxfId="1385" priority="199">
      <formula>#REF!="Weight chg"</formula>
    </cfRule>
    <cfRule type="expression" dxfId="1384" priority="200">
      <formula>#REF!="BCBS only"</formula>
    </cfRule>
    <cfRule type="expression" dxfId="1383" priority="201">
      <formula>#REF!="US NPR"</formula>
    </cfRule>
  </conditionalFormatting>
  <conditionalFormatting sqref="C16">
    <cfRule type="expression" dxfId="1382" priority="190">
      <formula>#REF!="Weight chg"</formula>
    </cfRule>
    <cfRule type="expression" dxfId="1381" priority="191">
      <formula>#REF!="BCBS only"</formula>
    </cfRule>
    <cfRule type="expression" dxfId="1380" priority="192">
      <formula>#REF!="US NPR"</formula>
    </cfRule>
  </conditionalFormatting>
  <conditionalFormatting sqref="C20">
    <cfRule type="expression" dxfId="1379" priority="184">
      <formula>#REF!="Weight chg"</formula>
    </cfRule>
    <cfRule type="expression" dxfId="1378" priority="185">
      <formula>#REF!="BCBS only"</formula>
    </cfRule>
    <cfRule type="expression" dxfId="1377" priority="186">
      <formula>#REF!="US NPR"</formula>
    </cfRule>
  </conditionalFormatting>
  <conditionalFormatting sqref="C21">
    <cfRule type="expression" dxfId="1376" priority="178">
      <formula>#REF!="Weight chg"</formula>
    </cfRule>
    <cfRule type="expression" dxfId="1375" priority="179">
      <formula>#REF!="BCBS only"</formula>
    </cfRule>
    <cfRule type="expression" dxfId="1374" priority="180">
      <formula>#REF!="US NPR"</formula>
    </cfRule>
  </conditionalFormatting>
  <conditionalFormatting sqref="C25">
    <cfRule type="expression" dxfId="1373" priority="172">
      <formula>#REF!="Weight chg"</formula>
    </cfRule>
    <cfRule type="expression" dxfId="1372" priority="173">
      <formula>#REF!="BCBS only"</formula>
    </cfRule>
    <cfRule type="expression" dxfId="1371" priority="174">
      <formula>#REF!="US NPR"</formula>
    </cfRule>
  </conditionalFormatting>
  <conditionalFormatting sqref="B25:B28">
    <cfRule type="expression" dxfId="1370" priority="175">
      <formula>#REF!="Weight chg"</formula>
    </cfRule>
    <cfRule type="expression" dxfId="1369" priority="176">
      <formula>#REF!="BCBS only"</formula>
    </cfRule>
    <cfRule type="expression" dxfId="1368" priority="177">
      <formula>#REF!="US NPR"</formula>
    </cfRule>
  </conditionalFormatting>
  <conditionalFormatting sqref="C29">
    <cfRule type="expression" dxfId="1367" priority="166">
      <formula>#REF!="Weight chg"</formula>
    </cfRule>
    <cfRule type="expression" dxfId="1366" priority="167">
      <formula>#REF!="BCBS only"</formula>
    </cfRule>
    <cfRule type="expression" dxfId="1365" priority="168">
      <formula>#REF!="US NPR"</formula>
    </cfRule>
  </conditionalFormatting>
  <conditionalFormatting sqref="B29:B32">
    <cfRule type="expression" dxfId="1364" priority="169">
      <formula>#REF!="Weight chg"</formula>
    </cfRule>
    <cfRule type="expression" dxfId="1363" priority="170">
      <formula>#REF!="BCBS only"</formula>
    </cfRule>
    <cfRule type="expression" dxfId="1362" priority="171">
      <formula>#REF!="US NPR"</formula>
    </cfRule>
  </conditionalFormatting>
  <conditionalFormatting sqref="B61:B96">
    <cfRule type="expression" dxfId="1361" priority="157">
      <formula>#REF!="Weight chg"</formula>
    </cfRule>
    <cfRule type="expression" dxfId="1360" priority="158">
      <formula>#REF!="BCBS only"</formula>
    </cfRule>
    <cfRule type="expression" dxfId="1359" priority="159">
      <formula>#REF!="US NPR"</formula>
    </cfRule>
  </conditionalFormatting>
  <conditionalFormatting sqref="B59">
    <cfRule type="expression" dxfId="1358" priority="160">
      <formula>#REF!="Weight chg"</formula>
    </cfRule>
    <cfRule type="expression" dxfId="1357" priority="161">
      <formula>#REF!="BCBS only"</formula>
    </cfRule>
    <cfRule type="expression" dxfId="1356" priority="162">
      <formula>#REF!="US NPR"</formula>
    </cfRule>
  </conditionalFormatting>
  <conditionalFormatting sqref="B109:B148">
    <cfRule type="expression" dxfId="1355" priority="154">
      <formula>#REF!="Weight chg"</formula>
    </cfRule>
    <cfRule type="expression" dxfId="1354" priority="155">
      <formula>#REF!="BCBS only"</formula>
    </cfRule>
    <cfRule type="expression" dxfId="1353" priority="156">
      <formula>#REF!="US NPR"</formula>
    </cfRule>
  </conditionalFormatting>
  <conditionalFormatting sqref="B153">
    <cfRule type="expression" dxfId="1352" priority="151">
      <formula>#REF!="Weight chg"</formula>
    </cfRule>
    <cfRule type="expression" dxfId="1351" priority="152">
      <formula>#REF!="BCBS only"</formula>
    </cfRule>
    <cfRule type="expression" dxfId="1350" priority="153">
      <formula>#REF!="US NPR"</formula>
    </cfRule>
  </conditionalFormatting>
  <conditionalFormatting sqref="B152">
    <cfRule type="expression" dxfId="1349" priority="148">
      <formula>#REF!="Weight chg"</formula>
    </cfRule>
    <cfRule type="expression" dxfId="1348" priority="149">
      <formula>#REF!="BCBS only"</formula>
    </cfRule>
    <cfRule type="expression" dxfId="1347" priority="150">
      <formula>#REF!="US NPR"</formula>
    </cfRule>
  </conditionalFormatting>
  <conditionalFormatting sqref="B161">
    <cfRule type="expression" dxfId="1346" priority="139">
      <formula>#REF!="Weight chg"</formula>
    </cfRule>
    <cfRule type="expression" dxfId="1345" priority="140">
      <formula>#REF!="BCBS only"</formula>
    </cfRule>
    <cfRule type="expression" dxfId="1344" priority="141">
      <formula>#REF!="US NPR"</formula>
    </cfRule>
  </conditionalFormatting>
  <conditionalFormatting sqref="C161">
    <cfRule type="expression" dxfId="1343" priority="136">
      <formula>#REF!="Weight chg"</formula>
    </cfRule>
    <cfRule type="expression" dxfId="1342" priority="137">
      <formula>#REF!="BCBS only"</formula>
    </cfRule>
    <cfRule type="expression" dxfId="1341" priority="138">
      <formula>#REF!="US NPR"</formula>
    </cfRule>
  </conditionalFormatting>
  <conditionalFormatting sqref="B35:B37">
    <cfRule type="expression" dxfId="1340" priority="133">
      <formula>#REF!="Weight chg"</formula>
    </cfRule>
    <cfRule type="expression" dxfId="1339" priority="134">
      <formula>#REF!="BCBS only"</formula>
    </cfRule>
    <cfRule type="expression" dxfId="1338" priority="135">
      <formula>#REF!="US NPR"</formula>
    </cfRule>
  </conditionalFormatting>
  <conditionalFormatting sqref="B33">
    <cfRule type="expression" dxfId="1337" priority="130">
      <formula>#REF!="Weight chg"</formula>
    </cfRule>
    <cfRule type="expression" dxfId="1336" priority="131">
      <formula>#REF!="BCBS only"</formula>
    </cfRule>
    <cfRule type="expression" dxfId="1335" priority="132">
      <formula>#REF!="US NPR"</formula>
    </cfRule>
  </conditionalFormatting>
  <conditionalFormatting sqref="C34">
    <cfRule type="expression" dxfId="1334" priority="145">
      <formula>#REF!="Weight chg"</formula>
    </cfRule>
    <cfRule type="expression" dxfId="1333" priority="146">
      <formula>#REF!="BCBS only"</formula>
    </cfRule>
    <cfRule type="expression" dxfId="1332" priority="147">
      <formula>#REF!="US NPR"</formula>
    </cfRule>
  </conditionalFormatting>
  <conditionalFormatting sqref="C162:C187">
    <cfRule type="expression" dxfId="1331" priority="142">
      <formula>#REF!="Weight chg"</formula>
    </cfRule>
    <cfRule type="expression" dxfId="1330" priority="143">
      <formula>#REF!="BCBS only"</formula>
    </cfRule>
    <cfRule type="expression" dxfId="1329" priority="144">
      <formula>#REF!="US NPR"</formula>
    </cfRule>
  </conditionalFormatting>
  <conditionalFormatting sqref="B38">
    <cfRule type="expression" dxfId="1328" priority="127">
      <formula>#REF!="Weight chg"</formula>
    </cfRule>
    <cfRule type="expression" dxfId="1327" priority="128">
      <formula>#REF!="BCBS only"</formula>
    </cfRule>
    <cfRule type="expression" dxfId="1326" priority="129">
      <formula>#REF!="US NPR"</formula>
    </cfRule>
  </conditionalFormatting>
  <conditionalFormatting sqref="B39:B41">
    <cfRule type="expression" dxfId="1325" priority="124">
      <formula>#REF!="Weight chg"</formula>
    </cfRule>
    <cfRule type="expression" dxfId="1324" priority="125">
      <formula>#REF!="BCBS only"</formula>
    </cfRule>
    <cfRule type="expression" dxfId="1323" priority="126">
      <formula>#REF!="US NPR"</formula>
    </cfRule>
  </conditionalFormatting>
  <conditionalFormatting sqref="C46">
    <cfRule type="expression" dxfId="1322" priority="121">
      <formula>#REF!="Weight chg"</formula>
    </cfRule>
    <cfRule type="expression" dxfId="1321" priority="122">
      <formula>#REF!="BCBS only"</formula>
    </cfRule>
    <cfRule type="expression" dxfId="1320" priority="123">
      <formula>#REF!="US NPR"</formula>
    </cfRule>
  </conditionalFormatting>
  <conditionalFormatting sqref="B54">
    <cfRule type="expression" dxfId="1319" priority="118">
      <formula>#REF!="Weight chg"</formula>
    </cfRule>
    <cfRule type="expression" dxfId="1318" priority="119">
      <formula>#REF!="BCBS only"</formula>
    </cfRule>
    <cfRule type="expression" dxfId="1317" priority="120">
      <formula>#REF!="US NPR"</formula>
    </cfRule>
  </conditionalFormatting>
  <conditionalFormatting sqref="E1">
    <cfRule type="expression" dxfId="1316" priority="115">
      <formula>#REF!="Weight chg"</formula>
    </cfRule>
    <cfRule type="expression" dxfId="1315" priority="116">
      <formula>#REF!="BCBS only"</formula>
    </cfRule>
    <cfRule type="expression" dxfId="1314" priority="117">
      <formula>#REF!="US NPR"</formula>
    </cfRule>
  </conditionalFormatting>
  <conditionalFormatting sqref="B150">
    <cfRule type="expression" dxfId="1313" priority="112">
      <formula>#REF!="Weight chg"</formula>
    </cfRule>
    <cfRule type="expression" dxfId="1312" priority="113">
      <formula>#REF!="BCBS only"</formula>
    </cfRule>
    <cfRule type="expression" dxfId="1311" priority="114">
      <formula>#REF!="US NPR"</formula>
    </cfRule>
  </conditionalFormatting>
  <conditionalFormatting sqref="C13:C15">
    <cfRule type="expression" dxfId="1310" priority="109">
      <formula>#REF!="Weight chg"</formula>
    </cfRule>
    <cfRule type="expression" dxfId="1309" priority="110">
      <formula>#REF!="BCBS only"</formula>
    </cfRule>
    <cfRule type="expression" dxfId="1308" priority="111">
      <formula>#REF!="US NPR"</formula>
    </cfRule>
  </conditionalFormatting>
  <conditionalFormatting sqref="C54">
    <cfRule type="expression" dxfId="1307" priority="73">
      <formula>#REF!="Weight chg"</formula>
    </cfRule>
    <cfRule type="expression" dxfId="1306" priority="74">
      <formula>#REF!="BCBS only"</formula>
    </cfRule>
    <cfRule type="expression" dxfId="1305" priority="75">
      <formula>#REF!="US NPR"</formula>
    </cfRule>
  </conditionalFormatting>
  <conditionalFormatting sqref="C17:C19">
    <cfRule type="expression" dxfId="1304" priority="106">
      <formula>#REF!="Weight chg"</formula>
    </cfRule>
    <cfRule type="expression" dxfId="1303" priority="107">
      <formula>#REF!="BCBS only"</formula>
    </cfRule>
    <cfRule type="expression" dxfId="1302" priority="108">
      <formula>#REF!="US NPR"</formula>
    </cfRule>
  </conditionalFormatting>
  <conditionalFormatting sqref="C22:C24">
    <cfRule type="expression" dxfId="1301" priority="103">
      <formula>#REF!="Weight chg"</formula>
    </cfRule>
    <cfRule type="expression" dxfId="1300" priority="104">
      <formula>#REF!="BCBS only"</formula>
    </cfRule>
    <cfRule type="expression" dxfId="1299" priority="105">
      <formula>#REF!="US NPR"</formula>
    </cfRule>
  </conditionalFormatting>
  <conditionalFormatting sqref="C50">
    <cfRule type="expression" dxfId="1298" priority="79">
      <formula>#REF!="Weight chg"</formula>
    </cfRule>
    <cfRule type="expression" dxfId="1297" priority="80">
      <formula>#REF!="BCBS only"</formula>
    </cfRule>
    <cfRule type="expression" dxfId="1296" priority="81">
      <formula>#REF!="US NPR"</formula>
    </cfRule>
  </conditionalFormatting>
  <conditionalFormatting sqref="C26:C28">
    <cfRule type="expression" dxfId="1295" priority="100">
      <formula>#REF!="Weight chg"</formula>
    </cfRule>
    <cfRule type="expression" dxfId="1294" priority="101">
      <formula>#REF!="BCBS only"</formula>
    </cfRule>
    <cfRule type="expression" dxfId="1293" priority="102">
      <formula>#REF!="US NPR"</formula>
    </cfRule>
  </conditionalFormatting>
  <conditionalFormatting sqref="C30:C32">
    <cfRule type="expression" dxfId="1292" priority="97">
      <formula>#REF!="Weight chg"</formula>
    </cfRule>
    <cfRule type="expression" dxfId="1291" priority="98">
      <formula>#REF!="BCBS only"</formula>
    </cfRule>
    <cfRule type="expression" dxfId="1290" priority="99">
      <formula>#REF!="US NPR"</formula>
    </cfRule>
  </conditionalFormatting>
  <conditionalFormatting sqref="B47:B49">
    <cfRule type="expression" dxfId="1289" priority="49">
      <formula>#REF!="Weight chg"</formula>
    </cfRule>
    <cfRule type="expression" dxfId="1288" priority="50">
      <formula>#REF!="BCBS only"</formula>
    </cfRule>
    <cfRule type="expression" dxfId="1287" priority="51">
      <formula>#REF!="US NPR"</formula>
    </cfRule>
  </conditionalFormatting>
  <conditionalFormatting sqref="C38">
    <cfRule type="expression" dxfId="1286" priority="94">
      <formula>#REF!="Weight chg"</formula>
    </cfRule>
    <cfRule type="expression" dxfId="1285" priority="95">
      <formula>#REF!="BCBS only"</formula>
    </cfRule>
    <cfRule type="expression" dxfId="1284" priority="96">
      <formula>#REF!="US NPR"</formula>
    </cfRule>
  </conditionalFormatting>
  <conditionalFormatting sqref="C42">
    <cfRule type="expression" dxfId="1283" priority="91">
      <formula>#REF!="Weight chg"</formula>
    </cfRule>
    <cfRule type="expression" dxfId="1282" priority="92">
      <formula>#REF!="BCBS only"</formula>
    </cfRule>
    <cfRule type="expression" dxfId="1281" priority="93">
      <formula>#REF!="US NPR"</formula>
    </cfRule>
  </conditionalFormatting>
  <conditionalFormatting sqref="C35:C37">
    <cfRule type="expression" dxfId="1280" priority="88">
      <formula>#REF!="Weight chg"</formula>
    </cfRule>
    <cfRule type="expression" dxfId="1279" priority="89">
      <formula>#REF!="BCBS only"</formula>
    </cfRule>
    <cfRule type="expression" dxfId="1278" priority="90">
      <formula>#REF!="US NPR"</formula>
    </cfRule>
  </conditionalFormatting>
  <conditionalFormatting sqref="C39:C41">
    <cfRule type="expression" dxfId="1277" priority="85">
      <formula>#REF!="Weight chg"</formula>
    </cfRule>
    <cfRule type="expression" dxfId="1276" priority="86">
      <formula>#REF!="BCBS only"</formula>
    </cfRule>
    <cfRule type="expression" dxfId="1275" priority="87">
      <formula>#REF!="US NPR"</formula>
    </cfRule>
  </conditionalFormatting>
  <conditionalFormatting sqref="C43:C45">
    <cfRule type="expression" dxfId="1274" priority="82">
      <formula>#REF!="Weight chg"</formula>
    </cfRule>
    <cfRule type="expression" dxfId="1273" priority="83">
      <formula>#REF!="BCBS only"</formula>
    </cfRule>
    <cfRule type="expression" dxfId="1272" priority="84">
      <formula>#REF!="US NPR"</formula>
    </cfRule>
  </conditionalFormatting>
  <conditionalFormatting sqref="C47:C49">
    <cfRule type="expression" dxfId="1271" priority="76">
      <formula>#REF!="Weight chg"</formula>
    </cfRule>
    <cfRule type="expression" dxfId="1270" priority="77">
      <formula>#REF!="BCBS only"</formula>
    </cfRule>
    <cfRule type="expression" dxfId="1269" priority="78">
      <formula>#REF!="US NPR"</formula>
    </cfRule>
  </conditionalFormatting>
  <conditionalFormatting sqref="C51:C53">
    <cfRule type="expression" dxfId="1268" priority="70">
      <formula>#REF!="Weight chg"</formula>
    </cfRule>
    <cfRule type="expression" dxfId="1267" priority="71">
      <formula>#REF!="BCBS only"</formula>
    </cfRule>
    <cfRule type="expression" dxfId="1266" priority="72">
      <formula>#REF!="US NPR"</formula>
    </cfRule>
  </conditionalFormatting>
  <conditionalFormatting sqref="C55:C57">
    <cfRule type="expression" dxfId="1265" priority="67">
      <formula>#REF!="Weight chg"</formula>
    </cfRule>
    <cfRule type="expression" dxfId="1264" priority="68">
      <formula>#REF!="BCBS only"</formula>
    </cfRule>
    <cfRule type="expression" dxfId="1263" priority="69">
      <formula>#REF!="US NPR"</formula>
    </cfRule>
  </conditionalFormatting>
  <conditionalFormatting sqref="D149">
    <cfRule type="expression" dxfId="1262" priority="58">
      <formula>#REF!="Weight chg"</formula>
    </cfRule>
    <cfRule type="expression" dxfId="1261" priority="59">
      <formula>#REF!="BCBS only"</formula>
    </cfRule>
    <cfRule type="expression" dxfId="1260" priority="60">
      <formula>#REF!="US NPR"</formula>
    </cfRule>
  </conditionalFormatting>
  <conditionalFormatting sqref="C149">
    <cfRule type="expression" dxfId="1259" priority="64">
      <formula>#REF!="Weight chg"</formula>
    </cfRule>
    <cfRule type="expression" dxfId="1258" priority="65">
      <formula>#REF!="BCBS only"</formula>
    </cfRule>
    <cfRule type="expression" dxfId="1257" priority="66">
      <formula>#REF!="US NPR"</formula>
    </cfRule>
  </conditionalFormatting>
  <conditionalFormatting sqref="B149">
    <cfRule type="expression" dxfId="1256" priority="61">
      <formula>#REF!="Weight chg"</formula>
    </cfRule>
    <cfRule type="expression" dxfId="1255" priority="62">
      <formula>#REF!="BCBS only"</formula>
    </cfRule>
    <cfRule type="expression" dxfId="1254" priority="63">
      <formula>#REF!="US NPR"</formula>
    </cfRule>
  </conditionalFormatting>
  <conditionalFormatting sqref="B43:B45">
    <cfRule type="expression" dxfId="1253" priority="55">
      <formula>#REF!="Weight chg"</formula>
    </cfRule>
    <cfRule type="expression" dxfId="1252" priority="56">
      <formula>#REF!="BCBS only"</formula>
    </cfRule>
    <cfRule type="expression" dxfId="1251" priority="57">
      <formula>#REF!="US NPR"</formula>
    </cfRule>
  </conditionalFormatting>
  <conditionalFormatting sqref="B46">
    <cfRule type="expression" dxfId="1250" priority="52">
      <formula>#REF!="Weight chg"</formula>
    </cfRule>
    <cfRule type="expression" dxfId="1249" priority="53">
      <formula>#REF!="BCBS only"</formula>
    </cfRule>
    <cfRule type="expression" dxfId="1248" priority="54">
      <formula>#REF!="US NPR"</formula>
    </cfRule>
  </conditionalFormatting>
  <conditionalFormatting sqref="B51:B53">
    <cfRule type="expression" dxfId="1247" priority="46">
      <formula>#REF!="Weight chg"</formula>
    </cfRule>
    <cfRule type="expression" dxfId="1246" priority="47">
      <formula>#REF!="BCBS only"</formula>
    </cfRule>
    <cfRule type="expression" dxfId="1245" priority="48">
      <formula>#REF!="US NPR"</formula>
    </cfRule>
  </conditionalFormatting>
  <conditionalFormatting sqref="B55:B57">
    <cfRule type="expression" dxfId="1244" priority="43">
      <formula>#REF!="Weight chg"</formula>
    </cfRule>
    <cfRule type="expression" dxfId="1243" priority="44">
      <formula>#REF!="BCBS only"</formula>
    </cfRule>
    <cfRule type="expression" dxfId="1242" priority="45">
      <formula>#REF!="US NPR"</formula>
    </cfRule>
  </conditionalFormatting>
  <conditionalFormatting sqref="A7">
    <cfRule type="expression" dxfId="1241" priority="40">
      <formula>#REF!="Weight chg"</formula>
    </cfRule>
    <cfRule type="expression" dxfId="1240" priority="41">
      <formula>#REF!="BCBS only"</formula>
    </cfRule>
    <cfRule type="expression" dxfId="1239" priority="42">
      <formula>#REF!="US NPR"</formula>
    </cfRule>
  </conditionalFormatting>
  <conditionalFormatting sqref="A33">
    <cfRule type="expression" dxfId="1238" priority="37">
      <formula>#REF!="Weight chg"</formula>
    </cfRule>
    <cfRule type="expression" dxfId="1237" priority="38">
      <formula>#REF!="BCBS only"</formula>
    </cfRule>
    <cfRule type="expression" dxfId="1236" priority="39">
      <formula>#REF!="US NPR"</formula>
    </cfRule>
  </conditionalFormatting>
  <conditionalFormatting sqref="A20">
    <cfRule type="expression" dxfId="1235" priority="34">
      <formula>#REF!="Weight chg"</formula>
    </cfRule>
    <cfRule type="expression" dxfId="1234" priority="35">
      <formula>#REF!="BCBS only"</formula>
    </cfRule>
    <cfRule type="expression" dxfId="1233" priority="36">
      <formula>#REF!="US NPR"</formula>
    </cfRule>
  </conditionalFormatting>
  <conditionalFormatting sqref="B190">
    <cfRule type="expression" dxfId="1232" priority="31">
      <formula>#REF!="Weight chg"</formula>
    </cfRule>
    <cfRule type="expression" dxfId="1231" priority="32">
      <formula>#REF!="BCBS only"</formula>
    </cfRule>
    <cfRule type="expression" dxfId="1230" priority="33">
      <formula>#REF!="US NPR"</formula>
    </cfRule>
  </conditionalFormatting>
  <conditionalFormatting sqref="B192:C194">
    <cfRule type="expression" dxfId="1229" priority="28">
      <formula>#REF!="Weight chg"</formula>
    </cfRule>
    <cfRule type="expression" dxfId="1228" priority="29">
      <formula>#REF!="BCBS only"</formula>
    </cfRule>
    <cfRule type="expression" dxfId="1227" priority="30">
      <formula>#REF!="US NPR"</formula>
    </cfRule>
  </conditionalFormatting>
  <conditionalFormatting sqref="D192:D194">
    <cfRule type="expression" dxfId="1226" priority="25">
      <formula>#REF!="Weight chg"</formula>
    </cfRule>
    <cfRule type="expression" dxfId="1225" priority="26">
      <formula>#REF!="BCBS only"</formula>
    </cfRule>
    <cfRule type="expression" dxfId="1224" priority="27">
      <formula>#REF!="US NPR"</formula>
    </cfRule>
  </conditionalFormatting>
  <conditionalFormatting sqref="B196:C196">
    <cfRule type="expression" dxfId="1223" priority="22">
      <formula>#REF!="Weight chg"</formula>
    </cfRule>
    <cfRule type="expression" dxfId="1222" priority="23">
      <formula>#REF!="BCBS only"</formula>
    </cfRule>
    <cfRule type="expression" dxfId="1221" priority="24">
      <formula>#REF!="US NPR"</formula>
    </cfRule>
  </conditionalFormatting>
  <conditionalFormatting sqref="D196">
    <cfRule type="expression" dxfId="1220" priority="19">
      <formula>#REF!="Weight chg"</formula>
    </cfRule>
    <cfRule type="expression" dxfId="1219" priority="20">
      <formula>#REF!="BCBS only"</formula>
    </cfRule>
    <cfRule type="expression" dxfId="1218" priority="21">
      <formula>#REF!="US NPR"</formula>
    </cfRule>
  </conditionalFormatting>
  <conditionalFormatting sqref="B197:C197">
    <cfRule type="expression" dxfId="1217" priority="16">
      <formula>#REF!="Weight chg"</formula>
    </cfRule>
    <cfRule type="expression" dxfId="1216" priority="17">
      <formula>#REF!="BCBS only"</formula>
    </cfRule>
    <cfRule type="expression" dxfId="1215" priority="18">
      <formula>#REF!="US NPR"</formula>
    </cfRule>
  </conditionalFormatting>
  <conditionalFormatting sqref="D197">
    <cfRule type="expression" dxfId="1214" priority="13">
      <formula>#REF!="Weight chg"</formula>
    </cfRule>
    <cfRule type="expression" dxfId="1213" priority="14">
      <formula>#REF!="BCBS only"</formula>
    </cfRule>
    <cfRule type="expression" dxfId="1212" priority="15">
      <formula>#REF!="US NPR"</formula>
    </cfRule>
  </conditionalFormatting>
  <conditionalFormatting sqref="C153">
    <cfRule type="expression" dxfId="1211" priority="10">
      <formula>#REF!="Weight chg"</formula>
    </cfRule>
    <cfRule type="expression" dxfId="1210" priority="11">
      <formula>#REF!="BCBS only"</formula>
    </cfRule>
    <cfRule type="expression" dxfId="1209" priority="12">
      <formula>#REF!="US NPR"</formula>
    </cfRule>
  </conditionalFormatting>
  <conditionalFormatting sqref="D153">
    <cfRule type="expression" dxfId="1208" priority="7">
      <formula>#REF!="Weight chg"</formula>
    </cfRule>
    <cfRule type="expression" dxfId="1207" priority="8">
      <formula>#REF!="BCBS only"</formula>
    </cfRule>
    <cfRule type="expression" dxfId="1206" priority="9">
      <formula>#REF!="US NPR"</formula>
    </cfRule>
  </conditionalFormatting>
  <conditionalFormatting sqref="C191">
    <cfRule type="expression" dxfId="1205" priority="4">
      <formula>#REF!="Weight chg"</formula>
    </cfRule>
    <cfRule type="expression" dxfId="1204" priority="5">
      <formula>#REF!="BCBS only"</formula>
    </cfRule>
    <cfRule type="expression" dxfId="1203" priority="6">
      <formula>#REF!="US NPR"</formula>
    </cfRule>
  </conditionalFormatting>
  <conditionalFormatting sqref="D191">
    <cfRule type="expression" dxfId="1202" priority="1">
      <formula>#REF!="Weight chg"</formula>
    </cfRule>
    <cfRule type="expression" dxfId="1201" priority="2">
      <formula>#REF!="BCBS only"</formula>
    </cfRule>
    <cfRule type="expression" dxfId="1200" priority="3">
      <formula>#REF!="US NPR"</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B4"/>
  <sheetViews>
    <sheetView workbookViewId="0"/>
  </sheetViews>
  <sheetFormatPr defaultRowHeight="15"/>
  <cols>
    <col min="1" max="1" width="12.140625" customWidth="1"/>
    <col min="2" max="2" width="22" bestFit="1" customWidth="1"/>
  </cols>
  <sheetData>
    <row r="1" spans="1:2">
      <c r="A1" t="s">
        <v>992</v>
      </c>
      <c r="B1" s="189">
        <v>43465</v>
      </c>
    </row>
    <row r="2" spans="1:2">
      <c r="A2" t="s">
        <v>993</v>
      </c>
      <c r="B2">
        <f>SUM('PID CHECK'!L2:L45)</f>
        <v>0</v>
      </c>
    </row>
    <row r="3" spans="1:2">
      <c r="A3" t="s">
        <v>994</v>
      </c>
      <c r="B3">
        <f>SUM(REPORT_FR2052a!AZ:AZ)</f>
        <v>0</v>
      </c>
    </row>
    <row r="4" spans="1:2">
      <c r="A4" t="s">
        <v>1066</v>
      </c>
      <c r="B4" s="202">
        <f>REPORT_FR2052a!AN2</f>
        <v>43469.451388888891</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GetFormulas">
                <anchor moveWithCells="1" sizeWithCells="1">
                  <from>
                    <xdr:col>0</xdr:col>
                    <xdr:colOff>466725</xdr:colOff>
                    <xdr:row>14</xdr:row>
                    <xdr:rowOff>171450</xdr:rowOff>
                  </from>
                  <to>
                    <xdr:col>4</xdr:col>
                    <xdr:colOff>400050</xdr:colOff>
                    <xdr:row>16</xdr:row>
                    <xdr:rowOff>76200</xdr:rowOff>
                  </to>
                </anchor>
              </controlPr>
            </control>
          </mc:Choice>
        </mc:AlternateContent>
        <mc:AlternateContent xmlns:mc="http://schemas.openxmlformats.org/markup-compatibility/2006">
          <mc:Choice Requires="x14">
            <control shapeId="63490" r:id="rId5" name="Button 2">
              <controlPr defaultSize="0" print="0" autoFill="0" autoPict="0" macro="[0]!GetAggFr2052a">
                <anchor moveWithCells="1" sizeWithCells="1">
                  <from>
                    <xdr:col>0</xdr:col>
                    <xdr:colOff>561975</xdr:colOff>
                    <xdr:row>6</xdr:row>
                    <xdr:rowOff>180975</xdr:rowOff>
                  </from>
                  <to>
                    <xdr:col>4</xdr:col>
                    <xdr:colOff>523875</xdr:colOff>
                    <xdr:row>8</xdr:row>
                    <xdr:rowOff>85725</xdr:rowOff>
                  </to>
                </anchor>
              </controlPr>
            </control>
          </mc:Choice>
        </mc:AlternateContent>
        <mc:AlternateContent xmlns:mc="http://schemas.openxmlformats.org/markup-compatibility/2006">
          <mc:Choice Requires="x14">
            <control shapeId="63491" r:id="rId6" name="Button 3">
              <controlPr defaultSize="0" print="0" autoFill="0" autoPict="0" macro="[0]!ExtractComments">
                <anchor moveWithCells="1" sizeWithCells="1">
                  <from>
                    <xdr:col>0</xdr:col>
                    <xdr:colOff>523875</xdr:colOff>
                    <xdr:row>17</xdr:row>
                    <xdr:rowOff>104775</xdr:rowOff>
                  </from>
                  <to>
                    <xdr:col>4</xdr:col>
                    <xdr:colOff>419100</xdr:colOff>
                    <xdr:row>19</xdr:row>
                    <xdr:rowOff>9525</xdr:rowOff>
                  </to>
                </anchor>
              </controlPr>
            </control>
          </mc:Choice>
        </mc:AlternateContent>
        <mc:AlternateContent xmlns:mc="http://schemas.openxmlformats.org/markup-compatibility/2006">
          <mc:Choice Requires="x14">
            <control shapeId="63492" r:id="rId7" name="Button 4">
              <controlPr defaultSize="0" print="0" autoFill="0" autoPict="0" macro="[0]!SendComments">
                <anchor moveWithCells="1" sizeWithCells="1">
                  <from>
                    <xdr:col>0</xdr:col>
                    <xdr:colOff>552450</xdr:colOff>
                    <xdr:row>20</xdr:row>
                    <xdr:rowOff>95250</xdr:rowOff>
                  </from>
                  <to>
                    <xdr:col>4</xdr:col>
                    <xdr:colOff>333375</xdr:colOff>
                    <xdr:row>24</xdr:row>
                    <xdr:rowOff>142875</xdr:rowOff>
                  </to>
                </anchor>
              </controlPr>
            </control>
          </mc:Choice>
        </mc:AlternateContent>
        <mc:AlternateContent xmlns:mc="http://schemas.openxmlformats.org/markup-compatibility/2006">
          <mc:Choice Requires="x14">
            <control shapeId="63493" r:id="rId8" name="Button 5">
              <controlPr defaultSize="0" print="0" autoFill="0" autoPict="0" macro="[0]!LastMonthLCR">
                <anchor moveWithCells="1" sizeWithCells="1">
                  <from>
                    <xdr:col>0</xdr:col>
                    <xdr:colOff>619125</xdr:colOff>
                    <xdr:row>4</xdr:row>
                    <xdr:rowOff>114300</xdr:rowOff>
                  </from>
                  <to>
                    <xdr:col>4</xdr:col>
                    <xdr:colOff>533400</xdr:colOff>
                    <xdr:row>6</xdr:row>
                    <xdr:rowOff>104775</xdr:rowOff>
                  </to>
                </anchor>
              </controlPr>
            </control>
          </mc:Choice>
        </mc:AlternateContent>
        <mc:AlternateContent xmlns:mc="http://schemas.openxmlformats.org/markup-compatibility/2006">
          <mc:Choice Requires="x14">
            <control shapeId="63494" r:id="rId9" name="Button 6">
              <controlPr defaultSize="0" print="0" autoFill="0" autoPict="0" macro="[0]!COPY1">
                <anchor moveWithCells="1" sizeWithCells="1">
                  <from>
                    <xdr:col>0</xdr:col>
                    <xdr:colOff>504825</xdr:colOff>
                    <xdr:row>9</xdr:row>
                    <xdr:rowOff>171450</xdr:rowOff>
                  </from>
                  <to>
                    <xdr:col>2</xdr:col>
                    <xdr:colOff>219075</xdr:colOff>
                    <xdr:row>12</xdr:row>
                    <xdr:rowOff>76200</xdr:rowOff>
                  </to>
                </anchor>
              </controlPr>
            </control>
          </mc:Choice>
        </mc:AlternateContent>
        <mc:AlternateContent xmlns:mc="http://schemas.openxmlformats.org/markup-compatibility/2006">
          <mc:Choice Requires="x14">
            <control shapeId="63495" r:id="rId10" name="Button 7">
              <controlPr defaultSize="0" print="0" autoFill="0" autoPict="0" macro="[0]!PASTE1">
                <anchor moveWithCells="1" sizeWithCells="1">
                  <from>
                    <xdr:col>2</xdr:col>
                    <xdr:colOff>457200</xdr:colOff>
                    <xdr:row>9</xdr:row>
                    <xdr:rowOff>180975</xdr:rowOff>
                  </from>
                  <to>
                    <xdr:col>4</xdr:col>
                    <xdr:colOff>447675</xdr:colOff>
                    <xdr:row>12</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B662"/>
  <sheetViews>
    <sheetView zoomScale="85" zoomScaleNormal="85" workbookViewId="0">
      <selection activeCell="B12" sqref="B12"/>
    </sheetView>
  </sheetViews>
  <sheetFormatPr defaultColWidth="5.140625" defaultRowHeight="15"/>
  <cols>
    <col min="1" max="1" width="21.140625" bestFit="1" customWidth="1"/>
    <col min="2" max="2" width="5.7109375" bestFit="1" customWidth="1"/>
    <col min="3" max="3" width="31.140625" customWidth="1"/>
    <col min="4" max="4" width="28.140625" bestFit="1" customWidth="1"/>
    <col min="5" max="5" width="53.85546875" customWidth="1"/>
    <col min="6" max="6" width="10.28515625" customWidth="1"/>
    <col min="7" max="7" width="24.5703125" customWidth="1"/>
    <col min="8" max="8" width="18.85546875" customWidth="1"/>
    <col min="9" max="9" width="29.28515625" customWidth="1"/>
    <col min="10" max="10" width="12" customWidth="1"/>
    <col min="11" max="11" width="13.42578125" customWidth="1"/>
    <col min="12" max="13" width="21.42578125" customWidth="1"/>
    <col min="14" max="14" width="20.7109375" customWidth="1"/>
    <col min="15" max="15" width="23" customWidth="1"/>
    <col min="16" max="16" width="16.42578125" customWidth="1"/>
    <col min="17" max="17" width="15" customWidth="1"/>
    <col min="18" max="18" width="16.42578125" customWidth="1"/>
    <col min="19" max="19" width="15" customWidth="1"/>
    <col min="20" max="20" width="26.85546875" customWidth="1"/>
    <col min="21" max="21" width="25.42578125" customWidth="1"/>
    <col min="22" max="22" width="20" customWidth="1"/>
    <col min="23" max="23" width="18.85546875" customWidth="1"/>
    <col min="24" max="24" width="19.5703125" customWidth="1"/>
    <col min="25" max="25" width="23.140625" customWidth="1"/>
    <col min="26" max="26" width="37.7109375" bestFit="1" customWidth="1"/>
    <col min="27" max="27" width="11" customWidth="1"/>
    <col min="28" max="28" width="53.85546875" customWidth="1"/>
    <col min="29" max="29" width="20.7109375" customWidth="1"/>
    <col min="30" max="30" width="9.140625" customWidth="1"/>
    <col min="31" max="31" width="20" customWidth="1"/>
    <col min="32" max="32" width="27.28515625" customWidth="1"/>
    <col min="33" max="33" width="19.140625" customWidth="1"/>
    <col min="34" max="35" width="5.7109375" customWidth="1"/>
    <col min="36" max="36" width="7.140625" customWidth="1"/>
    <col min="37" max="37" width="22.42578125" customWidth="1"/>
    <col min="38" max="38" width="16.7109375" customWidth="1"/>
    <col min="39" max="39" width="14.28515625" bestFit="1" customWidth="1"/>
    <col min="40" max="40" width="17.42578125" bestFit="1" customWidth="1"/>
    <col min="41" max="41" width="24.85546875" bestFit="1" customWidth="1"/>
    <col min="42" max="42" width="21.7109375" bestFit="1" customWidth="1"/>
    <col min="43" max="43" width="18.85546875" bestFit="1" customWidth="1"/>
    <col min="44" max="44" width="8.5703125" bestFit="1" customWidth="1"/>
    <col min="45" max="45" width="10.28515625" bestFit="1" customWidth="1"/>
    <col min="46" max="46" width="12.140625" bestFit="1" customWidth="1"/>
    <col min="47" max="47" width="14.42578125" bestFit="1" customWidth="1"/>
    <col min="48" max="48" width="18.28515625" bestFit="1" customWidth="1"/>
    <col min="49" max="49" width="22" bestFit="1" customWidth="1"/>
    <col min="50" max="50" width="19.5703125" bestFit="1" customWidth="1"/>
    <col min="51" max="51" width="11.7109375" bestFit="1" customWidth="1"/>
    <col min="52" max="52" width="8.42578125" bestFit="1" customWidth="1"/>
  </cols>
  <sheetData>
    <row r="1" spans="1:54" s="21" customFormat="1">
      <c r="A1" s="17" t="s">
        <v>0</v>
      </c>
      <c r="B1" s="18" t="s">
        <v>1</v>
      </c>
      <c r="C1" s="18" t="s">
        <v>2</v>
      </c>
      <c r="D1" s="18" t="s">
        <v>3</v>
      </c>
      <c r="E1" s="18" t="s">
        <v>4</v>
      </c>
      <c r="F1" s="18" t="s">
        <v>5</v>
      </c>
      <c r="G1" s="18" t="s">
        <v>6</v>
      </c>
      <c r="H1" s="18" t="s">
        <v>7</v>
      </c>
      <c r="I1" s="18" t="s">
        <v>8</v>
      </c>
      <c r="J1" s="18" t="s">
        <v>9</v>
      </c>
      <c r="K1" s="18" t="s">
        <v>10</v>
      </c>
      <c r="L1" s="196" t="s">
        <v>11</v>
      </c>
      <c r="M1" s="196" t="s">
        <v>12</v>
      </c>
      <c r="N1" s="196" t="s">
        <v>13</v>
      </c>
      <c r="O1" s="16" t="s">
        <v>14</v>
      </c>
      <c r="P1" s="18" t="s">
        <v>15</v>
      </c>
      <c r="Q1" s="18" t="s">
        <v>16</v>
      </c>
      <c r="R1" s="18" t="s">
        <v>17</v>
      </c>
      <c r="S1" s="18" t="s">
        <v>18</v>
      </c>
      <c r="T1" s="18" t="s">
        <v>19</v>
      </c>
      <c r="U1" s="18" t="s">
        <v>20</v>
      </c>
      <c r="V1" s="18" t="s">
        <v>21</v>
      </c>
      <c r="W1" s="18" t="s">
        <v>22</v>
      </c>
      <c r="X1" s="197" t="s">
        <v>23</v>
      </c>
      <c r="Y1" s="18" t="s">
        <v>24</v>
      </c>
      <c r="Z1" s="18" t="s">
        <v>25</v>
      </c>
      <c r="AA1" s="18" t="s">
        <v>26</v>
      </c>
      <c r="AB1" s="18" t="s">
        <v>27</v>
      </c>
      <c r="AC1" s="18" t="s">
        <v>28</v>
      </c>
      <c r="AD1" s="18" t="s">
        <v>29</v>
      </c>
      <c r="AE1" s="18" t="s">
        <v>30</v>
      </c>
      <c r="AF1" s="18" t="s">
        <v>31</v>
      </c>
      <c r="AG1" s="18" t="s">
        <v>32</v>
      </c>
      <c r="AH1" s="18" t="s">
        <v>33</v>
      </c>
      <c r="AI1" s="18" t="s">
        <v>34</v>
      </c>
      <c r="AJ1" s="18" t="s">
        <v>35</v>
      </c>
      <c r="AK1" s="18" t="s">
        <v>36</v>
      </c>
      <c r="AL1" s="18" t="s">
        <v>37</v>
      </c>
      <c r="AM1" s="19" t="s">
        <v>38</v>
      </c>
      <c r="AN1" s="19" t="s">
        <v>39</v>
      </c>
      <c r="AO1" s="18" t="s">
        <v>40</v>
      </c>
      <c r="AP1" s="18" t="s">
        <v>41</v>
      </c>
      <c r="AQ1" s="20" t="s">
        <v>42</v>
      </c>
      <c r="AR1" s="21" t="s">
        <v>43</v>
      </c>
      <c r="AS1" s="21" t="s">
        <v>370</v>
      </c>
      <c r="AT1" s="21" t="s">
        <v>339</v>
      </c>
      <c r="AU1" s="21" t="s">
        <v>371</v>
      </c>
      <c r="AV1" s="22" t="s">
        <v>369</v>
      </c>
      <c r="AW1" s="21" t="s">
        <v>749</v>
      </c>
      <c r="AX1" s="21" t="s">
        <v>761</v>
      </c>
      <c r="AY1" s="21" t="s">
        <v>383</v>
      </c>
      <c r="AZ1" s="21" t="s">
        <v>892</v>
      </c>
    </row>
    <row r="2" spans="1:54" s="1" customFormat="1">
      <c r="A2" s="191">
        <v>1</v>
      </c>
      <c r="B2" s="192" t="s">
        <v>44</v>
      </c>
      <c r="C2" s="192" t="s">
        <v>45</v>
      </c>
      <c r="D2" s="192" t="s">
        <v>46</v>
      </c>
      <c r="E2" s="192" t="s">
        <v>47</v>
      </c>
      <c r="F2" s="192"/>
      <c r="G2" s="192"/>
      <c r="H2" s="192" t="s">
        <v>48</v>
      </c>
      <c r="I2" s="192"/>
      <c r="J2" s="192" t="s">
        <v>49</v>
      </c>
      <c r="K2" s="192" t="s">
        <v>50</v>
      </c>
      <c r="L2" s="195">
        <v>0</v>
      </c>
      <c r="M2" s="195">
        <v>424.34</v>
      </c>
      <c r="N2" s="195" t="s">
        <v>762</v>
      </c>
      <c r="O2" s="192"/>
      <c r="P2" s="192"/>
      <c r="Q2" s="192"/>
      <c r="R2" s="192" t="s">
        <v>51</v>
      </c>
      <c r="S2" s="192" t="s">
        <v>52</v>
      </c>
      <c r="T2" s="192"/>
      <c r="U2" s="192"/>
      <c r="V2" s="192" t="s">
        <v>53</v>
      </c>
      <c r="W2" s="192" t="s">
        <v>54</v>
      </c>
      <c r="X2" s="195"/>
      <c r="Y2" s="192"/>
      <c r="Z2" s="192"/>
      <c r="AA2" s="192"/>
      <c r="AB2" s="192"/>
      <c r="AC2" s="192"/>
      <c r="AD2" s="192"/>
      <c r="AE2" s="192"/>
      <c r="AF2" s="192"/>
      <c r="AG2" s="192"/>
      <c r="AH2" s="192"/>
      <c r="AI2" s="192">
        <v>1</v>
      </c>
      <c r="AJ2" s="192"/>
      <c r="AK2" s="192" t="s">
        <v>55</v>
      </c>
      <c r="AL2" s="192"/>
      <c r="AM2" s="193">
        <v>43465</v>
      </c>
      <c r="AN2" s="194">
        <v>43469.451388888891</v>
      </c>
      <c r="AO2" s="2">
        <f t="shared" ref="AO2" si="0">VALUE(MID(R2,FIND("P",R2)+1,FIND("D",R2)-1-FIND("P",R2)))</f>
        <v>0</v>
      </c>
      <c r="AP2" s="2">
        <f t="shared" ref="AP2" si="1">IFERROR(VALUE(MID(S2,FIND("P",S2)+1,FIND("D",S2)-1-FIND("P",S2))),99999)</f>
        <v>0</v>
      </c>
      <c r="AQ2" s="3">
        <f t="shared" ref="AQ2" si="2">IF(AO2&lt;=30,1,0)</f>
        <v>1</v>
      </c>
      <c r="AR2" s="1" t="str">
        <f>INDEX(IOS!$B:$B,MATCH(D2,IOS!A:A,0))&amp;B2</f>
        <v>I.A.4</v>
      </c>
      <c r="AS2" s="1" t="str">
        <f>IF(F2="","Blank",IF(F2="True",1,0))</f>
        <v>Blank</v>
      </c>
      <c r="AT2" s="1">
        <f>IF(ISBLANK(W2),"",IF(ISERROR(MATCH(W2,HQLATABLE!$A:$A,0)),0,1))</f>
        <v>1</v>
      </c>
      <c r="AU2" s="1">
        <f>IF(V2="","Blank",IF(V2="True",1,0))</f>
        <v>1</v>
      </c>
      <c r="AV2" s="1" t="str">
        <f>IF(AG2="","Blank",IF(AG2="True",1,0))</f>
        <v>Blank</v>
      </c>
      <c r="AW2" s="1">
        <f>IF(X2="",0,IF(OR(X2&gt;=N2),-1,1))</f>
        <v>0</v>
      </c>
      <c r="AX2" s="1" t="str">
        <f>IF(AC2="","Blank",IF(AC2="True",1,0))</f>
        <v>Blank</v>
      </c>
      <c r="AZ2" s="1">
        <f>IF(COUNTIFS('PID CHECK'!$B:$B,AR2)=1,0,IF(COUNTIFS(AR$1:AR1,AR2)=1,0,1))</f>
        <v>0</v>
      </c>
    </row>
    <row r="3" spans="1:54">
      <c r="A3">
        <v>2</v>
      </c>
      <c r="B3" t="s">
        <v>56</v>
      </c>
      <c r="C3" t="s">
        <v>57</v>
      </c>
      <c r="D3" t="s">
        <v>46</v>
      </c>
      <c r="E3" t="s">
        <v>47</v>
      </c>
      <c r="H3" t="s">
        <v>48</v>
      </c>
      <c r="J3" t="s">
        <v>49</v>
      </c>
      <c r="K3" t="s">
        <v>50</v>
      </c>
      <c r="L3">
        <v>30602.91</v>
      </c>
      <c r="M3">
        <v>30602.91</v>
      </c>
      <c r="N3" t="s">
        <v>762</v>
      </c>
      <c r="R3" t="s">
        <v>51</v>
      </c>
      <c r="S3" t="s">
        <v>52</v>
      </c>
      <c r="V3" t="s">
        <v>53</v>
      </c>
      <c r="W3" t="s">
        <v>54</v>
      </c>
      <c r="AI3">
        <v>1</v>
      </c>
      <c r="AK3" t="s">
        <v>55</v>
      </c>
      <c r="AM3">
        <v>43465</v>
      </c>
      <c r="AN3">
        <v>43469.451388888891</v>
      </c>
      <c r="AO3" s="2">
        <f t="shared" ref="AO3:AO66" si="3">VALUE(MID(R3,FIND("P",R3)+1,FIND("D",R3)-1-FIND("P",R3)))</f>
        <v>0</v>
      </c>
      <c r="AP3" s="2">
        <f t="shared" ref="AP3:AP66" si="4">IFERROR(VALUE(MID(S3,FIND("P",S3)+1,FIND("D",S3)-1-FIND("P",S3))),99999)</f>
        <v>0</v>
      </c>
      <c r="AQ3" s="3">
        <f t="shared" ref="AQ3:AQ66" si="5">IF(AO3&lt;=30,1,0)</f>
        <v>1</v>
      </c>
      <c r="AR3" s="1" t="str">
        <f>INDEX(IOS!$B:$B,MATCH(D3,IOS!A:A,0))&amp;B3</f>
        <v>I.A.3</v>
      </c>
      <c r="AS3" s="1" t="str">
        <f t="shared" ref="AS3:AS66" si="6">IF(F3="","Blank",IF(F3="True",1,0))</f>
        <v>Blank</v>
      </c>
      <c r="AT3" s="1">
        <f>IF(ISBLANK(W3),"",IF(ISERROR(MATCH(W3,HQLATABLE!$A:$A,0)),0,1))</f>
        <v>1</v>
      </c>
      <c r="AU3" s="1">
        <f t="shared" ref="AU3:AU66" si="7">IF(V3="","Blank",IF(V3="True",1,0))</f>
        <v>1</v>
      </c>
      <c r="AV3" s="1" t="str">
        <f t="shared" ref="AV3:AV66" si="8">IF(AG3="","Blank",IF(AG3="True",1,0))</f>
        <v>Blank</v>
      </c>
      <c r="AW3" s="1">
        <f t="shared" ref="AW3:AW66" si="9">IF(X3="",0,IF(OR(X3&gt;=N3),-1,1))</f>
        <v>0</v>
      </c>
      <c r="AX3" s="1" t="str">
        <f t="shared" ref="AX3:AX66" si="10">IF(AC3="","Blank",IF(AC3="True",1,0))</f>
        <v>Blank</v>
      </c>
      <c r="AY3" s="1"/>
      <c r="AZ3" s="1">
        <f>IF(COUNTIFS('PID CHECK'!$B:$B,AR3)=1,0,IF(COUNTIFS(AR$1:AR2,AR3)=1,0,1))</f>
        <v>0</v>
      </c>
      <c r="BA3" s="1"/>
      <c r="BB3" s="1"/>
    </row>
    <row r="4" spans="1:54">
      <c r="A4">
        <v>3</v>
      </c>
      <c r="B4" t="s">
        <v>58</v>
      </c>
      <c r="C4" t="s">
        <v>59</v>
      </c>
      <c r="D4" t="s">
        <v>46</v>
      </c>
      <c r="E4" t="s">
        <v>47</v>
      </c>
      <c r="H4" t="s">
        <v>48</v>
      </c>
      <c r="J4" t="s">
        <v>49</v>
      </c>
      <c r="K4" t="s">
        <v>50</v>
      </c>
      <c r="L4">
        <v>2431.13</v>
      </c>
      <c r="M4">
        <v>2455.69</v>
      </c>
      <c r="N4" t="s">
        <v>762</v>
      </c>
      <c r="R4" t="s">
        <v>51</v>
      </c>
      <c r="S4" t="s">
        <v>52</v>
      </c>
      <c r="V4" t="s">
        <v>53</v>
      </c>
      <c r="W4" t="s">
        <v>60</v>
      </c>
      <c r="AM4">
        <v>43465</v>
      </c>
      <c r="AN4">
        <v>43469.451388888891</v>
      </c>
      <c r="AO4" s="2">
        <f t="shared" si="3"/>
        <v>0</v>
      </c>
      <c r="AP4" s="2">
        <f t="shared" si="4"/>
        <v>0</v>
      </c>
      <c r="AQ4" s="3">
        <f t="shared" si="5"/>
        <v>1</v>
      </c>
      <c r="AR4" s="1" t="str">
        <f>INDEX(IOS!$B:$B,MATCH(D4,IOS!A:A,0))&amp;B4</f>
        <v>I.A.1</v>
      </c>
      <c r="AS4" s="1" t="str">
        <f t="shared" si="6"/>
        <v>Blank</v>
      </c>
      <c r="AT4" s="1">
        <f>IF(ISBLANK(W4),"",IF(ISERROR(MATCH(W4,HQLATABLE!$A:$A,0)),0,1))</f>
        <v>1</v>
      </c>
      <c r="AU4" s="1">
        <f t="shared" si="7"/>
        <v>1</v>
      </c>
      <c r="AV4" s="1" t="str">
        <f t="shared" si="8"/>
        <v>Blank</v>
      </c>
      <c r="AW4" s="1">
        <f t="shared" si="9"/>
        <v>0</v>
      </c>
      <c r="AX4" s="1" t="str">
        <f t="shared" si="10"/>
        <v>Blank</v>
      </c>
      <c r="AY4" s="1"/>
      <c r="AZ4" s="1">
        <f>IF(COUNTIFS('PID CHECK'!$B:$B,AR4)=1,0,IF(COUNTIFS(AR$1:AR3,AR4)=1,0,1))</f>
        <v>0</v>
      </c>
      <c r="BA4" s="1"/>
      <c r="BB4" s="1"/>
    </row>
    <row r="5" spans="1:54">
      <c r="A5">
        <v>4</v>
      </c>
      <c r="B5" t="s">
        <v>58</v>
      </c>
      <c r="C5" t="s">
        <v>59</v>
      </c>
      <c r="D5" t="s">
        <v>46</v>
      </c>
      <c r="E5" t="s">
        <v>47</v>
      </c>
      <c r="H5" t="s">
        <v>48</v>
      </c>
      <c r="J5" t="s">
        <v>49</v>
      </c>
      <c r="K5" t="s">
        <v>50</v>
      </c>
      <c r="L5">
        <v>6.69</v>
      </c>
      <c r="M5">
        <v>7.12</v>
      </c>
      <c r="N5" t="s">
        <v>762</v>
      </c>
      <c r="R5" t="s">
        <v>51</v>
      </c>
      <c r="S5" t="s">
        <v>52</v>
      </c>
      <c r="V5" t="s">
        <v>50</v>
      </c>
      <c r="W5" t="s">
        <v>61</v>
      </c>
      <c r="AM5">
        <v>43465</v>
      </c>
      <c r="AN5">
        <v>43469.451388888891</v>
      </c>
      <c r="AO5" s="2">
        <f t="shared" si="3"/>
        <v>0</v>
      </c>
      <c r="AP5" s="2">
        <f t="shared" si="4"/>
        <v>0</v>
      </c>
      <c r="AQ5" s="3">
        <f t="shared" si="5"/>
        <v>1</v>
      </c>
      <c r="AR5" s="1" t="str">
        <f>INDEX(IOS!$B:$B,MATCH(D5,IOS!A:A,0))&amp;B5</f>
        <v>I.A.1</v>
      </c>
      <c r="AS5" s="1" t="str">
        <f t="shared" si="6"/>
        <v>Blank</v>
      </c>
      <c r="AT5" s="1">
        <f>IF(ISBLANK(W5),"",IF(ISERROR(MATCH(W5,HQLATABLE!$A:$A,0)),0,1))</f>
        <v>0</v>
      </c>
      <c r="AU5" s="1">
        <f t="shared" si="7"/>
        <v>0</v>
      </c>
      <c r="AV5" s="1" t="str">
        <f t="shared" si="8"/>
        <v>Blank</v>
      </c>
      <c r="AW5" s="1">
        <f t="shared" si="9"/>
        <v>0</v>
      </c>
      <c r="AX5" s="1" t="str">
        <f t="shared" si="10"/>
        <v>Blank</v>
      </c>
      <c r="AY5" s="1"/>
      <c r="AZ5" s="1">
        <f>IF(COUNTIFS('PID CHECK'!$B:$B,AR5)=1,0,IF(COUNTIFS(AR$1:AR4,AR5)=1,0,1))</f>
        <v>0</v>
      </c>
      <c r="BA5" s="1"/>
      <c r="BB5" s="1"/>
    </row>
    <row r="6" spans="1:54">
      <c r="A6">
        <v>5</v>
      </c>
      <c r="B6" t="s">
        <v>58</v>
      </c>
      <c r="C6" t="s">
        <v>59</v>
      </c>
      <c r="D6" t="s">
        <v>46</v>
      </c>
      <c r="E6" t="s">
        <v>47</v>
      </c>
      <c r="H6" t="s">
        <v>48</v>
      </c>
      <c r="J6" t="s">
        <v>49</v>
      </c>
      <c r="K6" t="s">
        <v>50</v>
      </c>
      <c r="L6">
        <v>0.7</v>
      </c>
      <c r="M6">
        <v>0.74</v>
      </c>
      <c r="N6" t="s">
        <v>762</v>
      </c>
      <c r="R6" t="s">
        <v>51</v>
      </c>
      <c r="S6" t="s">
        <v>52</v>
      </c>
      <c r="V6" t="s">
        <v>50</v>
      </c>
      <c r="W6" t="s">
        <v>62</v>
      </c>
      <c r="AM6">
        <v>43465</v>
      </c>
      <c r="AN6">
        <v>43469.451388888891</v>
      </c>
      <c r="AO6" s="2">
        <f t="shared" si="3"/>
        <v>0</v>
      </c>
      <c r="AP6" s="2">
        <f t="shared" si="4"/>
        <v>0</v>
      </c>
      <c r="AQ6" s="3">
        <f t="shared" si="5"/>
        <v>1</v>
      </c>
      <c r="AR6" s="1" t="str">
        <f>INDEX(IOS!$B:$B,MATCH(D6,IOS!A:A,0))&amp;B6</f>
        <v>I.A.1</v>
      </c>
      <c r="AS6" s="1" t="str">
        <f t="shared" si="6"/>
        <v>Blank</v>
      </c>
      <c r="AT6" s="1">
        <f>IF(ISBLANK(W6),"",IF(ISERROR(MATCH(W6,HQLATABLE!$A:$A,0)),0,1))</f>
        <v>0</v>
      </c>
      <c r="AU6" s="1">
        <f t="shared" si="7"/>
        <v>0</v>
      </c>
      <c r="AV6" s="1" t="str">
        <f t="shared" si="8"/>
        <v>Blank</v>
      </c>
      <c r="AW6" s="1">
        <f t="shared" si="9"/>
        <v>0</v>
      </c>
      <c r="AX6" s="1" t="str">
        <f t="shared" si="10"/>
        <v>Blank</v>
      </c>
      <c r="AY6" s="1"/>
      <c r="AZ6" s="1">
        <f>IF(COUNTIFS('PID CHECK'!$B:$B,AR6)=1,0,IF(COUNTIFS(AR$1:AR5,AR6)=1,0,1))</f>
        <v>0</v>
      </c>
      <c r="BA6" s="1"/>
      <c r="BB6" s="1"/>
    </row>
    <row r="7" spans="1:54">
      <c r="A7">
        <v>6</v>
      </c>
      <c r="B7" t="s">
        <v>58</v>
      </c>
      <c r="C7" t="s">
        <v>59</v>
      </c>
      <c r="D7" t="s">
        <v>46</v>
      </c>
      <c r="E7" t="s">
        <v>47</v>
      </c>
      <c r="H7" t="s">
        <v>48</v>
      </c>
      <c r="J7" t="s">
        <v>49</v>
      </c>
      <c r="K7" t="s">
        <v>50</v>
      </c>
      <c r="L7">
        <v>337.5</v>
      </c>
      <c r="M7">
        <v>359.04</v>
      </c>
      <c r="N7" t="s">
        <v>762</v>
      </c>
      <c r="R7" t="s">
        <v>51</v>
      </c>
      <c r="S7" t="s">
        <v>52</v>
      </c>
      <c r="V7" t="s">
        <v>50</v>
      </c>
      <c r="W7" t="s">
        <v>63</v>
      </c>
      <c r="AM7">
        <v>43465</v>
      </c>
      <c r="AN7">
        <v>43469.451388888891</v>
      </c>
      <c r="AO7" s="2">
        <f t="shared" si="3"/>
        <v>0</v>
      </c>
      <c r="AP7" s="2">
        <f t="shared" si="4"/>
        <v>0</v>
      </c>
      <c r="AQ7" s="3">
        <f t="shared" si="5"/>
        <v>1</v>
      </c>
      <c r="AR7" s="1" t="str">
        <f>INDEX(IOS!$B:$B,MATCH(D7,IOS!A:A,0))&amp;B7</f>
        <v>I.A.1</v>
      </c>
      <c r="AS7" s="1" t="str">
        <f t="shared" si="6"/>
        <v>Blank</v>
      </c>
      <c r="AT7" s="1">
        <f>IF(ISBLANK(W7),"",IF(ISERROR(MATCH(W7,HQLATABLE!$A:$A,0)),0,1))</f>
        <v>0</v>
      </c>
      <c r="AU7" s="1">
        <f t="shared" si="7"/>
        <v>0</v>
      </c>
      <c r="AV7" s="1" t="str">
        <f t="shared" si="8"/>
        <v>Blank</v>
      </c>
      <c r="AW7" s="1">
        <f t="shared" si="9"/>
        <v>0</v>
      </c>
      <c r="AX7" s="1" t="str">
        <f t="shared" si="10"/>
        <v>Blank</v>
      </c>
      <c r="AY7" s="1"/>
      <c r="AZ7" s="1">
        <f>IF(COUNTIFS('PID CHECK'!$B:$B,AR7)=1,0,IF(COUNTIFS(AR$1:AR6,AR7)=1,0,1))</f>
        <v>0</v>
      </c>
      <c r="BA7" s="1"/>
      <c r="BB7" s="1"/>
    </row>
    <row r="8" spans="1:54">
      <c r="A8">
        <v>7</v>
      </c>
      <c r="B8" t="s">
        <v>111</v>
      </c>
      <c r="C8" t="s">
        <v>112</v>
      </c>
      <c r="D8" t="s">
        <v>66</v>
      </c>
      <c r="E8" t="s">
        <v>163</v>
      </c>
      <c r="F8" t="s">
        <v>53</v>
      </c>
      <c r="H8" t="s">
        <v>77</v>
      </c>
      <c r="J8" t="s">
        <v>49</v>
      </c>
      <c r="K8" t="s">
        <v>50</v>
      </c>
      <c r="L8" t="s">
        <v>762</v>
      </c>
      <c r="M8" t="s">
        <v>762</v>
      </c>
      <c r="N8">
        <v>330.22</v>
      </c>
      <c r="R8" t="s">
        <v>77</v>
      </c>
      <c r="S8" t="s">
        <v>762</v>
      </c>
      <c r="Z8" t="s">
        <v>84</v>
      </c>
      <c r="AB8" t="s">
        <v>115</v>
      </c>
      <c r="AE8" t="s">
        <v>50</v>
      </c>
      <c r="AH8">
        <v>3</v>
      </c>
      <c r="AM8">
        <v>43465</v>
      </c>
      <c r="AN8">
        <v>43469.451388888891</v>
      </c>
      <c r="AO8" s="2">
        <f t="shared" si="3"/>
        <v>1827</v>
      </c>
      <c r="AP8" s="2">
        <f t="shared" si="4"/>
        <v>99999</v>
      </c>
      <c r="AQ8" s="3">
        <f t="shared" si="5"/>
        <v>0</v>
      </c>
      <c r="AR8" s="1" t="str">
        <f>INDEX(IOS!$B:$B,MATCH(D8,IOS!A:A,0))&amp;B8</f>
        <v>I.U.6</v>
      </c>
      <c r="AS8" s="1">
        <f t="shared" si="6"/>
        <v>1</v>
      </c>
      <c r="AT8" s="1" t="str">
        <f>IF(ISBLANK(W8),"",IF(ISERROR(MATCH(W8,HQLATABLE!$A:$A,0)),0,1))</f>
        <v/>
      </c>
      <c r="AU8" s="1" t="str">
        <f t="shared" si="7"/>
        <v>Blank</v>
      </c>
      <c r="AV8" s="1" t="str">
        <f t="shared" si="8"/>
        <v>Blank</v>
      </c>
      <c r="AW8" s="1">
        <f t="shared" si="9"/>
        <v>0</v>
      </c>
      <c r="AX8" s="1" t="str">
        <f t="shared" si="10"/>
        <v>Blank</v>
      </c>
      <c r="AY8" s="1"/>
      <c r="AZ8" s="1">
        <f>IF(COUNTIFS('PID CHECK'!$B:$B,AR8)=1,0,IF(COUNTIFS(AR$1:AR7,AR8)=1,0,1))</f>
        <v>0</v>
      </c>
      <c r="BA8" s="1"/>
      <c r="BB8" s="1"/>
    </row>
    <row r="9" spans="1:54">
      <c r="A9">
        <v>8</v>
      </c>
      <c r="B9" t="s">
        <v>111</v>
      </c>
      <c r="C9" t="s">
        <v>112</v>
      </c>
      <c r="D9" t="s">
        <v>66</v>
      </c>
      <c r="E9" t="s">
        <v>163</v>
      </c>
      <c r="F9" t="s">
        <v>53</v>
      </c>
      <c r="H9" t="s">
        <v>77</v>
      </c>
      <c r="J9" t="s">
        <v>49</v>
      </c>
      <c r="K9" t="s">
        <v>50</v>
      </c>
      <c r="L9" t="s">
        <v>762</v>
      </c>
      <c r="M9" t="s">
        <v>762</v>
      </c>
      <c r="N9">
        <v>122.8</v>
      </c>
      <c r="R9" t="s">
        <v>77</v>
      </c>
      <c r="S9" t="s">
        <v>762</v>
      </c>
      <c r="Z9" t="s">
        <v>84</v>
      </c>
      <c r="AB9" t="s">
        <v>76</v>
      </c>
      <c r="AE9" t="s">
        <v>50</v>
      </c>
      <c r="AH9">
        <v>3</v>
      </c>
      <c r="AM9">
        <v>43465</v>
      </c>
      <c r="AN9">
        <v>43469.451388888891</v>
      </c>
      <c r="AO9" s="2">
        <f t="shared" si="3"/>
        <v>1827</v>
      </c>
      <c r="AP9" s="2">
        <f t="shared" si="4"/>
        <v>99999</v>
      </c>
      <c r="AQ9" s="3">
        <f t="shared" si="5"/>
        <v>0</v>
      </c>
      <c r="AR9" s="1" t="str">
        <f>INDEX(IOS!$B:$B,MATCH(D9,IOS!A:A,0))&amp;B9</f>
        <v>I.U.6</v>
      </c>
      <c r="AS9" s="1">
        <f t="shared" si="6"/>
        <v>1</v>
      </c>
      <c r="AT9" s="1" t="str">
        <f>IF(ISBLANK(W9),"",IF(ISERROR(MATCH(W9,HQLATABLE!$A:$A,0)),0,1))</f>
        <v/>
      </c>
      <c r="AU9" s="1" t="str">
        <f t="shared" si="7"/>
        <v>Blank</v>
      </c>
      <c r="AV9" s="1" t="str">
        <f t="shared" si="8"/>
        <v>Blank</v>
      </c>
      <c r="AW9" s="1">
        <f t="shared" si="9"/>
        <v>0</v>
      </c>
      <c r="AX9" s="1" t="str">
        <f t="shared" si="10"/>
        <v>Blank</v>
      </c>
      <c r="AY9" s="1"/>
      <c r="AZ9" s="1">
        <f>IF(COUNTIFS('PID CHECK'!$B:$B,AR9)=1,0,IF(COUNTIFS(AR$1:AR8,AR9)=1,0,1))</f>
        <v>0</v>
      </c>
      <c r="BA9" s="1"/>
      <c r="BB9" s="1"/>
    </row>
    <row r="10" spans="1:54">
      <c r="A10">
        <v>9</v>
      </c>
      <c r="B10" t="s">
        <v>111</v>
      </c>
      <c r="C10" t="s">
        <v>112</v>
      </c>
      <c r="D10" t="s">
        <v>66</v>
      </c>
      <c r="E10" t="s">
        <v>163</v>
      </c>
      <c r="F10" t="s">
        <v>53</v>
      </c>
      <c r="H10" t="s">
        <v>1026</v>
      </c>
      <c r="J10" t="s">
        <v>49</v>
      </c>
      <c r="K10" t="s">
        <v>50</v>
      </c>
      <c r="L10" t="s">
        <v>762</v>
      </c>
      <c r="M10" t="s">
        <v>762</v>
      </c>
      <c r="N10">
        <v>1.96</v>
      </c>
      <c r="R10" t="s">
        <v>1027</v>
      </c>
      <c r="S10" t="s">
        <v>1027</v>
      </c>
      <c r="Z10" t="s">
        <v>84</v>
      </c>
      <c r="AB10" t="s">
        <v>115</v>
      </c>
      <c r="AE10" t="s">
        <v>50</v>
      </c>
      <c r="AH10">
        <v>3</v>
      </c>
      <c r="AM10">
        <v>43465</v>
      </c>
      <c r="AN10">
        <v>43469.451388888891</v>
      </c>
      <c r="AO10" s="2">
        <f t="shared" si="3"/>
        <v>30</v>
      </c>
      <c r="AP10" s="2">
        <f t="shared" si="4"/>
        <v>30</v>
      </c>
      <c r="AQ10" s="3">
        <f t="shared" si="5"/>
        <v>1</v>
      </c>
      <c r="AR10" s="1" t="str">
        <f>INDEX(IOS!$B:$B,MATCH(D10,IOS!A:A,0))&amp;B10</f>
        <v>I.U.6</v>
      </c>
      <c r="AS10" s="1">
        <f t="shared" si="6"/>
        <v>1</v>
      </c>
      <c r="AT10" s="1" t="str">
        <f>IF(ISBLANK(W10),"",IF(ISERROR(MATCH(W10,HQLATABLE!$A:$A,0)),0,1))</f>
        <v/>
      </c>
      <c r="AU10" s="1" t="str">
        <f t="shared" si="7"/>
        <v>Blank</v>
      </c>
      <c r="AV10" s="1" t="str">
        <f t="shared" si="8"/>
        <v>Blank</v>
      </c>
      <c r="AW10" s="1">
        <f t="shared" si="9"/>
        <v>0</v>
      </c>
      <c r="AX10" s="1" t="str">
        <f t="shared" si="10"/>
        <v>Blank</v>
      </c>
      <c r="AY10" s="1"/>
      <c r="AZ10" s="1">
        <f>IF(COUNTIFS('PID CHECK'!$B:$B,AR10)=1,0,IF(COUNTIFS(AR$1:AR9,AR10)=1,0,1))</f>
        <v>0</v>
      </c>
      <c r="BA10" s="1"/>
      <c r="BB10" s="1"/>
    </row>
    <row r="11" spans="1:54">
      <c r="A11">
        <v>10</v>
      </c>
      <c r="B11" t="s">
        <v>111</v>
      </c>
      <c r="C11" t="s">
        <v>112</v>
      </c>
      <c r="D11" t="s">
        <v>66</v>
      </c>
      <c r="E11" t="s">
        <v>163</v>
      </c>
      <c r="F11" t="s">
        <v>53</v>
      </c>
      <c r="H11" t="s">
        <v>1026</v>
      </c>
      <c r="J11" t="s">
        <v>49</v>
      </c>
      <c r="K11" t="s">
        <v>50</v>
      </c>
      <c r="L11" t="s">
        <v>762</v>
      </c>
      <c r="M11" t="s">
        <v>762</v>
      </c>
      <c r="N11">
        <v>6.89</v>
      </c>
      <c r="R11" t="s">
        <v>1027</v>
      </c>
      <c r="S11" t="s">
        <v>1027</v>
      </c>
      <c r="Z11" t="s">
        <v>84</v>
      </c>
      <c r="AB11" t="s">
        <v>76</v>
      </c>
      <c r="AE11" t="s">
        <v>50</v>
      </c>
      <c r="AH11">
        <v>3</v>
      </c>
      <c r="AM11">
        <v>43465</v>
      </c>
      <c r="AN11">
        <v>43469.451388888891</v>
      </c>
      <c r="AO11" s="2">
        <f t="shared" si="3"/>
        <v>30</v>
      </c>
      <c r="AP11" s="2">
        <f t="shared" si="4"/>
        <v>30</v>
      </c>
      <c r="AQ11" s="3">
        <f t="shared" si="5"/>
        <v>1</v>
      </c>
      <c r="AR11" s="1" t="str">
        <f>INDEX(IOS!$B:$B,MATCH(D11,IOS!A:A,0))&amp;B11</f>
        <v>I.U.6</v>
      </c>
      <c r="AS11" s="1">
        <f t="shared" si="6"/>
        <v>1</v>
      </c>
      <c r="AT11" s="1" t="str">
        <f>IF(ISBLANK(W11),"",IF(ISERROR(MATCH(W11,HQLATABLE!$A:$A,0)),0,1))</f>
        <v/>
      </c>
      <c r="AU11" s="1" t="str">
        <f t="shared" si="7"/>
        <v>Blank</v>
      </c>
      <c r="AV11" s="1" t="str">
        <f t="shared" si="8"/>
        <v>Blank</v>
      </c>
      <c r="AW11" s="1">
        <f t="shared" si="9"/>
        <v>0</v>
      </c>
      <c r="AX11" s="1" t="str">
        <f t="shared" si="10"/>
        <v>Blank</v>
      </c>
      <c r="AY11" s="1"/>
      <c r="AZ11" s="1">
        <f>IF(COUNTIFS('PID CHECK'!$B:$B,AR11)=1,0,IF(COUNTIFS(AR$1:AR10,AR11)=1,0,1))</f>
        <v>0</v>
      </c>
      <c r="BA11" s="1"/>
      <c r="BB11" s="1"/>
    </row>
    <row r="12" spans="1:54">
      <c r="A12">
        <v>11</v>
      </c>
      <c r="B12" t="s">
        <v>71</v>
      </c>
      <c r="C12" t="s">
        <v>72</v>
      </c>
      <c r="D12" t="s">
        <v>66</v>
      </c>
      <c r="E12" t="s">
        <v>47</v>
      </c>
      <c r="F12" t="s">
        <v>53</v>
      </c>
      <c r="H12" t="s">
        <v>77</v>
      </c>
      <c r="J12" t="s">
        <v>49</v>
      </c>
      <c r="K12" t="s">
        <v>50</v>
      </c>
      <c r="L12" t="s">
        <v>762</v>
      </c>
      <c r="M12" t="s">
        <v>762</v>
      </c>
      <c r="N12">
        <v>500</v>
      </c>
      <c r="R12" t="s">
        <v>77</v>
      </c>
      <c r="S12" t="s">
        <v>762</v>
      </c>
      <c r="Z12" t="s">
        <v>759</v>
      </c>
      <c r="AB12" t="s">
        <v>78</v>
      </c>
      <c r="AE12" t="s">
        <v>50</v>
      </c>
      <c r="AH12">
        <v>10</v>
      </c>
      <c r="AM12">
        <v>43465</v>
      </c>
      <c r="AN12">
        <v>43469.451388888891</v>
      </c>
      <c r="AO12" s="2">
        <f t="shared" si="3"/>
        <v>1827</v>
      </c>
      <c r="AP12" s="2">
        <f t="shared" si="4"/>
        <v>99999</v>
      </c>
      <c r="AQ12" s="3">
        <f t="shared" si="5"/>
        <v>0</v>
      </c>
      <c r="AR12" s="1" t="str">
        <f>INDEX(IOS!$B:$B,MATCH(D12,IOS!A:A,0))&amp;B12</f>
        <v>I.U.2</v>
      </c>
      <c r="AS12" s="1">
        <f t="shared" si="6"/>
        <v>1</v>
      </c>
      <c r="AT12" s="1" t="str">
        <f>IF(ISBLANK(W12),"",IF(ISERROR(MATCH(W12,HQLATABLE!$A:$A,0)),0,1))</f>
        <v/>
      </c>
      <c r="AU12" s="1" t="str">
        <f t="shared" si="7"/>
        <v>Blank</v>
      </c>
      <c r="AV12" s="1" t="str">
        <f t="shared" si="8"/>
        <v>Blank</v>
      </c>
      <c r="AW12" s="1">
        <f t="shared" si="9"/>
        <v>0</v>
      </c>
      <c r="AX12" s="1" t="str">
        <f t="shared" si="10"/>
        <v>Blank</v>
      </c>
      <c r="AY12" s="1"/>
      <c r="AZ12" s="1">
        <f>IF(COUNTIFS('PID CHECK'!$B:$B,AR12)=1,0,IF(COUNTIFS(AR$1:AR11,AR12)=1,0,1))</f>
        <v>0</v>
      </c>
      <c r="BA12" s="1"/>
      <c r="BB12" s="1"/>
    </row>
    <row r="13" spans="1:54">
      <c r="A13">
        <v>12</v>
      </c>
      <c r="B13" t="s">
        <v>71</v>
      </c>
      <c r="C13" t="s">
        <v>72</v>
      </c>
      <c r="D13" t="s">
        <v>66</v>
      </c>
      <c r="E13" t="s">
        <v>47</v>
      </c>
      <c r="F13" t="s">
        <v>53</v>
      </c>
      <c r="H13" t="s">
        <v>1028</v>
      </c>
      <c r="J13" t="s">
        <v>49</v>
      </c>
      <c r="K13" t="s">
        <v>50</v>
      </c>
      <c r="L13" t="s">
        <v>762</v>
      </c>
      <c r="M13" t="s">
        <v>762</v>
      </c>
      <c r="N13">
        <v>50</v>
      </c>
      <c r="R13" t="s">
        <v>1029</v>
      </c>
      <c r="S13" t="s">
        <v>1029</v>
      </c>
      <c r="Z13" t="s">
        <v>759</v>
      </c>
      <c r="AB13" t="s">
        <v>114</v>
      </c>
      <c r="AE13" t="s">
        <v>50</v>
      </c>
      <c r="AH13">
        <v>10</v>
      </c>
      <c r="AM13">
        <v>43465</v>
      </c>
      <c r="AN13">
        <v>43469.451388888891</v>
      </c>
      <c r="AO13" s="2">
        <f t="shared" si="3"/>
        <v>25</v>
      </c>
      <c r="AP13" s="2">
        <f t="shared" si="4"/>
        <v>25</v>
      </c>
      <c r="AQ13" s="3">
        <f t="shared" si="5"/>
        <v>1</v>
      </c>
      <c r="AR13" s="1" t="str">
        <f>INDEX(IOS!$B:$B,MATCH(D13,IOS!A:A,0))&amp;B13</f>
        <v>I.U.2</v>
      </c>
      <c r="AS13" s="1">
        <f t="shared" si="6"/>
        <v>1</v>
      </c>
      <c r="AT13" s="1" t="str">
        <f>IF(ISBLANK(W13),"",IF(ISERROR(MATCH(W13,HQLATABLE!$A:$A,0)),0,1))</f>
        <v/>
      </c>
      <c r="AU13" s="1" t="str">
        <f t="shared" si="7"/>
        <v>Blank</v>
      </c>
      <c r="AV13" s="1" t="str">
        <f t="shared" si="8"/>
        <v>Blank</v>
      </c>
      <c r="AW13" s="1">
        <f t="shared" si="9"/>
        <v>0</v>
      </c>
      <c r="AX13" s="1" t="str">
        <f t="shared" si="10"/>
        <v>Blank</v>
      </c>
      <c r="AY13" s="1"/>
      <c r="AZ13" s="1">
        <f>IF(COUNTIFS('PID CHECK'!$B:$B,AR13)=1,0,IF(COUNTIFS(AR$1:AR12,AR13)=1,0,1))</f>
        <v>0</v>
      </c>
      <c r="BA13" s="1"/>
      <c r="BB13" s="1"/>
    </row>
    <row r="14" spans="1:54">
      <c r="A14">
        <v>13</v>
      </c>
      <c r="B14" t="s">
        <v>71</v>
      </c>
      <c r="C14" t="s">
        <v>72</v>
      </c>
      <c r="D14" t="s">
        <v>66</v>
      </c>
      <c r="E14" t="s">
        <v>47</v>
      </c>
      <c r="F14" t="s">
        <v>53</v>
      </c>
      <c r="H14" t="s">
        <v>1030</v>
      </c>
      <c r="J14" t="s">
        <v>49</v>
      </c>
      <c r="K14" t="s">
        <v>50</v>
      </c>
      <c r="L14" t="s">
        <v>762</v>
      </c>
      <c r="M14" t="s">
        <v>762</v>
      </c>
      <c r="N14">
        <v>276.38</v>
      </c>
      <c r="R14" t="s">
        <v>1031</v>
      </c>
      <c r="S14" t="s">
        <v>1031</v>
      </c>
      <c r="Z14" t="s">
        <v>759</v>
      </c>
      <c r="AB14" t="s">
        <v>78</v>
      </c>
      <c r="AE14" t="s">
        <v>50</v>
      </c>
      <c r="AH14">
        <v>10</v>
      </c>
      <c r="AM14">
        <v>43465</v>
      </c>
      <c r="AN14">
        <v>43469.451388888891</v>
      </c>
      <c r="AO14" s="2">
        <f t="shared" si="3"/>
        <v>2</v>
      </c>
      <c r="AP14" s="2">
        <f t="shared" si="4"/>
        <v>2</v>
      </c>
      <c r="AQ14" s="3">
        <f t="shared" si="5"/>
        <v>1</v>
      </c>
      <c r="AR14" s="1" t="str">
        <f>INDEX(IOS!$B:$B,MATCH(D14,IOS!A:A,0))&amp;B14</f>
        <v>I.U.2</v>
      </c>
      <c r="AS14" s="1">
        <f t="shared" si="6"/>
        <v>1</v>
      </c>
      <c r="AT14" s="1" t="str">
        <f>IF(ISBLANK(W14),"",IF(ISERROR(MATCH(W14,HQLATABLE!$A:$A,0)),0,1))</f>
        <v/>
      </c>
      <c r="AU14" s="1" t="str">
        <f t="shared" si="7"/>
        <v>Blank</v>
      </c>
      <c r="AV14" s="1" t="str">
        <f t="shared" si="8"/>
        <v>Blank</v>
      </c>
      <c r="AW14" s="1">
        <f t="shared" si="9"/>
        <v>0</v>
      </c>
      <c r="AX14" s="1" t="str">
        <f t="shared" si="10"/>
        <v>Blank</v>
      </c>
      <c r="AY14" s="1"/>
      <c r="AZ14" s="1">
        <f>IF(COUNTIFS('PID CHECK'!$B:$B,AR14)=1,0,IF(COUNTIFS(AR$1:AR13,AR14)=1,0,1))</f>
        <v>0</v>
      </c>
      <c r="BA14" s="1"/>
      <c r="BB14" s="1"/>
    </row>
    <row r="15" spans="1:54">
      <c r="A15">
        <v>14</v>
      </c>
      <c r="B15" t="s">
        <v>71</v>
      </c>
      <c r="C15" t="s">
        <v>72</v>
      </c>
      <c r="D15" t="s">
        <v>66</v>
      </c>
      <c r="E15" t="s">
        <v>47</v>
      </c>
      <c r="F15" t="s">
        <v>53</v>
      </c>
      <c r="H15" t="s">
        <v>1009</v>
      </c>
      <c r="J15" t="s">
        <v>49</v>
      </c>
      <c r="K15" t="s">
        <v>50</v>
      </c>
      <c r="L15" t="s">
        <v>762</v>
      </c>
      <c r="M15" t="s">
        <v>762</v>
      </c>
      <c r="N15">
        <v>300</v>
      </c>
      <c r="R15" t="s">
        <v>1010</v>
      </c>
      <c r="S15" t="s">
        <v>1010</v>
      </c>
      <c r="Z15" t="s">
        <v>759</v>
      </c>
      <c r="AB15" t="s">
        <v>78</v>
      </c>
      <c r="AE15" t="s">
        <v>50</v>
      </c>
      <c r="AH15">
        <v>10</v>
      </c>
      <c r="AM15">
        <v>43465</v>
      </c>
      <c r="AN15">
        <v>43469.451388888891</v>
      </c>
      <c r="AO15" s="2">
        <f t="shared" si="3"/>
        <v>45</v>
      </c>
      <c r="AP15" s="2">
        <f t="shared" si="4"/>
        <v>45</v>
      </c>
      <c r="AQ15" s="3">
        <f t="shared" si="5"/>
        <v>0</v>
      </c>
      <c r="AR15" s="1" t="str">
        <f>INDEX(IOS!$B:$B,MATCH(D15,IOS!A:A,0))&amp;B15</f>
        <v>I.U.2</v>
      </c>
      <c r="AS15" s="1">
        <f t="shared" si="6"/>
        <v>1</v>
      </c>
      <c r="AT15" s="1" t="str">
        <f>IF(ISBLANK(W15),"",IF(ISERROR(MATCH(W15,HQLATABLE!$A:$A,0)),0,1))</f>
        <v/>
      </c>
      <c r="AU15" s="1" t="str">
        <f t="shared" si="7"/>
        <v>Blank</v>
      </c>
      <c r="AV15" s="1" t="str">
        <f t="shared" si="8"/>
        <v>Blank</v>
      </c>
      <c r="AW15" s="1">
        <f t="shared" si="9"/>
        <v>0</v>
      </c>
      <c r="AX15" s="1" t="str">
        <f t="shared" si="10"/>
        <v>Blank</v>
      </c>
      <c r="AY15" s="1"/>
      <c r="AZ15" s="1">
        <f>IF(COUNTIFS('PID CHECK'!$B:$B,AR15)=1,0,IF(COUNTIFS(AR$1:AR14,AR15)=1,0,1))</f>
        <v>0</v>
      </c>
      <c r="BA15" s="1"/>
      <c r="BB15" s="1"/>
    </row>
    <row r="16" spans="1:54">
      <c r="A16">
        <v>15</v>
      </c>
      <c r="B16" t="s">
        <v>71</v>
      </c>
      <c r="C16" t="s">
        <v>72</v>
      </c>
      <c r="D16" t="s">
        <v>66</v>
      </c>
      <c r="E16" t="s">
        <v>47</v>
      </c>
      <c r="F16" t="s">
        <v>53</v>
      </c>
      <c r="H16" t="s">
        <v>97</v>
      </c>
      <c r="J16" t="s">
        <v>49</v>
      </c>
      <c r="K16" t="s">
        <v>50</v>
      </c>
      <c r="L16" t="s">
        <v>762</v>
      </c>
      <c r="M16" t="s">
        <v>762</v>
      </c>
      <c r="N16">
        <v>150</v>
      </c>
      <c r="R16" t="s">
        <v>98</v>
      </c>
      <c r="S16" t="s">
        <v>99</v>
      </c>
      <c r="Z16" t="s">
        <v>759</v>
      </c>
      <c r="AB16" t="s">
        <v>114</v>
      </c>
      <c r="AE16" t="s">
        <v>50</v>
      </c>
      <c r="AH16">
        <v>10</v>
      </c>
      <c r="AM16">
        <v>43465</v>
      </c>
      <c r="AN16">
        <v>43469.451388888891</v>
      </c>
      <c r="AO16" s="2">
        <f t="shared" si="3"/>
        <v>68</v>
      </c>
      <c r="AP16" s="2">
        <f t="shared" si="4"/>
        <v>74</v>
      </c>
      <c r="AQ16" s="3">
        <f t="shared" si="5"/>
        <v>0</v>
      </c>
      <c r="AR16" s="1" t="str">
        <f>INDEX(IOS!$B:$B,MATCH(D16,IOS!A:A,0))&amp;B16</f>
        <v>I.U.2</v>
      </c>
      <c r="AS16" s="1">
        <f t="shared" si="6"/>
        <v>1</v>
      </c>
      <c r="AT16" s="1" t="str">
        <f>IF(ISBLANK(W16),"",IF(ISERROR(MATCH(W16,HQLATABLE!$A:$A,0)),0,1))</f>
        <v/>
      </c>
      <c r="AU16" s="1" t="str">
        <f t="shared" si="7"/>
        <v>Blank</v>
      </c>
      <c r="AV16" s="1" t="str">
        <f t="shared" si="8"/>
        <v>Blank</v>
      </c>
      <c r="AW16" s="1">
        <f t="shared" si="9"/>
        <v>0</v>
      </c>
      <c r="AX16" s="1" t="str">
        <f t="shared" si="10"/>
        <v>Blank</v>
      </c>
      <c r="AY16" s="1"/>
      <c r="AZ16" s="1">
        <f>IF(COUNTIFS('PID CHECK'!$B:$B,AR16)=1,0,IF(COUNTIFS(AR$1:AR15,AR16)=1,0,1))</f>
        <v>0</v>
      </c>
      <c r="BA16" s="1"/>
      <c r="BB16" s="1"/>
    </row>
    <row r="17" spans="1:54">
      <c r="A17">
        <v>16</v>
      </c>
      <c r="B17" t="s">
        <v>71</v>
      </c>
      <c r="C17" t="s">
        <v>72</v>
      </c>
      <c r="D17" t="s">
        <v>66</v>
      </c>
      <c r="E17" t="s">
        <v>47</v>
      </c>
      <c r="F17" t="s">
        <v>53</v>
      </c>
      <c r="H17" t="s">
        <v>100</v>
      </c>
      <c r="J17" t="s">
        <v>49</v>
      </c>
      <c r="K17" t="s">
        <v>50</v>
      </c>
      <c r="L17" t="s">
        <v>762</v>
      </c>
      <c r="M17" t="s">
        <v>762</v>
      </c>
      <c r="N17">
        <v>147</v>
      </c>
      <c r="R17" t="s">
        <v>101</v>
      </c>
      <c r="S17" t="s">
        <v>102</v>
      </c>
      <c r="Z17" t="s">
        <v>759</v>
      </c>
      <c r="AB17" t="s">
        <v>115</v>
      </c>
      <c r="AE17" t="s">
        <v>50</v>
      </c>
      <c r="AH17">
        <v>10</v>
      </c>
      <c r="AM17">
        <v>43465</v>
      </c>
      <c r="AN17">
        <v>43469.451388888891</v>
      </c>
      <c r="AO17" s="2">
        <f t="shared" si="3"/>
        <v>75</v>
      </c>
      <c r="AP17" s="2">
        <f t="shared" si="4"/>
        <v>82</v>
      </c>
      <c r="AQ17" s="3">
        <f t="shared" si="5"/>
        <v>0</v>
      </c>
      <c r="AR17" s="1" t="str">
        <f>INDEX(IOS!$B:$B,MATCH(D17,IOS!A:A,0))&amp;B17</f>
        <v>I.U.2</v>
      </c>
      <c r="AS17" s="1">
        <f t="shared" si="6"/>
        <v>1</v>
      </c>
      <c r="AT17" s="1" t="str">
        <f>IF(ISBLANK(W17),"",IF(ISERROR(MATCH(W17,HQLATABLE!$A:$A,0)),0,1))</f>
        <v/>
      </c>
      <c r="AU17" s="1" t="str">
        <f t="shared" si="7"/>
        <v>Blank</v>
      </c>
      <c r="AV17" s="1" t="str">
        <f t="shared" si="8"/>
        <v>Blank</v>
      </c>
      <c r="AW17" s="1">
        <f t="shared" si="9"/>
        <v>0</v>
      </c>
      <c r="AX17" s="1" t="str">
        <f t="shared" si="10"/>
        <v>Blank</v>
      </c>
      <c r="AY17" s="1"/>
      <c r="AZ17" s="1">
        <f>IF(COUNTIFS('PID CHECK'!$B:$B,AR17)=1,0,IF(COUNTIFS(AR$1:AR16,AR17)=1,0,1))</f>
        <v>0</v>
      </c>
      <c r="BA17" s="1"/>
      <c r="BB17" s="1"/>
    </row>
    <row r="18" spans="1:54">
      <c r="A18">
        <v>17</v>
      </c>
      <c r="B18" t="s">
        <v>111</v>
      </c>
      <c r="C18" t="s">
        <v>112</v>
      </c>
      <c r="D18" t="s">
        <v>66</v>
      </c>
      <c r="E18" t="s">
        <v>47</v>
      </c>
      <c r="F18" t="s">
        <v>50</v>
      </c>
      <c r="H18" t="s">
        <v>77</v>
      </c>
      <c r="J18" t="s">
        <v>49</v>
      </c>
      <c r="K18" t="s">
        <v>50</v>
      </c>
      <c r="L18" t="s">
        <v>762</v>
      </c>
      <c r="M18" t="s">
        <v>762</v>
      </c>
      <c r="N18">
        <v>0</v>
      </c>
      <c r="R18" t="s">
        <v>77</v>
      </c>
      <c r="S18" t="s">
        <v>762</v>
      </c>
      <c r="Z18" t="s">
        <v>122</v>
      </c>
      <c r="AE18" t="s">
        <v>50</v>
      </c>
      <c r="AH18">
        <v>1</v>
      </c>
      <c r="AM18">
        <v>43465</v>
      </c>
      <c r="AN18">
        <v>43469.451388888891</v>
      </c>
      <c r="AO18" s="2">
        <f t="shared" si="3"/>
        <v>1827</v>
      </c>
      <c r="AP18" s="2">
        <f t="shared" si="4"/>
        <v>99999</v>
      </c>
      <c r="AQ18" s="3">
        <f t="shared" si="5"/>
        <v>0</v>
      </c>
      <c r="AR18" s="1" t="str">
        <f>INDEX(IOS!$B:$B,MATCH(D18,IOS!A:A,0))&amp;B18</f>
        <v>I.U.6</v>
      </c>
      <c r="AS18" s="1">
        <f t="shared" si="6"/>
        <v>0</v>
      </c>
      <c r="AT18" s="1" t="str">
        <f>IF(ISBLANK(W18),"",IF(ISERROR(MATCH(W18,HQLATABLE!$A:$A,0)),0,1))</f>
        <v/>
      </c>
      <c r="AU18" s="1" t="str">
        <f t="shared" si="7"/>
        <v>Blank</v>
      </c>
      <c r="AV18" s="1" t="str">
        <f t="shared" si="8"/>
        <v>Blank</v>
      </c>
      <c r="AW18" s="1">
        <f t="shared" si="9"/>
        <v>0</v>
      </c>
      <c r="AX18" s="1" t="str">
        <f t="shared" si="10"/>
        <v>Blank</v>
      </c>
      <c r="AY18" s="1"/>
      <c r="AZ18" s="1">
        <f>IF(COUNTIFS('PID CHECK'!$B:$B,AR18)=1,0,IF(COUNTIFS(AR$1:AR17,AR18)=1,0,1))</f>
        <v>0</v>
      </c>
      <c r="BA18" s="1"/>
      <c r="BB18" s="1"/>
    </row>
    <row r="19" spans="1:54">
      <c r="A19">
        <v>18</v>
      </c>
      <c r="B19" t="s">
        <v>82</v>
      </c>
      <c r="C19" t="s">
        <v>83</v>
      </c>
      <c r="D19" t="s">
        <v>66</v>
      </c>
      <c r="E19" t="s">
        <v>47</v>
      </c>
      <c r="F19" t="s">
        <v>50</v>
      </c>
      <c r="H19" t="s">
        <v>995</v>
      </c>
      <c r="J19" t="s">
        <v>49</v>
      </c>
      <c r="K19" t="s">
        <v>50</v>
      </c>
      <c r="L19" t="s">
        <v>762</v>
      </c>
      <c r="M19" t="s">
        <v>762</v>
      </c>
      <c r="N19">
        <v>0.2</v>
      </c>
      <c r="R19" t="s">
        <v>996</v>
      </c>
      <c r="S19" t="s">
        <v>996</v>
      </c>
      <c r="Z19" t="s">
        <v>84</v>
      </c>
      <c r="AE19" t="s">
        <v>50</v>
      </c>
      <c r="AH19">
        <v>3</v>
      </c>
      <c r="AM19">
        <v>43465</v>
      </c>
      <c r="AN19">
        <v>43469.451388888891</v>
      </c>
      <c r="AO19" s="2">
        <f t="shared" si="3"/>
        <v>10</v>
      </c>
      <c r="AP19" s="2">
        <f t="shared" si="4"/>
        <v>10</v>
      </c>
      <c r="AQ19" s="3">
        <f t="shared" si="5"/>
        <v>1</v>
      </c>
      <c r="AR19" s="1" t="str">
        <f>INDEX(IOS!$B:$B,MATCH(D19,IOS!A:A,0))&amp;B19</f>
        <v>I.U.5</v>
      </c>
      <c r="AS19" s="1">
        <f t="shared" si="6"/>
        <v>0</v>
      </c>
      <c r="AT19" s="1" t="str">
        <f>IF(ISBLANK(W19),"",IF(ISERROR(MATCH(W19,HQLATABLE!$A:$A,0)),0,1))</f>
        <v/>
      </c>
      <c r="AU19" s="1" t="str">
        <f t="shared" si="7"/>
        <v>Blank</v>
      </c>
      <c r="AV19" s="1" t="str">
        <f t="shared" si="8"/>
        <v>Blank</v>
      </c>
      <c r="AW19" s="1">
        <f t="shared" si="9"/>
        <v>0</v>
      </c>
      <c r="AX19" s="1" t="str">
        <f t="shared" si="10"/>
        <v>Blank</v>
      </c>
      <c r="AY19" s="1"/>
      <c r="AZ19" s="1">
        <f>IF(COUNTIFS('PID CHECK'!$B:$B,AR19)=1,0,IF(COUNTIFS(AR$1:AR18,AR19)=1,0,1))</f>
        <v>0</v>
      </c>
      <c r="BA19" s="1"/>
      <c r="BB19" s="1"/>
    </row>
    <row r="20" spans="1:54">
      <c r="A20">
        <v>19</v>
      </c>
      <c r="B20" t="s">
        <v>82</v>
      </c>
      <c r="C20" t="s">
        <v>83</v>
      </c>
      <c r="D20" t="s">
        <v>66</v>
      </c>
      <c r="E20" t="s">
        <v>47</v>
      </c>
      <c r="F20" t="s">
        <v>50</v>
      </c>
      <c r="H20" t="s">
        <v>1019</v>
      </c>
      <c r="J20" t="s">
        <v>49</v>
      </c>
      <c r="K20" t="s">
        <v>50</v>
      </c>
      <c r="L20" t="s">
        <v>762</v>
      </c>
      <c r="M20" t="s">
        <v>762</v>
      </c>
      <c r="N20">
        <v>0.05</v>
      </c>
      <c r="R20" t="s">
        <v>1020</v>
      </c>
      <c r="S20" t="s">
        <v>1020</v>
      </c>
      <c r="Z20" t="s">
        <v>84</v>
      </c>
      <c r="AE20" t="s">
        <v>50</v>
      </c>
      <c r="AH20">
        <v>3</v>
      </c>
      <c r="AM20">
        <v>43465</v>
      </c>
      <c r="AN20">
        <v>43469.451388888891</v>
      </c>
      <c r="AO20" s="2">
        <f t="shared" si="3"/>
        <v>11</v>
      </c>
      <c r="AP20" s="2">
        <f t="shared" si="4"/>
        <v>11</v>
      </c>
      <c r="AQ20" s="3">
        <f t="shared" si="5"/>
        <v>1</v>
      </c>
      <c r="AR20" s="1" t="str">
        <f>INDEX(IOS!$B:$B,MATCH(D20,IOS!A:A,0))&amp;B20</f>
        <v>I.U.5</v>
      </c>
      <c r="AS20" s="1">
        <f t="shared" si="6"/>
        <v>0</v>
      </c>
      <c r="AT20" s="1" t="str">
        <f>IF(ISBLANK(W20),"",IF(ISERROR(MATCH(W20,HQLATABLE!$A:$A,0)),0,1))</f>
        <v/>
      </c>
      <c r="AU20" s="1" t="str">
        <f t="shared" si="7"/>
        <v>Blank</v>
      </c>
      <c r="AV20" s="1" t="str">
        <f t="shared" si="8"/>
        <v>Blank</v>
      </c>
      <c r="AW20" s="1">
        <f t="shared" si="9"/>
        <v>0</v>
      </c>
      <c r="AX20" s="1" t="str">
        <f t="shared" si="10"/>
        <v>Blank</v>
      </c>
      <c r="AY20" s="1"/>
      <c r="AZ20" s="1">
        <f>IF(COUNTIFS('PID CHECK'!$B:$B,AR20)=1,0,IF(COUNTIFS(AR$1:AR19,AR20)=1,0,1))</f>
        <v>0</v>
      </c>
      <c r="BA20" s="1"/>
      <c r="BB20" s="1"/>
    </row>
    <row r="21" spans="1:54">
      <c r="A21">
        <v>20</v>
      </c>
      <c r="B21" t="s">
        <v>82</v>
      </c>
      <c r="C21" t="s">
        <v>83</v>
      </c>
      <c r="D21" t="s">
        <v>66</v>
      </c>
      <c r="E21" t="s">
        <v>47</v>
      </c>
      <c r="F21" t="s">
        <v>50</v>
      </c>
      <c r="H21" t="s">
        <v>67</v>
      </c>
      <c r="J21" t="s">
        <v>49</v>
      </c>
      <c r="K21" t="s">
        <v>50</v>
      </c>
      <c r="L21" t="s">
        <v>762</v>
      </c>
      <c r="M21" t="s">
        <v>762</v>
      </c>
      <c r="N21">
        <v>106.22</v>
      </c>
      <c r="R21" t="s">
        <v>68</v>
      </c>
      <c r="S21" t="s">
        <v>69</v>
      </c>
      <c r="Z21" t="s">
        <v>84</v>
      </c>
      <c r="AE21" t="s">
        <v>50</v>
      </c>
      <c r="AH21">
        <v>3</v>
      </c>
      <c r="AM21">
        <v>43465</v>
      </c>
      <c r="AN21">
        <v>43469.451388888891</v>
      </c>
      <c r="AO21" s="2">
        <f t="shared" si="3"/>
        <v>121</v>
      </c>
      <c r="AP21" s="2">
        <f t="shared" si="4"/>
        <v>150</v>
      </c>
      <c r="AQ21" s="3">
        <f t="shared" si="5"/>
        <v>0</v>
      </c>
      <c r="AR21" s="1" t="str">
        <f>INDEX(IOS!$B:$B,MATCH(D21,IOS!A:A,0))&amp;B21</f>
        <v>I.U.5</v>
      </c>
      <c r="AS21" s="1">
        <f t="shared" si="6"/>
        <v>0</v>
      </c>
      <c r="AT21" s="1" t="str">
        <f>IF(ISBLANK(W21),"",IF(ISERROR(MATCH(W21,HQLATABLE!$A:$A,0)),0,1))</f>
        <v/>
      </c>
      <c r="AU21" s="1" t="str">
        <f t="shared" si="7"/>
        <v>Blank</v>
      </c>
      <c r="AV21" s="1" t="str">
        <f t="shared" si="8"/>
        <v>Blank</v>
      </c>
      <c r="AW21" s="1">
        <f t="shared" si="9"/>
        <v>0</v>
      </c>
      <c r="AX21" s="1" t="str">
        <f t="shared" si="10"/>
        <v>Blank</v>
      </c>
      <c r="AY21" s="1"/>
      <c r="AZ21" s="1">
        <f>IF(COUNTIFS('PID CHECK'!$B:$B,AR21)=1,0,IF(COUNTIFS(AR$1:AR20,AR21)=1,0,1))</f>
        <v>0</v>
      </c>
      <c r="BA21" s="1"/>
      <c r="BB21" s="1"/>
    </row>
    <row r="22" spans="1:54">
      <c r="A22">
        <v>21</v>
      </c>
      <c r="B22" t="s">
        <v>82</v>
      </c>
      <c r="C22" t="s">
        <v>83</v>
      </c>
      <c r="D22" t="s">
        <v>66</v>
      </c>
      <c r="E22" t="s">
        <v>47</v>
      </c>
      <c r="F22" t="s">
        <v>50</v>
      </c>
      <c r="H22" t="s">
        <v>85</v>
      </c>
      <c r="J22" t="s">
        <v>49</v>
      </c>
      <c r="K22" t="s">
        <v>50</v>
      </c>
      <c r="L22" t="s">
        <v>762</v>
      </c>
      <c r="M22" t="s">
        <v>762</v>
      </c>
      <c r="N22">
        <v>0.37</v>
      </c>
      <c r="R22" t="s">
        <v>86</v>
      </c>
      <c r="S22" t="s">
        <v>86</v>
      </c>
      <c r="Z22" t="s">
        <v>84</v>
      </c>
      <c r="AE22" t="s">
        <v>50</v>
      </c>
      <c r="AH22">
        <v>3</v>
      </c>
      <c r="AM22">
        <v>43465</v>
      </c>
      <c r="AN22">
        <v>43469.451388888891</v>
      </c>
      <c r="AO22" s="2">
        <f t="shared" si="3"/>
        <v>14</v>
      </c>
      <c r="AP22" s="2">
        <f t="shared" si="4"/>
        <v>14</v>
      </c>
      <c r="AQ22" s="3">
        <f t="shared" si="5"/>
        <v>1</v>
      </c>
      <c r="AR22" s="1" t="str">
        <f>INDEX(IOS!$B:$B,MATCH(D22,IOS!A:A,0))&amp;B22</f>
        <v>I.U.5</v>
      </c>
      <c r="AS22" s="1">
        <f t="shared" si="6"/>
        <v>0</v>
      </c>
      <c r="AT22" s="1" t="str">
        <f>IF(ISBLANK(W22),"",IF(ISERROR(MATCH(W22,HQLATABLE!$A:$A,0)),0,1))</f>
        <v/>
      </c>
      <c r="AU22" s="1" t="str">
        <f t="shared" si="7"/>
        <v>Blank</v>
      </c>
      <c r="AV22" s="1" t="str">
        <f t="shared" si="8"/>
        <v>Blank</v>
      </c>
      <c r="AW22" s="1">
        <f t="shared" si="9"/>
        <v>0</v>
      </c>
      <c r="AX22" s="1" t="str">
        <f t="shared" si="10"/>
        <v>Blank</v>
      </c>
      <c r="AY22" s="1"/>
      <c r="AZ22" s="1">
        <f>IF(COUNTIFS('PID CHECK'!$B:$B,AR22)=1,0,IF(COUNTIFS(AR$1:AR21,AR22)=1,0,1))</f>
        <v>0</v>
      </c>
      <c r="BA22" s="1"/>
      <c r="BB22" s="1"/>
    </row>
    <row r="23" spans="1:54">
      <c r="A23">
        <v>22</v>
      </c>
      <c r="B23" t="s">
        <v>82</v>
      </c>
      <c r="C23" t="s">
        <v>83</v>
      </c>
      <c r="D23" t="s">
        <v>66</v>
      </c>
      <c r="E23" t="s">
        <v>47</v>
      </c>
      <c r="F23" t="s">
        <v>50</v>
      </c>
      <c r="H23" t="s">
        <v>73</v>
      </c>
      <c r="J23" t="s">
        <v>49</v>
      </c>
      <c r="K23" t="s">
        <v>50</v>
      </c>
      <c r="L23" t="s">
        <v>762</v>
      </c>
      <c r="M23" t="s">
        <v>762</v>
      </c>
      <c r="N23">
        <v>40.35</v>
      </c>
      <c r="R23" t="s">
        <v>74</v>
      </c>
      <c r="S23" t="s">
        <v>75</v>
      </c>
      <c r="Z23" t="s">
        <v>84</v>
      </c>
      <c r="AE23" t="s">
        <v>50</v>
      </c>
      <c r="AH23">
        <v>3</v>
      </c>
      <c r="AM23">
        <v>43465</v>
      </c>
      <c r="AN23">
        <v>43469.451388888891</v>
      </c>
      <c r="AO23" s="2">
        <f t="shared" si="3"/>
        <v>151</v>
      </c>
      <c r="AP23" s="2">
        <f t="shared" si="4"/>
        <v>180</v>
      </c>
      <c r="AQ23" s="3">
        <f t="shared" si="5"/>
        <v>0</v>
      </c>
      <c r="AR23" s="1" t="str">
        <f>INDEX(IOS!$B:$B,MATCH(D23,IOS!A:A,0))&amp;B23</f>
        <v>I.U.5</v>
      </c>
      <c r="AS23" s="1">
        <f t="shared" si="6"/>
        <v>0</v>
      </c>
      <c r="AT23" s="1" t="str">
        <f>IF(ISBLANK(W23),"",IF(ISERROR(MATCH(W23,HQLATABLE!$A:$A,0)),0,1))</f>
        <v/>
      </c>
      <c r="AU23" s="1" t="str">
        <f t="shared" si="7"/>
        <v>Blank</v>
      </c>
      <c r="AV23" s="1" t="str">
        <f t="shared" si="8"/>
        <v>Blank</v>
      </c>
      <c r="AW23" s="1">
        <f t="shared" si="9"/>
        <v>0</v>
      </c>
      <c r="AX23" s="1" t="str">
        <f t="shared" si="10"/>
        <v>Blank</v>
      </c>
      <c r="AY23" s="1"/>
      <c r="AZ23" s="1">
        <f>IF(COUNTIFS('PID CHECK'!$B:$B,AR23)=1,0,IF(COUNTIFS(AR$1:AR22,AR23)=1,0,1))</f>
        <v>0</v>
      </c>
      <c r="BA23" s="1"/>
      <c r="BB23" s="1"/>
    </row>
    <row r="24" spans="1:54">
      <c r="A24">
        <v>23</v>
      </c>
      <c r="B24" t="s">
        <v>82</v>
      </c>
      <c r="C24" t="s">
        <v>83</v>
      </c>
      <c r="D24" t="s">
        <v>66</v>
      </c>
      <c r="E24" t="s">
        <v>47</v>
      </c>
      <c r="F24" t="s">
        <v>50</v>
      </c>
      <c r="H24" t="s">
        <v>1032</v>
      </c>
      <c r="J24" t="s">
        <v>49</v>
      </c>
      <c r="K24" t="s">
        <v>50</v>
      </c>
      <c r="L24" t="s">
        <v>762</v>
      </c>
      <c r="M24" t="s">
        <v>762</v>
      </c>
      <c r="N24">
        <v>0.01</v>
      </c>
      <c r="R24" t="s">
        <v>1033</v>
      </c>
      <c r="S24" t="s">
        <v>1033</v>
      </c>
      <c r="Z24" t="s">
        <v>84</v>
      </c>
      <c r="AE24" t="s">
        <v>50</v>
      </c>
      <c r="AH24">
        <v>3</v>
      </c>
      <c r="AM24">
        <v>43465</v>
      </c>
      <c r="AN24">
        <v>43469.451388888891</v>
      </c>
      <c r="AO24" s="2">
        <f t="shared" si="3"/>
        <v>16</v>
      </c>
      <c r="AP24" s="2">
        <f t="shared" si="4"/>
        <v>16</v>
      </c>
      <c r="AQ24" s="3">
        <f t="shared" si="5"/>
        <v>1</v>
      </c>
      <c r="AR24" s="1" t="str">
        <f>INDEX(IOS!$B:$B,MATCH(D24,IOS!A:A,0))&amp;B24</f>
        <v>I.U.5</v>
      </c>
      <c r="AS24" s="1">
        <f t="shared" si="6"/>
        <v>0</v>
      </c>
      <c r="AT24" s="1" t="str">
        <f>IF(ISBLANK(W24),"",IF(ISERROR(MATCH(W24,HQLATABLE!$A:$A,0)),0,1))</f>
        <v/>
      </c>
      <c r="AU24" s="1" t="str">
        <f t="shared" si="7"/>
        <v>Blank</v>
      </c>
      <c r="AV24" s="1" t="str">
        <f t="shared" si="8"/>
        <v>Blank</v>
      </c>
      <c r="AW24" s="1">
        <f t="shared" si="9"/>
        <v>0</v>
      </c>
      <c r="AX24" s="1" t="str">
        <f t="shared" si="10"/>
        <v>Blank</v>
      </c>
      <c r="AY24" s="1"/>
      <c r="AZ24" s="1">
        <f>IF(COUNTIFS('PID CHECK'!$B:$B,AR24)=1,0,IF(COUNTIFS(AR$1:AR23,AR24)=1,0,1))</f>
        <v>0</v>
      </c>
      <c r="BA24" s="1"/>
      <c r="BB24" s="1"/>
    </row>
    <row r="25" spans="1:54">
      <c r="A25">
        <v>24</v>
      </c>
      <c r="B25" t="s">
        <v>82</v>
      </c>
      <c r="C25" t="s">
        <v>83</v>
      </c>
      <c r="D25" t="s">
        <v>66</v>
      </c>
      <c r="E25" t="s">
        <v>47</v>
      </c>
      <c r="F25" t="s">
        <v>50</v>
      </c>
      <c r="H25" t="s">
        <v>997</v>
      </c>
      <c r="J25" t="s">
        <v>49</v>
      </c>
      <c r="K25" t="s">
        <v>50</v>
      </c>
      <c r="L25" t="s">
        <v>762</v>
      </c>
      <c r="M25" t="s">
        <v>762</v>
      </c>
      <c r="N25">
        <v>0.65</v>
      </c>
      <c r="R25" t="s">
        <v>998</v>
      </c>
      <c r="S25" t="s">
        <v>998</v>
      </c>
      <c r="Z25" t="s">
        <v>84</v>
      </c>
      <c r="AE25" t="s">
        <v>50</v>
      </c>
      <c r="AH25">
        <v>3</v>
      </c>
      <c r="AM25">
        <v>43465</v>
      </c>
      <c r="AN25">
        <v>43469.451388888891</v>
      </c>
      <c r="AO25" s="2">
        <f t="shared" si="3"/>
        <v>17</v>
      </c>
      <c r="AP25" s="2">
        <f t="shared" si="4"/>
        <v>17</v>
      </c>
      <c r="AQ25" s="3">
        <f t="shared" si="5"/>
        <v>1</v>
      </c>
      <c r="AR25" s="1" t="str">
        <f>INDEX(IOS!$B:$B,MATCH(D25,IOS!A:A,0))&amp;B25</f>
        <v>I.U.5</v>
      </c>
      <c r="AS25" s="1">
        <f t="shared" si="6"/>
        <v>0</v>
      </c>
      <c r="AT25" s="1" t="str">
        <f>IF(ISBLANK(W25),"",IF(ISERROR(MATCH(W25,HQLATABLE!$A:$A,0)),0,1))</f>
        <v/>
      </c>
      <c r="AU25" s="1" t="str">
        <f t="shared" si="7"/>
        <v>Blank</v>
      </c>
      <c r="AV25" s="1" t="str">
        <f t="shared" si="8"/>
        <v>Blank</v>
      </c>
      <c r="AW25" s="1">
        <f t="shared" si="9"/>
        <v>0</v>
      </c>
      <c r="AX25" s="1" t="str">
        <f t="shared" si="10"/>
        <v>Blank</v>
      </c>
      <c r="AY25" s="1"/>
      <c r="AZ25" s="1">
        <f>IF(COUNTIFS('PID CHECK'!$B:$B,AR25)=1,0,IF(COUNTIFS(AR$1:AR24,AR25)=1,0,1))</f>
        <v>0</v>
      </c>
      <c r="BA25" s="1"/>
      <c r="BB25" s="1"/>
    </row>
    <row r="26" spans="1:54">
      <c r="A26">
        <v>25</v>
      </c>
      <c r="B26" t="s">
        <v>82</v>
      </c>
      <c r="C26" t="s">
        <v>83</v>
      </c>
      <c r="D26" t="s">
        <v>66</v>
      </c>
      <c r="E26" t="s">
        <v>47</v>
      </c>
      <c r="F26" t="s">
        <v>50</v>
      </c>
      <c r="H26" t="s">
        <v>87</v>
      </c>
      <c r="J26" t="s">
        <v>49</v>
      </c>
      <c r="K26" t="s">
        <v>50</v>
      </c>
      <c r="L26" t="s">
        <v>762</v>
      </c>
      <c r="M26" t="s">
        <v>762</v>
      </c>
      <c r="N26">
        <v>125.02</v>
      </c>
      <c r="R26" t="s">
        <v>88</v>
      </c>
      <c r="S26" t="s">
        <v>89</v>
      </c>
      <c r="Z26" t="s">
        <v>84</v>
      </c>
      <c r="AE26" t="s">
        <v>50</v>
      </c>
      <c r="AH26">
        <v>3</v>
      </c>
      <c r="AM26">
        <v>43465</v>
      </c>
      <c r="AN26">
        <v>43469.451388888891</v>
      </c>
      <c r="AO26" s="2">
        <f t="shared" si="3"/>
        <v>181</v>
      </c>
      <c r="AP26" s="2">
        <f t="shared" si="4"/>
        <v>270</v>
      </c>
      <c r="AQ26" s="3">
        <f t="shared" si="5"/>
        <v>0</v>
      </c>
      <c r="AR26" s="1" t="str">
        <f>INDEX(IOS!$B:$B,MATCH(D26,IOS!A:A,0))&amp;B26</f>
        <v>I.U.5</v>
      </c>
      <c r="AS26" s="1">
        <f t="shared" si="6"/>
        <v>0</v>
      </c>
      <c r="AT26" s="1" t="str">
        <f>IF(ISBLANK(W26),"",IF(ISERROR(MATCH(W26,HQLATABLE!$A:$A,0)),0,1))</f>
        <v/>
      </c>
      <c r="AU26" s="1" t="str">
        <f t="shared" si="7"/>
        <v>Blank</v>
      </c>
      <c r="AV26" s="1" t="str">
        <f t="shared" si="8"/>
        <v>Blank</v>
      </c>
      <c r="AW26" s="1">
        <f t="shared" si="9"/>
        <v>0</v>
      </c>
      <c r="AX26" s="1" t="str">
        <f t="shared" si="10"/>
        <v>Blank</v>
      </c>
      <c r="AY26" s="1"/>
      <c r="AZ26" s="1">
        <f>IF(COUNTIFS('PID CHECK'!$B:$B,AR26)=1,0,IF(COUNTIFS(AR$1:AR25,AR26)=1,0,1))</f>
        <v>0</v>
      </c>
      <c r="BA26" s="1"/>
      <c r="BB26" s="1"/>
    </row>
    <row r="27" spans="1:54">
      <c r="A27">
        <v>26</v>
      </c>
      <c r="B27" t="s">
        <v>82</v>
      </c>
      <c r="C27" t="s">
        <v>83</v>
      </c>
      <c r="D27" t="s">
        <v>66</v>
      </c>
      <c r="E27" t="s">
        <v>47</v>
      </c>
      <c r="F27" t="s">
        <v>50</v>
      </c>
      <c r="H27" t="s">
        <v>77</v>
      </c>
      <c r="J27" t="s">
        <v>49</v>
      </c>
      <c r="K27" t="s">
        <v>50</v>
      </c>
      <c r="L27" t="s">
        <v>762</v>
      </c>
      <c r="M27" t="s">
        <v>762</v>
      </c>
      <c r="N27">
        <v>2151.7600000000002</v>
      </c>
      <c r="R27" t="s">
        <v>77</v>
      </c>
      <c r="S27" t="s">
        <v>762</v>
      </c>
      <c r="Z27" t="s">
        <v>84</v>
      </c>
      <c r="AE27" t="s">
        <v>50</v>
      </c>
      <c r="AH27">
        <v>3</v>
      </c>
      <c r="AM27">
        <v>43465</v>
      </c>
      <c r="AN27">
        <v>43469.451388888891</v>
      </c>
      <c r="AO27" s="2">
        <f t="shared" si="3"/>
        <v>1827</v>
      </c>
      <c r="AP27" s="2">
        <f t="shared" si="4"/>
        <v>99999</v>
      </c>
      <c r="AQ27" s="3">
        <f t="shared" si="5"/>
        <v>0</v>
      </c>
      <c r="AR27" s="1" t="str">
        <f>INDEX(IOS!$B:$B,MATCH(D27,IOS!A:A,0))&amp;B27</f>
        <v>I.U.5</v>
      </c>
      <c r="AS27" s="1">
        <f t="shared" si="6"/>
        <v>0</v>
      </c>
      <c r="AT27" s="1" t="str">
        <f>IF(ISBLANK(W27),"",IF(ISERROR(MATCH(W27,HQLATABLE!$A:$A,0)),0,1))</f>
        <v/>
      </c>
      <c r="AU27" s="1" t="str">
        <f t="shared" si="7"/>
        <v>Blank</v>
      </c>
      <c r="AV27" s="1" t="str">
        <f t="shared" si="8"/>
        <v>Blank</v>
      </c>
      <c r="AW27" s="1">
        <f t="shared" si="9"/>
        <v>0</v>
      </c>
      <c r="AX27" s="1" t="str">
        <f t="shared" si="10"/>
        <v>Blank</v>
      </c>
      <c r="AY27" s="1"/>
      <c r="AZ27" s="1">
        <f>IF(COUNTIFS('PID CHECK'!$B:$B,AR27)=1,0,IF(COUNTIFS(AR$1:AR26,AR27)=1,0,1))</f>
        <v>0</v>
      </c>
      <c r="BA27" s="1"/>
      <c r="BB27" s="1"/>
    </row>
    <row r="28" spans="1:54">
      <c r="A28">
        <v>27</v>
      </c>
      <c r="B28" t="s">
        <v>82</v>
      </c>
      <c r="C28" t="s">
        <v>83</v>
      </c>
      <c r="D28" t="s">
        <v>66</v>
      </c>
      <c r="E28" t="s">
        <v>47</v>
      </c>
      <c r="F28" t="s">
        <v>50</v>
      </c>
      <c r="H28" t="s">
        <v>999</v>
      </c>
      <c r="J28" t="s">
        <v>49</v>
      </c>
      <c r="K28" t="s">
        <v>50</v>
      </c>
      <c r="L28" t="s">
        <v>762</v>
      </c>
      <c r="M28" t="s">
        <v>762</v>
      </c>
      <c r="N28">
        <v>532.59</v>
      </c>
      <c r="R28" t="s">
        <v>1000</v>
      </c>
      <c r="S28" t="s">
        <v>1000</v>
      </c>
      <c r="Z28" t="s">
        <v>84</v>
      </c>
      <c r="AE28" t="s">
        <v>50</v>
      </c>
      <c r="AH28">
        <v>3</v>
      </c>
      <c r="AM28">
        <v>43465</v>
      </c>
      <c r="AN28">
        <v>43469.451388888891</v>
      </c>
      <c r="AO28" s="2">
        <f t="shared" si="3"/>
        <v>18</v>
      </c>
      <c r="AP28" s="2">
        <f t="shared" si="4"/>
        <v>18</v>
      </c>
      <c r="AQ28" s="3">
        <f t="shared" si="5"/>
        <v>1</v>
      </c>
      <c r="AR28" s="1" t="str">
        <f>INDEX(IOS!$B:$B,MATCH(D28,IOS!A:A,0))&amp;B28</f>
        <v>I.U.5</v>
      </c>
      <c r="AS28" s="1">
        <f t="shared" si="6"/>
        <v>0</v>
      </c>
      <c r="AT28" s="1" t="str">
        <f>IF(ISBLANK(W28),"",IF(ISERROR(MATCH(W28,HQLATABLE!$A:$A,0)),0,1))</f>
        <v/>
      </c>
      <c r="AU28" s="1" t="str">
        <f t="shared" si="7"/>
        <v>Blank</v>
      </c>
      <c r="AV28" s="1" t="str">
        <f t="shared" si="8"/>
        <v>Blank</v>
      </c>
      <c r="AW28" s="1">
        <f t="shared" si="9"/>
        <v>0</v>
      </c>
      <c r="AX28" s="1" t="str">
        <f t="shared" si="10"/>
        <v>Blank</v>
      </c>
      <c r="AY28" s="1"/>
      <c r="AZ28" s="1">
        <f>IF(COUNTIFS('PID CHECK'!$B:$B,AR28)=1,0,IF(COUNTIFS(AR$1:AR27,AR28)=1,0,1))</f>
        <v>0</v>
      </c>
      <c r="BA28" s="1"/>
      <c r="BB28" s="1"/>
    </row>
    <row r="29" spans="1:54">
      <c r="A29">
        <v>28</v>
      </c>
      <c r="B29" t="s">
        <v>82</v>
      </c>
      <c r="C29" t="s">
        <v>83</v>
      </c>
      <c r="D29" t="s">
        <v>66</v>
      </c>
      <c r="E29" t="s">
        <v>47</v>
      </c>
      <c r="F29" t="s">
        <v>50</v>
      </c>
      <c r="H29" t="s">
        <v>1034</v>
      </c>
      <c r="J29" t="s">
        <v>49</v>
      </c>
      <c r="K29" t="s">
        <v>50</v>
      </c>
      <c r="L29" t="s">
        <v>762</v>
      </c>
      <c r="M29" t="s">
        <v>762</v>
      </c>
      <c r="N29">
        <v>0.16</v>
      </c>
      <c r="R29" t="s">
        <v>1035</v>
      </c>
      <c r="S29" t="s">
        <v>1035</v>
      </c>
      <c r="Z29" t="s">
        <v>84</v>
      </c>
      <c r="AE29" t="s">
        <v>50</v>
      </c>
      <c r="AH29">
        <v>3</v>
      </c>
      <c r="AM29">
        <v>43465</v>
      </c>
      <c r="AN29">
        <v>43469.451388888891</v>
      </c>
      <c r="AO29" s="2">
        <f t="shared" si="3"/>
        <v>22</v>
      </c>
      <c r="AP29" s="2">
        <f t="shared" si="4"/>
        <v>22</v>
      </c>
      <c r="AQ29" s="3">
        <f t="shared" si="5"/>
        <v>1</v>
      </c>
      <c r="AR29" s="1" t="str">
        <f>INDEX(IOS!$B:$B,MATCH(D29,IOS!A:A,0))&amp;B29</f>
        <v>I.U.5</v>
      </c>
      <c r="AS29" s="1">
        <f t="shared" si="6"/>
        <v>0</v>
      </c>
      <c r="AT29" s="1" t="str">
        <f>IF(ISBLANK(W29),"",IF(ISERROR(MATCH(W29,HQLATABLE!$A:$A,0)),0,1))</f>
        <v/>
      </c>
      <c r="AU29" s="1" t="str">
        <f t="shared" si="7"/>
        <v>Blank</v>
      </c>
      <c r="AV29" s="1" t="str">
        <f t="shared" si="8"/>
        <v>Blank</v>
      </c>
      <c r="AW29" s="1">
        <f t="shared" si="9"/>
        <v>0</v>
      </c>
      <c r="AX29" s="1" t="str">
        <f t="shared" si="10"/>
        <v>Blank</v>
      </c>
      <c r="AY29" s="1"/>
      <c r="AZ29" s="1">
        <f>IF(COUNTIFS('PID CHECK'!$B:$B,AR29)=1,0,IF(COUNTIFS(AR$1:AR28,AR29)=1,0,1))</f>
        <v>0</v>
      </c>
      <c r="BA29" s="1"/>
      <c r="BB29" s="1"/>
    </row>
    <row r="30" spans="1:54">
      <c r="A30">
        <v>29</v>
      </c>
      <c r="B30" t="s">
        <v>82</v>
      </c>
      <c r="C30" t="s">
        <v>83</v>
      </c>
      <c r="D30" t="s">
        <v>66</v>
      </c>
      <c r="E30" t="s">
        <v>47</v>
      </c>
      <c r="F30" t="s">
        <v>50</v>
      </c>
      <c r="H30" t="s">
        <v>1001</v>
      </c>
      <c r="J30" t="s">
        <v>49</v>
      </c>
      <c r="K30" t="s">
        <v>50</v>
      </c>
      <c r="L30" t="s">
        <v>762</v>
      </c>
      <c r="M30" t="s">
        <v>762</v>
      </c>
      <c r="N30">
        <v>0.01</v>
      </c>
      <c r="R30" t="s">
        <v>1002</v>
      </c>
      <c r="S30" t="s">
        <v>1002</v>
      </c>
      <c r="Z30" t="s">
        <v>84</v>
      </c>
      <c r="AE30" t="s">
        <v>50</v>
      </c>
      <c r="AH30">
        <v>3</v>
      </c>
      <c r="AM30">
        <v>43465</v>
      </c>
      <c r="AN30">
        <v>43469.451388888891</v>
      </c>
      <c r="AO30" s="2">
        <f t="shared" si="3"/>
        <v>24</v>
      </c>
      <c r="AP30" s="2">
        <f t="shared" si="4"/>
        <v>24</v>
      </c>
      <c r="AQ30" s="3">
        <f t="shared" si="5"/>
        <v>1</v>
      </c>
      <c r="AR30" s="1" t="str">
        <f>INDEX(IOS!$B:$B,MATCH(D30,IOS!A:A,0))&amp;B30</f>
        <v>I.U.5</v>
      </c>
      <c r="AS30" s="1">
        <f t="shared" si="6"/>
        <v>0</v>
      </c>
      <c r="AT30" s="1" t="str">
        <f>IF(ISBLANK(W30),"",IF(ISERROR(MATCH(W30,HQLATABLE!$A:$A,0)),0,1))</f>
        <v/>
      </c>
      <c r="AU30" s="1" t="str">
        <f t="shared" si="7"/>
        <v>Blank</v>
      </c>
      <c r="AV30" s="1" t="str">
        <f t="shared" si="8"/>
        <v>Blank</v>
      </c>
      <c r="AW30" s="1">
        <f t="shared" si="9"/>
        <v>0</v>
      </c>
      <c r="AX30" s="1" t="str">
        <f t="shared" si="10"/>
        <v>Blank</v>
      </c>
      <c r="AY30" s="1"/>
      <c r="AZ30" s="1">
        <f>IF(COUNTIFS('PID CHECK'!$B:$B,AR30)=1,0,IF(COUNTIFS(AR$1:AR29,AR30)=1,0,1))</f>
        <v>0</v>
      </c>
      <c r="BA30" s="1"/>
      <c r="BB30" s="1"/>
    </row>
    <row r="31" spans="1:54">
      <c r="A31">
        <v>30</v>
      </c>
      <c r="B31" t="s">
        <v>82</v>
      </c>
      <c r="C31" t="s">
        <v>83</v>
      </c>
      <c r="D31" t="s">
        <v>66</v>
      </c>
      <c r="E31" t="s">
        <v>47</v>
      </c>
      <c r="F31" t="s">
        <v>50</v>
      </c>
      <c r="H31" t="s">
        <v>1028</v>
      </c>
      <c r="J31" t="s">
        <v>49</v>
      </c>
      <c r="K31" t="s">
        <v>50</v>
      </c>
      <c r="L31" t="s">
        <v>762</v>
      </c>
      <c r="M31" t="s">
        <v>762</v>
      </c>
      <c r="N31">
        <v>0.28000000000000003</v>
      </c>
      <c r="R31" t="s">
        <v>1029</v>
      </c>
      <c r="S31" t="s">
        <v>1029</v>
      </c>
      <c r="Z31" t="s">
        <v>84</v>
      </c>
      <c r="AE31" t="s">
        <v>50</v>
      </c>
      <c r="AH31">
        <v>3</v>
      </c>
      <c r="AM31">
        <v>43465</v>
      </c>
      <c r="AN31">
        <v>43469.451388888891</v>
      </c>
      <c r="AO31" s="2">
        <f t="shared" si="3"/>
        <v>25</v>
      </c>
      <c r="AP31" s="2">
        <f t="shared" si="4"/>
        <v>25</v>
      </c>
      <c r="AQ31" s="3">
        <f t="shared" si="5"/>
        <v>1</v>
      </c>
      <c r="AR31" s="1" t="str">
        <f>INDEX(IOS!$B:$B,MATCH(D31,IOS!A:A,0))&amp;B31</f>
        <v>I.U.5</v>
      </c>
      <c r="AS31" s="1">
        <f t="shared" si="6"/>
        <v>0</v>
      </c>
      <c r="AT31" s="1" t="str">
        <f>IF(ISBLANK(W31),"",IF(ISERROR(MATCH(W31,HQLATABLE!$A:$A,0)),0,1))</f>
        <v/>
      </c>
      <c r="AU31" s="1" t="str">
        <f t="shared" si="7"/>
        <v>Blank</v>
      </c>
      <c r="AV31" s="1" t="str">
        <f t="shared" si="8"/>
        <v>Blank</v>
      </c>
      <c r="AW31" s="1">
        <f t="shared" si="9"/>
        <v>0</v>
      </c>
      <c r="AX31" s="1" t="str">
        <f t="shared" si="10"/>
        <v>Blank</v>
      </c>
      <c r="AY31" s="1"/>
      <c r="AZ31" s="1">
        <f>IF(COUNTIFS('PID CHECK'!$B:$B,AR31)=1,0,IF(COUNTIFS(AR$1:AR30,AR31)=1,0,1))</f>
        <v>0</v>
      </c>
      <c r="BA31" s="1"/>
      <c r="BB31" s="1"/>
    </row>
    <row r="32" spans="1:54">
      <c r="A32">
        <v>31</v>
      </c>
      <c r="B32" t="s">
        <v>82</v>
      </c>
      <c r="C32" t="s">
        <v>83</v>
      </c>
      <c r="D32" t="s">
        <v>66</v>
      </c>
      <c r="E32" t="s">
        <v>47</v>
      </c>
      <c r="F32" t="s">
        <v>50</v>
      </c>
      <c r="H32" t="s">
        <v>79</v>
      </c>
      <c r="J32" t="s">
        <v>49</v>
      </c>
      <c r="K32" t="s">
        <v>50</v>
      </c>
      <c r="L32" t="s">
        <v>762</v>
      </c>
      <c r="M32" t="s">
        <v>762</v>
      </c>
      <c r="N32">
        <v>187.59</v>
      </c>
      <c r="R32" t="s">
        <v>80</v>
      </c>
      <c r="S32" t="s">
        <v>81</v>
      </c>
      <c r="Z32" t="s">
        <v>84</v>
      </c>
      <c r="AE32" t="s">
        <v>50</v>
      </c>
      <c r="AH32">
        <v>3</v>
      </c>
      <c r="AM32">
        <v>43465</v>
      </c>
      <c r="AN32">
        <v>43469.451388888891</v>
      </c>
      <c r="AO32" s="2">
        <f t="shared" si="3"/>
        <v>271</v>
      </c>
      <c r="AP32" s="2">
        <f t="shared" si="4"/>
        <v>365</v>
      </c>
      <c r="AQ32" s="3">
        <f t="shared" si="5"/>
        <v>0</v>
      </c>
      <c r="AR32" s="1" t="str">
        <f>INDEX(IOS!$B:$B,MATCH(D32,IOS!A:A,0))&amp;B32</f>
        <v>I.U.5</v>
      </c>
      <c r="AS32" s="1">
        <f t="shared" si="6"/>
        <v>0</v>
      </c>
      <c r="AT32" s="1" t="str">
        <f>IF(ISBLANK(W32),"",IF(ISERROR(MATCH(W32,HQLATABLE!$A:$A,0)),0,1))</f>
        <v/>
      </c>
      <c r="AU32" s="1" t="str">
        <f t="shared" si="7"/>
        <v>Blank</v>
      </c>
      <c r="AV32" s="1" t="str">
        <f t="shared" si="8"/>
        <v>Blank</v>
      </c>
      <c r="AW32" s="1">
        <f t="shared" si="9"/>
        <v>0</v>
      </c>
      <c r="AX32" s="1" t="str">
        <f t="shared" si="10"/>
        <v>Blank</v>
      </c>
      <c r="AY32" s="1"/>
      <c r="AZ32" s="1">
        <f>IF(COUNTIFS('PID CHECK'!$B:$B,AR32)=1,0,IF(COUNTIFS(AR$1:AR31,AR32)=1,0,1))</f>
        <v>0</v>
      </c>
      <c r="BA32" s="1"/>
      <c r="BB32" s="1"/>
    </row>
    <row r="33" spans="1:54">
      <c r="A33">
        <v>32</v>
      </c>
      <c r="B33" t="s">
        <v>82</v>
      </c>
      <c r="C33" t="s">
        <v>83</v>
      </c>
      <c r="D33" t="s">
        <v>66</v>
      </c>
      <c r="E33" t="s">
        <v>47</v>
      </c>
      <c r="F33" t="s">
        <v>50</v>
      </c>
      <c r="H33" t="s">
        <v>958</v>
      </c>
      <c r="J33" t="s">
        <v>49</v>
      </c>
      <c r="K33" t="s">
        <v>50</v>
      </c>
      <c r="L33" t="s">
        <v>762</v>
      </c>
      <c r="M33" t="s">
        <v>762</v>
      </c>
      <c r="N33">
        <v>0.09</v>
      </c>
      <c r="R33" t="s">
        <v>959</v>
      </c>
      <c r="S33" t="s">
        <v>959</v>
      </c>
      <c r="Z33" t="s">
        <v>84</v>
      </c>
      <c r="AE33" t="s">
        <v>50</v>
      </c>
      <c r="AH33">
        <v>3</v>
      </c>
      <c r="AM33">
        <v>43465</v>
      </c>
      <c r="AN33">
        <v>43469.451388888891</v>
      </c>
      <c r="AO33" s="2">
        <f t="shared" si="3"/>
        <v>28</v>
      </c>
      <c r="AP33" s="2">
        <f t="shared" si="4"/>
        <v>28</v>
      </c>
      <c r="AQ33" s="3">
        <f t="shared" si="5"/>
        <v>1</v>
      </c>
      <c r="AR33" s="1" t="str">
        <f>INDEX(IOS!$B:$B,MATCH(D33,IOS!A:A,0))&amp;B33</f>
        <v>I.U.5</v>
      </c>
      <c r="AS33" s="1">
        <f t="shared" si="6"/>
        <v>0</v>
      </c>
      <c r="AT33" s="1" t="str">
        <f>IF(ISBLANK(W33),"",IF(ISERROR(MATCH(W33,HQLATABLE!$A:$A,0)),0,1))</f>
        <v/>
      </c>
      <c r="AU33" s="1" t="str">
        <f t="shared" si="7"/>
        <v>Blank</v>
      </c>
      <c r="AV33" s="1" t="str">
        <f t="shared" si="8"/>
        <v>Blank</v>
      </c>
      <c r="AW33" s="1">
        <f t="shared" si="9"/>
        <v>0</v>
      </c>
      <c r="AX33" s="1" t="str">
        <f t="shared" si="10"/>
        <v>Blank</v>
      </c>
      <c r="AY33" s="1"/>
      <c r="AZ33" s="1">
        <f>IF(COUNTIFS('PID CHECK'!$B:$B,AR33)=1,0,IF(COUNTIFS(AR$1:AR32,AR33)=1,0,1))</f>
        <v>0</v>
      </c>
      <c r="BA33" s="1"/>
      <c r="BB33" s="1"/>
    </row>
    <row r="34" spans="1:54">
      <c r="A34">
        <v>33</v>
      </c>
      <c r="B34" t="s">
        <v>82</v>
      </c>
      <c r="C34" t="s">
        <v>83</v>
      </c>
      <c r="D34" t="s">
        <v>66</v>
      </c>
      <c r="E34" t="s">
        <v>47</v>
      </c>
      <c r="F34" t="s">
        <v>50</v>
      </c>
      <c r="H34" t="s">
        <v>1030</v>
      </c>
      <c r="J34" t="s">
        <v>49</v>
      </c>
      <c r="K34" t="s">
        <v>50</v>
      </c>
      <c r="L34" t="s">
        <v>762</v>
      </c>
      <c r="M34" t="s">
        <v>762</v>
      </c>
      <c r="N34">
        <v>0.36</v>
      </c>
      <c r="R34" t="s">
        <v>1031</v>
      </c>
      <c r="S34" t="s">
        <v>1031</v>
      </c>
      <c r="Z34" t="s">
        <v>84</v>
      </c>
      <c r="AE34" t="s">
        <v>50</v>
      </c>
      <c r="AH34">
        <v>3</v>
      </c>
      <c r="AM34">
        <v>43465</v>
      </c>
      <c r="AN34">
        <v>43469.451388888891</v>
      </c>
      <c r="AO34" s="2">
        <f t="shared" si="3"/>
        <v>2</v>
      </c>
      <c r="AP34" s="2">
        <f t="shared" si="4"/>
        <v>2</v>
      </c>
      <c r="AQ34" s="3">
        <f t="shared" si="5"/>
        <v>1</v>
      </c>
      <c r="AR34" s="1" t="str">
        <f>INDEX(IOS!$B:$B,MATCH(D34,IOS!A:A,0))&amp;B34</f>
        <v>I.U.5</v>
      </c>
      <c r="AS34" s="1">
        <f t="shared" si="6"/>
        <v>0</v>
      </c>
      <c r="AT34" s="1" t="str">
        <f>IF(ISBLANK(W34),"",IF(ISERROR(MATCH(W34,HQLATABLE!$A:$A,0)),0,1))</f>
        <v/>
      </c>
      <c r="AU34" s="1" t="str">
        <f t="shared" si="7"/>
        <v>Blank</v>
      </c>
      <c r="AV34" s="1" t="str">
        <f t="shared" si="8"/>
        <v>Blank</v>
      </c>
      <c r="AW34" s="1">
        <f t="shared" si="9"/>
        <v>0</v>
      </c>
      <c r="AX34" s="1" t="str">
        <f t="shared" si="10"/>
        <v>Blank</v>
      </c>
      <c r="AY34" s="1"/>
      <c r="AZ34" s="1">
        <f>IF(COUNTIFS('PID CHECK'!$B:$B,AR34)=1,0,IF(COUNTIFS(AR$1:AR33,AR34)=1,0,1))</f>
        <v>0</v>
      </c>
      <c r="BA34" s="1"/>
      <c r="BB34" s="1"/>
    </row>
    <row r="35" spans="1:54">
      <c r="A35">
        <v>34</v>
      </c>
      <c r="B35" t="s">
        <v>82</v>
      </c>
      <c r="C35" t="s">
        <v>83</v>
      </c>
      <c r="D35" t="s">
        <v>66</v>
      </c>
      <c r="E35" t="s">
        <v>47</v>
      </c>
      <c r="F35" t="s">
        <v>50</v>
      </c>
      <c r="H35" t="s">
        <v>1026</v>
      </c>
      <c r="J35" t="s">
        <v>49</v>
      </c>
      <c r="K35" t="s">
        <v>50</v>
      </c>
      <c r="L35" t="s">
        <v>762</v>
      </c>
      <c r="M35" t="s">
        <v>762</v>
      </c>
      <c r="N35">
        <v>83.31</v>
      </c>
      <c r="R35" t="s">
        <v>1027</v>
      </c>
      <c r="S35" t="s">
        <v>1027</v>
      </c>
      <c r="Z35" t="s">
        <v>84</v>
      </c>
      <c r="AE35" t="s">
        <v>50</v>
      </c>
      <c r="AH35">
        <v>3</v>
      </c>
      <c r="AM35">
        <v>43465</v>
      </c>
      <c r="AN35">
        <v>43469.451388888891</v>
      </c>
      <c r="AO35" s="2">
        <f t="shared" si="3"/>
        <v>30</v>
      </c>
      <c r="AP35" s="2">
        <f t="shared" si="4"/>
        <v>30</v>
      </c>
      <c r="AQ35" s="3">
        <f t="shared" si="5"/>
        <v>1</v>
      </c>
      <c r="AR35" s="1" t="str">
        <f>INDEX(IOS!$B:$B,MATCH(D35,IOS!A:A,0))&amp;B35</f>
        <v>I.U.5</v>
      </c>
      <c r="AS35" s="1">
        <f t="shared" si="6"/>
        <v>0</v>
      </c>
      <c r="AT35" s="1" t="str">
        <f>IF(ISBLANK(W35),"",IF(ISERROR(MATCH(W35,HQLATABLE!$A:$A,0)),0,1))</f>
        <v/>
      </c>
      <c r="AU35" s="1" t="str">
        <f t="shared" si="7"/>
        <v>Blank</v>
      </c>
      <c r="AV35" s="1" t="str">
        <f t="shared" si="8"/>
        <v>Blank</v>
      </c>
      <c r="AW35" s="1">
        <f t="shared" si="9"/>
        <v>0</v>
      </c>
      <c r="AX35" s="1" t="str">
        <f t="shared" si="10"/>
        <v>Blank</v>
      </c>
      <c r="AY35" s="1"/>
      <c r="AZ35" s="1">
        <f>IF(COUNTIFS('PID CHECK'!$B:$B,AR35)=1,0,IF(COUNTIFS(AR$1:AR34,AR35)=1,0,1))</f>
        <v>0</v>
      </c>
      <c r="BA35" s="1"/>
      <c r="BB35" s="1"/>
    </row>
    <row r="36" spans="1:54">
      <c r="A36">
        <v>35</v>
      </c>
      <c r="B36" t="s">
        <v>82</v>
      </c>
      <c r="C36" t="s">
        <v>83</v>
      </c>
      <c r="D36" t="s">
        <v>66</v>
      </c>
      <c r="E36" t="s">
        <v>47</v>
      </c>
      <c r="F36" t="s">
        <v>50</v>
      </c>
      <c r="H36" t="s">
        <v>1003</v>
      </c>
      <c r="J36" t="s">
        <v>49</v>
      </c>
      <c r="K36" t="s">
        <v>50</v>
      </c>
      <c r="L36" t="s">
        <v>762</v>
      </c>
      <c r="M36" t="s">
        <v>762</v>
      </c>
      <c r="N36">
        <v>0.21</v>
      </c>
      <c r="R36" t="s">
        <v>1004</v>
      </c>
      <c r="S36" t="s">
        <v>1004</v>
      </c>
      <c r="Z36" t="s">
        <v>84</v>
      </c>
      <c r="AE36" t="s">
        <v>50</v>
      </c>
      <c r="AH36">
        <v>3</v>
      </c>
      <c r="AM36">
        <v>43465</v>
      </c>
      <c r="AN36">
        <v>43469.451388888891</v>
      </c>
      <c r="AO36" s="2">
        <f t="shared" si="3"/>
        <v>31</v>
      </c>
      <c r="AP36" s="2">
        <f t="shared" si="4"/>
        <v>31</v>
      </c>
      <c r="AQ36" s="3">
        <f t="shared" si="5"/>
        <v>0</v>
      </c>
      <c r="AR36" s="1" t="str">
        <f>INDEX(IOS!$B:$B,MATCH(D36,IOS!A:A,0))&amp;B36</f>
        <v>I.U.5</v>
      </c>
      <c r="AS36" s="1">
        <f t="shared" si="6"/>
        <v>0</v>
      </c>
      <c r="AT36" s="1" t="str">
        <f>IF(ISBLANK(W36),"",IF(ISERROR(MATCH(W36,HQLATABLE!$A:$A,0)),0,1))</f>
        <v/>
      </c>
      <c r="AU36" s="1" t="str">
        <f t="shared" si="7"/>
        <v>Blank</v>
      </c>
      <c r="AV36" s="1" t="str">
        <f t="shared" si="8"/>
        <v>Blank</v>
      </c>
      <c r="AW36" s="1">
        <f t="shared" si="9"/>
        <v>0</v>
      </c>
      <c r="AX36" s="1" t="str">
        <f t="shared" si="10"/>
        <v>Blank</v>
      </c>
      <c r="AY36" s="1"/>
      <c r="AZ36" s="1">
        <f>IF(COUNTIFS('PID CHECK'!$B:$B,AR36)=1,0,IF(COUNTIFS(AR$1:AR35,AR36)=1,0,1))</f>
        <v>0</v>
      </c>
      <c r="BA36" s="1"/>
      <c r="BB36" s="1"/>
    </row>
    <row r="37" spans="1:54">
      <c r="A37">
        <v>36</v>
      </c>
      <c r="B37" t="s">
        <v>82</v>
      </c>
      <c r="C37" t="s">
        <v>83</v>
      </c>
      <c r="D37" t="s">
        <v>66</v>
      </c>
      <c r="E37" t="s">
        <v>47</v>
      </c>
      <c r="F37" t="s">
        <v>50</v>
      </c>
      <c r="H37" t="s">
        <v>1036</v>
      </c>
      <c r="J37" t="s">
        <v>49</v>
      </c>
      <c r="K37" t="s">
        <v>50</v>
      </c>
      <c r="L37" t="s">
        <v>762</v>
      </c>
      <c r="M37" t="s">
        <v>762</v>
      </c>
      <c r="N37">
        <v>0.59</v>
      </c>
      <c r="R37" t="s">
        <v>1037</v>
      </c>
      <c r="S37" t="s">
        <v>1037</v>
      </c>
      <c r="Z37" t="s">
        <v>84</v>
      </c>
      <c r="AE37" t="s">
        <v>50</v>
      </c>
      <c r="AH37">
        <v>3</v>
      </c>
      <c r="AM37">
        <v>43465</v>
      </c>
      <c r="AN37">
        <v>43469.451388888891</v>
      </c>
      <c r="AO37" s="2">
        <f t="shared" si="3"/>
        <v>32</v>
      </c>
      <c r="AP37" s="2">
        <f t="shared" si="4"/>
        <v>32</v>
      </c>
      <c r="AQ37" s="3">
        <f t="shared" si="5"/>
        <v>0</v>
      </c>
      <c r="AR37" s="1" t="str">
        <f>INDEX(IOS!$B:$B,MATCH(D37,IOS!A:A,0))&amp;B37</f>
        <v>I.U.5</v>
      </c>
      <c r="AS37" s="1">
        <f t="shared" si="6"/>
        <v>0</v>
      </c>
      <c r="AT37" s="1" t="str">
        <f>IF(ISBLANK(W37),"",IF(ISERROR(MATCH(W37,HQLATABLE!$A:$A,0)),0,1))</f>
        <v/>
      </c>
      <c r="AU37" s="1" t="str">
        <f t="shared" si="7"/>
        <v>Blank</v>
      </c>
      <c r="AV37" s="1" t="str">
        <f t="shared" si="8"/>
        <v>Blank</v>
      </c>
      <c r="AW37" s="1">
        <f t="shared" si="9"/>
        <v>0</v>
      </c>
      <c r="AX37" s="1" t="str">
        <f t="shared" si="10"/>
        <v>Blank</v>
      </c>
      <c r="AY37" s="1"/>
      <c r="AZ37" s="1">
        <f>IF(COUNTIFS('PID CHECK'!$B:$B,AR37)=1,0,IF(COUNTIFS(AR$1:AR36,AR37)=1,0,1))</f>
        <v>0</v>
      </c>
      <c r="BA37" s="1"/>
      <c r="BB37" s="1"/>
    </row>
    <row r="38" spans="1:54">
      <c r="A38">
        <v>37</v>
      </c>
      <c r="B38" t="s">
        <v>82</v>
      </c>
      <c r="C38" t="s">
        <v>83</v>
      </c>
      <c r="D38" t="s">
        <v>66</v>
      </c>
      <c r="E38" t="s">
        <v>47</v>
      </c>
      <c r="F38" t="s">
        <v>50</v>
      </c>
      <c r="H38" t="s">
        <v>981</v>
      </c>
      <c r="J38" t="s">
        <v>49</v>
      </c>
      <c r="K38" t="s">
        <v>50</v>
      </c>
      <c r="L38" t="s">
        <v>762</v>
      </c>
      <c r="M38" t="s">
        <v>762</v>
      </c>
      <c r="N38">
        <v>0.25</v>
      </c>
      <c r="R38" t="s">
        <v>982</v>
      </c>
      <c r="S38" t="s">
        <v>982</v>
      </c>
      <c r="Z38" t="s">
        <v>84</v>
      </c>
      <c r="AE38" t="s">
        <v>50</v>
      </c>
      <c r="AH38">
        <v>3</v>
      </c>
      <c r="AM38">
        <v>43465</v>
      </c>
      <c r="AN38">
        <v>43469.451388888891</v>
      </c>
      <c r="AO38" s="2">
        <f t="shared" si="3"/>
        <v>35</v>
      </c>
      <c r="AP38" s="2">
        <f t="shared" si="4"/>
        <v>35</v>
      </c>
      <c r="AQ38" s="3">
        <f t="shared" si="5"/>
        <v>0</v>
      </c>
      <c r="AR38" s="1" t="str">
        <f>INDEX(IOS!$B:$B,MATCH(D38,IOS!A:A,0))&amp;B38</f>
        <v>I.U.5</v>
      </c>
      <c r="AS38" s="1">
        <f t="shared" si="6"/>
        <v>0</v>
      </c>
      <c r="AT38" s="1" t="str">
        <f>IF(ISBLANK(W38),"",IF(ISERROR(MATCH(W38,HQLATABLE!$A:$A,0)),0,1))</f>
        <v/>
      </c>
      <c r="AU38" s="1" t="str">
        <f t="shared" si="7"/>
        <v>Blank</v>
      </c>
      <c r="AV38" s="1" t="str">
        <f t="shared" si="8"/>
        <v>Blank</v>
      </c>
      <c r="AW38" s="1">
        <f t="shared" si="9"/>
        <v>0</v>
      </c>
      <c r="AX38" s="1" t="str">
        <f t="shared" si="10"/>
        <v>Blank</v>
      </c>
      <c r="AY38" s="1"/>
      <c r="AZ38" s="1">
        <f>IF(COUNTIFS('PID CHECK'!$B:$B,AR38)=1,0,IF(COUNTIFS(AR$1:AR37,AR38)=1,0,1))</f>
        <v>0</v>
      </c>
      <c r="BA38" s="1"/>
      <c r="BB38" s="1"/>
    </row>
    <row r="39" spans="1:54">
      <c r="A39">
        <v>38</v>
      </c>
      <c r="B39" t="s">
        <v>82</v>
      </c>
      <c r="C39" t="s">
        <v>83</v>
      </c>
      <c r="D39" t="s">
        <v>66</v>
      </c>
      <c r="E39" t="s">
        <v>47</v>
      </c>
      <c r="F39" t="s">
        <v>50</v>
      </c>
      <c r="H39" t="s">
        <v>1005</v>
      </c>
      <c r="J39" t="s">
        <v>49</v>
      </c>
      <c r="K39" t="s">
        <v>50</v>
      </c>
      <c r="L39" t="s">
        <v>762</v>
      </c>
      <c r="M39" t="s">
        <v>762</v>
      </c>
      <c r="N39">
        <v>20.16</v>
      </c>
      <c r="R39" t="s">
        <v>1006</v>
      </c>
      <c r="S39" t="s">
        <v>1006</v>
      </c>
      <c r="Z39" t="s">
        <v>84</v>
      </c>
      <c r="AE39" t="s">
        <v>50</v>
      </c>
      <c r="AH39">
        <v>3</v>
      </c>
      <c r="AM39">
        <v>43465</v>
      </c>
      <c r="AN39">
        <v>43469.451388888891</v>
      </c>
      <c r="AO39" s="2">
        <f t="shared" si="3"/>
        <v>38</v>
      </c>
      <c r="AP39" s="2">
        <f t="shared" si="4"/>
        <v>38</v>
      </c>
      <c r="AQ39" s="3">
        <f t="shared" si="5"/>
        <v>0</v>
      </c>
      <c r="AR39" s="1" t="str">
        <f>INDEX(IOS!$B:$B,MATCH(D39,IOS!A:A,0))&amp;B39</f>
        <v>I.U.5</v>
      </c>
      <c r="AS39" s="1">
        <f t="shared" si="6"/>
        <v>0</v>
      </c>
      <c r="AT39" s="1" t="str">
        <f>IF(ISBLANK(W39),"",IF(ISERROR(MATCH(W39,HQLATABLE!$A:$A,0)),0,1))</f>
        <v/>
      </c>
      <c r="AU39" s="1" t="str">
        <f t="shared" si="7"/>
        <v>Blank</v>
      </c>
      <c r="AV39" s="1" t="str">
        <f t="shared" si="8"/>
        <v>Blank</v>
      </c>
      <c r="AW39" s="1">
        <f t="shared" si="9"/>
        <v>0</v>
      </c>
      <c r="AX39" s="1" t="str">
        <f t="shared" si="10"/>
        <v>Blank</v>
      </c>
      <c r="AY39" s="1"/>
      <c r="AZ39" s="1">
        <f>IF(COUNTIFS('PID CHECK'!$B:$B,AR39)=1,0,IF(COUNTIFS(AR$1:AR38,AR39)=1,0,1))</f>
        <v>0</v>
      </c>
      <c r="BA39" s="1"/>
      <c r="BB39" s="1"/>
    </row>
    <row r="40" spans="1:54">
      <c r="A40">
        <v>39</v>
      </c>
      <c r="B40" t="s">
        <v>82</v>
      </c>
      <c r="C40" t="s">
        <v>83</v>
      </c>
      <c r="D40" t="s">
        <v>66</v>
      </c>
      <c r="E40" t="s">
        <v>47</v>
      </c>
      <c r="F40" t="s">
        <v>50</v>
      </c>
      <c r="H40" t="s">
        <v>1007</v>
      </c>
      <c r="J40" t="s">
        <v>49</v>
      </c>
      <c r="K40" t="s">
        <v>50</v>
      </c>
      <c r="L40" t="s">
        <v>762</v>
      </c>
      <c r="M40" t="s">
        <v>762</v>
      </c>
      <c r="N40">
        <v>0.02</v>
      </c>
      <c r="R40" t="s">
        <v>1008</v>
      </c>
      <c r="S40" t="s">
        <v>1008</v>
      </c>
      <c r="Z40" t="s">
        <v>84</v>
      </c>
      <c r="AE40" t="s">
        <v>50</v>
      </c>
      <c r="AH40">
        <v>3</v>
      </c>
      <c r="AM40">
        <v>43465</v>
      </c>
      <c r="AN40">
        <v>43469.451388888891</v>
      </c>
      <c r="AO40" s="2">
        <f t="shared" si="3"/>
        <v>3</v>
      </c>
      <c r="AP40" s="2">
        <f t="shared" si="4"/>
        <v>3</v>
      </c>
      <c r="AQ40" s="3">
        <f t="shared" si="5"/>
        <v>1</v>
      </c>
      <c r="AR40" s="1" t="str">
        <f>INDEX(IOS!$B:$B,MATCH(D40,IOS!A:A,0))&amp;B40</f>
        <v>I.U.5</v>
      </c>
      <c r="AS40" s="1">
        <f t="shared" si="6"/>
        <v>0</v>
      </c>
      <c r="AT40" s="1" t="str">
        <f>IF(ISBLANK(W40),"",IF(ISERROR(MATCH(W40,HQLATABLE!$A:$A,0)),0,1))</f>
        <v/>
      </c>
      <c r="AU40" s="1" t="str">
        <f t="shared" si="7"/>
        <v>Blank</v>
      </c>
      <c r="AV40" s="1" t="str">
        <f t="shared" si="8"/>
        <v>Blank</v>
      </c>
      <c r="AW40" s="1">
        <f t="shared" si="9"/>
        <v>0</v>
      </c>
      <c r="AX40" s="1" t="str">
        <f t="shared" si="10"/>
        <v>Blank</v>
      </c>
      <c r="AY40" s="1"/>
      <c r="AZ40" s="1">
        <f>IF(COUNTIFS('PID CHECK'!$B:$B,AR40)=1,0,IF(COUNTIFS(AR$1:AR39,AR40)=1,0,1))</f>
        <v>0</v>
      </c>
      <c r="BA40" s="1"/>
      <c r="BB40" s="1"/>
    </row>
    <row r="41" spans="1:54">
      <c r="A41">
        <v>40</v>
      </c>
      <c r="B41" t="s">
        <v>82</v>
      </c>
      <c r="C41" t="s">
        <v>83</v>
      </c>
      <c r="D41" t="s">
        <v>66</v>
      </c>
      <c r="E41" t="s">
        <v>47</v>
      </c>
      <c r="F41" t="s">
        <v>50</v>
      </c>
      <c r="H41" t="s">
        <v>1038</v>
      </c>
      <c r="J41" t="s">
        <v>49</v>
      </c>
      <c r="K41" t="s">
        <v>50</v>
      </c>
      <c r="L41" t="s">
        <v>762</v>
      </c>
      <c r="M41" t="s">
        <v>762</v>
      </c>
      <c r="N41">
        <v>0.5</v>
      </c>
      <c r="R41" t="s">
        <v>1039</v>
      </c>
      <c r="S41" t="s">
        <v>1039</v>
      </c>
      <c r="Z41" t="s">
        <v>84</v>
      </c>
      <c r="AE41" t="s">
        <v>50</v>
      </c>
      <c r="AH41">
        <v>3</v>
      </c>
      <c r="AM41">
        <v>43465</v>
      </c>
      <c r="AN41">
        <v>43469.451388888891</v>
      </c>
      <c r="AO41" s="2">
        <f t="shared" si="3"/>
        <v>44</v>
      </c>
      <c r="AP41" s="2">
        <f t="shared" si="4"/>
        <v>44</v>
      </c>
      <c r="AQ41" s="3">
        <f t="shared" si="5"/>
        <v>0</v>
      </c>
      <c r="AR41" s="1" t="str">
        <f>INDEX(IOS!$B:$B,MATCH(D41,IOS!A:A,0))&amp;B41</f>
        <v>I.U.5</v>
      </c>
      <c r="AS41" s="1">
        <f t="shared" si="6"/>
        <v>0</v>
      </c>
      <c r="AT41" s="1" t="str">
        <f>IF(ISBLANK(W41),"",IF(ISERROR(MATCH(W41,HQLATABLE!$A:$A,0)),0,1))</f>
        <v/>
      </c>
      <c r="AU41" s="1" t="str">
        <f t="shared" si="7"/>
        <v>Blank</v>
      </c>
      <c r="AV41" s="1" t="str">
        <f t="shared" si="8"/>
        <v>Blank</v>
      </c>
      <c r="AW41" s="1">
        <f t="shared" si="9"/>
        <v>0</v>
      </c>
      <c r="AX41" s="1" t="str">
        <f t="shared" si="10"/>
        <v>Blank</v>
      </c>
      <c r="AY41" s="1"/>
      <c r="AZ41" s="1">
        <f>IF(COUNTIFS('PID CHECK'!$B:$B,AR41)=1,0,IF(COUNTIFS(AR$1:AR40,AR41)=1,0,1))</f>
        <v>0</v>
      </c>
      <c r="BA41" s="1"/>
      <c r="BB41" s="1"/>
    </row>
    <row r="42" spans="1:54">
      <c r="A42">
        <v>41</v>
      </c>
      <c r="B42" t="s">
        <v>82</v>
      </c>
      <c r="C42" t="s">
        <v>83</v>
      </c>
      <c r="D42" t="s">
        <v>66</v>
      </c>
      <c r="E42" t="s">
        <v>47</v>
      </c>
      <c r="F42" t="s">
        <v>50</v>
      </c>
      <c r="H42" t="s">
        <v>1011</v>
      </c>
      <c r="J42" t="s">
        <v>49</v>
      </c>
      <c r="K42" t="s">
        <v>50</v>
      </c>
      <c r="L42" t="s">
        <v>762</v>
      </c>
      <c r="M42" t="s">
        <v>762</v>
      </c>
      <c r="N42">
        <v>0.14000000000000001</v>
      </c>
      <c r="R42" t="s">
        <v>1012</v>
      </c>
      <c r="S42" t="s">
        <v>1012</v>
      </c>
      <c r="Z42" t="s">
        <v>84</v>
      </c>
      <c r="AE42" t="s">
        <v>50</v>
      </c>
      <c r="AH42">
        <v>3</v>
      </c>
      <c r="AM42">
        <v>43465</v>
      </c>
      <c r="AN42">
        <v>43469.451388888891</v>
      </c>
      <c r="AO42" s="2">
        <f t="shared" si="3"/>
        <v>46</v>
      </c>
      <c r="AP42" s="2">
        <f t="shared" si="4"/>
        <v>46</v>
      </c>
      <c r="AQ42" s="3">
        <f t="shared" si="5"/>
        <v>0</v>
      </c>
      <c r="AR42" s="1" t="str">
        <f>INDEX(IOS!$B:$B,MATCH(D42,IOS!A:A,0))&amp;B42</f>
        <v>I.U.5</v>
      </c>
      <c r="AS42" s="1">
        <f t="shared" si="6"/>
        <v>0</v>
      </c>
      <c r="AT42" s="1" t="str">
        <f>IF(ISBLANK(W42),"",IF(ISERROR(MATCH(W42,HQLATABLE!$A:$A,0)),0,1))</f>
        <v/>
      </c>
      <c r="AU42" s="1" t="str">
        <f t="shared" si="7"/>
        <v>Blank</v>
      </c>
      <c r="AV42" s="1" t="str">
        <f t="shared" si="8"/>
        <v>Blank</v>
      </c>
      <c r="AW42" s="1">
        <f t="shared" si="9"/>
        <v>0</v>
      </c>
      <c r="AX42" s="1" t="str">
        <f t="shared" si="10"/>
        <v>Blank</v>
      </c>
      <c r="AY42" s="1"/>
      <c r="AZ42" s="1">
        <f>IF(COUNTIFS('PID CHECK'!$B:$B,AR42)=1,0,IF(COUNTIFS(AR$1:AR41,AR42)=1,0,1))</f>
        <v>0</v>
      </c>
      <c r="BA42" s="1"/>
      <c r="BB42" s="1"/>
    </row>
    <row r="43" spans="1:54">
      <c r="A43">
        <v>42</v>
      </c>
      <c r="B43" t="s">
        <v>82</v>
      </c>
      <c r="C43" t="s">
        <v>83</v>
      </c>
      <c r="D43" t="s">
        <v>66</v>
      </c>
      <c r="E43" t="s">
        <v>47</v>
      </c>
      <c r="F43" t="s">
        <v>50</v>
      </c>
      <c r="H43" t="s">
        <v>1013</v>
      </c>
      <c r="J43" t="s">
        <v>49</v>
      </c>
      <c r="K43" t="s">
        <v>50</v>
      </c>
      <c r="L43" t="s">
        <v>762</v>
      </c>
      <c r="M43" t="s">
        <v>762</v>
      </c>
      <c r="N43">
        <v>0.04</v>
      </c>
      <c r="R43" t="s">
        <v>1014</v>
      </c>
      <c r="S43" t="s">
        <v>1014</v>
      </c>
      <c r="Z43" t="s">
        <v>84</v>
      </c>
      <c r="AE43" t="s">
        <v>50</v>
      </c>
      <c r="AH43">
        <v>3</v>
      </c>
      <c r="AM43">
        <v>43465</v>
      </c>
      <c r="AN43">
        <v>43469.451388888891</v>
      </c>
      <c r="AO43" s="2">
        <f t="shared" si="3"/>
        <v>4</v>
      </c>
      <c r="AP43" s="2">
        <f t="shared" si="4"/>
        <v>4</v>
      </c>
      <c r="AQ43" s="3">
        <f t="shared" si="5"/>
        <v>1</v>
      </c>
      <c r="AR43" s="1" t="str">
        <f>INDEX(IOS!$B:$B,MATCH(D43,IOS!A:A,0))&amp;B43</f>
        <v>I.U.5</v>
      </c>
      <c r="AS43" s="1">
        <f t="shared" si="6"/>
        <v>0</v>
      </c>
      <c r="AT43" s="1" t="str">
        <f>IF(ISBLANK(W43),"",IF(ISERROR(MATCH(W43,HQLATABLE!$A:$A,0)),0,1))</f>
        <v/>
      </c>
      <c r="AU43" s="1" t="str">
        <f t="shared" si="7"/>
        <v>Blank</v>
      </c>
      <c r="AV43" s="1" t="str">
        <f t="shared" si="8"/>
        <v>Blank</v>
      </c>
      <c r="AW43" s="1">
        <f t="shared" si="9"/>
        <v>0</v>
      </c>
      <c r="AX43" s="1" t="str">
        <f t="shared" si="10"/>
        <v>Blank</v>
      </c>
      <c r="AY43" s="1"/>
      <c r="AZ43" s="1">
        <f>IF(COUNTIFS('PID CHECK'!$B:$B,AR43)=1,0,IF(COUNTIFS(AR$1:AR42,AR43)=1,0,1))</f>
        <v>0</v>
      </c>
      <c r="BA43" s="1"/>
      <c r="BB43" s="1"/>
    </row>
    <row r="44" spans="1:54">
      <c r="A44">
        <v>43</v>
      </c>
      <c r="B44" t="s">
        <v>82</v>
      </c>
      <c r="C44" t="s">
        <v>83</v>
      </c>
      <c r="D44" t="s">
        <v>66</v>
      </c>
      <c r="E44" t="s">
        <v>47</v>
      </c>
      <c r="F44" t="s">
        <v>50</v>
      </c>
      <c r="H44" t="s">
        <v>1040</v>
      </c>
      <c r="J44" t="s">
        <v>49</v>
      </c>
      <c r="K44" t="s">
        <v>50</v>
      </c>
      <c r="L44" t="s">
        <v>762</v>
      </c>
      <c r="M44" t="s">
        <v>762</v>
      </c>
      <c r="N44">
        <v>0.06</v>
      </c>
      <c r="R44" t="s">
        <v>1041</v>
      </c>
      <c r="S44" t="s">
        <v>1041</v>
      </c>
      <c r="Z44" t="s">
        <v>84</v>
      </c>
      <c r="AE44" t="s">
        <v>50</v>
      </c>
      <c r="AH44">
        <v>3</v>
      </c>
      <c r="AM44">
        <v>43465</v>
      </c>
      <c r="AN44">
        <v>43469.451388888891</v>
      </c>
      <c r="AO44" s="2">
        <f t="shared" si="3"/>
        <v>50</v>
      </c>
      <c r="AP44" s="2">
        <f t="shared" si="4"/>
        <v>50</v>
      </c>
      <c r="AQ44" s="3">
        <f t="shared" si="5"/>
        <v>0</v>
      </c>
      <c r="AR44" s="1" t="str">
        <f>INDEX(IOS!$B:$B,MATCH(D44,IOS!A:A,0))&amp;B44</f>
        <v>I.U.5</v>
      </c>
      <c r="AS44" s="1">
        <f t="shared" si="6"/>
        <v>0</v>
      </c>
      <c r="AT44" s="1" t="str">
        <f>IF(ISBLANK(W44),"",IF(ISERROR(MATCH(W44,HQLATABLE!$A:$A,0)),0,1))</f>
        <v/>
      </c>
      <c r="AU44" s="1" t="str">
        <f t="shared" si="7"/>
        <v>Blank</v>
      </c>
      <c r="AV44" s="1" t="str">
        <f t="shared" si="8"/>
        <v>Blank</v>
      </c>
      <c r="AW44" s="1">
        <f t="shared" si="9"/>
        <v>0</v>
      </c>
      <c r="AX44" s="1" t="str">
        <f t="shared" si="10"/>
        <v>Blank</v>
      </c>
      <c r="AY44" s="1"/>
      <c r="AZ44" s="1">
        <f>IF(COUNTIFS('PID CHECK'!$B:$B,AR44)=1,0,IF(COUNTIFS(AR$1:AR43,AR44)=1,0,1))</f>
        <v>0</v>
      </c>
      <c r="BA44" s="1"/>
      <c r="BB44" s="1"/>
    </row>
    <row r="45" spans="1:54">
      <c r="A45">
        <v>44</v>
      </c>
      <c r="B45" t="s">
        <v>82</v>
      </c>
      <c r="C45" t="s">
        <v>83</v>
      </c>
      <c r="D45" t="s">
        <v>66</v>
      </c>
      <c r="E45" t="s">
        <v>47</v>
      </c>
      <c r="F45" t="s">
        <v>50</v>
      </c>
      <c r="H45" t="s">
        <v>1042</v>
      </c>
      <c r="J45" t="s">
        <v>49</v>
      </c>
      <c r="K45" t="s">
        <v>50</v>
      </c>
      <c r="L45" t="s">
        <v>762</v>
      </c>
      <c r="M45" t="s">
        <v>762</v>
      </c>
      <c r="N45">
        <v>0.02</v>
      </c>
      <c r="R45" t="s">
        <v>1043</v>
      </c>
      <c r="S45" t="s">
        <v>1043</v>
      </c>
      <c r="Z45" t="s">
        <v>84</v>
      </c>
      <c r="AE45" t="s">
        <v>50</v>
      </c>
      <c r="AH45">
        <v>3</v>
      </c>
      <c r="AM45">
        <v>43465</v>
      </c>
      <c r="AN45">
        <v>43469.451388888891</v>
      </c>
      <c r="AO45" s="2">
        <f t="shared" si="3"/>
        <v>52</v>
      </c>
      <c r="AP45" s="2">
        <f t="shared" si="4"/>
        <v>52</v>
      </c>
      <c r="AQ45" s="3">
        <f t="shared" si="5"/>
        <v>0</v>
      </c>
      <c r="AR45" s="1" t="str">
        <f>INDEX(IOS!$B:$B,MATCH(D45,IOS!A:A,0))&amp;B45</f>
        <v>I.U.5</v>
      </c>
      <c r="AS45" s="1">
        <f t="shared" si="6"/>
        <v>0</v>
      </c>
      <c r="AT45" s="1" t="str">
        <f>IF(ISBLANK(W45),"",IF(ISERROR(MATCH(W45,HQLATABLE!$A:$A,0)),0,1))</f>
        <v/>
      </c>
      <c r="AU45" s="1" t="str">
        <f t="shared" si="7"/>
        <v>Blank</v>
      </c>
      <c r="AV45" s="1" t="str">
        <f t="shared" si="8"/>
        <v>Blank</v>
      </c>
      <c r="AW45" s="1">
        <f t="shared" si="9"/>
        <v>0</v>
      </c>
      <c r="AX45" s="1" t="str">
        <f t="shared" si="10"/>
        <v>Blank</v>
      </c>
      <c r="AY45" s="1"/>
      <c r="AZ45" s="1">
        <f>IF(COUNTIFS('PID CHECK'!$B:$B,AR45)=1,0,IF(COUNTIFS(AR$1:AR44,AR45)=1,0,1))</f>
        <v>0</v>
      </c>
      <c r="BA45" s="1"/>
      <c r="BB45" s="1"/>
    </row>
    <row r="46" spans="1:54">
      <c r="A46">
        <v>45</v>
      </c>
      <c r="B46" t="s">
        <v>82</v>
      </c>
      <c r="C46" t="s">
        <v>83</v>
      </c>
      <c r="D46" t="s">
        <v>66</v>
      </c>
      <c r="E46" t="s">
        <v>47</v>
      </c>
      <c r="F46" t="s">
        <v>50</v>
      </c>
      <c r="H46" t="s">
        <v>1015</v>
      </c>
      <c r="J46" t="s">
        <v>49</v>
      </c>
      <c r="K46" t="s">
        <v>50</v>
      </c>
      <c r="L46" t="s">
        <v>762</v>
      </c>
      <c r="M46" t="s">
        <v>762</v>
      </c>
      <c r="N46">
        <v>17.2</v>
      </c>
      <c r="R46" t="s">
        <v>1016</v>
      </c>
      <c r="S46" t="s">
        <v>1016</v>
      </c>
      <c r="Z46" t="s">
        <v>84</v>
      </c>
      <c r="AE46" t="s">
        <v>50</v>
      </c>
      <c r="AH46">
        <v>3</v>
      </c>
      <c r="AM46">
        <v>43465</v>
      </c>
      <c r="AN46">
        <v>43469.451388888891</v>
      </c>
      <c r="AO46" s="2">
        <f t="shared" si="3"/>
        <v>53</v>
      </c>
      <c r="AP46" s="2">
        <f t="shared" si="4"/>
        <v>53</v>
      </c>
      <c r="AQ46" s="3">
        <f t="shared" si="5"/>
        <v>0</v>
      </c>
      <c r="AR46" s="1" t="str">
        <f>INDEX(IOS!$B:$B,MATCH(D46,IOS!A:A,0))&amp;B46</f>
        <v>I.U.5</v>
      </c>
      <c r="AS46" s="1">
        <f t="shared" si="6"/>
        <v>0</v>
      </c>
      <c r="AT46" s="1" t="str">
        <f>IF(ISBLANK(W46),"",IF(ISERROR(MATCH(W46,HQLATABLE!$A:$A,0)),0,1))</f>
        <v/>
      </c>
      <c r="AU46" s="1" t="str">
        <f t="shared" si="7"/>
        <v>Blank</v>
      </c>
      <c r="AV46" s="1" t="str">
        <f t="shared" si="8"/>
        <v>Blank</v>
      </c>
      <c r="AW46" s="1">
        <f t="shared" si="9"/>
        <v>0</v>
      </c>
      <c r="AX46" s="1" t="str">
        <f t="shared" si="10"/>
        <v>Blank</v>
      </c>
      <c r="AY46" s="1"/>
      <c r="AZ46" s="1">
        <f>IF(COUNTIFS('PID CHECK'!$B:$B,AR46)=1,0,IF(COUNTIFS(AR$1:AR45,AR46)=1,0,1))</f>
        <v>0</v>
      </c>
      <c r="BA46" s="1"/>
      <c r="BB46" s="1"/>
    </row>
    <row r="47" spans="1:54">
      <c r="A47">
        <v>46</v>
      </c>
      <c r="B47" t="s">
        <v>82</v>
      </c>
      <c r="C47" t="s">
        <v>83</v>
      </c>
      <c r="D47" t="s">
        <v>66</v>
      </c>
      <c r="E47" t="s">
        <v>47</v>
      </c>
      <c r="F47" t="s">
        <v>50</v>
      </c>
      <c r="H47" t="s">
        <v>1017</v>
      </c>
      <c r="J47" t="s">
        <v>49</v>
      </c>
      <c r="K47" t="s">
        <v>50</v>
      </c>
      <c r="L47" t="s">
        <v>762</v>
      </c>
      <c r="M47" t="s">
        <v>762</v>
      </c>
      <c r="N47">
        <v>52.98</v>
      </c>
      <c r="R47" t="s">
        <v>1018</v>
      </c>
      <c r="S47" t="s">
        <v>1018</v>
      </c>
      <c r="Z47" t="s">
        <v>84</v>
      </c>
      <c r="AE47" t="s">
        <v>50</v>
      </c>
      <c r="AH47">
        <v>3</v>
      </c>
      <c r="AM47">
        <v>43465</v>
      </c>
      <c r="AN47">
        <v>43469.451388888891</v>
      </c>
      <c r="AO47" s="2">
        <f t="shared" si="3"/>
        <v>59</v>
      </c>
      <c r="AP47" s="2">
        <f t="shared" si="4"/>
        <v>59</v>
      </c>
      <c r="AQ47" s="3">
        <f t="shared" si="5"/>
        <v>0</v>
      </c>
      <c r="AR47" s="1" t="str">
        <f>INDEX(IOS!$B:$B,MATCH(D47,IOS!A:A,0))&amp;B47</f>
        <v>I.U.5</v>
      </c>
      <c r="AS47" s="1">
        <f t="shared" si="6"/>
        <v>0</v>
      </c>
      <c r="AT47" s="1" t="str">
        <f>IF(ISBLANK(W47),"",IF(ISERROR(MATCH(W47,HQLATABLE!$A:$A,0)),0,1))</f>
        <v/>
      </c>
      <c r="AU47" s="1" t="str">
        <f t="shared" si="7"/>
        <v>Blank</v>
      </c>
      <c r="AV47" s="1" t="str">
        <f t="shared" si="8"/>
        <v>Blank</v>
      </c>
      <c r="AW47" s="1">
        <f t="shared" si="9"/>
        <v>0</v>
      </c>
      <c r="AX47" s="1" t="str">
        <f t="shared" si="10"/>
        <v>Blank</v>
      </c>
      <c r="AY47" s="1"/>
      <c r="AZ47" s="1">
        <f>IF(COUNTIFS('PID CHECK'!$B:$B,AR47)=1,0,IF(COUNTIFS(AR$1:AR46,AR47)=1,0,1))</f>
        <v>0</v>
      </c>
      <c r="BA47" s="1"/>
      <c r="BB47" s="1"/>
    </row>
    <row r="48" spans="1:54">
      <c r="A48">
        <v>47</v>
      </c>
      <c r="B48" t="s">
        <v>82</v>
      </c>
      <c r="C48" t="s">
        <v>83</v>
      </c>
      <c r="D48" t="s">
        <v>66</v>
      </c>
      <c r="E48" t="s">
        <v>47</v>
      </c>
      <c r="F48" t="s">
        <v>50</v>
      </c>
      <c r="H48" t="s">
        <v>1021</v>
      </c>
      <c r="J48" t="s">
        <v>49</v>
      </c>
      <c r="K48" t="s">
        <v>50</v>
      </c>
      <c r="L48" t="s">
        <v>762</v>
      </c>
      <c r="M48" t="s">
        <v>762</v>
      </c>
      <c r="N48">
        <v>0.05</v>
      </c>
      <c r="R48" t="s">
        <v>1022</v>
      </c>
      <c r="S48" t="s">
        <v>1022</v>
      </c>
      <c r="Z48" t="s">
        <v>84</v>
      </c>
      <c r="AE48" t="s">
        <v>50</v>
      </c>
      <c r="AH48">
        <v>3</v>
      </c>
      <c r="AM48">
        <v>43465</v>
      </c>
      <c r="AN48">
        <v>43469.451388888891</v>
      </c>
      <c r="AO48" s="2">
        <f t="shared" si="3"/>
        <v>60</v>
      </c>
      <c r="AP48" s="2">
        <f t="shared" si="4"/>
        <v>60</v>
      </c>
      <c r="AQ48" s="3">
        <f t="shared" si="5"/>
        <v>0</v>
      </c>
      <c r="AR48" s="1" t="str">
        <f>INDEX(IOS!$B:$B,MATCH(D48,IOS!A:A,0))&amp;B48</f>
        <v>I.U.5</v>
      </c>
      <c r="AS48" s="1">
        <f t="shared" si="6"/>
        <v>0</v>
      </c>
      <c r="AT48" s="1" t="str">
        <f>IF(ISBLANK(W48),"",IF(ISERROR(MATCH(W48,HQLATABLE!$A:$A,0)),0,1))</f>
        <v/>
      </c>
      <c r="AU48" s="1" t="str">
        <f t="shared" si="7"/>
        <v>Blank</v>
      </c>
      <c r="AV48" s="1" t="str">
        <f t="shared" si="8"/>
        <v>Blank</v>
      </c>
      <c r="AW48" s="1">
        <f t="shared" si="9"/>
        <v>0</v>
      </c>
      <c r="AX48" s="1" t="str">
        <f t="shared" si="10"/>
        <v>Blank</v>
      </c>
      <c r="AY48" s="1"/>
      <c r="AZ48" s="1">
        <f>IF(COUNTIFS('PID CHECK'!$B:$B,AR48)=1,0,IF(COUNTIFS(AR$1:AR47,AR48)=1,0,1))</f>
        <v>0</v>
      </c>
      <c r="BA48" s="1"/>
      <c r="BB48" s="1"/>
    </row>
    <row r="49" spans="1:54">
      <c r="A49">
        <v>48</v>
      </c>
      <c r="B49" t="s">
        <v>82</v>
      </c>
      <c r="C49" t="s">
        <v>83</v>
      </c>
      <c r="D49" t="s">
        <v>66</v>
      </c>
      <c r="E49" t="s">
        <v>47</v>
      </c>
      <c r="F49" t="s">
        <v>50</v>
      </c>
      <c r="H49" t="s">
        <v>94</v>
      </c>
      <c r="J49" t="s">
        <v>49</v>
      </c>
      <c r="K49" t="s">
        <v>50</v>
      </c>
      <c r="L49" t="s">
        <v>762</v>
      </c>
      <c r="M49" t="s">
        <v>762</v>
      </c>
      <c r="N49">
        <v>5.73</v>
      </c>
      <c r="R49" t="s">
        <v>95</v>
      </c>
      <c r="S49" t="s">
        <v>96</v>
      </c>
      <c r="Z49" t="s">
        <v>84</v>
      </c>
      <c r="AE49" t="s">
        <v>50</v>
      </c>
      <c r="AH49">
        <v>3</v>
      </c>
      <c r="AM49">
        <v>43465</v>
      </c>
      <c r="AN49">
        <v>43469.451388888891</v>
      </c>
      <c r="AO49" s="2">
        <f t="shared" si="3"/>
        <v>61</v>
      </c>
      <c r="AP49" s="2">
        <f t="shared" si="4"/>
        <v>67</v>
      </c>
      <c r="AQ49" s="3">
        <f t="shared" si="5"/>
        <v>0</v>
      </c>
      <c r="AR49" s="1" t="str">
        <f>INDEX(IOS!$B:$B,MATCH(D49,IOS!A:A,0))&amp;B49</f>
        <v>I.U.5</v>
      </c>
      <c r="AS49" s="1">
        <f t="shared" si="6"/>
        <v>0</v>
      </c>
      <c r="AT49" s="1" t="str">
        <f>IF(ISBLANK(W49),"",IF(ISERROR(MATCH(W49,HQLATABLE!$A:$A,0)),0,1))</f>
        <v/>
      </c>
      <c r="AU49" s="1" t="str">
        <f t="shared" si="7"/>
        <v>Blank</v>
      </c>
      <c r="AV49" s="1" t="str">
        <f t="shared" si="8"/>
        <v>Blank</v>
      </c>
      <c r="AW49" s="1">
        <f t="shared" si="9"/>
        <v>0</v>
      </c>
      <c r="AX49" s="1" t="str">
        <f t="shared" si="10"/>
        <v>Blank</v>
      </c>
      <c r="AY49" s="1"/>
      <c r="AZ49" s="1">
        <f>IF(COUNTIFS('PID CHECK'!$B:$B,AR49)=1,0,IF(COUNTIFS(AR$1:AR48,AR49)=1,0,1))</f>
        <v>0</v>
      </c>
      <c r="BA49" s="1"/>
      <c r="BB49" s="1"/>
    </row>
    <row r="50" spans="1:54">
      <c r="A50">
        <v>49</v>
      </c>
      <c r="B50" t="s">
        <v>82</v>
      </c>
      <c r="C50" t="s">
        <v>83</v>
      </c>
      <c r="D50" t="s">
        <v>66</v>
      </c>
      <c r="E50" t="s">
        <v>47</v>
      </c>
      <c r="F50" t="s">
        <v>50</v>
      </c>
      <c r="H50" t="s">
        <v>97</v>
      </c>
      <c r="J50" t="s">
        <v>49</v>
      </c>
      <c r="K50" t="s">
        <v>50</v>
      </c>
      <c r="L50" t="s">
        <v>762</v>
      </c>
      <c r="M50" t="s">
        <v>762</v>
      </c>
      <c r="N50">
        <v>0.84</v>
      </c>
      <c r="R50" t="s">
        <v>98</v>
      </c>
      <c r="S50" t="s">
        <v>99</v>
      </c>
      <c r="Z50" t="s">
        <v>84</v>
      </c>
      <c r="AE50" t="s">
        <v>50</v>
      </c>
      <c r="AH50">
        <v>3</v>
      </c>
      <c r="AM50">
        <v>43465</v>
      </c>
      <c r="AN50">
        <v>43469.451388888891</v>
      </c>
      <c r="AO50" s="2">
        <f t="shared" si="3"/>
        <v>68</v>
      </c>
      <c r="AP50" s="2">
        <f t="shared" si="4"/>
        <v>74</v>
      </c>
      <c r="AQ50" s="3">
        <f t="shared" si="5"/>
        <v>0</v>
      </c>
      <c r="AR50" s="1" t="str">
        <f>INDEX(IOS!$B:$B,MATCH(D50,IOS!A:A,0))&amp;B50</f>
        <v>I.U.5</v>
      </c>
      <c r="AS50" s="1">
        <f t="shared" si="6"/>
        <v>0</v>
      </c>
      <c r="AT50" s="1" t="str">
        <f>IF(ISBLANK(W50),"",IF(ISERROR(MATCH(W50,HQLATABLE!$A:$A,0)),0,1))</f>
        <v/>
      </c>
      <c r="AU50" s="1" t="str">
        <f t="shared" si="7"/>
        <v>Blank</v>
      </c>
      <c r="AV50" s="1" t="str">
        <f t="shared" si="8"/>
        <v>Blank</v>
      </c>
      <c r="AW50" s="1">
        <f t="shared" si="9"/>
        <v>0</v>
      </c>
      <c r="AX50" s="1" t="str">
        <f t="shared" si="10"/>
        <v>Blank</v>
      </c>
      <c r="AY50" s="1"/>
      <c r="AZ50" s="1">
        <f>IF(COUNTIFS('PID CHECK'!$B:$B,AR50)=1,0,IF(COUNTIFS(AR$1:AR49,AR50)=1,0,1))</f>
        <v>0</v>
      </c>
      <c r="BA50" s="1"/>
      <c r="BB50" s="1"/>
    </row>
    <row r="51" spans="1:54">
      <c r="A51">
        <v>50</v>
      </c>
      <c r="B51" t="s">
        <v>82</v>
      </c>
      <c r="C51" t="s">
        <v>83</v>
      </c>
      <c r="D51" t="s">
        <v>66</v>
      </c>
      <c r="E51" t="s">
        <v>47</v>
      </c>
      <c r="F51" t="s">
        <v>50</v>
      </c>
      <c r="H51" t="s">
        <v>100</v>
      </c>
      <c r="J51" t="s">
        <v>49</v>
      </c>
      <c r="K51" t="s">
        <v>50</v>
      </c>
      <c r="L51" t="s">
        <v>762</v>
      </c>
      <c r="M51" t="s">
        <v>762</v>
      </c>
      <c r="N51">
        <v>2.1</v>
      </c>
      <c r="R51" t="s">
        <v>101</v>
      </c>
      <c r="S51" t="s">
        <v>102</v>
      </c>
      <c r="Z51" t="s">
        <v>84</v>
      </c>
      <c r="AE51" t="s">
        <v>50</v>
      </c>
      <c r="AH51">
        <v>3</v>
      </c>
      <c r="AM51">
        <v>43465</v>
      </c>
      <c r="AN51">
        <v>43469.451388888891</v>
      </c>
      <c r="AO51" s="2">
        <f t="shared" si="3"/>
        <v>75</v>
      </c>
      <c r="AP51" s="2">
        <f t="shared" si="4"/>
        <v>82</v>
      </c>
      <c r="AQ51" s="3">
        <f t="shared" si="5"/>
        <v>0</v>
      </c>
      <c r="AR51" s="1" t="str">
        <f>INDEX(IOS!$B:$B,MATCH(D51,IOS!A:A,0))&amp;B51</f>
        <v>I.U.5</v>
      </c>
      <c r="AS51" s="1">
        <f t="shared" si="6"/>
        <v>0</v>
      </c>
      <c r="AT51" s="1" t="str">
        <f>IF(ISBLANK(W51),"",IF(ISERROR(MATCH(W51,HQLATABLE!$A:$A,0)),0,1))</f>
        <v/>
      </c>
      <c r="AU51" s="1" t="str">
        <f t="shared" si="7"/>
        <v>Blank</v>
      </c>
      <c r="AV51" s="1" t="str">
        <f t="shared" si="8"/>
        <v>Blank</v>
      </c>
      <c r="AW51" s="1">
        <f t="shared" si="9"/>
        <v>0</v>
      </c>
      <c r="AX51" s="1" t="str">
        <f t="shared" si="10"/>
        <v>Blank</v>
      </c>
      <c r="AY51" s="1"/>
      <c r="AZ51" s="1">
        <f>IF(COUNTIFS('PID CHECK'!$B:$B,AR51)=1,0,IF(COUNTIFS(AR$1:AR50,AR51)=1,0,1))</f>
        <v>0</v>
      </c>
      <c r="BA51" s="1"/>
      <c r="BB51" s="1"/>
    </row>
    <row r="52" spans="1:54">
      <c r="A52">
        <v>51</v>
      </c>
      <c r="B52" t="s">
        <v>82</v>
      </c>
      <c r="C52" t="s">
        <v>83</v>
      </c>
      <c r="D52" t="s">
        <v>66</v>
      </c>
      <c r="E52" t="s">
        <v>47</v>
      </c>
      <c r="F52" t="s">
        <v>50</v>
      </c>
      <c r="H52" t="s">
        <v>103</v>
      </c>
      <c r="J52" t="s">
        <v>49</v>
      </c>
      <c r="K52" t="s">
        <v>50</v>
      </c>
      <c r="L52" t="s">
        <v>762</v>
      </c>
      <c r="M52" t="s">
        <v>762</v>
      </c>
      <c r="N52">
        <v>0.11</v>
      </c>
      <c r="R52" t="s">
        <v>104</v>
      </c>
      <c r="S52" t="s">
        <v>104</v>
      </c>
      <c r="Z52" t="s">
        <v>84</v>
      </c>
      <c r="AE52" t="s">
        <v>50</v>
      </c>
      <c r="AH52">
        <v>3</v>
      </c>
      <c r="AM52">
        <v>43465</v>
      </c>
      <c r="AN52">
        <v>43469.451388888891</v>
      </c>
      <c r="AO52" s="2">
        <f t="shared" si="3"/>
        <v>7</v>
      </c>
      <c r="AP52" s="2">
        <f t="shared" si="4"/>
        <v>7</v>
      </c>
      <c r="AQ52" s="3">
        <f t="shared" si="5"/>
        <v>1</v>
      </c>
      <c r="AR52" s="1" t="str">
        <f>INDEX(IOS!$B:$B,MATCH(D52,IOS!A:A,0))&amp;B52</f>
        <v>I.U.5</v>
      </c>
      <c r="AS52" s="1">
        <f t="shared" si="6"/>
        <v>0</v>
      </c>
      <c r="AT52" s="1" t="str">
        <f>IF(ISBLANK(W52),"",IF(ISERROR(MATCH(W52,HQLATABLE!$A:$A,0)),0,1))</f>
        <v/>
      </c>
      <c r="AU52" s="1" t="str">
        <f t="shared" si="7"/>
        <v>Blank</v>
      </c>
      <c r="AV52" s="1" t="str">
        <f t="shared" si="8"/>
        <v>Blank</v>
      </c>
      <c r="AW52" s="1">
        <f t="shared" si="9"/>
        <v>0</v>
      </c>
      <c r="AX52" s="1" t="str">
        <f t="shared" si="10"/>
        <v>Blank</v>
      </c>
      <c r="AY52" s="1"/>
      <c r="AZ52" s="1">
        <f>IF(COUNTIFS('PID CHECK'!$B:$B,AR52)=1,0,IF(COUNTIFS(AR$1:AR51,AR52)=1,0,1))</f>
        <v>0</v>
      </c>
      <c r="BA52" s="1"/>
      <c r="BB52" s="1"/>
    </row>
    <row r="53" spans="1:54">
      <c r="A53">
        <v>52</v>
      </c>
      <c r="B53" t="s">
        <v>82</v>
      </c>
      <c r="C53" t="s">
        <v>83</v>
      </c>
      <c r="D53" t="s">
        <v>66</v>
      </c>
      <c r="E53" t="s">
        <v>47</v>
      </c>
      <c r="F53" t="s">
        <v>50</v>
      </c>
      <c r="H53" t="s">
        <v>105</v>
      </c>
      <c r="J53" t="s">
        <v>49</v>
      </c>
      <c r="K53" t="s">
        <v>50</v>
      </c>
      <c r="L53" t="s">
        <v>762</v>
      </c>
      <c r="M53" t="s">
        <v>762</v>
      </c>
      <c r="N53">
        <v>0.19</v>
      </c>
      <c r="R53" t="s">
        <v>106</v>
      </c>
      <c r="S53" t="s">
        <v>107</v>
      </c>
      <c r="Z53" t="s">
        <v>84</v>
      </c>
      <c r="AE53" t="s">
        <v>50</v>
      </c>
      <c r="AH53">
        <v>3</v>
      </c>
      <c r="AM53">
        <v>43465</v>
      </c>
      <c r="AN53">
        <v>43469.451388888891</v>
      </c>
      <c r="AO53" s="2">
        <f t="shared" si="3"/>
        <v>83</v>
      </c>
      <c r="AP53" s="2">
        <f t="shared" si="4"/>
        <v>90</v>
      </c>
      <c r="AQ53" s="3">
        <f t="shared" si="5"/>
        <v>0</v>
      </c>
      <c r="AR53" s="1" t="str">
        <f>INDEX(IOS!$B:$B,MATCH(D53,IOS!A:A,0))&amp;B53</f>
        <v>I.U.5</v>
      </c>
      <c r="AS53" s="1">
        <f t="shared" si="6"/>
        <v>0</v>
      </c>
      <c r="AT53" s="1" t="str">
        <f>IF(ISBLANK(W53),"",IF(ISERROR(MATCH(W53,HQLATABLE!$A:$A,0)),0,1))</f>
        <v/>
      </c>
      <c r="AU53" s="1" t="str">
        <f t="shared" si="7"/>
        <v>Blank</v>
      </c>
      <c r="AV53" s="1" t="str">
        <f t="shared" si="8"/>
        <v>Blank</v>
      </c>
      <c r="AW53" s="1">
        <f t="shared" si="9"/>
        <v>0</v>
      </c>
      <c r="AX53" s="1" t="str">
        <f t="shared" si="10"/>
        <v>Blank</v>
      </c>
      <c r="AY53" s="1"/>
      <c r="AZ53" s="1">
        <f>IF(COUNTIFS('PID CHECK'!$B:$B,AR53)=1,0,IF(COUNTIFS(AR$1:AR52,AR53)=1,0,1))</f>
        <v>0</v>
      </c>
      <c r="BA53" s="1"/>
      <c r="BB53" s="1"/>
    </row>
    <row r="54" spans="1:54">
      <c r="A54">
        <v>53</v>
      </c>
      <c r="B54" t="s">
        <v>82</v>
      </c>
      <c r="C54" t="s">
        <v>83</v>
      </c>
      <c r="D54" t="s">
        <v>66</v>
      </c>
      <c r="E54" t="s">
        <v>47</v>
      </c>
      <c r="F54" t="s">
        <v>50</v>
      </c>
      <c r="H54" t="s">
        <v>108</v>
      </c>
      <c r="J54" t="s">
        <v>49</v>
      </c>
      <c r="K54" t="s">
        <v>50</v>
      </c>
      <c r="L54" t="s">
        <v>762</v>
      </c>
      <c r="M54" t="s">
        <v>762</v>
      </c>
      <c r="N54">
        <v>93.7</v>
      </c>
      <c r="R54" t="s">
        <v>109</v>
      </c>
      <c r="S54" t="s">
        <v>110</v>
      </c>
      <c r="Z54" t="s">
        <v>84</v>
      </c>
      <c r="AE54" t="s">
        <v>50</v>
      </c>
      <c r="AH54">
        <v>3</v>
      </c>
      <c r="AM54">
        <v>43465</v>
      </c>
      <c r="AN54">
        <v>43469.451388888891</v>
      </c>
      <c r="AO54" s="2">
        <f t="shared" si="3"/>
        <v>91</v>
      </c>
      <c r="AP54" s="2">
        <f t="shared" si="4"/>
        <v>120</v>
      </c>
      <c r="AQ54" s="3">
        <f t="shared" si="5"/>
        <v>0</v>
      </c>
      <c r="AR54" s="1" t="str">
        <f>INDEX(IOS!$B:$B,MATCH(D54,IOS!A:A,0))&amp;B54</f>
        <v>I.U.5</v>
      </c>
      <c r="AS54" s="1">
        <f t="shared" si="6"/>
        <v>0</v>
      </c>
      <c r="AT54" s="1" t="str">
        <f>IF(ISBLANK(W54),"",IF(ISERROR(MATCH(W54,HQLATABLE!$A:$A,0)),0,1))</f>
        <v/>
      </c>
      <c r="AU54" s="1" t="str">
        <f t="shared" si="7"/>
        <v>Blank</v>
      </c>
      <c r="AV54" s="1" t="str">
        <f t="shared" si="8"/>
        <v>Blank</v>
      </c>
      <c r="AW54" s="1">
        <f t="shared" si="9"/>
        <v>0</v>
      </c>
      <c r="AX54" s="1" t="str">
        <f t="shared" si="10"/>
        <v>Blank</v>
      </c>
      <c r="AY54" s="1"/>
      <c r="AZ54" s="1">
        <f>IF(COUNTIFS('PID CHECK'!$B:$B,AR54)=1,0,IF(COUNTIFS(AR$1:AR53,AR54)=1,0,1))</f>
        <v>0</v>
      </c>
      <c r="BA54" s="1"/>
      <c r="BB54" s="1"/>
    </row>
    <row r="55" spans="1:54">
      <c r="A55">
        <v>54</v>
      </c>
      <c r="B55" t="s">
        <v>82</v>
      </c>
      <c r="C55" t="s">
        <v>83</v>
      </c>
      <c r="D55" t="s">
        <v>66</v>
      </c>
      <c r="E55" t="s">
        <v>47</v>
      </c>
      <c r="F55" t="s">
        <v>50</v>
      </c>
      <c r="H55" t="s">
        <v>1044</v>
      </c>
      <c r="J55" t="s">
        <v>49</v>
      </c>
      <c r="K55" t="s">
        <v>50</v>
      </c>
      <c r="L55" t="s">
        <v>762</v>
      </c>
      <c r="M55" t="s">
        <v>762</v>
      </c>
      <c r="N55">
        <v>0.01</v>
      </c>
      <c r="R55" t="s">
        <v>1045</v>
      </c>
      <c r="S55" t="s">
        <v>1045</v>
      </c>
      <c r="Z55" t="s">
        <v>84</v>
      </c>
      <c r="AE55" t="s">
        <v>50</v>
      </c>
      <c r="AH55">
        <v>3</v>
      </c>
      <c r="AM55">
        <v>43465</v>
      </c>
      <c r="AN55">
        <v>43469.451388888891</v>
      </c>
      <c r="AO55" s="2">
        <f t="shared" si="3"/>
        <v>9</v>
      </c>
      <c r="AP55" s="2">
        <f t="shared" si="4"/>
        <v>9</v>
      </c>
      <c r="AQ55" s="3">
        <f t="shared" si="5"/>
        <v>1</v>
      </c>
      <c r="AR55" s="1" t="str">
        <f>INDEX(IOS!$B:$B,MATCH(D55,IOS!A:A,0))&amp;B55</f>
        <v>I.U.5</v>
      </c>
      <c r="AS55" s="1">
        <f t="shared" si="6"/>
        <v>0</v>
      </c>
      <c r="AT55" s="1" t="str">
        <f>IF(ISBLANK(W55),"",IF(ISERROR(MATCH(W55,HQLATABLE!$A:$A,0)),0,1))</f>
        <v/>
      </c>
      <c r="AU55" s="1" t="str">
        <f t="shared" si="7"/>
        <v>Blank</v>
      </c>
      <c r="AV55" s="1" t="str">
        <f t="shared" si="8"/>
        <v>Blank</v>
      </c>
      <c r="AW55" s="1">
        <f t="shared" si="9"/>
        <v>0</v>
      </c>
      <c r="AX55" s="1" t="str">
        <f t="shared" si="10"/>
        <v>Blank</v>
      </c>
      <c r="AY55" s="1"/>
      <c r="AZ55" s="1">
        <f>IF(COUNTIFS('PID CHECK'!$B:$B,AR55)=1,0,IF(COUNTIFS(AR$1:AR54,AR55)=1,0,1))</f>
        <v>0</v>
      </c>
      <c r="BA55" s="1"/>
      <c r="BB55" s="1"/>
    </row>
    <row r="56" spans="1:54">
      <c r="A56">
        <v>55</v>
      </c>
      <c r="B56" t="s">
        <v>111</v>
      </c>
      <c r="C56" t="s">
        <v>112</v>
      </c>
      <c r="D56" t="s">
        <v>66</v>
      </c>
      <c r="E56" t="s">
        <v>47</v>
      </c>
      <c r="F56" t="s">
        <v>50</v>
      </c>
      <c r="H56" t="s">
        <v>77</v>
      </c>
      <c r="J56" t="s">
        <v>49</v>
      </c>
      <c r="K56" t="s">
        <v>50</v>
      </c>
      <c r="L56" t="s">
        <v>762</v>
      </c>
      <c r="M56" t="s">
        <v>762</v>
      </c>
      <c r="N56">
        <v>5205.32</v>
      </c>
      <c r="R56" t="s">
        <v>77</v>
      </c>
      <c r="S56" t="s">
        <v>762</v>
      </c>
      <c r="Z56" t="s">
        <v>84</v>
      </c>
      <c r="AE56" t="s">
        <v>50</v>
      </c>
      <c r="AH56">
        <v>3</v>
      </c>
      <c r="AM56">
        <v>43465</v>
      </c>
      <c r="AN56">
        <v>43469.451388888891</v>
      </c>
      <c r="AO56" s="2">
        <f t="shared" si="3"/>
        <v>1827</v>
      </c>
      <c r="AP56" s="2">
        <f t="shared" si="4"/>
        <v>99999</v>
      </c>
      <c r="AQ56" s="3">
        <f t="shared" si="5"/>
        <v>0</v>
      </c>
      <c r="AR56" s="1" t="str">
        <f>INDEX(IOS!$B:$B,MATCH(D56,IOS!A:A,0))&amp;B56</f>
        <v>I.U.6</v>
      </c>
      <c r="AS56" s="1">
        <f t="shared" si="6"/>
        <v>0</v>
      </c>
      <c r="AT56" s="1" t="str">
        <f>IF(ISBLANK(W56),"",IF(ISERROR(MATCH(W56,HQLATABLE!$A:$A,0)),0,1))</f>
        <v/>
      </c>
      <c r="AU56" s="1" t="str">
        <f t="shared" si="7"/>
        <v>Blank</v>
      </c>
      <c r="AV56" s="1" t="str">
        <f t="shared" si="8"/>
        <v>Blank</v>
      </c>
      <c r="AW56" s="1">
        <f t="shared" si="9"/>
        <v>0</v>
      </c>
      <c r="AX56" s="1" t="str">
        <f t="shared" si="10"/>
        <v>Blank</v>
      </c>
      <c r="AY56" s="1"/>
      <c r="AZ56" s="1">
        <f>IF(COUNTIFS('PID CHECK'!$B:$B,AR56)=1,0,IF(COUNTIFS(AR$1:AR55,AR56)=1,0,1))</f>
        <v>0</v>
      </c>
      <c r="BA56" s="1"/>
      <c r="BB56" s="1"/>
    </row>
    <row r="57" spans="1:54">
      <c r="A57">
        <v>56</v>
      </c>
      <c r="B57" t="s">
        <v>111</v>
      </c>
      <c r="C57" t="s">
        <v>112</v>
      </c>
      <c r="D57" t="s">
        <v>66</v>
      </c>
      <c r="E57" t="s">
        <v>47</v>
      </c>
      <c r="F57" t="s">
        <v>50</v>
      </c>
      <c r="H57" t="s">
        <v>1026</v>
      </c>
      <c r="J57" t="s">
        <v>49</v>
      </c>
      <c r="K57" t="s">
        <v>50</v>
      </c>
      <c r="L57" t="s">
        <v>762</v>
      </c>
      <c r="M57" t="s">
        <v>762</v>
      </c>
      <c r="N57">
        <v>85.41</v>
      </c>
      <c r="R57" t="s">
        <v>1027</v>
      </c>
      <c r="S57" t="s">
        <v>1027</v>
      </c>
      <c r="Z57" t="s">
        <v>84</v>
      </c>
      <c r="AE57" t="s">
        <v>50</v>
      </c>
      <c r="AH57">
        <v>3</v>
      </c>
      <c r="AM57">
        <v>43465</v>
      </c>
      <c r="AN57">
        <v>43469.451388888891</v>
      </c>
      <c r="AO57" s="2">
        <f t="shared" si="3"/>
        <v>30</v>
      </c>
      <c r="AP57" s="2">
        <f t="shared" si="4"/>
        <v>30</v>
      </c>
      <c r="AQ57" s="3">
        <f t="shared" si="5"/>
        <v>1</v>
      </c>
      <c r="AR57" s="1" t="str">
        <f>INDEX(IOS!$B:$B,MATCH(D57,IOS!A:A,0))&amp;B57</f>
        <v>I.U.6</v>
      </c>
      <c r="AS57" s="1">
        <f t="shared" si="6"/>
        <v>0</v>
      </c>
      <c r="AT57" s="1" t="str">
        <f>IF(ISBLANK(W57),"",IF(ISERROR(MATCH(W57,HQLATABLE!$A:$A,0)),0,1))</f>
        <v/>
      </c>
      <c r="AU57" s="1" t="str">
        <f t="shared" si="7"/>
        <v>Blank</v>
      </c>
      <c r="AV57" s="1" t="str">
        <f t="shared" si="8"/>
        <v>Blank</v>
      </c>
      <c r="AW57" s="1">
        <f t="shared" si="9"/>
        <v>0</v>
      </c>
      <c r="AX57" s="1" t="str">
        <f t="shared" si="10"/>
        <v>Blank</v>
      </c>
      <c r="AY57" s="1"/>
      <c r="AZ57" s="1">
        <f>IF(COUNTIFS('PID CHECK'!$B:$B,AR57)=1,0,IF(COUNTIFS(AR$1:AR56,AR57)=1,0,1))</f>
        <v>0</v>
      </c>
      <c r="BA57" s="1"/>
      <c r="BB57" s="1"/>
    </row>
    <row r="58" spans="1:54">
      <c r="A58">
        <v>57</v>
      </c>
      <c r="B58" t="s">
        <v>82</v>
      </c>
      <c r="C58" t="s">
        <v>83</v>
      </c>
      <c r="D58" t="s">
        <v>66</v>
      </c>
      <c r="E58" t="s">
        <v>47</v>
      </c>
      <c r="F58" t="s">
        <v>50</v>
      </c>
      <c r="H58" t="s">
        <v>87</v>
      </c>
      <c r="J58" t="s">
        <v>49</v>
      </c>
      <c r="K58" t="s">
        <v>53</v>
      </c>
      <c r="L58" t="s">
        <v>762</v>
      </c>
      <c r="M58" t="s">
        <v>762</v>
      </c>
      <c r="N58">
        <v>1</v>
      </c>
      <c r="R58" t="s">
        <v>88</v>
      </c>
      <c r="S58" t="s">
        <v>89</v>
      </c>
      <c r="Z58" t="s">
        <v>84</v>
      </c>
      <c r="AE58" t="s">
        <v>50</v>
      </c>
      <c r="AH58">
        <v>3</v>
      </c>
      <c r="AM58">
        <v>43465</v>
      </c>
      <c r="AN58">
        <v>43469.451388888891</v>
      </c>
      <c r="AO58" s="2">
        <f t="shared" si="3"/>
        <v>181</v>
      </c>
      <c r="AP58" s="2">
        <f t="shared" si="4"/>
        <v>270</v>
      </c>
      <c r="AQ58" s="3">
        <f t="shared" si="5"/>
        <v>0</v>
      </c>
      <c r="AR58" s="1" t="str">
        <f>INDEX(IOS!$B:$B,MATCH(D58,IOS!A:A,0))&amp;B58</f>
        <v>I.U.5</v>
      </c>
      <c r="AS58" s="1">
        <f t="shared" si="6"/>
        <v>0</v>
      </c>
      <c r="AT58" s="1" t="str">
        <f>IF(ISBLANK(W58),"",IF(ISERROR(MATCH(W58,HQLATABLE!$A:$A,0)),0,1))</f>
        <v/>
      </c>
      <c r="AU58" s="1" t="str">
        <f t="shared" si="7"/>
        <v>Blank</v>
      </c>
      <c r="AV58" s="1" t="str">
        <f t="shared" si="8"/>
        <v>Blank</v>
      </c>
      <c r="AW58" s="1">
        <f t="shared" si="9"/>
        <v>0</v>
      </c>
      <c r="AX58" s="1" t="str">
        <f t="shared" si="10"/>
        <v>Blank</v>
      </c>
      <c r="AY58" s="1"/>
      <c r="AZ58" s="1">
        <f>IF(COUNTIFS('PID CHECK'!$B:$B,AR58)=1,0,IF(COUNTIFS(AR$1:AR57,AR58)=1,0,1))</f>
        <v>0</v>
      </c>
      <c r="BA58" s="1"/>
      <c r="BB58" s="1"/>
    </row>
    <row r="59" spans="1:54">
      <c r="A59">
        <v>58</v>
      </c>
      <c r="B59" t="s">
        <v>82</v>
      </c>
      <c r="C59" t="s">
        <v>83</v>
      </c>
      <c r="D59" t="s">
        <v>66</v>
      </c>
      <c r="E59" t="s">
        <v>47</v>
      </c>
      <c r="F59" t="s">
        <v>50</v>
      </c>
      <c r="H59" t="s">
        <v>77</v>
      </c>
      <c r="J59" t="s">
        <v>49</v>
      </c>
      <c r="K59" t="s">
        <v>53</v>
      </c>
      <c r="L59" t="s">
        <v>762</v>
      </c>
      <c r="M59" t="s">
        <v>762</v>
      </c>
      <c r="N59">
        <v>2.4</v>
      </c>
      <c r="R59" t="s">
        <v>77</v>
      </c>
      <c r="S59" t="s">
        <v>762</v>
      </c>
      <c r="Z59" t="s">
        <v>84</v>
      </c>
      <c r="AE59" t="s">
        <v>50</v>
      </c>
      <c r="AH59">
        <v>3</v>
      </c>
      <c r="AM59">
        <v>43465</v>
      </c>
      <c r="AN59">
        <v>43469.451388888891</v>
      </c>
      <c r="AO59" s="2">
        <f t="shared" si="3"/>
        <v>1827</v>
      </c>
      <c r="AP59" s="2">
        <f t="shared" si="4"/>
        <v>99999</v>
      </c>
      <c r="AQ59" s="3">
        <f t="shared" si="5"/>
        <v>0</v>
      </c>
      <c r="AR59" s="1" t="str">
        <f>INDEX(IOS!$B:$B,MATCH(D59,IOS!A:A,0))&amp;B59</f>
        <v>I.U.5</v>
      </c>
      <c r="AS59" s="1">
        <f t="shared" si="6"/>
        <v>0</v>
      </c>
      <c r="AT59" s="1" t="str">
        <f>IF(ISBLANK(W59),"",IF(ISERROR(MATCH(W59,HQLATABLE!$A:$A,0)),0,1))</f>
        <v/>
      </c>
      <c r="AU59" s="1" t="str">
        <f t="shared" si="7"/>
        <v>Blank</v>
      </c>
      <c r="AV59" s="1" t="str">
        <f t="shared" si="8"/>
        <v>Blank</v>
      </c>
      <c r="AW59" s="1">
        <f t="shared" si="9"/>
        <v>0</v>
      </c>
      <c r="AX59" s="1" t="str">
        <f t="shared" si="10"/>
        <v>Blank</v>
      </c>
      <c r="AY59" s="1"/>
      <c r="AZ59" s="1">
        <f>IF(COUNTIFS('PID CHECK'!$B:$B,AR59)=1,0,IF(COUNTIFS(AR$1:AR58,AR59)=1,0,1))</f>
        <v>0</v>
      </c>
      <c r="BA59" s="1"/>
      <c r="BB59" s="1"/>
    </row>
    <row r="60" spans="1:54">
      <c r="A60">
        <v>59</v>
      </c>
      <c r="B60" t="s">
        <v>82</v>
      </c>
      <c r="C60" t="s">
        <v>83</v>
      </c>
      <c r="D60" t="s">
        <v>66</v>
      </c>
      <c r="E60" t="s">
        <v>47</v>
      </c>
      <c r="F60" t="s">
        <v>50</v>
      </c>
      <c r="H60" t="s">
        <v>1046</v>
      </c>
      <c r="J60" t="s">
        <v>49</v>
      </c>
      <c r="K60" t="s">
        <v>53</v>
      </c>
      <c r="L60" t="s">
        <v>762</v>
      </c>
      <c r="M60" t="s">
        <v>762</v>
      </c>
      <c r="N60">
        <v>0</v>
      </c>
      <c r="R60" t="s">
        <v>1047</v>
      </c>
      <c r="S60" t="s">
        <v>1047</v>
      </c>
      <c r="Z60" t="s">
        <v>84</v>
      </c>
      <c r="AE60" t="s">
        <v>50</v>
      </c>
      <c r="AH60">
        <v>3</v>
      </c>
      <c r="AM60">
        <v>43465</v>
      </c>
      <c r="AN60">
        <v>43469.451388888891</v>
      </c>
      <c r="AO60" s="2">
        <f t="shared" si="3"/>
        <v>29</v>
      </c>
      <c r="AP60" s="2">
        <f t="shared" si="4"/>
        <v>29</v>
      </c>
      <c r="AQ60" s="3">
        <f t="shared" si="5"/>
        <v>1</v>
      </c>
      <c r="AR60" s="1" t="str">
        <f>INDEX(IOS!$B:$B,MATCH(D60,IOS!A:A,0))&amp;B60</f>
        <v>I.U.5</v>
      </c>
      <c r="AS60" s="1">
        <f t="shared" si="6"/>
        <v>0</v>
      </c>
      <c r="AT60" s="1" t="str">
        <f>IF(ISBLANK(W60),"",IF(ISERROR(MATCH(W60,HQLATABLE!$A:$A,0)),0,1))</f>
        <v/>
      </c>
      <c r="AU60" s="1" t="str">
        <f t="shared" si="7"/>
        <v>Blank</v>
      </c>
      <c r="AV60" s="1" t="str">
        <f t="shared" si="8"/>
        <v>Blank</v>
      </c>
      <c r="AW60" s="1">
        <f t="shared" si="9"/>
        <v>0</v>
      </c>
      <c r="AX60" s="1" t="str">
        <f t="shared" si="10"/>
        <v>Blank</v>
      </c>
      <c r="AY60" s="1"/>
      <c r="AZ60" s="1">
        <f>IF(COUNTIFS('PID CHECK'!$B:$B,AR60)=1,0,IF(COUNTIFS(AR$1:AR59,AR60)=1,0,1))</f>
        <v>0</v>
      </c>
      <c r="BA60" s="1"/>
      <c r="BB60" s="1"/>
    </row>
    <row r="61" spans="1:54">
      <c r="A61">
        <v>60</v>
      </c>
      <c r="B61" t="s">
        <v>82</v>
      </c>
      <c r="C61" t="s">
        <v>83</v>
      </c>
      <c r="D61" t="s">
        <v>66</v>
      </c>
      <c r="E61" t="s">
        <v>47</v>
      </c>
      <c r="F61" t="s">
        <v>50</v>
      </c>
      <c r="H61" t="s">
        <v>1003</v>
      </c>
      <c r="J61" t="s">
        <v>49</v>
      </c>
      <c r="K61" t="s">
        <v>53</v>
      </c>
      <c r="L61" t="s">
        <v>762</v>
      </c>
      <c r="M61" t="s">
        <v>762</v>
      </c>
      <c r="N61">
        <v>0</v>
      </c>
      <c r="R61" t="s">
        <v>1004</v>
      </c>
      <c r="S61" t="s">
        <v>1004</v>
      </c>
      <c r="Z61" t="s">
        <v>84</v>
      </c>
      <c r="AE61" t="s">
        <v>50</v>
      </c>
      <c r="AH61">
        <v>3</v>
      </c>
      <c r="AM61">
        <v>43465</v>
      </c>
      <c r="AN61">
        <v>43469.451388888891</v>
      </c>
      <c r="AO61" s="2">
        <f t="shared" si="3"/>
        <v>31</v>
      </c>
      <c r="AP61" s="2">
        <f t="shared" si="4"/>
        <v>31</v>
      </c>
      <c r="AQ61" s="3">
        <f t="shared" si="5"/>
        <v>0</v>
      </c>
      <c r="AR61" s="1" t="str">
        <f>INDEX(IOS!$B:$B,MATCH(D61,IOS!A:A,0))&amp;B61</f>
        <v>I.U.5</v>
      </c>
      <c r="AS61" s="1">
        <f t="shared" si="6"/>
        <v>0</v>
      </c>
      <c r="AT61" s="1" t="str">
        <f>IF(ISBLANK(W61),"",IF(ISERROR(MATCH(W61,HQLATABLE!$A:$A,0)),0,1))</f>
        <v/>
      </c>
      <c r="AU61" s="1" t="str">
        <f t="shared" si="7"/>
        <v>Blank</v>
      </c>
      <c r="AV61" s="1" t="str">
        <f t="shared" si="8"/>
        <v>Blank</v>
      </c>
      <c r="AW61" s="1">
        <f t="shared" si="9"/>
        <v>0</v>
      </c>
      <c r="AX61" s="1" t="str">
        <f t="shared" si="10"/>
        <v>Blank</v>
      </c>
      <c r="AY61" s="1"/>
      <c r="AZ61" s="1">
        <f>IF(COUNTIFS('PID CHECK'!$B:$B,AR61)=1,0,IF(COUNTIFS(AR$1:AR60,AR61)=1,0,1))</f>
        <v>0</v>
      </c>
      <c r="BA61" s="1"/>
      <c r="BB61" s="1"/>
    </row>
    <row r="62" spans="1:54">
      <c r="A62">
        <v>61</v>
      </c>
      <c r="B62" t="s">
        <v>82</v>
      </c>
      <c r="C62" t="s">
        <v>83</v>
      </c>
      <c r="D62" t="s">
        <v>66</v>
      </c>
      <c r="E62" t="s">
        <v>47</v>
      </c>
      <c r="F62" t="s">
        <v>50</v>
      </c>
      <c r="H62" t="s">
        <v>1048</v>
      </c>
      <c r="J62" t="s">
        <v>49</v>
      </c>
      <c r="K62" t="s">
        <v>53</v>
      </c>
      <c r="L62" t="s">
        <v>762</v>
      </c>
      <c r="M62" t="s">
        <v>762</v>
      </c>
      <c r="N62">
        <v>0</v>
      </c>
      <c r="R62" t="s">
        <v>1049</v>
      </c>
      <c r="S62" t="s">
        <v>1049</v>
      </c>
      <c r="Z62" t="s">
        <v>84</v>
      </c>
      <c r="AE62" t="s">
        <v>50</v>
      </c>
      <c r="AH62">
        <v>3</v>
      </c>
      <c r="AM62">
        <v>43465</v>
      </c>
      <c r="AN62">
        <v>43469.451388888891</v>
      </c>
      <c r="AO62" s="2">
        <f t="shared" si="3"/>
        <v>57</v>
      </c>
      <c r="AP62" s="2">
        <f t="shared" si="4"/>
        <v>57</v>
      </c>
      <c r="AQ62" s="3">
        <f t="shared" si="5"/>
        <v>0</v>
      </c>
      <c r="AR62" s="1" t="str">
        <f>INDEX(IOS!$B:$B,MATCH(D62,IOS!A:A,0))&amp;B62</f>
        <v>I.U.5</v>
      </c>
      <c r="AS62" s="1">
        <f t="shared" si="6"/>
        <v>0</v>
      </c>
      <c r="AT62" s="1" t="str">
        <f>IF(ISBLANK(W62),"",IF(ISERROR(MATCH(W62,HQLATABLE!$A:$A,0)),0,1))</f>
        <v/>
      </c>
      <c r="AU62" s="1" t="str">
        <f t="shared" si="7"/>
        <v>Blank</v>
      </c>
      <c r="AV62" s="1" t="str">
        <f t="shared" si="8"/>
        <v>Blank</v>
      </c>
      <c r="AW62" s="1">
        <f t="shared" si="9"/>
        <v>0</v>
      </c>
      <c r="AX62" s="1" t="str">
        <f t="shared" si="10"/>
        <v>Blank</v>
      </c>
      <c r="AY62" s="1"/>
      <c r="AZ62" s="1">
        <f>IF(COUNTIFS('PID CHECK'!$B:$B,AR62)=1,0,IF(COUNTIFS(AR$1:AR61,AR62)=1,0,1))</f>
        <v>0</v>
      </c>
      <c r="BA62" s="1"/>
      <c r="BB62" s="1"/>
    </row>
    <row r="63" spans="1:54">
      <c r="A63">
        <v>62</v>
      </c>
      <c r="B63" t="s">
        <v>82</v>
      </c>
      <c r="C63" t="s">
        <v>83</v>
      </c>
      <c r="D63" t="s">
        <v>66</v>
      </c>
      <c r="E63" t="s">
        <v>47</v>
      </c>
      <c r="F63" t="s">
        <v>50</v>
      </c>
      <c r="H63" t="s">
        <v>77</v>
      </c>
      <c r="J63" t="s">
        <v>49</v>
      </c>
      <c r="K63" t="s">
        <v>50</v>
      </c>
      <c r="L63" t="s">
        <v>762</v>
      </c>
      <c r="M63" t="s">
        <v>762</v>
      </c>
      <c r="N63">
        <v>87.82</v>
      </c>
      <c r="R63" t="s">
        <v>77</v>
      </c>
      <c r="S63" t="s">
        <v>762</v>
      </c>
      <c r="Z63" t="s">
        <v>904</v>
      </c>
      <c r="AE63" t="s">
        <v>50</v>
      </c>
      <c r="AH63">
        <v>7</v>
      </c>
      <c r="AM63">
        <v>43465</v>
      </c>
      <c r="AN63">
        <v>43469.451388888891</v>
      </c>
      <c r="AO63" s="2">
        <f t="shared" si="3"/>
        <v>1827</v>
      </c>
      <c r="AP63" s="2">
        <f t="shared" si="4"/>
        <v>99999</v>
      </c>
      <c r="AQ63" s="3">
        <f t="shared" si="5"/>
        <v>0</v>
      </c>
      <c r="AR63" s="1" t="str">
        <f>INDEX(IOS!$B:$B,MATCH(D63,IOS!A:A,0))&amp;B63</f>
        <v>I.U.5</v>
      </c>
      <c r="AS63" s="1">
        <f t="shared" si="6"/>
        <v>0</v>
      </c>
      <c r="AT63" s="1" t="str">
        <f>IF(ISBLANK(W63),"",IF(ISERROR(MATCH(W63,HQLATABLE!$A:$A,0)),0,1))</f>
        <v/>
      </c>
      <c r="AU63" s="1" t="str">
        <f t="shared" si="7"/>
        <v>Blank</v>
      </c>
      <c r="AV63" s="1" t="str">
        <f t="shared" si="8"/>
        <v>Blank</v>
      </c>
      <c r="AW63" s="1">
        <f t="shared" si="9"/>
        <v>0</v>
      </c>
      <c r="AX63" s="1" t="str">
        <f t="shared" si="10"/>
        <v>Blank</v>
      </c>
      <c r="AY63" s="1"/>
      <c r="AZ63" s="1">
        <f>IF(COUNTIFS('PID CHECK'!$B:$B,AR63)=1,0,IF(COUNTIFS(AR$1:AR62,AR63)=1,0,1))</f>
        <v>0</v>
      </c>
      <c r="BA63" s="1"/>
      <c r="BB63" s="1"/>
    </row>
    <row r="64" spans="1:54">
      <c r="A64">
        <v>63</v>
      </c>
      <c r="B64" t="s">
        <v>82</v>
      </c>
      <c r="C64" t="s">
        <v>83</v>
      </c>
      <c r="D64" t="s">
        <v>66</v>
      </c>
      <c r="E64" t="s">
        <v>47</v>
      </c>
      <c r="F64" t="s">
        <v>50</v>
      </c>
      <c r="H64" t="s">
        <v>1028</v>
      </c>
      <c r="J64" t="s">
        <v>49</v>
      </c>
      <c r="K64" t="s">
        <v>50</v>
      </c>
      <c r="L64" t="s">
        <v>762</v>
      </c>
      <c r="M64" t="s">
        <v>762</v>
      </c>
      <c r="N64">
        <v>0.14000000000000001</v>
      </c>
      <c r="R64" t="s">
        <v>1029</v>
      </c>
      <c r="S64" t="s">
        <v>1029</v>
      </c>
      <c r="Z64" t="s">
        <v>904</v>
      </c>
      <c r="AE64" t="s">
        <v>50</v>
      </c>
      <c r="AH64">
        <v>7</v>
      </c>
      <c r="AM64">
        <v>43465</v>
      </c>
      <c r="AN64">
        <v>43469.451388888891</v>
      </c>
      <c r="AO64" s="2">
        <f t="shared" si="3"/>
        <v>25</v>
      </c>
      <c r="AP64" s="2">
        <f t="shared" si="4"/>
        <v>25</v>
      </c>
      <c r="AQ64" s="3">
        <f t="shared" si="5"/>
        <v>1</v>
      </c>
      <c r="AR64" s="1" t="str">
        <f>INDEX(IOS!$B:$B,MATCH(D64,IOS!A:A,0))&amp;B64</f>
        <v>I.U.5</v>
      </c>
      <c r="AS64" s="1">
        <f t="shared" si="6"/>
        <v>0</v>
      </c>
      <c r="AT64" s="1" t="str">
        <f>IF(ISBLANK(W64),"",IF(ISERROR(MATCH(W64,HQLATABLE!$A:$A,0)),0,1))</f>
        <v/>
      </c>
      <c r="AU64" s="1" t="str">
        <f t="shared" si="7"/>
        <v>Blank</v>
      </c>
      <c r="AV64" s="1" t="str">
        <f t="shared" si="8"/>
        <v>Blank</v>
      </c>
      <c r="AW64" s="1">
        <f t="shared" si="9"/>
        <v>0</v>
      </c>
      <c r="AX64" s="1" t="str">
        <f t="shared" si="10"/>
        <v>Blank</v>
      </c>
      <c r="AY64" s="1"/>
      <c r="AZ64" s="1">
        <f>IF(COUNTIFS('PID CHECK'!$B:$B,AR64)=1,0,IF(COUNTIFS(AR$1:AR63,AR64)=1,0,1))</f>
        <v>0</v>
      </c>
      <c r="BA64" s="1"/>
      <c r="BB64" s="1"/>
    </row>
    <row r="65" spans="1:54">
      <c r="A65">
        <v>64</v>
      </c>
      <c r="B65" t="s">
        <v>82</v>
      </c>
      <c r="C65" t="s">
        <v>83</v>
      </c>
      <c r="D65" t="s">
        <v>66</v>
      </c>
      <c r="E65" t="s">
        <v>47</v>
      </c>
      <c r="F65" t="s">
        <v>50</v>
      </c>
      <c r="H65" t="s">
        <v>958</v>
      </c>
      <c r="J65" t="s">
        <v>49</v>
      </c>
      <c r="K65" t="s">
        <v>50</v>
      </c>
      <c r="L65" t="s">
        <v>762</v>
      </c>
      <c r="M65" t="s">
        <v>762</v>
      </c>
      <c r="N65">
        <v>0.11</v>
      </c>
      <c r="R65" t="s">
        <v>959</v>
      </c>
      <c r="S65" t="s">
        <v>959</v>
      </c>
      <c r="Z65" t="s">
        <v>904</v>
      </c>
      <c r="AE65" t="s">
        <v>50</v>
      </c>
      <c r="AH65">
        <v>7</v>
      </c>
      <c r="AM65">
        <v>43465</v>
      </c>
      <c r="AN65">
        <v>43469.451388888891</v>
      </c>
      <c r="AO65" s="2">
        <f t="shared" si="3"/>
        <v>28</v>
      </c>
      <c r="AP65" s="2">
        <f t="shared" si="4"/>
        <v>28</v>
      </c>
      <c r="AQ65" s="3">
        <f t="shared" si="5"/>
        <v>1</v>
      </c>
      <c r="AR65" s="1" t="str">
        <f>INDEX(IOS!$B:$B,MATCH(D65,IOS!A:A,0))&amp;B65</f>
        <v>I.U.5</v>
      </c>
      <c r="AS65" s="1">
        <f t="shared" si="6"/>
        <v>0</v>
      </c>
      <c r="AT65" s="1" t="str">
        <f>IF(ISBLANK(W65),"",IF(ISERROR(MATCH(W65,HQLATABLE!$A:$A,0)),0,1))</f>
        <v/>
      </c>
      <c r="AU65" s="1" t="str">
        <f t="shared" si="7"/>
        <v>Blank</v>
      </c>
      <c r="AV65" s="1" t="str">
        <f t="shared" si="8"/>
        <v>Blank</v>
      </c>
      <c r="AW65" s="1">
        <f t="shared" si="9"/>
        <v>0</v>
      </c>
      <c r="AX65" s="1" t="str">
        <f t="shared" si="10"/>
        <v>Blank</v>
      </c>
      <c r="AY65" s="1"/>
      <c r="AZ65" s="1">
        <f>IF(COUNTIFS('PID CHECK'!$B:$B,AR65)=1,0,IF(COUNTIFS(AR$1:AR64,AR65)=1,0,1))</f>
        <v>0</v>
      </c>
      <c r="BA65" s="1"/>
      <c r="BB65" s="1"/>
    </row>
    <row r="66" spans="1:54">
      <c r="A66">
        <v>65</v>
      </c>
      <c r="B66" t="s">
        <v>82</v>
      </c>
      <c r="C66" t="s">
        <v>83</v>
      </c>
      <c r="D66" t="s">
        <v>66</v>
      </c>
      <c r="E66" t="s">
        <v>47</v>
      </c>
      <c r="F66" t="s">
        <v>50</v>
      </c>
      <c r="H66" t="s">
        <v>1003</v>
      </c>
      <c r="J66" t="s">
        <v>49</v>
      </c>
      <c r="K66" t="s">
        <v>50</v>
      </c>
      <c r="L66" t="s">
        <v>762</v>
      </c>
      <c r="M66" t="s">
        <v>762</v>
      </c>
      <c r="N66">
        <v>0.02</v>
      </c>
      <c r="R66" t="s">
        <v>1004</v>
      </c>
      <c r="S66" t="s">
        <v>1004</v>
      </c>
      <c r="Z66" t="s">
        <v>904</v>
      </c>
      <c r="AE66" t="s">
        <v>50</v>
      </c>
      <c r="AH66">
        <v>7</v>
      </c>
      <c r="AM66">
        <v>43465</v>
      </c>
      <c r="AN66">
        <v>43469.451388888891</v>
      </c>
      <c r="AO66" s="2">
        <f t="shared" si="3"/>
        <v>31</v>
      </c>
      <c r="AP66" s="2">
        <f t="shared" si="4"/>
        <v>31</v>
      </c>
      <c r="AQ66" s="3">
        <f t="shared" si="5"/>
        <v>0</v>
      </c>
      <c r="AR66" s="1" t="str">
        <f>INDEX(IOS!$B:$B,MATCH(D66,IOS!A:A,0))&amp;B66</f>
        <v>I.U.5</v>
      </c>
      <c r="AS66" s="1">
        <f t="shared" si="6"/>
        <v>0</v>
      </c>
      <c r="AT66" s="1" t="str">
        <f>IF(ISBLANK(W66),"",IF(ISERROR(MATCH(W66,HQLATABLE!$A:$A,0)),0,1))</f>
        <v/>
      </c>
      <c r="AU66" s="1" t="str">
        <f t="shared" si="7"/>
        <v>Blank</v>
      </c>
      <c r="AV66" s="1" t="str">
        <f t="shared" si="8"/>
        <v>Blank</v>
      </c>
      <c r="AW66" s="1">
        <f t="shared" si="9"/>
        <v>0</v>
      </c>
      <c r="AX66" s="1" t="str">
        <f t="shared" si="10"/>
        <v>Blank</v>
      </c>
      <c r="AY66" s="1"/>
      <c r="AZ66" s="1">
        <f>IF(COUNTIFS('PID CHECK'!$B:$B,AR66)=1,0,IF(COUNTIFS(AR$1:AR65,AR66)=1,0,1))</f>
        <v>0</v>
      </c>
      <c r="BA66" s="1"/>
      <c r="BB66" s="1"/>
    </row>
    <row r="67" spans="1:54">
      <c r="A67">
        <v>66</v>
      </c>
      <c r="B67" t="s">
        <v>56</v>
      </c>
      <c r="C67" t="s">
        <v>113</v>
      </c>
      <c r="D67" t="s">
        <v>66</v>
      </c>
      <c r="E67" t="s">
        <v>163</v>
      </c>
      <c r="F67" t="s">
        <v>50</v>
      </c>
      <c r="H67" t="s">
        <v>48</v>
      </c>
      <c r="J67" t="s">
        <v>49</v>
      </c>
      <c r="K67" t="s">
        <v>50</v>
      </c>
      <c r="L67" t="s">
        <v>762</v>
      </c>
      <c r="M67" t="s">
        <v>762</v>
      </c>
      <c r="N67">
        <v>8.4499999999999993</v>
      </c>
      <c r="R67" t="s">
        <v>51</v>
      </c>
      <c r="S67" t="s">
        <v>52</v>
      </c>
      <c r="Z67" t="s">
        <v>70</v>
      </c>
      <c r="AE67" t="s">
        <v>50</v>
      </c>
      <c r="AH67">
        <v>10</v>
      </c>
      <c r="AM67">
        <v>43465</v>
      </c>
      <c r="AN67">
        <v>43469.451388888891</v>
      </c>
      <c r="AO67" s="2">
        <f t="shared" ref="AO67:AO130" si="11">VALUE(MID(R67,FIND("P",R67)+1,FIND("D",R67)-1-FIND("P",R67)))</f>
        <v>0</v>
      </c>
      <c r="AP67" s="2">
        <f t="shared" ref="AP67:AP130" si="12">IFERROR(VALUE(MID(S67,FIND("P",S67)+1,FIND("D",S67)-1-FIND("P",S67))),99999)</f>
        <v>0</v>
      </c>
      <c r="AQ67" s="3">
        <f t="shared" ref="AQ67:AQ130" si="13">IF(AO67&lt;=30,1,0)</f>
        <v>1</v>
      </c>
      <c r="AR67" s="1" t="str">
        <f>INDEX(IOS!$B:$B,MATCH(D67,IOS!A:A,0))&amp;B67</f>
        <v>I.U.3</v>
      </c>
      <c r="AS67" s="1">
        <f t="shared" ref="AS67:AS130" si="14">IF(F67="","Blank",IF(F67="True",1,0))</f>
        <v>0</v>
      </c>
      <c r="AT67" s="1" t="str">
        <f>IF(ISBLANK(W67),"",IF(ISERROR(MATCH(W67,HQLATABLE!$A:$A,0)),0,1))</f>
        <v/>
      </c>
      <c r="AU67" s="1" t="str">
        <f t="shared" ref="AU67:AU130" si="15">IF(V67="","Blank",IF(V67="True",1,0))</f>
        <v>Blank</v>
      </c>
      <c r="AV67" s="1" t="str">
        <f t="shared" ref="AV67:AV130" si="16">IF(AG67="","Blank",IF(AG67="True",1,0))</f>
        <v>Blank</v>
      </c>
      <c r="AW67" s="1">
        <f t="shared" ref="AW67:AW130" si="17">IF(X67="",0,IF(OR(X67&gt;=N67),-1,1))</f>
        <v>0</v>
      </c>
      <c r="AX67" s="1" t="str">
        <f t="shared" ref="AX67:AX130" si="18">IF(AC67="","Blank",IF(AC67="True",1,0))</f>
        <v>Blank</v>
      </c>
      <c r="AY67" s="1"/>
      <c r="AZ67" s="1">
        <f>IF(COUNTIFS('PID CHECK'!$B:$B,AR67)=1,0,IF(COUNTIFS(AR$1:AR66,AR67)=1,0,1))</f>
        <v>0</v>
      </c>
      <c r="BA67" s="1"/>
      <c r="BB67" s="1"/>
    </row>
    <row r="68" spans="1:54">
      <c r="A68">
        <v>67</v>
      </c>
      <c r="B68" t="s">
        <v>56</v>
      </c>
      <c r="C68" t="s">
        <v>113</v>
      </c>
      <c r="D68" t="s">
        <v>66</v>
      </c>
      <c r="E68" t="s">
        <v>163</v>
      </c>
      <c r="F68" t="s">
        <v>53</v>
      </c>
      <c r="H68" t="s">
        <v>1030</v>
      </c>
      <c r="J68" t="s">
        <v>49</v>
      </c>
      <c r="K68" t="s">
        <v>50</v>
      </c>
      <c r="L68" t="s">
        <v>762</v>
      </c>
      <c r="M68" t="s">
        <v>762</v>
      </c>
      <c r="N68">
        <v>12</v>
      </c>
      <c r="R68" t="s">
        <v>1031</v>
      </c>
      <c r="S68" t="s">
        <v>1031</v>
      </c>
      <c r="Z68" t="s">
        <v>70</v>
      </c>
      <c r="AB68" t="s">
        <v>78</v>
      </c>
      <c r="AE68" t="s">
        <v>50</v>
      </c>
      <c r="AH68">
        <v>10</v>
      </c>
      <c r="AM68">
        <v>43465</v>
      </c>
      <c r="AN68">
        <v>43469.451388888891</v>
      </c>
      <c r="AO68" s="2">
        <f t="shared" si="11"/>
        <v>2</v>
      </c>
      <c r="AP68" s="2">
        <f t="shared" si="12"/>
        <v>2</v>
      </c>
      <c r="AQ68" s="3">
        <f t="shared" si="13"/>
        <v>1</v>
      </c>
      <c r="AR68" s="1" t="str">
        <f>INDEX(IOS!$B:$B,MATCH(D68,IOS!A:A,0))&amp;B68</f>
        <v>I.U.3</v>
      </c>
      <c r="AS68" s="1">
        <f t="shared" si="14"/>
        <v>1</v>
      </c>
      <c r="AT68" s="1" t="str">
        <f>IF(ISBLANK(W68),"",IF(ISERROR(MATCH(W68,HQLATABLE!$A:$A,0)),0,1))</f>
        <v/>
      </c>
      <c r="AU68" s="1" t="str">
        <f t="shared" si="15"/>
        <v>Blank</v>
      </c>
      <c r="AV68" s="1" t="str">
        <f t="shared" si="16"/>
        <v>Blank</v>
      </c>
      <c r="AW68" s="1">
        <f t="shared" si="17"/>
        <v>0</v>
      </c>
      <c r="AX68" s="1" t="str">
        <f t="shared" si="18"/>
        <v>Blank</v>
      </c>
      <c r="AY68" s="1"/>
      <c r="AZ68" s="1">
        <f>IF(COUNTIFS('PID CHECK'!$B:$B,AR68)=1,0,IF(COUNTIFS(AR$1:AR67,AR68)=1,0,1))</f>
        <v>0</v>
      </c>
      <c r="BA68" s="1"/>
      <c r="BB68" s="1"/>
    </row>
    <row r="69" spans="1:54">
      <c r="A69">
        <v>68</v>
      </c>
      <c r="B69" t="s">
        <v>56</v>
      </c>
      <c r="C69" t="s">
        <v>113</v>
      </c>
      <c r="D69" t="s">
        <v>66</v>
      </c>
      <c r="E69" t="s">
        <v>163</v>
      </c>
      <c r="F69" t="s">
        <v>50</v>
      </c>
      <c r="H69" t="s">
        <v>48</v>
      </c>
      <c r="J69" t="s">
        <v>49</v>
      </c>
      <c r="K69" t="s">
        <v>53</v>
      </c>
      <c r="L69" t="s">
        <v>762</v>
      </c>
      <c r="M69" t="s">
        <v>762</v>
      </c>
      <c r="N69">
        <v>0.21</v>
      </c>
      <c r="R69" t="s">
        <v>51</v>
      </c>
      <c r="S69" t="s">
        <v>52</v>
      </c>
      <c r="Z69" t="s">
        <v>70</v>
      </c>
      <c r="AE69" t="s">
        <v>50</v>
      </c>
      <c r="AH69">
        <v>10</v>
      </c>
      <c r="AM69">
        <v>43465</v>
      </c>
      <c r="AN69">
        <v>43469.451388888891</v>
      </c>
      <c r="AO69" s="2">
        <f t="shared" si="11"/>
        <v>0</v>
      </c>
      <c r="AP69" s="2">
        <f t="shared" si="12"/>
        <v>0</v>
      </c>
      <c r="AQ69" s="3">
        <f t="shared" si="13"/>
        <v>1</v>
      </c>
      <c r="AR69" s="1" t="str">
        <f>INDEX(IOS!$B:$B,MATCH(D69,IOS!A:A,0))&amp;B69</f>
        <v>I.U.3</v>
      </c>
      <c r="AS69" s="1">
        <f t="shared" si="14"/>
        <v>0</v>
      </c>
      <c r="AT69" s="1" t="str">
        <f>IF(ISBLANK(W69),"",IF(ISERROR(MATCH(W69,HQLATABLE!$A:$A,0)),0,1))</f>
        <v/>
      </c>
      <c r="AU69" s="1" t="str">
        <f t="shared" si="15"/>
        <v>Blank</v>
      </c>
      <c r="AV69" s="1" t="str">
        <f t="shared" si="16"/>
        <v>Blank</v>
      </c>
      <c r="AW69" s="1">
        <f t="shared" si="17"/>
        <v>0</v>
      </c>
      <c r="AX69" s="1" t="str">
        <f t="shared" si="18"/>
        <v>Blank</v>
      </c>
      <c r="AY69" s="1"/>
      <c r="AZ69" s="1">
        <f>IF(COUNTIFS('PID CHECK'!$B:$B,AR69)=1,0,IF(COUNTIFS(AR$1:AR68,AR69)=1,0,1))</f>
        <v>0</v>
      </c>
      <c r="BA69" s="1"/>
      <c r="BB69" s="1"/>
    </row>
    <row r="70" spans="1:54">
      <c r="A70">
        <v>69</v>
      </c>
      <c r="B70" t="s">
        <v>56</v>
      </c>
      <c r="C70" t="s">
        <v>113</v>
      </c>
      <c r="D70" t="s">
        <v>66</v>
      </c>
      <c r="E70" t="s">
        <v>47</v>
      </c>
      <c r="F70" t="s">
        <v>50</v>
      </c>
      <c r="H70" t="s">
        <v>48</v>
      </c>
      <c r="J70" t="s">
        <v>49</v>
      </c>
      <c r="K70" t="s">
        <v>50</v>
      </c>
      <c r="L70" t="s">
        <v>762</v>
      </c>
      <c r="M70" t="s">
        <v>762</v>
      </c>
      <c r="N70">
        <v>0.1</v>
      </c>
      <c r="R70" t="s">
        <v>51</v>
      </c>
      <c r="S70" t="s">
        <v>52</v>
      </c>
      <c r="Z70" t="s">
        <v>759</v>
      </c>
      <c r="AE70" t="s">
        <v>50</v>
      </c>
      <c r="AH70">
        <v>10</v>
      </c>
      <c r="AM70">
        <v>43465</v>
      </c>
      <c r="AN70">
        <v>43469.451388888891</v>
      </c>
      <c r="AO70" s="2">
        <f t="shared" si="11"/>
        <v>0</v>
      </c>
      <c r="AP70" s="2">
        <f t="shared" si="12"/>
        <v>0</v>
      </c>
      <c r="AQ70" s="3">
        <f t="shared" si="13"/>
        <v>1</v>
      </c>
      <c r="AR70" s="1" t="str">
        <f>INDEX(IOS!$B:$B,MATCH(D70,IOS!A:A,0))&amp;B70</f>
        <v>I.U.3</v>
      </c>
      <c r="AS70" s="1">
        <f t="shared" si="14"/>
        <v>0</v>
      </c>
      <c r="AT70" s="1" t="str">
        <f>IF(ISBLANK(W70),"",IF(ISERROR(MATCH(W70,HQLATABLE!$A:$A,0)),0,1))</f>
        <v/>
      </c>
      <c r="AU70" s="1" t="str">
        <f t="shared" si="15"/>
        <v>Blank</v>
      </c>
      <c r="AV70" s="1" t="str">
        <f t="shared" si="16"/>
        <v>Blank</v>
      </c>
      <c r="AW70" s="1">
        <f t="shared" si="17"/>
        <v>0</v>
      </c>
      <c r="AX70" s="1" t="str">
        <f t="shared" si="18"/>
        <v>Blank</v>
      </c>
      <c r="AY70" s="1"/>
      <c r="AZ70" s="1">
        <f>IF(COUNTIFS('PID CHECK'!$B:$B,AR70)=1,0,IF(COUNTIFS(AR$1:AR69,AR70)=1,0,1))</f>
        <v>0</v>
      </c>
      <c r="BA70" s="1"/>
      <c r="BB70" s="1"/>
    </row>
    <row r="71" spans="1:54">
      <c r="A71">
        <v>70</v>
      </c>
      <c r="B71" t="s">
        <v>82</v>
      </c>
      <c r="C71" t="s">
        <v>83</v>
      </c>
      <c r="D71" t="s">
        <v>66</v>
      </c>
      <c r="E71" t="s">
        <v>47</v>
      </c>
      <c r="F71" t="s">
        <v>50</v>
      </c>
      <c r="H71" t="s">
        <v>77</v>
      </c>
      <c r="J71" t="s">
        <v>49</v>
      </c>
      <c r="K71" t="s">
        <v>50</v>
      </c>
      <c r="L71" t="s">
        <v>762</v>
      </c>
      <c r="M71" t="s">
        <v>762</v>
      </c>
      <c r="N71">
        <v>2432.98</v>
      </c>
      <c r="R71" t="s">
        <v>77</v>
      </c>
      <c r="S71" t="s">
        <v>762</v>
      </c>
      <c r="Z71" t="s">
        <v>759</v>
      </c>
      <c r="AE71" t="s">
        <v>50</v>
      </c>
      <c r="AH71">
        <v>10</v>
      </c>
      <c r="AM71">
        <v>43465</v>
      </c>
      <c r="AN71">
        <v>43469.451388888891</v>
      </c>
      <c r="AO71" s="2">
        <f t="shared" si="11"/>
        <v>1827</v>
      </c>
      <c r="AP71" s="2">
        <f t="shared" si="12"/>
        <v>99999</v>
      </c>
      <c r="AQ71" s="3">
        <f t="shared" si="13"/>
        <v>0</v>
      </c>
      <c r="AR71" s="1" t="str">
        <f>INDEX(IOS!$B:$B,MATCH(D71,IOS!A:A,0))&amp;B71</f>
        <v>I.U.5</v>
      </c>
      <c r="AS71" s="1">
        <f t="shared" si="14"/>
        <v>0</v>
      </c>
      <c r="AT71" s="1" t="str">
        <f>IF(ISBLANK(W71),"",IF(ISERROR(MATCH(W71,HQLATABLE!$A:$A,0)),0,1))</f>
        <v/>
      </c>
      <c r="AU71" s="1" t="str">
        <f t="shared" si="15"/>
        <v>Blank</v>
      </c>
      <c r="AV71" s="1" t="str">
        <f t="shared" si="16"/>
        <v>Blank</v>
      </c>
      <c r="AW71" s="1">
        <f t="shared" si="17"/>
        <v>0</v>
      </c>
      <c r="AX71" s="1" t="str">
        <f t="shared" si="18"/>
        <v>Blank</v>
      </c>
      <c r="AY71" s="1"/>
      <c r="AZ71" s="1">
        <f>IF(COUNTIFS('PID CHECK'!$B:$B,AR71)=1,0,IF(COUNTIFS(AR$1:AR70,AR71)=1,0,1))</f>
        <v>0</v>
      </c>
      <c r="BA71" s="1"/>
      <c r="BB71" s="1"/>
    </row>
    <row r="72" spans="1:54">
      <c r="A72">
        <v>71</v>
      </c>
      <c r="B72" t="s">
        <v>82</v>
      </c>
      <c r="C72" t="s">
        <v>83</v>
      </c>
      <c r="D72" t="s">
        <v>66</v>
      </c>
      <c r="E72" t="s">
        <v>47</v>
      </c>
      <c r="F72" t="s">
        <v>53</v>
      </c>
      <c r="H72" t="s">
        <v>77</v>
      </c>
      <c r="J72" t="s">
        <v>49</v>
      </c>
      <c r="K72" t="s">
        <v>50</v>
      </c>
      <c r="L72" t="s">
        <v>762</v>
      </c>
      <c r="M72" t="s">
        <v>762</v>
      </c>
      <c r="N72">
        <v>102.5</v>
      </c>
      <c r="R72" t="s">
        <v>77</v>
      </c>
      <c r="S72" t="s">
        <v>762</v>
      </c>
      <c r="Z72" t="s">
        <v>759</v>
      </c>
      <c r="AB72" t="s">
        <v>78</v>
      </c>
      <c r="AE72" t="s">
        <v>50</v>
      </c>
      <c r="AH72">
        <v>10</v>
      </c>
      <c r="AM72">
        <v>43465</v>
      </c>
      <c r="AN72">
        <v>43469.451388888891</v>
      </c>
      <c r="AO72" s="2">
        <f t="shared" si="11"/>
        <v>1827</v>
      </c>
      <c r="AP72" s="2">
        <f t="shared" si="12"/>
        <v>99999</v>
      </c>
      <c r="AQ72" s="3">
        <f t="shared" si="13"/>
        <v>0</v>
      </c>
      <c r="AR72" s="1" t="str">
        <f>INDEX(IOS!$B:$B,MATCH(D72,IOS!A:A,0))&amp;B72</f>
        <v>I.U.5</v>
      </c>
      <c r="AS72" s="1">
        <f t="shared" si="14"/>
        <v>1</v>
      </c>
      <c r="AT72" s="1" t="str">
        <f>IF(ISBLANK(W72),"",IF(ISERROR(MATCH(W72,HQLATABLE!$A:$A,0)),0,1))</f>
        <v/>
      </c>
      <c r="AU72" s="1" t="str">
        <f t="shared" si="15"/>
        <v>Blank</v>
      </c>
      <c r="AV72" s="1" t="str">
        <f t="shared" si="16"/>
        <v>Blank</v>
      </c>
      <c r="AW72" s="1">
        <f t="shared" si="17"/>
        <v>0</v>
      </c>
      <c r="AX72" s="1" t="str">
        <f t="shared" si="18"/>
        <v>Blank</v>
      </c>
      <c r="AY72" s="1"/>
      <c r="AZ72" s="1">
        <f>IF(COUNTIFS('PID CHECK'!$B:$B,AR72)=1,0,IF(COUNTIFS(AR$1:AR71,AR72)=1,0,1))</f>
        <v>0</v>
      </c>
      <c r="BA72" s="1"/>
      <c r="BB72" s="1"/>
    </row>
    <row r="73" spans="1:54">
      <c r="A73">
        <v>72</v>
      </c>
      <c r="B73" t="s">
        <v>82</v>
      </c>
      <c r="C73" t="s">
        <v>83</v>
      </c>
      <c r="D73" t="s">
        <v>66</v>
      </c>
      <c r="E73" t="s">
        <v>47</v>
      </c>
      <c r="F73" t="s">
        <v>50</v>
      </c>
      <c r="H73" t="s">
        <v>1026</v>
      </c>
      <c r="J73" t="s">
        <v>49</v>
      </c>
      <c r="K73" t="s">
        <v>50</v>
      </c>
      <c r="L73" t="s">
        <v>762</v>
      </c>
      <c r="M73" t="s">
        <v>762</v>
      </c>
      <c r="N73">
        <v>250.77</v>
      </c>
      <c r="R73" t="s">
        <v>1027</v>
      </c>
      <c r="S73" t="s">
        <v>1027</v>
      </c>
      <c r="Z73" t="s">
        <v>759</v>
      </c>
      <c r="AE73" t="s">
        <v>50</v>
      </c>
      <c r="AH73">
        <v>10</v>
      </c>
      <c r="AM73">
        <v>43465</v>
      </c>
      <c r="AN73">
        <v>43469.451388888891</v>
      </c>
      <c r="AO73" s="2">
        <f t="shared" si="11"/>
        <v>30</v>
      </c>
      <c r="AP73" s="2">
        <f t="shared" si="12"/>
        <v>30</v>
      </c>
      <c r="AQ73" s="3">
        <f t="shared" si="13"/>
        <v>1</v>
      </c>
      <c r="AR73" s="1" t="str">
        <f>INDEX(IOS!$B:$B,MATCH(D73,IOS!A:A,0))&amp;B73</f>
        <v>I.U.5</v>
      </c>
      <c r="AS73" s="1">
        <f t="shared" si="14"/>
        <v>0</v>
      </c>
      <c r="AT73" s="1" t="str">
        <f>IF(ISBLANK(W73),"",IF(ISERROR(MATCH(W73,HQLATABLE!$A:$A,0)),0,1))</f>
        <v/>
      </c>
      <c r="AU73" s="1" t="str">
        <f t="shared" si="15"/>
        <v>Blank</v>
      </c>
      <c r="AV73" s="1" t="str">
        <f t="shared" si="16"/>
        <v>Blank</v>
      </c>
      <c r="AW73" s="1">
        <f t="shared" si="17"/>
        <v>0</v>
      </c>
      <c r="AX73" s="1" t="str">
        <f t="shared" si="18"/>
        <v>Blank</v>
      </c>
      <c r="AY73" s="1"/>
      <c r="AZ73" s="1">
        <f>IF(COUNTIFS('PID CHECK'!$B:$B,AR73)=1,0,IF(COUNTIFS(AR$1:AR72,AR73)=1,0,1))</f>
        <v>0</v>
      </c>
      <c r="BA73" s="1"/>
      <c r="BB73" s="1"/>
    </row>
    <row r="74" spans="1:54">
      <c r="A74">
        <v>73</v>
      </c>
      <c r="B74" t="s">
        <v>82</v>
      </c>
      <c r="C74" t="s">
        <v>83</v>
      </c>
      <c r="D74" t="s">
        <v>66</v>
      </c>
      <c r="E74" t="s">
        <v>47</v>
      </c>
      <c r="F74" t="s">
        <v>53</v>
      </c>
      <c r="H74" t="s">
        <v>1026</v>
      </c>
      <c r="J74" t="s">
        <v>49</v>
      </c>
      <c r="K74" t="s">
        <v>50</v>
      </c>
      <c r="L74" t="s">
        <v>762</v>
      </c>
      <c r="M74" t="s">
        <v>762</v>
      </c>
      <c r="N74">
        <v>88.47</v>
      </c>
      <c r="R74" t="s">
        <v>1027</v>
      </c>
      <c r="S74" t="s">
        <v>1027</v>
      </c>
      <c r="Z74" t="s">
        <v>759</v>
      </c>
      <c r="AB74" t="s">
        <v>78</v>
      </c>
      <c r="AE74" t="s">
        <v>50</v>
      </c>
      <c r="AH74">
        <v>10</v>
      </c>
      <c r="AM74">
        <v>43465</v>
      </c>
      <c r="AN74">
        <v>43469.451388888891</v>
      </c>
      <c r="AO74" s="2">
        <f t="shared" si="11"/>
        <v>30</v>
      </c>
      <c r="AP74" s="2">
        <f t="shared" si="12"/>
        <v>30</v>
      </c>
      <c r="AQ74" s="3">
        <f t="shared" si="13"/>
        <v>1</v>
      </c>
      <c r="AR74" s="1" t="str">
        <f>INDEX(IOS!$B:$B,MATCH(D74,IOS!A:A,0))&amp;B74</f>
        <v>I.U.5</v>
      </c>
      <c r="AS74" s="1">
        <f t="shared" si="14"/>
        <v>1</v>
      </c>
      <c r="AT74" s="1" t="str">
        <f>IF(ISBLANK(W74),"",IF(ISERROR(MATCH(W74,HQLATABLE!$A:$A,0)),0,1))</f>
        <v/>
      </c>
      <c r="AU74" s="1" t="str">
        <f t="shared" si="15"/>
        <v>Blank</v>
      </c>
      <c r="AV74" s="1" t="str">
        <f t="shared" si="16"/>
        <v>Blank</v>
      </c>
      <c r="AW74" s="1">
        <f t="shared" si="17"/>
        <v>0</v>
      </c>
      <c r="AX74" s="1" t="str">
        <f t="shared" si="18"/>
        <v>Blank</v>
      </c>
      <c r="AY74" s="1"/>
      <c r="AZ74" s="1">
        <f>IF(COUNTIFS('PID CHECK'!$B:$B,AR74)=1,0,IF(COUNTIFS(AR$1:AR73,AR74)=1,0,1))</f>
        <v>0</v>
      </c>
      <c r="BA74" s="1"/>
      <c r="BB74" s="1"/>
    </row>
    <row r="75" spans="1:54">
      <c r="A75">
        <v>74</v>
      </c>
      <c r="B75" t="s">
        <v>56</v>
      </c>
      <c r="C75" t="s">
        <v>113</v>
      </c>
      <c r="D75" t="s">
        <v>66</v>
      </c>
      <c r="E75" t="s">
        <v>47</v>
      </c>
      <c r="F75" t="s">
        <v>50</v>
      </c>
      <c r="H75" t="s">
        <v>48</v>
      </c>
      <c r="J75" t="s">
        <v>49</v>
      </c>
      <c r="K75" t="s">
        <v>53</v>
      </c>
      <c r="L75" t="s">
        <v>762</v>
      </c>
      <c r="M75" t="s">
        <v>762</v>
      </c>
      <c r="N75">
        <v>0.03</v>
      </c>
      <c r="R75" t="s">
        <v>51</v>
      </c>
      <c r="S75" t="s">
        <v>52</v>
      </c>
      <c r="Z75" t="s">
        <v>759</v>
      </c>
      <c r="AE75" t="s">
        <v>50</v>
      </c>
      <c r="AH75">
        <v>10</v>
      </c>
      <c r="AM75">
        <v>43465</v>
      </c>
      <c r="AN75">
        <v>43469.451388888891</v>
      </c>
      <c r="AO75" s="2">
        <f t="shared" si="11"/>
        <v>0</v>
      </c>
      <c r="AP75" s="2">
        <f t="shared" si="12"/>
        <v>0</v>
      </c>
      <c r="AQ75" s="3">
        <f t="shared" si="13"/>
        <v>1</v>
      </c>
      <c r="AR75" s="1" t="str">
        <f>INDEX(IOS!$B:$B,MATCH(D75,IOS!A:A,0))&amp;B75</f>
        <v>I.U.3</v>
      </c>
      <c r="AS75" s="1">
        <f t="shared" si="14"/>
        <v>0</v>
      </c>
      <c r="AT75" s="1" t="str">
        <f>IF(ISBLANK(W75),"",IF(ISERROR(MATCH(W75,HQLATABLE!$A:$A,0)),0,1))</f>
        <v/>
      </c>
      <c r="AU75" s="1" t="str">
        <f t="shared" si="15"/>
        <v>Blank</v>
      </c>
      <c r="AV75" s="1" t="str">
        <f t="shared" si="16"/>
        <v>Blank</v>
      </c>
      <c r="AW75" s="1">
        <f t="shared" si="17"/>
        <v>0</v>
      </c>
      <c r="AX75" s="1" t="str">
        <f t="shared" si="18"/>
        <v>Blank</v>
      </c>
      <c r="AY75" s="1"/>
      <c r="AZ75" s="1">
        <f>IF(COUNTIFS('PID CHECK'!$B:$B,AR75)=1,0,IF(COUNTIFS(AR$1:AR74,AR75)=1,0,1))</f>
        <v>0</v>
      </c>
      <c r="BA75" s="1"/>
      <c r="BB75" s="1"/>
    </row>
    <row r="76" spans="1:54">
      <c r="A76">
        <v>75</v>
      </c>
      <c r="B76" t="s">
        <v>56</v>
      </c>
      <c r="C76" t="s">
        <v>113</v>
      </c>
      <c r="D76" t="s">
        <v>66</v>
      </c>
      <c r="E76" t="s">
        <v>47</v>
      </c>
      <c r="F76" t="s">
        <v>53</v>
      </c>
      <c r="H76" t="s">
        <v>48</v>
      </c>
      <c r="J76" t="s">
        <v>49</v>
      </c>
      <c r="K76" t="s">
        <v>53</v>
      </c>
      <c r="L76" t="s">
        <v>762</v>
      </c>
      <c r="M76" t="s">
        <v>762</v>
      </c>
      <c r="N76">
        <v>0.01</v>
      </c>
      <c r="R76" t="s">
        <v>51</v>
      </c>
      <c r="S76" t="s">
        <v>52</v>
      </c>
      <c r="Z76" t="s">
        <v>759</v>
      </c>
      <c r="AB76" t="s">
        <v>78</v>
      </c>
      <c r="AE76" t="s">
        <v>50</v>
      </c>
      <c r="AH76">
        <v>10</v>
      </c>
      <c r="AM76">
        <v>43465</v>
      </c>
      <c r="AN76">
        <v>43469.451388888891</v>
      </c>
      <c r="AO76" s="2">
        <f t="shared" si="11"/>
        <v>0</v>
      </c>
      <c r="AP76" s="2">
        <f t="shared" si="12"/>
        <v>0</v>
      </c>
      <c r="AQ76" s="3">
        <f t="shared" si="13"/>
        <v>1</v>
      </c>
      <c r="AR76" s="1" t="str">
        <f>INDEX(IOS!$B:$B,MATCH(D76,IOS!A:A,0))&amp;B76</f>
        <v>I.U.3</v>
      </c>
      <c r="AS76" s="1">
        <f t="shared" si="14"/>
        <v>1</v>
      </c>
      <c r="AT76" s="1" t="str">
        <f>IF(ISBLANK(W76),"",IF(ISERROR(MATCH(W76,HQLATABLE!$A:$A,0)),0,1))</f>
        <v/>
      </c>
      <c r="AU76" s="1" t="str">
        <f t="shared" si="15"/>
        <v>Blank</v>
      </c>
      <c r="AV76" s="1" t="str">
        <f t="shared" si="16"/>
        <v>Blank</v>
      </c>
      <c r="AW76" s="1">
        <f t="shared" si="17"/>
        <v>0</v>
      </c>
      <c r="AX76" s="1" t="str">
        <f t="shared" si="18"/>
        <v>Blank</v>
      </c>
      <c r="AY76" s="1"/>
      <c r="AZ76" s="1">
        <f>IF(COUNTIFS('PID CHECK'!$B:$B,AR76)=1,0,IF(COUNTIFS(AR$1:AR75,AR76)=1,0,1))</f>
        <v>0</v>
      </c>
      <c r="BA76" s="1"/>
      <c r="BB76" s="1"/>
    </row>
    <row r="77" spans="1:54">
      <c r="A77">
        <v>76</v>
      </c>
      <c r="B77" t="s">
        <v>56</v>
      </c>
      <c r="C77" t="s">
        <v>113</v>
      </c>
      <c r="D77" t="s">
        <v>66</v>
      </c>
      <c r="E77" t="s">
        <v>47</v>
      </c>
      <c r="F77" t="s">
        <v>53</v>
      </c>
      <c r="H77" t="s">
        <v>48</v>
      </c>
      <c r="J77" t="s">
        <v>49</v>
      </c>
      <c r="K77" t="s">
        <v>53</v>
      </c>
      <c r="L77" t="s">
        <v>762</v>
      </c>
      <c r="M77" t="s">
        <v>762</v>
      </c>
      <c r="N77">
        <v>0.06</v>
      </c>
      <c r="R77" t="s">
        <v>51</v>
      </c>
      <c r="S77" t="s">
        <v>52</v>
      </c>
      <c r="Z77" t="s">
        <v>759</v>
      </c>
      <c r="AB77" t="s">
        <v>115</v>
      </c>
      <c r="AE77" t="s">
        <v>50</v>
      </c>
      <c r="AH77">
        <v>10</v>
      </c>
      <c r="AM77">
        <v>43465</v>
      </c>
      <c r="AN77">
        <v>43469.451388888891</v>
      </c>
      <c r="AO77" s="2">
        <f t="shared" si="11"/>
        <v>0</v>
      </c>
      <c r="AP77" s="2">
        <f t="shared" si="12"/>
        <v>0</v>
      </c>
      <c r="AQ77" s="3">
        <f t="shared" si="13"/>
        <v>1</v>
      </c>
      <c r="AR77" s="1" t="str">
        <f>INDEX(IOS!$B:$B,MATCH(D77,IOS!A:A,0))&amp;B77</f>
        <v>I.U.3</v>
      </c>
      <c r="AS77" s="1">
        <f t="shared" si="14"/>
        <v>1</v>
      </c>
      <c r="AT77" s="1" t="str">
        <f>IF(ISBLANK(W77),"",IF(ISERROR(MATCH(W77,HQLATABLE!$A:$A,0)),0,1))</f>
        <v/>
      </c>
      <c r="AU77" s="1" t="str">
        <f t="shared" si="15"/>
        <v>Blank</v>
      </c>
      <c r="AV77" s="1" t="str">
        <f t="shared" si="16"/>
        <v>Blank</v>
      </c>
      <c r="AW77" s="1">
        <f t="shared" si="17"/>
        <v>0</v>
      </c>
      <c r="AX77" s="1" t="str">
        <f t="shared" si="18"/>
        <v>Blank</v>
      </c>
      <c r="AY77" s="1"/>
      <c r="AZ77" s="1">
        <f>IF(COUNTIFS('PID CHECK'!$B:$B,AR77)=1,0,IF(COUNTIFS(AR$1:AR76,AR77)=1,0,1))</f>
        <v>0</v>
      </c>
      <c r="BA77" s="1"/>
      <c r="BB77" s="1"/>
    </row>
    <row r="78" spans="1:54">
      <c r="A78">
        <v>77</v>
      </c>
      <c r="B78" t="s">
        <v>82</v>
      </c>
      <c r="C78" t="s">
        <v>83</v>
      </c>
      <c r="D78" t="s">
        <v>66</v>
      </c>
      <c r="E78" t="s">
        <v>47</v>
      </c>
      <c r="F78" t="s">
        <v>50</v>
      </c>
      <c r="H78" t="s">
        <v>77</v>
      </c>
      <c r="J78" t="s">
        <v>49</v>
      </c>
      <c r="K78" t="s">
        <v>53</v>
      </c>
      <c r="L78" t="s">
        <v>762</v>
      </c>
      <c r="M78" t="s">
        <v>762</v>
      </c>
      <c r="N78" t="s">
        <v>762</v>
      </c>
      <c r="R78" t="s">
        <v>77</v>
      </c>
      <c r="S78" t="s">
        <v>762</v>
      </c>
      <c r="Z78" t="s">
        <v>759</v>
      </c>
      <c r="AE78" t="s">
        <v>50</v>
      </c>
      <c r="AH78">
        <v>10</v>
      </c>
      <c r="AM78">
        <v>43465</v>
      </c>
      <c r="AN78">
        <v>43469.451388888891</v>
      </c>
      <c r="AO78" s="2">
        <f t="shared" si="11"/>
        <v>1827</v>
      </c>
      <c r="AP78" s="2">
        <f t="shared" si="12"/>
        <v>99999</v>
      </c>
      <c r="AQ78" s="3">
        <f t="shared" si="13"/>
        <v>0</v>
      </c>
      <c r="AR78" s="1" t="str">
        <f>INDEX(IOS!$B:$B,MATCH(D78,IOS!A:A,0))&amp;B78</f>
        <v>I.U.5</v>
      </c>
      <c r="AS78" s="1">
        <f t="shared" si="14"/>
        <v>0</v>
      </c>
      <c r="AT78" s="1" t="str">
        <f>IF(ISBLANK(W78),"",IF(ISERROR(MATCH(W78,HQLATABLE!$A:$A,0)),0,1))</f>
        <v/>
      </c>
      <c r="AU78" s="1" t="str">
        <f t="shared" si="15"/>
        <v>Blank</v>
      </c>
      <c r="AV78" s="1" t="str">
        <f t="shared" si="16"/>
        <v>Blank</v>
      </c>
      <c r="AW78" s="1">
        <f t="shared" si="17"/>
        <v>0</v>
      </c>
      <c r="AX78" s="1" t="str">
        <f t="shared" si="18"/>
        <v>Blank</v>
      </c>
      <c r="AY78" s="1"/>
      <c r="AZ78" s="1">
        <f>IF(COUNTIFS('PID CHECK'!$B:$B,AR78)=1,0,IF(COUNTIFS(AR$1:AR77,AR78)=1,0,1))</f>
        <v>0</v>
      </c>
      <c r="BA78" s="1"/>
      <c r="BB78" s="1"/>
    </row>
    <row r="79" spans="1:54">
      <c r="A79">
        <v>78</v>
      </c>
      <c r="B79" t="s">
        <v>82</v>
      </c>
      <c r="C79" t="s">
        <v>83</v>
      </c>
      <c r="D79" t="s">
        <v>66</v>
      </c>
      <c r="E79" t="s">
        <v>47</v>
      </c>
      <c r="F79" t="s">
        <v>53</v>
      </c>
      <c r="H79" t="s">
        <v>77</v>
      </c>
      <c r="J79" t="s">
        <v>49</v>
      </c>
      <c r="K79" t="s">
        <v>53</v>
      </c>
      <c r="L79" t="s">
        <v>762</v>
      </c>
      <c r="M79" t="s">
        <v>762</v>
      </c>
      <c r="N79">
        <v>1.34</v>
      </c>
      <c r="R79" t="s">
        <v>77</v>
      </c>
      <c r="S79" t="s">
        <v>762</v>
      </c>
      <c r="Z79" t="s">
        <v>759</v>
      </c>
      <c r="AB79" t="s">
        <v>78</v>
      </c>
      <c r="AE79" t="s">
        <v>50</v>
      </c>
      <c r="AH79">
        <v>10</v>
      </c>
      <c r="AM79">
        <v>43465</v>
      </c>
      <c r="AN79">
        <v>43469.451388888891</v>
      </c>
      <c r="AO79" s="2">
        <f t="shared" si="11"/>
        <v>1827</v>
      </c>
      <c r="AP79" s="2">
        <f t="shared" si="12"/>
        <v>99999</v>
      </c>
      <c r="AQ79" s="3">
        <f t="shared" si="13"/>
        <v>0</v>
      </c>
      <c r="AR79" s="1" t="str">
        <f>INDEX(IOS!$B:$B,MATCH(D79,IOS!A:A,0))&amp;B79</f>
        <v>I.U.5</v>
      </c>
      <c r="AS79" s="1">
        <f t="shared" si="14"/>
        <v>1</v>
      </c>
      <c r="AT79" s="1" t="str">
        <f>IF(ISBLANK(W79),"",IF(ISERROR(MATCH(W79,HQLATABLE!$A:$A,0)),0,1))</f>
        <v/>
      </c>
      <c r="AU79" s="1" t="str">
        <f t="shared" si="15"/>
        <v>Blank</v>
      </c>
      <c r="AV79" s="1" t="str">
        <f t="shared" si="16"/>
        <v>Blank</v>
      </c>
      <c r="AW79" s="1">
        <f t="shared" si="17"/>
        <v>0</v>
      </c>
      <c r="AX79" s="1" t="str">
        <f t="shared" si="18"/>
        <v>Blank</v>
      </c>
      <c r="AY79" s="1"/>
      <c r="AZ79" s="1">
        <f>IF(COUNTIFS('PID CHECK'!$B:$B,AR79)=1,0,IF(COUNTIFS(AR$1:AR78,AR79)=1,0,1))</f>
        <v>0</v>
      </c>
      <c r="BA79" s="1"/>
      <c r="BB79" s="1"/>
    </row>
    <row r="80" spans="1:54">
      <c r="A80">
        <v>79</v>
      </c>
      <c r="B80" t="s">
        <v>82</v>
      </c>
      <c r="C80" t="s">
        <v>83</v>
      </c>
      <c r="D80" t="s">
        <v>66</v>
      </c>
      <c r="E80" t="s">
        <v>47</v>
      </c>
      <c r="F80" t="s">
        <v>50</v>
      </c>
      <c r="H80" t="s">
        <v>995</v>
      </c>
      <c r="J80" t="s">
        <v>49</v>
      </c>
      <c r="K80" t="s">
        <v>50</v>
      </c>
      <c r="L80" t="s">
        <v>762</v>
      </c>
      <c r="M80" t="s">
        <v>762</v>
      </c>
      <c r="N80">
        <v>0</v>
      </c>
      <c r="R80" t="s">
        <v>996</v>
      </c>
      <c r="S80" t="s">
        <v>996</v>
      </c>
      <c r="Z80" t="s">
        <v>116</v>
      </c>
      <c r="AE80" t="s">
        <v>50</v>
      </c>
      <c r="AH80">
        <v>11</v>
      </c>
      <c r="AM80">
        <v>43465</v>
      </c>
      <c r="AN80">
        <v>43469.451388888891</v>
      </c>
      <c r="AO80" s="2">
        <f t="shared" si="11"/>
        <v>10</v>
      </c>
      <c r="AP80" s="2">
        <f t="shared" si="12"/>
        <v>10</v>
      </c>
      <c r="AQ80" s="3">
        <f t="shared" si="13"/>
        <v>1</v>
      </c>
      <c r="AR80" s="1" t="str">
        <f>INDEX(IOS!$B:$B,MATCH(D80,IOS!A:A,0))&amp;B80</f>
        <v>I.U.5</v>
      </c>
      <c r="AS80" s="1">
        <f t="shared" si="14"/>
        <v>0</v>
      </c>
      <c r="AT80" s="1" t="str">
        <f>IF(ISBLANK(W80),"",IF(ISERROR(MATCH(W80,HQLATABLE!$A:$A,0)),0,1))</f>
        <v/>
      </c>
      <c r="AU80" s="1" t="str">
        <f t="shared" si="15"/>
        <v>Blank</v>
      </c>
      <c r="AV80" s="1" t="str">
        <f t="shared" si="16"/>
        <v>Blank</v>
      </c>
      <c r="AW80" s="1">
        <f t="shared" si="17"/>
        <v>0</v>
      </c>
      <c r="AX80" s="1" t="str">
        <f t="shared" si="18"/>
        <v>Blank</v>
      </c>
      <c r="AY80" s="1"/>
      <c r="AZ80" s="1">
        <f>IF(COUNTIFS('PID CHECK'!$B:$B,AR80)=1,0,IF(COUNTIFS(AR$1:AR79,AR80)=1,0,1))</f>
        <v>0</v>
      </c>
      <c r="BA80" s="1"/>
      <c r="BB80" s="1"/>
    </row>
    <row r="81" spans="1:54">
      <c r="A81">
        <v>80</v>
      </c>
      <c r="B81" t="s">
        <v>82</v>
      </c>
      <c r="C81" t="s">
        <v>83</v>
      </c>
      <c r="D81" t="s">
        <v>66</v>
      </c>
      <c r="E81" t="s">
        <v>47</v>
      </c>
      <c r="F81" t="s">
        <v>50</v>
      </c>
      <c r="H81" t="s">
        <v>85</v>
      </c>
      <c r="J81" t="s">
        <v>49</v>
      </c>
      <c r="K81" t="s">
        <v>50</v>
      </c>
      <c r="L81" t="s">
        <v>762</v>
      </c>
      <c r="M81" t="s">
        <v>762</v>
      </c>
      <c r="N81">
        <v>0.01</v>
      </c>
      <c r="R81" t="s">
        <v>86</v>
      </c>
      <c r="S81" t="s">
        <v>86</v>
      </c>
      <c r="Z81" t="s">
        <v>116</v>
      </c>
      <c r="AE81" t="s">
        <v>50</v>
      </c>
      <c r="AH81">
        <v>11</v>
      </c>
      <c r="AM81">
        <v>43465</v>
      </c>
      <c r="AN81">
        <v>43469.451388888891</v>
      </c>
      <c r="AO81" s="2">
        <f t="shared" si="11"/>
        <v>14</v>
      </c>
      <c r="AP81" s="2">
        <f t="shared" si="12"/>
        <v>14</v>
      </c>
      <c r="AQ81" s="3">
        <f t="shared" si="13"/>
        <v>1</v>
      </c>
      <c r="AR81" s="1" t="str">
        <f>INDEX(IOS!$B:$B,MATCH(D81,IOS!A:A,0))&amp;B81</f>
        <v>I.U.5</v>
      </c>
      <c r="AS81" s="1">
        <f t="shared" si="14"/>
        <v>0</v>
      </c>
      <c r="AT81" s="1" t="str">
        <f>IF(ISBLANK(W81),"",IF(ISERROR(MATCH(W81,HQLATABLE!$A:$A,0)),0,1))</f>
        <v/>
      </c>
      <c r="AU81" s="1" t="str">
        <f t="shared" si="15"/>
        <v>Blank</v>
      </c>
      <c r="AV81" s="1" t="str">
        <f t="shared" si="16"/>
        <v>Blank</v>
      </c>
      <c r="AW81" s="1">
        <f t="shared" si="17"/>
        <v>0</v>
      </c>
      <c r="AX81" s="1" t="str">
        <f t="shared" si="18"/>
        <v>Blank</v>
      </c>
      <c r="AY81" s="1"/>
      <c r="AZ81" s="1">
        <f>IF(COUNTIFS('PID CHECK'!$B:$B,AR81)=1,0,IF(COUNTIFS(AR$1:AR80,AR81)=1,0,1))</f>
        <v>0</v>
      </c>
      <c r="BA81" s="1"/>
      <c r="BB81" s="1"/>
    </row>
    <row r="82" spans="1:54">
      <c r="A82">
        <v>81</v>
      </c>
      <c r="B82" t="s">
        <v>82</v>
      </c>
      <c r="C82" t="s">
        <v>83</v>
      </c>
      <c r="D82" t="s">
        <v>66</v>
      </c>
      <c r="E82" t="s">
        <v>47</v>
      </c>
      <c r="F82" t="s">
        <v>50</v>
      </c>
      <c r="H82" t="s">
        <v>77</v>
      </c>
      <c r="J82" t="s">
        <v>49</v>
      </c>
      <c r="K82" t="s">
        <v>50</v>
      </c>
      <c r="L82" t="s">
        <v>762</v>
      </c>
      <c r="M82" t="s">
        <v>762</v>
      </c>
      <c r="N82">
        <v>17.41</v>
      </c>
      <c r="R82" t="s">
        <v>77</v>
      </c>
      <c r="S82" t="s">
        <v>762</v>
      </c>
      <c r="Z82" t="s">
        <v>116</v>
      </c>
      <c r="AE82" t="s">
        <v>50</v>
      </c>
      <c r="AH82">
        <v>11</v>
      </c>
      <c r="AM82">
        <v>43465</v>
      </c>
      <c r="AN82">
        <v>43469.451388888891</v>
      </c>
      <c r="AO82" s="2">
        <f t="shared" si="11"/>
        <v>1827</v>
      </c>
      <c r="AP82" s="2">
        <f t="shared" si="12"/>
        <v>99999</v>
      </c>
      <c r="AQ82" s="3">
        <f t="shared" si="13"/>
        <v>0</v>
      </c>
      <c r="AR82" s="1" t="str">
        <f>INDEX(IOS!$B:$B,MATCH(D82,IOS!A:A,0))&amp;B82</f>
        <v>I.U.5</v>
      </c>
      <c r="AS82" s="1">
        <f t="shared" si="14"/>
        <v>0</v>
      </c>
      <c r="AT82" s="1" t="str">
        <f>IF(ISBLANK(W82),"",IF(ISERROR(MATCH(W82,HQLATABLE!$A:$A,0)),0,1))</f>
        <v/>
      </c>
      <c r="AU82" s="1" t="str">
        <f t="shared" si="15"/>
        <v>Blank</v>
      </c>
      <c r="AV82" s="1" t="str">
        <f t="shared" si="16"/>
        <v>Blank</v>
      </c>
      <c r="AW82" s="1">
        <f t="shared" si="17"/>
        <v>0</v>
      </c>
      <c r="AX82" s="1" t="str">
        <f t="shared" si="18"/>
        <v>Blank</v>
      </c>
      <c r="AY82" s="1"/>
      <c r="AZ82" s="1">
        <f>IF(COUNTIFS('PID CHECK'!$B:$B,AR82)=1,0,IF(COUNTIFS(AR$1:AR81,AR82)=1,0,1))</f>
        <v>0</v>
      </c>
      <c r="BA82" s="1"/>
      <c r="BB82" s="1"/>
    </row>
    <row r="83" spans="1:54">
      <c r="A83">
        <v>82</v>
      </c>
      <c r="B83" t="s">
        <v>82</v>
      </c>
      <c r="C83" t="s">
        <v>83</v>
      </c>
      <c r="D83" t="s">
        <v>66</v>
      </c>
      <c r="E83" t="s">
        <v>47</v>
      </c>
      <c r="F83" t="s">
        <v>50</v>
      </c>
      <c r="H83" t="s">
        <v>1034</v>
      </c>
      <c r="J83" t="s">
        <v>49</v>
      </c>
      <c r="K83" t="s">
        <v>50</v>
      </c>
      <c r="L83" t="s">
        <v>762</v>
      </c>
      <c r="M83" t="s">
        <v>762</v>
      </c>
      <c r="N83">
        <v>0.01</v>
      </c>
      <c r="R83" t="s">
        <v>1035</v>
      </c>
      <c r="S83" t="s">
        <v>1035</v>
      </c>
      <c r="Z83" t="s">
        <v>116</v>
      </c>
      <c r="AE83" t="s">
        <v>50</v>
      </c>
      <c r="AH83">
        <v>11</v>
      </c>
      <c r="AM83">
        <v>43465</v>
      </c>
      <c r="AN83">
        <v>43469.451388888891</v>
      </c>
      <c r="AO83" s="2">
        <f t="shared" si="11"/>
        <v>22</v>
      </c>
      <c r="AP83" s="2">
        <f t="shared" si="12"/>
        <v>22</v>
      </c>
      <c r="AQ83" s="3">
        <f t="shared" si="13"/>
        <v>1</v>
      </c>
      <c r="AR83" s="1" t="str">
        <f>INDEX(IOS!$B:$B,MATCH(D83,IOS!A:A,0))&amp;B83</f>
        <v>I.U.5</v>
      </c>
      <c r="AS83" s="1">
        <f t="shared" si="14"/>
        <v>0</v>
      </c>
      <c r="AT83" s="1" t="str">
        <f>IF(ISBLANK(W83),"",IF(ISERROR(MATCH(W83,HQLATABLE!$A:$A,0)),0,1))</f>
        <v/>
      </c>
      <c r="AU83" s="1" t="str">
        <f t="shared" si="15"/>
        <v>Blank</v>
      </c>
      <c r="AV83" s="1" t="str">
        <f t="shared" si="16"/>
        <v>Blank</v>
      </c>
      <c r="AW83" s="1">
        <f t="shared" si="17"/>
        <v>0</v>
      </c>
      <c r="AX83" s="1" t="str">
        <f t="shared" si="18"/>
        <v>Blank</v>
      </c>
      <c r="AY83" s="1"/>
      <c r="AZ83" s="1">
        <f>IF(COUNTIFS('PID CHECK'!$B:$B,AR83)=1,0,IF(COUNTIFS(AR$1:AR82,AR83)=1,0,1))</f>
        <v>0</v>
      </c>
      <c r="BA83" s="1"/>
      <c r="BB83" s="1"/>
    </row>
    <row r="84" spans="1:54">
      <c r="A84">
        <v>83</v>
      </c>
      <c r="B84" t="s">
        <v>82</v>
      </c>
      <c r="C84" t="s">
        <v>83</v>
      </c>
      <c r="D84" t="s">
        <v>66</v>
      </c>
      <c r="E84" t="s">
        <v>47</v>
      </c>
      <c r="F84" t="s">
        <v>50</v>
      </c>
      <c r="H84" t="s">
        <v>1030</v>
      </c>
      <c r="J84" t="s">
        <v>49</v>
      </c>
      <c r="K84" t="s">
        <v>50</v>
      </c>
      <c r="L84" t="s">
        <v>762</v>
      </c>
      <c r="M84" t="s">
        <v>762</v>
      </c>
      <c r="N84">
        <v>0</v>
      </c>
      <c r="R84" t="s">
        <v>1031</v>
      </c>
      <c r="S84" t="s">
        <v>1031</v>
      </c>
      <c r="Z84" t="s">
        <v>116</v>
      </c>
      <c r="AE84" t="s">
        <v>50</v>
      </c>
      <c r="AH84">
        <v>11</v>
      </c>
      <c r="AM84">
        <v>43465</v>
      </c>
      <c r="AN84">
        <v>43469.451388888891</v>
      </c>
      <c r="AO84" s="2">
        <f t="shared" si="11"/>
        <v>2</v>
      </c>
      <c r="AP84" s="2">
        <f t="shared" si="12"/>
        <v>2</v>
      </c>
      <c r="AQ84" s="3">
        <f t="shared" si="13"/>
        <v>1</v>
      </c>
      <c r="AR84" s="1" t="str">
        <f>INDEX(IOS!$B:$B,MATCH(D84,IOS!A:A,0))&amp;B84</f>
        <v>I.U.5</v>
      </c>
      <c r="AS84" s="1">
        <f t="shared" si="14"/>
        <v>0</v>
      </c>
      <c r="AT84" s="1" t="str">
        <f>IF(ISBLANK(W84),"",IF(ISERROR(MATCH(W84,HQLATABLE!$A:$A,0)),0,1))</f>
        <v/>
      </c>
      <c r="AU84" s="1" t="str">
        <f t="shared" si="15"/>
        <v>Blank</v>
      </c>
      <c r="AV84" s="1" t="str">
        <f t="shared" si="16"/>
        <v>Blank</v>
      </c>
      <c r="AW84" s="1">
        <f t="shared" si="17"/>
        <v>0</v>
      </c>
      <c r="AX84" s="1" t="str">
        <f t="shared" si="18"/>
        <v>Blank</v>
      </c>
      <c r="AY84" s="1"/>
      <c r="AZ84" s="1">
        <f>IF(COUNTIFS('PID CHECK'!$B:$B,AR84)=1,0,IF(COUNTIFS(AR$1:AR83,AR84)=1,0,1))</f>
        <v>0</v>
      </c>
      <c r="BA84" s="1"/>
      <c r="BB84" s="1"/>
    </row>
    <row r="85" spans="1:54">
      <c r="A85">
        <v>84</v>
      </c>
      <c r="B85" t="s">
        <v>82</v>
      </c>
      <c r="C85" t="s">
        <v>83</v>
      </c>
      <c r="D85" t="s">
        <v>66</v>
      </c>
      <c r="E85" t="s">
        <v>47</v>
      </c>
      <c r="F85" t="s">
        <v>50</v>
      </c>
      <c r="H85" t="s">
        <v>1003</v>
      </c>
      <c r="J85" t="s">
        <v>49</v>
      </c>
      <c r="K85" t="s">
        <v>50</v>
      </c>
      <c r="L85" t="s">
        <v>762</v>
      </c>
      <c r="M85" t="s">
        <v>762</v>
      </c>
      <c r="N85">
        <v>0.02</v>
      </c>
      <c r="R85" t="s">
        <v>1004</v>
      </c>
      <c r="S85" t="s">
        <v>1004</v>
      </c>
      <c r="Z85" t="s">
        <v>116</v>
      </c>
      <c r="AE85" t="s">
        <v>50</v>
      </c>
      <c r="AH85">
        <v>11</v>
      </c>
      <c r="AM85">
        <v>43465</v>
      </c>
      <c r="AN85">
        <v>43469.451388888891</v>
      </c>
      <c r="AO85" s="2">
        <f t="shared" si="11"/>
        <v>31</v>
      </c>
      <c r="AP85" s="2">
        <f t="shared" si="12"/>
        <v>31</v>
      </c>
      <c r="AQ85" s="3">
        <f t="shared" si="13"/>
        <v>0</v>
      </c>
      <c r="AR85" s="1" t="str">
        <f>INDEX(IOS!$B:$B,MATCH(D85,IOS!A:A,0))&amp;B85</f>
        <v>I.U.5</v>
      </c>
      <c r="AS85" s="1">
        <f t="shared" si="14"/>
        <v>0</v>
      </c>
      <c r="AT85" s="1" t="str">
        <f>IF(ISBLANK(W85),"",IF(ISERROR(MATCH(W85,HQLATABLE!$A:$A,0)),0,1))</f>
        <v/>
      </c>
      <c r="AU85" s="1" t="str">
        <f t="shared" si="15"/>
        <v>Blank</v>
      </c>
      <c r="AV85" s="1" t="str">
        <f t="shared" si="16"/>
        <v>Blank</v>
      </c>
      <c r="AW85" s="1">
        <f t="shared" si="17"/>
        <v>0</v>
      </c>
      <c r="AX85" s="1" t="str">
        <f t="shared" si="18"/>
        <v>Blank</v>
      </c>
      <c r="AY85" s="1"/>
      <c r="AZ85" s="1">
        <f>IF(COUNTIFS('PID CHECK'!$B:$B,AR85)=1,0,IF(COUNTIFS(AR$1:AR84,AR85)=1,0,1))</f>
        <v>0</v>
      </c>
      <c r="BA85" s="1"/>
      <c r="BB85" s="1"/>
    </row>
    <row r="86" spans="1:54">
      <c r="A86">
        <v>85</v>
      </c>
      <c r="B86" t="s">
        <v>111</v>
      </c>
      <c r="C86" t="s">
        <v>112</v>
      </c>
      <c r="D86" t="s">
        <v>66</v>
      </c>
      <c r="E86" t="s">
        <v>47</v>
      </c>
      <c r="F86" t="s">
        <v>50</v>
      </c>
      <c r="H86" t="s">
        <v>77</v>
      </c>
      <c r="J86" t="s">
        <v>49</v>
      </c>
      <c r="K86" t="s">
        <v>50</v>
      </c>
      <c r="L86" t="s">
        <v>762</v>
      </c>
      <c r="M86" t="s">
        <v>762</v>
      </c>
      <c r="N86">
        <v>6.45</v>
      </c>
      <c r="R86" t="s">
        <v>77</v>
      </c>
      <c r="S86" t="s">
        <v>762</v>
      </c>
      <c r="Z86" t="s">
        <v>116</v>
      </c>
      <c r="AE86" t="s">
        <v>50</v>
      </c>
      <c r="AH86">
        <v>11</v>
      </c>
      <c r="AM86">
        <v>43465</v>
      </c>
      <c r="AN86">
        <v>43469.451388888891</v>
      </c>
      <c r="AO86" s="2">
        <f t="shared" si="11"/>
        <v>1827</v>
      </c>
      <c r="AP86" s="2">
        <f t="shared" si="12"/>
        <v>99999</v>
      </c>
      <c r="AQ86" s="3">
        <f t="shared" si="13"/>
        <v>0</v>
      </c>
      <c r="AR86" s="1" t="str">
        <f>INDEX(IOS!$B:$B,MATCH(D86,IOS!A:A,0))&amp;B86</f>
        <v>I.U.6</v>
      </c>
      <c r="AS86" s="1">
        <f t="shared" si="14"/>
        <v>0</v>
      </c>
      <c r="AT86" s="1" t="str">
        <f>IF(ISBLANK(W86),"",IF(ISERROR(MATCH(W86,HQLATABLE!$A:$A,0)),0,1))</f>
        <v/>
      </c>
      <c r="AU86" s="1" t="str">
        <f t="shared" si="15"/>
        <v>Blank</v>
      </c>
      <c r="AV86" s="1" t="str">
        <f t="shared" si="16"/>
        <v>Blank</v>
      </c>
      <c r="AW86" s="1">
        <f t="shared" si="17"/>
        <v>0</v>
      </c>
      <c r="AX86" s="1" t="str">
        <f t="shared" si="18"/>
        <v>Blank</v>
      </c>
      <c r="AY86" s="1"/>
      <c r="AZ86" s="1">
        <f>IF(COUNTIFS('PID CHECK'!$B:$B,AR86)=1,0,IF(COUNTIFS(AR$1:AR85,AR86)=1,0,1))</f>
        <v>0</v>
      </c>
      <c r="BA86" s="1"/>
      <c r="BB86" s="1"/>
    </row>
    <row r="87" spans="1:54">
      <c r="A87">
        <v>86</v>
      </c>
      <c r="B87" t="s">
        <v>111</v>
      </c>
      <c r="C87" t="s">
        <v>112</v>
      </c>
      <c r="D87" t="s">
        <v>66</v>
      </c>
      <c r="E87" t="s">
        <v>47</v>
      </c>
      <c r="F87" t="s">
        <v>50</v>
      </c>
      <c r="H87" t="s">
        <v>1026</v>
      </c>
      <c r="J87" t="s">
        <v>49</v>
      </c>
      <c r="K87" t="s">
        <v>50</v>
      </c>
      <c r="L87" t="s">
        <v>762</v>
      </c>
      <c r="M87" t="s">
        <v>762</v>
      </c>
      <c r="N87">
        <v>0.02</v>
      </c>
      <c r="R87" t="s">
        <v>1027</v>
      </c>
      <c r="S87" t="s">
        <v>1027</v>
      </c>
      <c r="Z87" t="s">
        <v>116</v>
      </c>
      <c r="AE87" t="s">
        <v>50</v>
      </c>
      <c r="AH87">
        <v>11</v>
      </c>
      <c r="AM87">
        <v>43465</v>
      </c>
      <c r="AN87">
        <v>43469.451388888891</v>
      </c>
      <c r="AO87" s="2">
        <f t="shared" si="11"/>
        <v>30</v>
      </c>
      <c r="AP87" s="2">
        <f t="shared" si="12"/>
        <v>30</v>
      </c>
      <c r="AQ87" s="3">
        <f t="shared" si="13"/>
        <v>1</v>
      </c>
      <c r="AR87" s="1" t="str">
        <f>INDEX(IOS!$B:$B,MATCH(D87,IOS!A:A,0))&amp;B87</f>
        <v>I.U.6</v>
      </c>
      <c r="AS87" s="1">
        <f t="shared" si="14"/>
        <v>0</v>
      </c>
      <c r="AT87" s="1" t="str">
        <f>IF(ISBLANK(W87),"",IF(ISERROR(MATCH(W87,HQLATABLE!$A:$A,0)),0,1))</f>
        <v/>
      </c>
      <c r="AU87" s="1" t="str">
        <f t="shared" si="15"/>
        <v>Blank</v>
      </c>
      <c r="AV87" s="1" t="str">
        <f t="shared" si="16"/>
        <v>Blank</v>
      </c>
      <c r="AW87" s="1">
        <f t="shared" si="17"/>
        <v>0</v>
      </c>
      <c r="AX87" s="1" t="str">
        <f t="shared" si="18"/>
        <v>Blank</v>
      </c>
      <c r="AY87" s="1"/>
      <c r="AZ87" s="1">
        <f>IF(COUNTIFS('PID CHECK'!$B:$B,AR87)=1,0,IF(COUNTIFS(AR$1:AR86,AR87)=1,0,1))</f>
        <v>0</v>
      </c>
      <c r="BA87" s="1"/>
      <c r="BB87" s="1"/>
    </row>
    <row r="88" spans="1:54">
      <c r="A88">
        <v>87</v>
      </c>
      <c r="B88" t="s">
        <v>44</v>
      </c>
      <c r="C88" t="s">
        <v>117</v>
      </c>
      <c r="D88" t="s">
        <v>66</v>
      </c>
      <c r="E88" t="s">
        <v>47</v>
      </c>
      <c r="F88" t="s">
        <v>50</v>
      </c>
      <c r="H88" t="s">
        <v>48</v>
      </c>
      <c r="J88" t="s">
        <v>49</v>
      </c>
      <c r="K88" t="s">
        <v>50</v>
      </c>
      <c r="L88" t="s">
        <v>762</v>
      </c>
      <c r="M88" t="s">
        <v>762</v>
      </c>
      <c r="N88">
        <v>2.15</v>
      </c>
      <c r="R88" t="s">
        <v>51</v>
      </c>
      <c r="S88" t="s">
        <v>52</v>
      </c>
      <c r="Z88" t="s">
        <v>759</v>
      </c>
      <c r="AE88" t="s">
        <v>50</v>
      </c>
      <c r="AH88">
        <v>10</v>
      </c>
      <c r="AM88">
        <v>43465</v>
      </c>
      <c r="AN88">
        <v>43469.451388888891</v>
      </c>
      <c r="AO88" s="2">
        <f t="shared" si="11"/>
        <v>0</v>
      </c>
      <c r="AP88" s="2">
        <f t="shared" si="12"/>
        <v>0</v>
      </c>
      <c r="AQ88" s="3">
        <f t="shared" si="13"/>
        <v>1</v>
      </c>
      <c r="AR88" s="1" t="str">
        <f>INDEX(IOS!$B:$B,MATCH(D88,IOS!A:A,0))&amp;B88</f>
        <v>I.U.4</v>
      </c>
      <c r="AS88" s="1">
        <f t="shared" si="14"/>
        <v>0</v>
      </c>
      <c r="AT88" s="1" t="str">
        <f>IF(ISBLANK(W88),"",IF(ISERROR(MATCH(W88,HQLATABLE!$A:$A,0)),0,1))</f>
        <v/>
      </c>
      <c r="AU88" s="1" t="str">
        <f t="shared" si="15"/>
        <v>Blank</v>
      </c>
      <c r="AV88" s="1" t="str">
        <f t="shared" si="16"/>
        <v>Blank</v>
      </c>
      <c r="AW88" s="1">
        <f t="shared" si="17"/>
        <v>0</v>
      </c>
      <c r="AX88" s="1" t="str">
        <f t="shared" si="18"/>
        <v>Blank</v>
      </c>
      <c r="AY88" s="1"/>
      <c r="AZ88" s="1">
        <f>IF(COUNTIFS('PID CHECK'!$B:$B,AR88)=1,0,IF(COUNTIFS(AR$1:AR87,AR88)=1,0,1))</f>
        <v>0</v>
      </c>
      <c r="BA88" s="1"/>
      <c r="BB88" s="1"/>
    </row>
    <row r="89" spans="1:54">
      <c r="A89">
        <v>88</v>
      </c>
      <c r="B89" t="s">
        <v>44</v>
      </c>
      <c r="C89" t="s">
        <v>117</v>
      </c>
      <c r="D89" t="s">
        <v>66</v>
      </c>
      <c r="E89" t="s">
        <v>47</v>
      </c>
      <c r="F89" t="s">
        <v>50</v>
      </c>
      <c r="H89" t="s">
        <v>48</v>
      </c>
      <c r="J89" t="s">
        <v>49</v>
      </c>
      <c r="K89" t="s">
        <v>53</v>
      </c>
      <c r="L89" t="s">
        <v>762</v>
      </c>
      <c r="M89" t="s">
        <v>762</v>
      </c>
      <c r="N89">
        <v>0.09</v>
      </c>
      <c r="R89" t="s">
        <v>51</v>
      </c>
      <c r="S89" t="s">
        <v>52</v>
      </c>
      <c r="Z89" t="s">
        <v>759</v>
      </c>
      <c r="AE89" t="s">
        <v>50</v>
      </c>
      <c r="AH89">
        <v>10</v>
      </c>
      <c r="AM89">
        <v>43465</v>
      </c>
      <c r="AN89">
        <v>43469.451388888891</v>
      </c>
      <c r="AO89" s="2">
        <f t="shared" si="11"/>
        <v>0</v>
      </c>
      <c r="AP89" s="2">
        <f t="shared" si="12"/>
        <v>0</v>
      </c>
      <c r="AQ89" s="3">
        <f t="shared" si="13"/>
        <v>1</v>
      </c>
      <c r="AR89" s="1" t="str">
        <f>INDEX(IOS!$B:$B,MATCH(D89,IOS!A:A,0))&amp;B89</f>
        <v>I.U.4</v>
      </c>
      <c r="AS89" s="1">
        <f t="shared" si="14"/>
        <v>0</v>
      </c>
      <c r="AT89" s="1" t="str">
        <f>IF(ISBLANK(W89),"",IF(ISERROR(MATCH(W89,HQLATABLE!$A:$A,0)),0,1))</f>
        <v/>
      </c>
      <c r="AU89" s="1" t="str">
        <f t="shared" si="15"/>
        <v>Blank</v>
      </c>
      <c r="AV89" s="1" t="str">
        <f t="shared" si="16"/>
        <v>Blank</v>
      </c>
      <c r="AW89" s="1">
        <f t="shared" si="17"/>
        <v>0</v>
      </c>
      <c r="AX89" s="1" t="str">
        <f t="shared" si="18"/>
        <v>Blank</v>
      </c>
      <c r="AY89" s="1"/>
      <c r="AZ89" s="1">
        <f>IF(COUNTIFS('PID CHECK'!$B:$B,AR89)=1,0,IF(COUNTIFS(AR$1:AR88,AR89)=1,0,1))</f>
        <v>0</v>
      </c>
      <c r="BA89" s="1"/>
      <c r="BB89" s="1"/>
    </row>
    <row r="90" spans="1:54">
      <c r="A90">
        <v>89</v>
      </c>
      <c r="B90" t="s">
        <v>44</v>
      </c>
      <c r="C90" t="s">
        <v>117</v>
      </c>
      <c r="D90" t="s">
        <v>66</v>
      </c>
      <c r="E90" t="s">
        <v>47</v>
      </c>
      <c r="F90" t="s">
        <v>53</v>
      </c>
      <c r="H90" t="s">
        <v>48</v>
      </c>
      <c r="J90" t="s">
        <v>49</v>
      </c>
      <c r="K90" t="s">
        <v>53</v>
      </c>
      <c r="L90" t="s">
        <v>762</v>
      </c>
      <c r="M90" t="s">
        <v>762</v>
      </c>
      <c r="N90">
        <v>0.4</v>
      </c>
      <c r="R90" t="s">
        <v>51</v>
      </c>
      <c r="S90" t="s">
        <v>52</v>
      </c>
      <c r="Z90" t="s">
        <v>759</v>
      </c>
      <c r="AB90" t="s">
        <v>114</v>
      </c>
      <c r="AE90" t="s">
        <v>50</v>
      </c>
      <c r="AH90">
        <v>10</v>
      </c>
      <c r="AM90">
        <v>43465</v>
      </c>
      <c r="AN90">
        <v>43469.451388888891</v>
      </c>
      <c r="AO90" s="2">
        <f t="shared" si="11"/>
        <v>0</v>
      </c>
      <c r="AP90" s="2">
        <f t="shared" si="12"/>
        <v>0</v>
      </c>
      <c r="AQ90" s="3">
        <f t="shared" si="13"/>
        <v>1</v>
      </c>
      <c r="AR90" s="1" t="str">
        <f>INDEX(IOS!$B:$B,MATCH(D90,IOS!A:A,0))&amp;B90</f>
        <v>I.U.4</v>
      </c>
      <c r="AS90" s="1">
        <f t="shared" si="14"/>
        <v>1</v>
      </c>
      <c r="AT90" s="1" t="str">
        <f>IF(ISBLANK(W90),"",IF(ISERROR(MATCH(W90,HQLATABLE!$A:$A,0)),0,1))</f>
        <v/>
      </c>
      <c r="AU90" s="1" t="str">
        <f t="shared" si="15"/>
        <v>Blank</v>
      </c>
      <c r="AV90" s="1" t="str">
        <f t="shared" si="16"/>
        <v>Blank</v>
      </c>
      <c r="AW90" s="1">
        <f t="shared" si="17"/>
        <v>0</v>
      </c>
      <c r="AX90" s="1" t="str">
        <f t="shared" si="18"/>
        <v>Blank</v>
      </c>
      <c r="AY90" s="1"/>
      <c r="AZ90" s="1">
        <f>IF(COUNTIFS('PID CHECK'!$B:$B,AR90)=1,0,IF(COUNTIFS(AR$1:AR89,AR90)=1,0,1))</f>
        <v>0</v>
      </c>
      <c r="BA90" s="1"/>
      <c r="BB90" s="1"/>
    </row>
    <row r="91" spans="1:54">
      <c r="A91">
        <v>90</v>
      </c>
      <c r="B91" t="s">
        <v>44</v>
      </c>
      <c r="C91" t="s">
        <v>117</v>
      </c>
      <c r="D91" t="s">
        <v>66</v>
      </c>
      <c r="E91" t="s">
        <v>47</v>
      </c>
      <c r="F91" t="s">
        <v>53</v>
      </c>
      <c r="H91" t="s">
        <v>48</v>
      </c>
      <c r="J91" t="s">
        <v>49</v>
      </c>
      <c r="K91" t="s">
        <v>53</v>
      </c>
      <c r="L91" t="s">
        <v>762</v>
      </c>
      <c r="M91" t="s">
        <v>762</v>
      </c>
      <c r="N91">
        <v>50.12</v>
      </c>
      <c r="R91" t="s">
        <v>51</v>
      </c>
      <c r="S91" t="s">
        <v>52</v>
      </c>
      <c r="Z91" t="s">
        <v>759</v>
      </c>
      <c r="AB91" t="s">
        <v>78</v>
      </c>
      <c r="AE91" t="s">
        <v>50</v>
      </c>
      <c r="AH91">
        <v>10</v>
      </c>
      <c r="AM91">
        <v>43465</v>
      </c>
      <c r="AN91">
        <v>43469.451388888891</v>
      </c>
      <c r="AO91" s="2">
        <f t="shared" si="11"/>
        <v>0</v>
      </c>
      <c r="AP91" s="2">
        <f t="shared" si="12"/>
        <v>0</v>
      </c>
      <c r="AQ91" s="3">
        <f t="shared" si="13"/>
        <v>1</v>
      </c>
      <c r="AR91" s="1" t="str">
        <f>INDEX(IOS!$B:$B,MATCH(D91,IOS!A:A,0))&amp;B91</f>
        <v>I.U.4</v>
      </c>
      <c r="AS91" s="1">
        <f t="shared" si="14"/>
        <v>1</v>
      </c>
      <c r="AT91" s="1" t="str">
        <f>IF(ISBLANK(W91),"",IF(ISERROR(MATCH(W91,HQLATABLE!$A:$A,0)),0,1))</f>
        <v/>
      </c>
      <c r="AU91" s="1" t="str">
        <f t="shared" si="15"/>
        <v>Blank</v>
      </c>
      <c r="AV91" s="1" t="str">
        <f t="shared" si="16"/>
        <v>Blank</v>
      </c>
      <c r="AW91" s="1">
        <f t="shared" si="17"/>
        <v>0</v>
      </c>
      <c r="AX91" s="1" t="str">
        <f t="shared" si="18"/>
        <v>Blank</v>
      </c>
      <c r="AY91" s="1"/>
      <c r="AZ91" s="1">
        <f>IF(COUNTIFS('PID CHECK'!$B:$B,AR91)=1,0,IF(COUNTIFS(AR$1:AR90,AR91)=1,0,1))</f>
        <v>0</v>
      </c>
      <c r="BA91" s="1"/>
      <c r="BB91" s="1"/>
    </row>
    <row r="92" spans="1:54">
      <c r="A92">
        <v>91</v>
      </c>
      <c r="B92" t="s">
        <v>44</v>
      </c>
      <c r="C92" t="s">
        <v>117</v>
      </c>
      <c r="D92" t="s">
        <v>66</v>
      </c>
      <c r="E92" t="s">
        <v>47</v>
      </c>
      <c r="F92" t="s">
        <v>53</v>
      </c>
      <c r="H92" t="s">
        <v>48</v>
      </c>
      <c r="J92" t="s">
        <v>49</v>
      </c>
      <c r="K92" t="s">
        <v>53</v>
      </c>
      <c r="L92" t="s">
        <v>762</v>
      </c>
      <c r="M92" t="s">
        <v>762</v>
      </c>
      <c r="N92">
        <v>2.71</v>
      </c>
      <c r="R92" t="s">
        <v>51</v>
      </c>
      <c r="S92" t="s">
        <v>52</v>
      </c>
      <c r="Z92" t="s">
        <v>759</v>
      </c>
      <c r="AB92" t="s">
        <v>115</v>
      </c>
      <c r="AE92" t="s">
        <v>50</v>
      </c>
      <c r="AH92">
        <v>10</v>
      </c>
      <c r="AM92">
        <v>43465</v>
      </c>
      <c r="AN92">
        <v>43469.451388888891</v>
      </c>
      <c r="AO92" s="2">
        <f t="shared" si="11"/>
        <v>0</v>
      </c>
      <c r="AP92" s="2">
        <f t="shared" si="12"/>
        <v>0</v>
      </c>
      <c r="AQ92" s="3">
        <f t="shared" si="13"/>
        <v>1</v>
      </c>
      <c r="AR92" s="1" t="str">
        <f>INDEX(IOS!$B:$B,MATCH(D92,IOS!A:A,0))&amp;B92</f>
        <v>I.U.4</v>
      </c>
      <c r="AS92" s="1">
        <f t="shared" si="14"/>
        <v>1</v>
      </c>
      <c r="AT92" s="1" t="str">
        <f>IF(ISBLANK(W92),"",IF(ISERROR(MATCH(W92,HQLATABLE!$A:$A,0)),0,1))</f>
        <v/>
      </c>
      <c r="AU92" s="1" t="str">
        <f t="shared" si="15"/>
        <v>Blank</v>
      </c>
      <c r="AV92" s="1" t="str">
        <f t="shared" si="16"/>
        <v>Blank</v>
      </c>
      <c r="AW92" s="1">
        <f t="shared" si="17"/>
        <v>0</v>
      </c>
      <c r="AX92" s="1" t="str">
        <f t="shared" si="18"/>
        <v>Blank</v>
      </c>
      <c r="AY92" s="1"/>
      <c r="AZ92" s="1">
        <f>IF(COUNTIFS('PID CHECK'!$B:$B,AR92)=1,0,IF(COUNTIFS(AR$1:AR91,AR92)=1,0,1))</f>
        <v>0</v>
      </c>
      <c r="BA92" s="1"/>
      <c r="BB92" s="1"/>
    </row>
    <row r="93" spans="1:54">
      <c r="A93">
        <v>92</v>
      </c>
      <c r="B93" t="s">
        <v>44</v>
      </c>
      <c r="C93" t="s">
        <v>117</v>
      </c>
      <c r="D93" t="s">
        <v>66</v>
      </c>
      <c r="E93" t="s">
        <v>47</v>
      </c>
      <c r="F93" t="s">
        <v>53</v>
      </c>
      <c r="H93" t="s">
        <v>48</v>
      </c>
      <c r="J93" t="s">
        <v>49</v>
      </c>
      <c r="K93" t="s">
        <v>53</v>
      </c>
      <c r="L93" t="s">
        <v>762</v>
      </c>
      <c r="M93" t="s">
        <v>762</v>
      </c>
      <c r="N93">
        <v>0.14000000000000001</v>
      </c>
      <c r="R93" t="s">
        <v>51</v>
      </c>
      <c r="S93" t="s">
        <v>52</v>
      </c>
      <c r="Z93" t="s">
        <v>759</v>
      </c>
      <c r="AB93" t="s">
        <v>76</v>
      </c>
      <c r="AE93" t="s">
        <v>50</v>
      </c>
      <c r="AH93">
        <v>10</v>
      </c>
      <c r="AM93">
        <v>43465</v>
      </c>
      <c r="AN93">
        <v>43469.451388888891</v>
      </c>
      <c r="AO93" s="2">
        <f t="shared" si="11"/>
        <v>0</v>
      </c>
      <c r="AP93" s="2">
        <f t="shared" si="12"/>
        <v>0</v>
      </c>
      <c r="AQ93" s="3">
        <f t="shared" si="13"/>
        <v>1</v>
      </c>
      <c r="AR93" s="1" t="str">
        <f>INDEX(IOS!$B:$B,MATCH(D93,IOS!A:A,0))&amp;B93</f>
        <v>I.U.4</v>
      </c>
      <c r="AS93" s="1">
        <f t="shared" si="14"/>
        <v>1</v>
      </c>
      <c r="AT93" s="1" t="str">
        <f>IF(ISBLANK(W93),"",IF(ISERROR(MATCH(W93,HQLATABLE!$A:$A,0)),0,1))</f>
        <v/>
      </c>
      <c r="AU93" s="1" t="str">
        <f t="shared" si="15"/>
        <v>Blank</v>
      </c>
      <c r="AV93" s="1" t="str">
        <f t="shared" si="16"/>
        <v>Blank</v>
      </c>
      <c r="AW93" s="1">
        <f t="shared" si="17"/>
        <v>0</v>
      </c>
      <c r="AX93" s="1" t="str">
        <f t="shared" si="18"/>
        <v>Blank</v>
      </c>
      <c r="AY93" s="1"/>
      <c r="AZ93" s="1">
        <f>IF(COUNTIFS('PID CHECK'!$B:$B,AR93)=1,0,IF(COUNTIFS(AR$1:AR92,AR93)=1,0,1))</f>
        <v>0</v>
      </c>
      <c r="BA93" s="1"/>
      <c r="BB93" s="1"/>
    </row>
    <row r="94" spans="1:54">
      <c r="A94">
        <v>93</v>
      </c>
      <c r="B94" t="s">
        <v>44</v>
      </c>
      <c r="C94" t="s">
        <v>117</v>
      </c>
      <c r="D94" t="s">
        <v>66</v>
      </c>
      <c r="E94" t="s">
        <v>47</v>
      </c>
      <c r="F94" t="s">
        <v>50</v>
      </c>
      <c r="H94" t="s">
        <v>48</v>
      </c>
      <c r="J94" t="s">
        <v>49</v>
      </c>
      <c r="K94" t="s">
        <v>50</v>
      </c>
      <c r="L94" t="s">
        <v>762</v>
      </c>
      <c r="M94" t="s">
        <v>762</v>
      </c>
      <c r="N94">
        <v>0.06</v>
      </c>
      <c r="R94" t="s">
        <v>51</v>
      </c>
      <c r="S94" t="s">
        <v>52</v>
      </c>
      <c r="Z94" t="s">
        <v>116</v>
      </c>
      <c r="AE94" t="s">
        <v>50</v>
      </c>
      <c r="AH94">
        <v>11</v>
      </c>
      <c r="AM94">
        <v>43465</v>
      </c>
      <c r="AN94">
        <v>43469.451388888891</v>
      </c>
      <c r="AO94" s="2">
        <f t="shared" si="11"/>
        <v>0</v>
      </c>
      <c r="AP94" s="2">
        <f t="shared" si="12"/>
        <v>0</v>
      </c>
      <c r="AQ94" s="3">
        <f t="shared" si="13"/>
        <v>1</v>
      </c>
      <c r="AR94" s="1" t="str">
        <f>INDEX(IOS!$B:$B,MATCH(D94,IOS!A:A,0))&amp;B94</f>
        <v>I.U.4</v>
      </c>
      <c r="AS94" s="1">
        <f t="shared" si="14"/>
        <v>0</v>
      </c>
      <c r="AT94" s="1" t="str">
        <f>IF(ISBLANK(W94),"",IF(ISERROR(MATCH(W94,HQLATABLE!$A:$A,0)),0,1))</f>
        <v/>
      </c>
      <c r="AU94" s="1" t="str">
        <f t="shared" si="15"/>
        <v>Blank</v>
      </c>
      <c r="AV94" s="1" t="str">
        <f t="shared" si="16"/>
        <v>Blank</v>
      </c>
      <c r="AW94" s="1">
        <f t="shared" si="17"/>
        <v>0</v>
      </c>
      <c r="AX94" s="1" t="str">
        <f t="shared" si="18"/>
        <v>Blank</v>
      </c>
      <c r="AY94" s="1"/>
      <c r="AZ94" s="1">
        <f>IF(COUNTIFS('PID CHECK'!$B:$B,AR94)=1,0,IF(COUNTIFS(AR$1:AR93,AR94)=1,0,1))</f>
        <v>0</v>
      </c>
      <c r="BA94" s="1"/>
      <c r="BB94" s="1"/>
    </row>
    <row r="95" spans="1:54">
      <c r="A95">
        <v>94</v>
      </c>
      <c r="B95" t="s">
        <v>118</v>
      </c>
      <c r="C95" t="s">
        <v>119</v>
      </c>
      <c r="D95" t="s">
        <v>120</v>
      </c>
      <c r="E95" t="s">
        <v>47</v>
      </c>
      <c r="F95" t="s">
        <v>50</v>
      </c>
      <c r="H95" t="s">
        <v>77</v>
      </c>
      <c r="J95" t="s">
        <v>49</v>
      </c>
      <c r="K95" t="s">
        <v>50</v>
      </c>
      <c r="L95" t="s">
        <v>762</v>
      </c>
      <c r="M95" t="s">
        <v>762</v>
      </c>
      <c r="N95">
        <v>619.04999999999995</v>
      </c>
      <c r="R95" t="s">
        <v>77</v>
      </c>
      <c r="S95" t="s">
        <v>762</v>
      </c>
      <c r="V95" t="s">
        <v>50</v>
      </c>
      <c r="W95" t="s">
        <v>64</v>
      </c>
      <c r="X95">
        <v>619050526.02135897</v>
      </c>
      <c r="Y95" t="s">
        <v>49</v>
      </c>
      <c r="Z95" t="s">
        <v>116</v>
      </c>
      <c r="AE95" t="s">
        <v>50</v>
      </c>
      <c r="AF95" t="s">
        <v>121</v>
      </c>
      <c r="AG95" t="s">
        <v>53</v>
      </c>
      <c r="AH95">
        <v>11</v>
      </c>
      <c r="AM95">
        <v>43465</v>
      </c>
      <c r="AN95">
        <v>43469</v>
      </c>
      <c r="AO95" s="2">
        <f t="shared" si="11"/>
        <v>1827</v>
      </c>
      <c r="AP95" s="2">
        <f t="shared" si="12"/>
        <v>99999</v>
      </c>
      <c r="AQ95" s="3">
        <f t="shared" si="13"/>
        <v>0</v>
      </c>
      <c r="AR95" s="1" t="str">
        <f>INDEX(IOS!$B:$B,MATCH(D95,IOS!A:A,0))&amp;B95</f>
        <v>I.S.7</v>
      </c>
      <c r="AS95" s="1">
        <f t="shared" si="14"/>
        <v>0</v>
      </c>
      <c r="AT95" s="1">
        <f>IF(ISBLANK(W95),"",IF(ISERROR(MATCH(W95,HQLATABLE!$A:$A,0)),0,1))</f>
        <v>0</v>
      </c>
      <c r="AU95" s="1">
        <f t="shared" si="15"/>
        <v>0</v>
      </c>
      <c r="AV95" s="1">
        <f t="shared" si="16"/>
        <v>1</v>
      </c>
      <c r="AW95" s="1">
        <f t="shared" si="17"/>
        <v>-1</v>
      </c>
      <c r="AX95" s="1" t="str">
        <f t="shared" si="18"/>
        <v>Blank</v>
      </c>
      <c r="AY95" s="1"/>
      <c r="AZ95" s="1">
        <f>IF(COUNTIFS('PID CHECK'!$B:$B,AR95)=1,0,IF(COUNTIFS(AR$1:AR94,AR95)=1,0,1))</f>
        <v>0</v>
      </c>
      <c r="BA95" s="1"/>
      <c r="BB95" s="1"/>
    </row>
    <row r="96" spans="1:54">
      <c r="A96">
        <v>95</v>
      </c>
      <c r="B96" t="s">
        <v>118</v>
      </c>
      <c r="C96" t="s">
        <v>119</v>
      </c>
      <c r="D96" t="s">
        <v>120</v>
      </c>
      <c r="E96" t="s">
        <v>47</v>
      </c>
      <c r="F96" t="s">
        <v>50</v>
      </c>
      <c r="H96" t="s">
        <v>77</v>
      </c>
      <c r="J96" t="s">
        <v>49</v>
      </c>
      <c r="K96" t="s">
        <v>50</v>
      </c>
      <c r="L96" t="s">
        <v>762</v>
      </c>
      <c r="M96" t="s">
        <v>762</v>
      </c>
      <c r="N96">
        <v>11753.7</v>
      </c>
      <c r="R96" t="s">
        <v>77</v>
      </c>
      <c r="S96" t="s">
        <v>762</v>
      </c>
      <c r="V96" t="s">
        <v>50</v>
      </c>
      <c r="W96" t="s">
        <v>64</v>
      </c>
      <c r="X96">
        <v>12555317747.36294</v>
      </c>
      <c r="Y96" t="s">
        <v>49</v>
      </c>
      <c r="Z96" t="s">
        <v>84</v>
      </c>
      <c r="AE96" t="s">
        <v>50</v>
      </c>
      <c r="AF96" t="s">
        <v>121</v>
      </c>
      <c r="AG96" t="s">
        <v>53</v>
      </c>
      <c r="AH96">
        <v>3</v>
      </c>
      <c r="AM96">
        <v>43465</v>
      </c>
      <c r="AN96">
        <v>43469</v>
      </c>
      <c r="AO96" s="2">
        <f t="shared" si="11"/>
        <v>1827</v>
      </c>
      <c r="AP96" s="2">
        <f t="shared" si="12"/>
        <v>99999</v>
      </c>
      <c r="AQ96" s="3">
        <f t="shared" si="13"/>
        <v>0</v>
      </c>
      <c r="AR96" s="1" t="str">
        <f>INDEX(IOS!$B:$B,MATCH(D96,IOS!A:A,0))&amp;B96</f>
        <v>I.S.7</v>
      </c>
      <c r="AS96" s="1">
        <f t="shared" si="14"/>
        <v>0</v>
      </c>
      <c r="AT96" s="1">
        <f>IF(ISBLANK(W96),"",IF(ISERROR(MATCH(W96,HQLATABLE!$A:$A,0)),0,1))</f>
        <v>0</v>
      </c>
      <c r="AU96" s="1">
        <f t="shared" si="15"/>
        <v>0</v>
      </c>
      <c r="AV96" s="1">
        <f t="shared" si="16"/>
        <v>1</v>
      </c>
      <c r="AW96" s="1">
        <f t="shared" si="17"/>
        <v>-1</v>
      </c>
      <c r="AX96" s="1" t="str">
        <f t="shared" si="18"/>
        <v>Blank</v>
      </c>
      <c r="AY96" s="1"/>
      <c r="AZ96" s="1">
        <f>IF(COUNTIFS('PID CHECK'!$B:$B,AR96)=1,0,IF(COUNTIFS(AR$1:AR95,AR96)=1,0,1))</f>
        <v>0</v>
      </c>
      <c r="BA96" s="1"/>
      <c r="BB96" s="1"/>
    </row>
    <row r="97" spans="1:54">
      <c r="A97">
        <v>96</v>
      </c>
      <c r="B97" t="s">
        <v>118</v>
      </c>
      <c r="C97" t="s">
        <v>119</v>
      </c>
      <c r="D97" t="s">
        <v>120</v>
      </c>
      <c r="E97" t="s">
        <v>47</v>
      </c>
      <c r="F97" t="s">
        <v>50</v>
      </c>
      <c r="H97" t="s">
        <v>1026</v>
      </c>
      <c r="J97" t="s">
        <v>49</v>
      </c>
      <c r="K97" t="s">
        <v>50</v>
      </c>
      <c r="L97" t="s">
        <v>762</v>
      </c>
      <c r="M97" t="s">
        <v>762</v>
      </c>
      <c r="N97">
        <v>0.35</v>
      </c>
      <c r="R97" t="s">
        <v>1027</v>
      </c>
      <c r="S97" t="s">
        <v>1027</v>
      </c>
      <c r="V97" t="s">
        <v>50</v>
      </c>
      <c r="W97" t="s">
        <v>64</v>
      </c>
      <c r="X97">
        <v>345510.97606700001</v>
      </c>
      <c r="Y97" t="s">
        <v>49</v>
      </c>
      <c r="Z97" t="s">
        <v>122</v>
      </c>
      <c r="AE97" t="s">
        <v>50</v>
      </c>
      <c r="AF97" t="s">
        <v>121</v>
      </c>
      <c r="AG97" t="s">
        <v>53</v>
      </c>
      <c r="AH97">
        <v>1</v>
      </c>
      <c r="AM97">
        <v>43465</v>
      </c>
      <c r="AN97">
        <v>43469</v>
      </c>
      <c r="AO97" s="2">
        <f t="shared" si="11"/>
        <v>30</v>
      </c>
      <c r="AP97" s="2">
        <f t="shared" si="12"/>
        <v>30</v>
      </c>
      <c r="AQ97" s="3">
        <f t="shared" si="13"/>
        <v>1</v>
      </c>
      <c r="AR97" s="1" t="str">
        <f>INDEX(IOS!$B:$B,MATCH(D97,IOS!A:A,0))&amp;B97</f>
        <v>I.S.7</v>
      </c>
      <c r="AS97" s="1">
        <f t="shared" si="14"/>
        <v>0</v>
      </c>
      <c r="AT97" s="1">
        <f>IF(ISBLANK(W97),"",IF(ISERROR(MATCH(W97,HQLATABLE!$A:$A,0)),0,1))</f>
        <v>0</v>
      </c>
      <c r="AU97" s="1">
        <f t="shared" si="15"/>
        <v>0</v>
      </c>
      <c r="AV97" s="1">
        <f t="shared" si="16"/>
        <v>1</v>
      </c>
      <c r="AW97" s="1">
        <f t="shared" si="17"/>
        <v>-1</v>
      </c>
      <c r="AX97" s="1" t="str">
        <f t="shared" si="18"/>
        <v>Blank</v>
      </c>
      <c r="AY97" s="1"/>
      <c r="AZ97" s="1">
        <f>IF(COUNTIFS('PID CHECK'!$B:$B,AR97)=1,0,IF(COUNTIFS(AR$1:AR96,AR97)=1,0,1))</f>
        <v>0</v>
      </c>
      <c r="BA97" s="1"/>
      <c r="BB97" s="1"/>
    </row>
    <row r="98" spans="1:54">
      <c r="A98">
        <v>97</v>
      </c>
      <c r="B98" t="s">
        <v>118</v>
      </c>
      <c r="C98" t="s">
        <v>119</v>
      </c>
      <c r="D98" t="s">
        <v>120</v>
      </c>
      <c r="E98" t="s">
        <v>47</v>
      </c>
      <c r="F98" t="s">
        <v>50</v>
      </c>
      <c r="H98" t="s">
        <v>77</v>
      </c>
      <c r="J98" t="s">
        <v>49</v>
      </c>
      <c r="K98" t="s">
        <v>50</v>
      </c>
      <c r="L98" t="s">
        <v>762</v>
      </c>
      <c r="M98" t="s">
        <v>762</v>
      </c>
      <c r="N98">
        <v>54.73</v>
      </c>
      <c r="R98" t="s">
        <v>77</v>
      </c>
      <c r="S98" t="s">
        <v>762</v>
      </c>
      <c r="V98" t="s">
        <v>50</v>
      </c>
      <c r="W98" t="s">
        <v>64</v>
      </c>
      <c r="X98">
        <v>54726026.786886998</v>
      </c>
      <c r="Y98" t="s">
        <v>49</v>
      </c>
      <c r="Z98" t="s">
        <v>122</v>
      </c>
      <c r="AE98" t="s">
        <v>50</v>
      </c>
      <c r="AF98" t="s">
        <v>121</v>
      </c>
      <c r="AG98" t="s">
        <v>53</v>
      </c>
      <c r="AH98">
        <v>1</v>
      </c>
      <c r="AM98">
        <v>43465</v>
      </c>
      <c r="AN98">
        <v>43469</v>
      </c>
      <c r="AO98" s="2">
        <f t="shared" si="11"/>
        <v>1827</v>
      </c>
      <c r="AP98" s="2">
        <f t="shared" si="12"/>
        <v>99999</v>
      </c>
      <c r="AQ98" s="3">
        <f t="shared" si="13"/>
        <v>0</v>
      </c>
      <c r="AR98" s="1" t="str">
        <f>INDEX(IOS!$B:$B,MATCH(D98,IOS!A:A,0))&amp;B98</f>
        <v>I.S.7</v>
      </c>
      <c r="AS98" s="1">
        <f t="shared" si="14"/>
        <v>0</v>
      </c>
      <c r="AT98" s="1">
        <f>IF(ISBLANK(W98),"",IF(ISERROR(MATCH(W98,HQLATABLE!$A:$A,0)),0,1))</f>
        <v>0</v>
      </c>
      <c r="AU98" s="1">
        <f t="shared" si="15"/>
        <v>0</v>
      </c>
      <c r="AV98" s="1">
        <f t="shared" si="16"/>
        <v>1</v>
      </c>
      <c r="AW98" s="1">
        <f t="shared" si="17"/>
        <v>-1</v>
      </c>
      <c r="AX98" s="1" t="str">
        <f t="shared" si="18"/>
        <v>Blank</v>
      </c>
      <c r="AY98" s="1"/>
      <c r="AZ98" s="1">
        <f>IF(COUNTIFS('PID CHECK'!$B:$B,AR98)=1,0,IF(COUNTIFS(AR$1:AR97,AR98)=1,0,1))</f>
        <v>0</v>
      </c>
      <c r="BA98" s="1"/>
      <c r="BB98" s="1"/>
    </row>
    <row r="99" spans="1:54">
      <c r="A99">
        <v>98</v>
      </c>
      <c r="B99" t="s">
        <v>118</v>
      </c>
      <c r="C99" t="s">
        <v>119</v>
      </c>
      <c r="D99" t="s">
        <v>120</v>
      </c>
      <c r="E99" t="s">
        <v>47</v>
      </c>
      <c r="F99" t="s">
        <v>50</v>
      </c>
      <c r="H99" t="s">
        <v>1026</v>
      </c>
      <c r="J99" t="s">
        <v>49</v>
      </c>
      <c r="K99" t="s">
        <v>50</v>
      </c>
      <c r="L99" t="s">
        <v>762</v>
      </c>
      <c r="M99" t="s">
        <v>762</v>
      </c>
      <c r="N99">
        <v>302.27</v>
      </c>
      <c r="R99" t="s">
        <v>1027</v>
      </c>
      <c r="S99" t="s">
        <v>1027</v>
      </c>
      <c r="V99" t="s">
        <v>50</v>
      </c>
      <c r="W99" t="s">
        <v>64</v>
      </c>
      <c r="X99">
        <v>301286667.70176101</v>
      </c>
      <c r="Y99" t="s">
        <v>49</v>
      </c>
      <c r="Z99" t="s">
        <v>116</v>
      </c>
      <c r="AE99" t="s">
        <v>50</v>
      </c>
      <c r="AF99" t="s">
        <v>121</v>
      </c>
      <c r="AG99" t="s">
        <v>53</v>
      </c>
      <c r="AH99">
        <v>11</v>
      </c>
      <c r="AM99">
        <v>43465</v>
      </c>
      <c r="AN99">
        <v>43469</v>
      </c>
      <c r="AO99" s="2">
        <f t="shared" si="11"/>
        <v>30</v>
      </c>
      <c r="AP99" s="2">
        <f t="shared" si="12"/>
        <v>30</v>
      </c>
      <c r="AQ99" s="3">
        <f t="shared" si="13"/>
        <v>1</v>
      </c>
      <c r="AR99" s="1" t="str">
        <f>INDEX(IOS!$B:$B,MATCH(D99,IOS!A:A,0))&amp;B99</f>
        <v>I.S.7</v>
      </c>
      <c r="AS99" s="1">
        <f t="shared" si="14"/>
        <v>0</v>
      </c>
      <c r="AT99" s="1">
        <f>IF(ISBLANK(W99),"",IF(ISERROR(MATCH(W99,HQLATABLE!$A:$A,0)),0,1))</f>
        <v>0</v>
      </c>
      <c r="AU99" s="1">
        <f t="shared" si="15"/>
        <v>0</v>
      </c>
      <c r="AV99" s="1">
        <f t="shared" si="16"/>
        <v>1</v>
      </c>
      <c r="AW99" s="1">
        <f t="shared" si="17"/>
        <v>-1</v>
      </c>
      <c r="AX99" s="1" t="str">
        <f t="shared" si="18"/>
        <v>Blank</v>
      </c>
      <c r="AY99" s="1"/>
      <c r="AZ99" s="1">
        <f>IF(COUNTIFS('PID CHECK'!$B:$B,AR99)=1,0,IF(COUNTIFS(AR$1:AR98,AR99)=1,0,1))</f>
        <v>0</v>
      </c>
      <c r="BA99" s="1"/>
      <c r="BB99" s="1"/>
    </row>
    <row r="100" spans="1:54">
      <c r="A100">
        <v>99</v>
      </c>
      <c r="B100" t="s">
        <v>118</v>
      </c>
      <c r="C100" t="s">
        <v>119</v>
      </c>
      <c r="D100" t="s">
        <v>120</v>
      </c>
      <c r="E100" t="s">
        <v>47</v>
      </c>
      <c r="F100" t="s">
        <v>50</v>
      </c>
      <c r="H100" t="s">
        <v>1026</v>
      </c>
      <c r="J100" t="s">
        <v>49</v>
      </c>
      <c r="K100" t="s">
        <v>50</v>
      </c>
      <c r="L100" t="s">
        <v>762</v>
      </c>
      <c r="M100" t="s">
        <v>762</v>
      </c>
      <c r="N100">
        <v>257.36</v>
      </c>
      <c r="R100" t="s">
        <v>1027</v>
      </c>
      <c r="S100" t="s">
        <v>1027</v>
      </c>
      <c r="V100" t="s">
        <v>50</v>
      </c>
      <c r="W100" t="s">
        <v>64</v>
      </c>
      <c r="X100">
        <v>266418901.13723701</v>
      </c>
      <c r="Y100" t="s">
        <v>49</v>
      </c>
      <c r="Z100" t="s">
        <v>84</v>
      </c>
      <c r="AE100" t="s">
        <v>50</v>
      </c>
      <c r="AF100" t="s">
        <v>121</v>
      </c>
      <c r="AG100" t="s">
        <v>53</v>
      </c>
      <c r="AH100">
        <v>3</v>
      </c>
      <c r="AM100">
        <v>43465</v>
      </c>
      <c r="AN100">
        <v>43469</v>
      </c>
      <c r="AO100" s="2">
        <f t="shared" si="11"/>
        <v>30</v>
      </c>
      <c r="AP100" s="2">
        <f t="shared" si="12"/>
        <v>30</v>
      </c>
      <c r="AQ100" s="3">
        <f t="shared" si="13"/>
        <v>1</v>
      </c>
      <c r="AR100" s="1" t="str">
        <f>INDEX(IOS!$B:$B,MATCH(D100,IOS!A:A,0))&amp;B100</f>
        <v>I.S.7</v>
      </c>
      <c r="AS100" s="1">
        <f t="shared" si="14"/>
        <v>0</v>
      </c>
      <c r="AT100" s="1">
        <f>IF(ISBLANK(W100),"",IF(ISERROR(MATCH(W100,HQLATABLE!$A:$A,0)),0,1))</f>
        <v>0</v>
      </c>
      <c r="AU100" s="1">
        <f t="shared" si="15"/>
        <v>0</v>
      </c>
      <c r="AV100" s="1">
        <f t="shared" si="16"/>
        <v>1</v>
      </c>
      <c r="AW100" s="1">
        <f t="shared" si="17"/>
        <v>-1</v>
      </c>
      <c r="AX100" s="1" t="str">
        <f t="shared" si="18"/>
        <v>Blank</v>
      </c>
      <c r="AY100" s="1"/>
      <c r="AZ100" s="1">
        <f>IF(COUNTIFS('PID CHECK'!$B:$B,AR100)=1,0,IF(COUNTIFS(AR$1:AR99,AR100)=1,0,1))</f>
        <v>0</v>
      </c>
      <c r="BA100" s="1"/>
      <c r="BB100" s="1"/>
    </row>
    <row r="101" spans="1:54">
      <c r="A101">
        <v>100</v>
      </c>
      <c r="B101" t="s">
        <v>123</v>
      </c>
      <c r="C101" t="s">
        <v>124</v>
      </c>
      <c r="D101" t="s">
        <v>125</v>
      </c>
      <c r="E101" t="s">
        <v>47</v>
      </c>
      <c r="F101" t="s">
        <v>50</v>
      </c>
      <c r="H101" t="s">
        <v>67</v>
      </c>
      <c r="J101" t="s">
        <v>49</v>
      </c>
      <c r="K101" t="s">
        <v>50</v>
      </c>
      <c r="L101" t="s">
        <v>762</v>
      </c>
      <c r="M101" t="s">
        <v>762</v>
      </c>
      <c r="N101">
        <v>9.1999999999999993</v>
      </c>
      <c r="R101" t="s">
        <v>68</v>
      </c>
      <c r="S101" t="s">
        <v>69</v>
      </c>
      <c r="V101" t="s">
        <v>53</v>
      </c>
      <c r="W101" t="s">
        <v>60</v>
      </c>
      <c r="X101">
        <v>9199950</v>
      </c>
      <c r="AE101" t="s">
        <v>50</v>
      </c>
      <c r="AM101">
        <v>43465</v>
      </c>
      <c r="AN101">
        <v>43469.451388888891</v>
      </c>
      <c r="AO101" s="2">
        <f t="shared" si="11"/>
        <v>121</v>
      </c>
      <c r="AP101" s="2">
        <f t="shared" si="12"/>
        <v>150</v>
      </c>
      <c r="AQ101" s="3">
        <f t="shared" si="13"/>
        <v>0</v>
      </c>
      <c r="AR101" s="1" t="str">
        <f>INDEX(IOS!$B:$B,MATCH(D101,IOS!A:A,0))&amp;B101</f>
        <v>I.O.8</v>
      </c>
      <c r="AS101" s="1">
        <f t="shared" si="14"/>
        <v>0</v>
      </c>
      <c r="AT101" s="1">
        <f>IF(ISBLANK(W101),"",IF(ISERROR(MATCH(W101,HQLATABLE!$A:$A,0)),0,1))</f>
        <v>1</v>
      </c>
      <c r="AU101" s="1">
        <f t="shared" si="15"/>
        <v>1</v>
      </c>
      <c r="AV101" s="1" t="str">
        <f t="shared" si="16"/>
        <v>Blank</v>
      </c>
      <c r="AW101" s="1">
        <f t="shared" si="17"/>
        <v>-1</v>
      </c>
      <c r="AX101" s="1" t="str">
        <f t="shared" si="18"/>
        <v>Blank</v>
      </c>
      <c r="AY101" s="1"/>
      <c r="AZ101" s="1">
        <f>IF(COUNTIFS('PID CHECK'!$B:$B,AR101)=1,0,IF(COUNTIFS(AR$1:AR100,AR101)=1,0,1))</f>
        <v>0</v>
      </c>
      <c r="BA101" s="1"/>
      <c r="BB101" s="1"/>
    </row>
    <row r="102" spans="1:54">
      <c r="A102">
        <v>101</v>
      </c>
      <c r="B102" t="s">
        <v>123</v>
      </c>
      <c r="C102" t="s">
        <v>124</v>
      </c>
      <c r="D102" t="s">
        <v>125</v>
      </c>
      <c r="E102" t="s">
        <v>47</v>
      </c>
      <c r="F102" t="s">
        <v>50</v>
      </c>
      <c r="H102" t="s">
        <v>73</v>
      </c>
      <c r="J102" t="s">
        <v>49</v>
      </c>
      <c r="K102" t="s">
        <v>50</v>
      </c>
      <c r="L102" t="s">
        <v>762</v>
      </c>
      <c r="M102" t="s">
        <v>762</v>
      </c>
      <c r="N102">
        <v>52</v>
      </c>
      <c r="R102" t="s">
        <v>74</v>
      </c>
      <c r="S102" t="s">
        <v>75</v>
      </c>
      <c r="V102" t="s">
        <v>53</v>
      </c>
      <c r="W102" t="s">
        <v>60</v>
      </c>
      <c r="X102">
        <v>52000000</v>
      </c>
      <c r="AE102" t="s">
        <v>50</v>
      </c>
      <c r="AM102">
        <v>43465</v>
      </c>
      <c r="AN102">
        <v>43469.451388888891</v>
      </c>
      <c r="AO102" s="2">
        <f t="shared" si="11"/>
        <v>151</v>
      </c>
      <c r="AP102" s="2">
        <f t="shared" si="12"/>
        <v>180</v>
      </c>
      <c r="AQ102" s="3">
        <f t="shared" si="13"/>
        <v>0</v>
      </c>
      <c r="AR102" s="1" t="str">
        <f>INDEX(IOS!$B:$B,MATCH(D102,IOS!A:A,0))&amp;B102</f>
        <v>I.O.8</v>
      </c>
      <c r="AS102" s="1">
        <f t="shared" si="14"/>
        <v>0</v>
      </c>
      <c r="AT102" s="1">
        <f>IF(ISBLANK(W102),"",IF(ISERROR(MATCH(W102,HQLATABLE!$A:$A,0)),0,1))</f>
        <v>1</v>
      </c>
      <c r="AU102" s="1">
        <f t="shared" si="15"/>
        <v>1</v>
      </c>
      <c r="AV102" s="1" t="str">
        <f t="shared" si="16"/>
        <v>Blank</v>
      </c>
      <c r="AW102" s="1">
        <f t="shared" si="17"/>
        <v>-1</v>
      </c>
      <c r="AX102" s="1" t="str">
        <f t="shared" si="18"/>
        <v>Blank</v>
      </c>
      <c r="AY102" s="1"/>
      <c r="AZ102" s="1">
        <f>IF(COUNTIFS('PID CHECK'!$B:$B,AR102)=1,0,IF(COUNTIFS(AR$1:AR101,AR102)=1,0,1))</f>
        <v>0</v>
      </c>
      <c r="BA102" s="1"/>
      <c r="BB102" s="1"/>
    </row>
    <row r="103" spans="1:54">
      <c r="A103">
        <v>102</v>
      </c>
      <c r="B103" t="s">
        <v>123</v>
      </c>
      <c r="C103" t="s">
        <v>124</v>
      </c>
      <c r="D103" t="s">
        <v>125</v>
      </c>
      <c r="E103" t="s">
        <v>47</v>
      </c>
      <c r="F103" t="s">
        <v>50</v>
      </c>
      <c r="H103" t="s">
        <v>87</v>
      </c>
      <c r="J103" t="s">
        <v>49</v>
      </c>
      <c r="K103" t="s">
        <v>50</v>
      </c>
      <c r="L103" t="s">
        <v>762</v>
      </c>
      <c r="M103" t="s">
        <v>762</v>
      </c>
      <c r="N103">
        <v>58.35</v>
      </c>
      <c r="R103" t="s">
        <v>88</v>
      </c>
      <c r="S103" t="s">
        <v>89</v>
      </c>
      <c r="V103" t="s">
        <v>53</v>
      </c>
      <c r="W103" t="s">
        <v>60</v>
      </c>
      <c r="X103">
        <v>58350000</v>
      </c>
      <c r="AE103" t="s">
        <v>50</v>
      </c>
      <c r="AM103">
        <v>43465</v>
      </c>
      <c r="AN103">
        <v>43469.451388888891</v>
      </c>
      <c r="AO103" s="2">
        <f t="shared" si="11"/>
        <v>181</v>
      </c>
      <c r="AP103" s="2">
        <f t="shared" si="12"/>
        <v>270</v>
      </c>
      <c r="AQ103" s="3">
        <f t="shared" si="13"/>
        <v>0</v>
      </c>
      <c r="AR103" s="1" t="str">
        <f>INDEX(IOS!$B:$B,MATCH(D103,IOS!A:A,0))&amp;B103</f>
        <v>I.O.8</v>
      </c>
      <c r="AS103" s="1">
        <f t="shared" si="14"/>
        <v>0</v>
      </c>
      <c r="AT103" s="1">
        <f>IF(ISBLANK(W103),"",IF(ISERROR(MATCH(W103,HQLATABLE!$A:$A,0)),0,1))</f>
        <v>1</v>
      </c>
      <c r="AU103" s="1">
        <f t="shared" si="15"/>
        <v>1</v>
      </c>
      <c r="AV103" s="1" t="str">
        <f t="shared" si="16"/>
        <v>Blank</v>
      </c>
      <c r="AW103" s="1">
        <f t="shared" si="17"/>
        <v>-1</v>
      </c>
      <c r="AX103" s="1" t="str">
        <f t="shared" si="18"/>
        <v>Blank</v>
      </c>
      <c r="AY103" s="1"/>
      <c r="AZ103" s="1">
        <f>IF(COUNTIFS('PID CHECK'!$B:$B,AR103)=1,0,IF(COUNTIFS(AR$1:AR102,AR103)=1,0,1))</f>
        <v>0</v>
      </c>
      <c r="BA103" s="1"/>
      <c r="BB103" s="1"/>
    </row>
    <row r="104" spans="1:54">
      <c r="A104">
        <v>103</v>
      </c>
      <c r="B104" t="s">
        <v>123</v>
      </c>
      <c r="C104" t="s">
        <v>124</v>
      </c>
      <c r="D104" t="s">
        <v>125</v>
      </c>
      <c r="E104" t="s">
        <v>47</v>
      </c>
      <c r="F104" t="s">
        <v>50</v>
      </c>
      <c r="H104" t="s">
        <v>77</v>
      </c>
      <c r="J104" t="s">
        <v>49</v>
      </c>
      <c r="K104" t="s">
        <v>50</v>
      </c>
      <c r="L104" t="s">
        <v>762</v>
      </c>
      <c r="M104" t="s">
        <v>762</v>
      </c>
      <c r="N104">
        <v>1982.27</v>
      </c>
      <c r="R104" t="s">
        <v>77</v>
      </c>
      <c r="S104" t="s">
        <v>762</v>
      </c>
      <c r="V104" t="s">
        <v>53</v>
      </c>
      <c r="W104" t="s">
        <v>60</v>
      </c>
      <c r="X104">
        <v>1982270000</v>
      </c>
      <c r="AE104" t="s">
        <v>50</v>
      </c>
      <c r="AM104">
        <v>43465</v>
      </c>
      <c r="AN104">
        <v>43469.451388888891</v>
      </c>
      <c r="AO104" s="2">
        <f t="shared" si="11"/>
        <v>1827</v>
      </c>
      <c r="AP104" s="2">
        <f t="shared" si="12"/>
        <v>99999</v>
      </c>
      <c r="AQ104" s="3">
        <f t="shared" si="13"/>
        <v>0</v>
      </c>
      <c r="AR104" s="1" t="str">
        <f>INDEX(IOS!$B:$B,MATCH(D104,IOS!A:A,0))&amp;B104</f>
        <v>I.O.8</v>
      </c>
      <c r="AS104" s="1">
        <f t="shared" si="14"/>
        <v>0</v>
      </c>
      <c r="AT104" s="1">
        <f>IF(ISBLANK(W104),"",IF(ISERROR(MATCH(W104,HQLATABLE!$A:$A,0)),0,1))</f>
        <v>1</v>
      </c>
      <c r="AU104" s="1">
        <f t="shared" si="15"/>
        <v>1</v>
      </c>
      <c r="AV104" s="1" t="str">
        <f t="shared" si="16"/>
        <v>Blank</v>
      </c>
      <c r="AW104" s="1">
        <f t="shared" si="17"/>
        <v>-1</v>
      </c>
      <c r="AX104" s="1" t="str">
        <f t="shared" si="18"/>
        <v>Blank</v>
      </c>
      <c r="AY104" s="1"/>
      <c r="AZ104" s="1">
        <f>IF(COUNTIFS('PID CHECK'!$B:$B,AR104)=1,0,IF(COUNTIFS(AR$1:AR103,AR104)=1,0,1))</f>
        <v>0</v>
      </c>
      <c r="BA104" s="1"/>
      <c r="BB104" s="1"/>
    </row>
    <row r="105" spans="1:54">
      <c r="A105">
        <v>104</v>
      </c>
      <c r="B105" t="s">
        <v>123</v>
      </c>
      <c r="C105" t="s">
        <v>124</v>
      </c>
      <c r="D105" t="s">
        <v>125</v>
      </c>
      <c r="E105" t="s">
        <v>47</v>
      </c>
      <c r="F105" t="s">
        <v>50</v>
      </c>
      <c r="H105" t="s">
        <v>77</v>
      </c>
      <c r="J105" t="s">
        <v>49</v>
      </c>
      <c r="K105" t="s">
        <v>50</v>
      </c>
      <c r="L105" t="s">
        <v>762</v>
      </c>
      <c r="M105" t="s">
        <v>762</v>
      </c>
      <c r="N105">
        <v>6.92</v>
      </c>
      <c r="R105" t="s">
        <v>77</v>
      </c>
      <c r="S105" t="s">
        <v>762</v>
      </c>
      <c r="V105" t="s">
        <v>50</v>
      </c>
      <c r="W105" t="s">
        <v>61</v>
      </c>
      <c r="X105">
        <v>6918527.2999999998</v>
      </c>
      <c r="AE105" t="s">
        <v>50</v>
      </c>
      <c r="AM105">
        <v>43465</v>
      </c>
      <c r="AN105">
        <v>43469.451388888891</v>
      </c>
      <c r="AO105" s="2">
        <f t="shared" si="11"/>
        <v>1827</v>
      </c>
      <c r="AP105" s="2">
        <f t="shared" si="12"/>
        <v>99999</v>
      </c>
      <c r="AQ105" s="3">
        <f t="shared" si="13"/>
        <v>0</v>
      </c>
      <c r="AR105" s="1" t="str">
        <f>INDEX(IOS!$B:$B,MATCH(D105,IOS!A:A,0))&amp;B105</f>
        <v>I.O.8</v>
      </c>
      <c r="AS105" s="1">
        <f t="shared" si="14"/>
        <v>0</v>
      </c>
      <c r="AT105" s="1">
        <f>IF(ISBLANK(W105),"",IF(ISERROR(MATCH(W105,HQLATABLE!$A:$A,0)),0,1))</f>
        <v>0</v>
      </c>
      <c r="AU105" s="1">
        <f t="shared" si="15"/>
        <v>0</v>
      </c>
      <c r="AV105" s="1" t="str">
        <f t="shared" si="16"/>
        <v>Blank</v>
      </c>
      <c r="AW105" s="1">
        <f t="shared" si="17"/>
        <v>-1</v>
      </c>
      <c r="AX105" s="1" t="str">
        <f t="shared" si="18"/>
        <v>Blank</v>
      </c>
      <c r="AY105" s="1"/>
      <c r="AZ105" s="1">
        <f>IF(COUNTIFS('PID CHECK'!$B:$B,AR105)=1,0,IF(COUNTIFS(AR$1:AR104,AR105)=1,0,1))</f>
        <v>0</v>
      </c>
      <c r="BA105" s="1"/>
      <c r="BB105" s="1"/>
    </row>
    <row r="106" spans="1:54">
      <c r="A106">
        <v>105</v>
      </c>
      <c r="B106" t="s">
        <v>123</v>
      </c>
      <c r="C106" t="s">
        <v>124</v>
      </c>
      <c r="D106" t="s">
        <v>125</v>
      </c>
      <c r="E106" t="s">
        <v>47</v>
      </c>
      <c r="F106" t="s">
        <v>50</v>
      </c>
      <c r="H106" t="s">
        <v>77</v>
      </c>
      <c r="J106" t="s">
        <v>49</v>
      </c>
      <c r="K106" t="s">
        <v>50</v>
      </c>
      <c r="L106" t="s">
        <v>762</v>
      </c>
      <c r="M106" t="s">
        <v>762</v>
      </c>
      <c r="N106">
        <v>0.71</v>
      </c>
      <c r="R106" t="s">
        <v>77</v>
      </c>
      <c r="S106" t="s">
        <v>762</v>
      </c>
      <c r="V106" t="s">
        <v>50</v>
      </c>
      <c r="W106" t="s">
        <v>62</v>
      </c>
      <c r="X106">
        <v>709306</v>
      </c>
      <c r="AE106" t="s">
        <v>50</v>
      </c>
      <c r="AM106">
        <v>43465</v>
      </c>
      <c r="AN106">
        <v>43469.451388888891</v>
      </c>
      <c r="AO106" s="2">
        <f t="shared" si="11"/>
        <v>1827</v>
      </c>
      <c r="AP106" s="2">
        <f t="shared" si="12"/>
        <v>99999</v>
      </c>
      <c r="AQ106" s="3">
        <f t="shared" si="13"/>
        <v>0</v>
      </c>
      <c r="AR106" s="1" t="str">
        <f>INDEX(IOS!$B:$B,MATCH(D106,IOS!A:A,0))&amp;B106</f>
        <v>I.O.8</v>
      </c>
      <c r="AS106" s="1">
        <f t="shared" si="14"/>
        <v>0</v>
      </c>
      <c r="AT106" s="1">
        <f>IF(ISBLANK(W106),"",IF(ISERROR(MATCH(W106,HQLATABLE!$A:$A,0)),0,1))</f>
        <v>0</v>
      </c>
      <c r="AU106" s="1">
        <f t="shared" si="15"/>
        <v>0</v>
      </c>
      <c r="AV106" s="1" t="str">
        <f t="shared" si="16"/>
        <v>Blank</v>
      </c>
      <c r="AW106" s="1">
        <f t="shared" si="17"/>
        <v>-1</v>
      </c>
      <c r="AX106" s="1" t="str">
        <f t="shared" si="18"/>
        <v>Blank</v>
      </c>
      <c r="AY106" s="1"/>
      <c r="AZ106" s="1">
        <f>IF(COUNTIFS('PID CHECK'!$B:$B,AR106)=1,0,IF(COUNTIFS(AR$1:AR105,AR106)=1,0,1))</f>
        <v>0</v>
      </c>
      <c r="BA106" s="1"/>
      <c r="BB106" s="1"/>
    </row>
    <row r="107" spans="1:54">
      <c r="A107">
        <v>106</v>
      </c>
      <c r="B107" t="s">
        <v>123</v>
      </c>
      <c r="C107" t="s">
        <v>124</v>
      </c>
      <c r="D107" t="s">
        <v>125</v>
      </c>
      <c r="E107" t="s">
        <v>47</v>
      </c>
      <c r="F107" t="s">
        <v>50</v>
      </c>
      <c r="H107" t="s">
        <v>77</v>
      </c>
      <c r="J107" t="s">
        <v>49</v>
      </c>
      <c r="K107" t="s">
        <v>50</v>
      </c>
      <c r="L107" t="s">
        <v>762</v>
      </c>
      <c r="M107" t="s">
        <v>762</v>
      </c>
      <c r="N107">
        <v>0.28000000000000003</v>
      </c>
      <c r="R107" t="s">
        <v>77</v>
      </c>
      <c r="S107" t="s">
        <v>762</v>
      </c>
      <c r="V107" t="s">
        <v>50</v>
      </c>
      <c r="W107" t="s">
        <v>63</v>
      </c>
      <c r="X107">
        <v>281992.25400000002</v>
      </c>
      <c r="AE107" t="s">
        <v>50</v>
      </c>
      <c r="AM107">
        <v>43465</v>
      </c>
      <c r="AN107">
        <v>43469.451388888891</v>
      </c>
      <c r="AO107" s="2">
        <f t="shared" si="11"/>
        <v>1827</v>
      </c>
      <c r="AP107" s="2">
        <f t="shared" si="12"/>
        <v>99999</v>
      </c>
      <c r="AQ107" s="3">
        <f t="shared" si="13"/>
        <v>0</v>
      </c>
      <c r="AR107" s="1" t="str">
        <f>INDEX(IOS!$B:$B,MATCH(D107,IOS!A:A,0))&amp;B107</f>
        <v>I.O.8</v>
      </c>
      <c r="AS107" s="1">
        <f t="shared" si="14"/>
        <v>0</v>
      </c>
      <c r="AT107" s="1">
        <f>IF(ISBLANK(W107),"",IF(ISERROR(MATCH(W107,HQLATABLE!$A:$A,0)),0,1))</f>
        <v>0</v>
      </c>
      <c r="AU107" s="1">
        <f t="shared" si="15"/>
        <v>0</v>
      </c>
      <c r="AV107" s="1" t="str">
        <f t="shared" si="16"/>
        <v>Blank</v>
      </c>
      <c r="AW107" s="1">
        <f t="shared" si="17"/>
        <v>-1</v>
      </c>
      <c r="AX107" s="1" t="str">
        <f t="shared" si="18"/>
        <v>Blank</v>
      </c>
      <c r="AY107" s="1"/>
      <c r="AZ107" s="1">
        <f>IF(COUNTIFS('PID CHECK'!$B:$B,AR107)=1,0,IF(COUNTIFS(AR$1:AR106,AR107)=1,0,1))</f>
        <v>0</v>
      </c>
      <c r="BA107" s="1"/>
      <c r="BB107" s="1"/>
    </row>
    <row r="108" spans="1:54">
      <c r="A108">
        <v>107</v>
      </c>
      <c r="B108" t="s">
        <v>123</v>
      </c>
      <c r="C108" t="s">
        <v>124</v>
      </c>
      <c r="D108" t="s">
        <v>125</v>
      </c>
      <c r="E108" t="s">
        <v>47</v>
      </c>
      <c r="F108" t="s">
        <v>50</v>
      </c>
      <c r="H108" t="s">
        <v>79</v>
      </c>
      <c r="J108" t="s">
        <v>49</v>
      </c>
      <c r="K108" t="s">
        <v>50</v>
      </c>
      <c r="L108" t="s">
        <v>762</v>
      </c>
      <c r="M108" t="s">
        <v>762</v>
      </c>
      <c r="N108">
        <v>31.2</v>
      </c>
      <c r="R108" t="s">
        <v>80</v>
      </c>
      <c r="S108" t="s">
        <v>81</v>
      </c>
      <c r="V108" t="s">
        <v>53</v>
      </c>
      <c r="W108" t="s">
        <v>60</v>
      </c>
      <c r="X108">
        <v>31200000</v>
      </c>
      <c r="AE108" t="s">
        <v>50</v>
      </c>
      <c r="AM108">
        <v>43465</v>
      </c>
      <c r="AN108">
        <v>43469.451388888891</v>
      </c>
      <c r="AO108" s="2">
        <f t="shared" si="11"/>
        <v>271</v>
      </c>
      <c r="AP108" s="2">
        <f t="shared" si="12"/>
        <v>365</v>
      </c>
      <c r="AQ108" s="3">
        <f t="shared" si="13"/>
        <v>0</v>
      </c>
      <c r="AR108" s="1" t="str">
        <f>INDEX(IOS!$B:$B,MATCH(D108,IOS!A:A,0))&amp;B108</f>
        <v>I.O.8</v>
      </c>
      <c r="AS108" s="1">
        <f t="shared" si="14"/>
        <v>0</v>
      </c>
      <c r="AT108" s="1">
        <f>IF(ISBLANK(W108),"",IF(ISERROR(MATCH(W108,HQLATABLE!$A:$A,0)),0,1))</f>
        <v>1</v>
      </c>
      <c r="AU108" s="1">
        <f t="shared" si="15"/>
        <v>1</v>
      </c>
      <c r="AV108" s="1" t="str">
        <f t="shared" si="16"/>
        <v>Blank</v>
      </c>
      <c r="AW108" s="1">
        <f t="shared" si="17"/>
        <v>-1</v>
      </c>
      <c r="AX108" s="1" t="str">
        <f t="shared" si="18"/>
        <v>Blank</v>
      </c>
      <c r="AY108" s="1"/>
      <c r="AZ108" s="1">
        <f>IF(COUNTIFS('PID CHECK'!$B:$B,AR108)=1,0,IF(COUNTIFS(AR$1:AR107,AR108)=1,0,1))</f>
        <v>0</v>
      </c>
      <c r="BA108" s="1"/>
      <c r="BB108" s="1"/>
    </row>
    <row r="109" spans="1:54">
      <c r="A109">
        <v>108</v>
      </c>
      <c r="B109" t="s">
        <v>123</v>
      </c>
      <c r="C109" t="s">
        <v>124</v>
      </c>
      <c r="D109" t="s">
        <v>125</v>
      </c>
      <c r="E109" t="s">
        <v>47</v>
      </c>
      <c r="F109" t="s">
        <v>50</v>
      </c>
      <c r="H109" t="s">
        <v>79</v>
      </c>
      <c r="J109" t="s">
        <v>49</v>
      </c>
      <c r="K109" t="s">
        <v>50</v>
      </c>
      <c r="L109" t="s">
        <v>762</v>
      </c>
      <c r="M109" t="s">
        <v>762</v>
      </c>
      <c r="N109">
        <v>80</v>
      </c>
      <c r="R109" t="s">
        <v>80</v>
      </c>
      <c r="S109" t="s">
        <v>81</v>
      </c>
      <c r="V109" t="s">
        <v>50</v>
      </c>
      <c r="W109" t="s">
        <v>63</v>
      </c>
      <c r="X109">
        <v>80000000</v>
      </c>
      <c r="AE109" t="s">
        <v>50</v>
      </c>
      <c r="AM109">
        <v>43465</v>
      </c>
      <c r="AN109">
        <v>43469.451388888891</v>
      </c>
      <c r="AO109" s="2">
        <f t="shared" si="11"/>
        <v>271</v>
      </c>
      <c r="AP109" s="2">
        <f t="shared" si="12"/>
        <v>365</v>
      </c>
      <c r="AQ109" s="3">
        <f t="shared" si="13"/>
        <v>0</v>
      </c>
      <c r="AR109" s="1" t="str">
        <f>INDEX(IOS!$B:$B,MATCH(D109,IOS!A:A,0))&amp;B109</f>
        <v>I.O.8</v>
      </c>
      <c r="AS109" s="1">
        <f t="shared" si="14"/>
        <v>0</v>
      </c>
      <c r="AT109" s="1">
        <f>IF(ISBLANK(W109),"",IF(ISERROR(MATCH(W109,HQLATABLE!$A:$A,0)),0,1))</f>
        <v>0</v>
      </c>
      <c r="AU109" s="1">
        <f t="shared" si="15"/>
        <v>0</v>
      </c>
      <c r="AV109" s="1" t="str">
        <f t="shared" si="16"/>
        <v>Blank</v>
      </c>
      <c r="AW109" s="1">
        <f t="shared" si="17"/>
        <v>-1</v>
      </c>
      <c r="AX109" s="1" t="str">
        <f t="shared" si="18"/>
        <v>Blank</v>
      </c>
      <c r="AY109" s="1"/>
      <c r="AZ109" s="1">
        <f>IF(COUNTIFS('PID CHECK'!$B:$B,AR109)=1,0,IF(COUNTIFS(AR$1:AR108,AR109)=1,0,1))</f>
        <v>0</v>
      </c>
      <c r="BA109" s="1"/>
      <c r="BB109" s="1"/>
    </row>
    <row r="110" spans="1:54">
      <c r="A110">
        <v>109</v>
      </c>
      <c r="B110" t="s">
        <v>123</v>
      </c>
      <c r="C110" t="s">
        <v>124</v>
      </c>
      <c r="D110" t="s">
        <v>125</v>
      </c>
      <c r="E110" t="s">
        <v>47</v>
      </c>
      <c r="F110" t="s">
        <v>50</v>
      </c>
      <c r="H110" t="s">
        <v>1003</v>
      </c>
      <c r="J110" t="s">
        <v>49</v>
      </c>
      <c r="K110" t="s">
        <v>50</v>
      </c>
      <c r="L110" t="s">
        <v>762</v>
      </c>
      <c r="M110" t="s">
        <v>762</v>
      </c>
      <c r="N110">
        <v>50</v>
      </c>
      <c r="R110" t="s">
        <v>1004</v>
      </c>
      <c r="S110" t="s">
        <v>1004</v>
      </c>
      <c r="V110" t="s">
        <v>53</v>
      </c>
      <c r="W110" t="s">
        <v>60</v>
      </c>
      <c r="X110">
        <v>50000000</v>
      </c>
      <c r="AE110" t="s">
        <v>50</v>
      </c>
      <c r="AM110">
        <v>43465</v>
      </c>
      <c r="AN110">
        <v>43469.451388888891</v>
      </c>
      <c r="AO110" s="2">
        <f t="shared" si="11"/>
        <v>31</v>
      </c>
      <c r="AP110" s="2">
        <f t="shared" si="12"/>
        <v>31</v>
      </c>
      <c r="AQ110" s="3">
        <f t="shared" si="13"/>
        <v>0</v>
      </c>
      <c r="AR110" s="1" t="str">
        <f>INDEX(IOS!$B:$B,MATCH(D110,IOS!A:A,0))&amp;B110</f>
        <v>I.O.8</v>
      </c>
      <c r="AS110" s="1">
        <f t="shared" si="14"/>
        <v>0</v>
      </c>
      <c r="AT110" s="1">
        <f>IF(ISBLANK(W110),"",IF(ISERROR(MATCH(W110,HQLATABLE!$A:$A,0)),0,1))</f>
        <v>1</v>
      </c>
      <c r="AU110" s="1">
        <f t="shared" si="15"/>
        <v>1</v>
      </c>
      <c r="AV110" s="1" t="str">
        <f t="shared" si="16"/>
        <v>Blank</v>
      </c>
      <c r="AW110" s="1">
        <f t="shared" si="17"/>
        <v>-1</v>
      </c>
      <c r="AX110" s="1" t="str">
        <f t="shared" si="18"/>
        <v>Blank</v>
      </c>
      <c r="AY110" s="1"/>
      <c r="AZ110" s="1">
        <f>IF(COUNTIFS('PID CHECK'!$B:$B,AR110)=1,0,IF(COUNTIFS(AR$1:AR109,AR110)=1,0,1))</f>
        <v>0</v>
      </c>
      <c r="BA110" s="1"/>
      <c r="BB110" s="1"/>
    </row>
    <row r="111" spans="1:54">
      <c r="A111">
        <v>110</v>
      </c>
      <c r="B111" t="s">
        <v>123</v>
      </c>
      <c r="C111" t="s">
        <v>124</v>
      </c>
      <c r="D111" t="s">
        <v>125</v>
      </c>
      <c r="E111" t="s">
        <v>47</v>
      </c>
      <c r="F111" t="s">
        <v>50</v>
      </c>
      <c r="H111" t="s">
        <v>1011</v>
      </c>
      <c r="J111" t="s">
        <v>49</v>
      </c>
      <c r="K111" t="s">
        <v>50</v>
      </c>
      <c r="L111" t="s">
        <v>762</v>
      </c>
      <c r="M111" t="s">
        <v>762</v>
      </c>
      <c r="N111">
        <v>150</v>
      </c>
      <c r="R111" t="s">
        <v>1012</v>
      </c>
      <c r="S111" t="s">
        <v>1012</v>
      </c>
      <c r="V111" t="s">
        <v>53</v>
      </c>
      <c r="W111" t="s">
        <v>60</v>
      </c>
      <c r="X111">
        <v>150000000</v>
      </c>
      <c r="AE111" t="s">
        <v>50</v>
      </c>
      <c r="AM111">
        <v>43465</v>
      </c>
      <c r="AN111">
        <v>43469.451388888891</v>
      </c>
      <c r="AO111" s="2">
        <f t="shared" si="11"/>
        <v>46</v>
      </c>
      <c r="AP111" s="2">
        <f t="shared" si="12"/>
        <v>46</v>
      </c>
      <c r="AQ111" s="3">
        <f t="shared" si="13"/>
        <v>0</v>
      </c>
      <c r="AR111" s="1" t="str">
        <f>INDEX(IOS!$B:$B,MATCH(D111,IOS!A:A,0))&amp;B111</f>
        <v>I.O.8</v>
      </c>
      <c r="AS111" s="1">
        <f t="shared" si="14"/>
        <v>0</v>
      </c>
      <c r="AT111" s="1">
        <f>IF(ISBLANK(W111),"",IF(ISERROR(MATCH(W111,HQLATABLE!$A:$A,0)),0,1))</f>
        <v>1</v>
      </c>
      <c r="AU111" s="1">
        <f t="shared" si="15"/>
        <v>1</v>
      </c>
      <c r="AV111" s="1" t="str">
        <f t="shared" si="16"/>
        <v>Blank</v>
      </c>
      <c r="AW111" s="1">
        <f t="shared" si="17"/>
        <v>-1</v>
      </c>
      <c r="AX111" s="1" t="str">
        <f t="shared" si="18"/>
        <v>Blank</v>
      </c>
      <c r="AY111" s="1"/>
      <c r="AZ111" s="1">
        <f>IF(COUNTIFS('PID CHECK'!$B:$B,AR111)=1,0,IF(COUNTIFS(AR$1:AR110,AR111)=1,0,1))</f>
        <v>0</v>
      </c>
      <c r="BA111" s="1"/>
      <c r="BB111" s="1"/>
    </row>
    <row r="112" spans="1:54">
      <c r="A112">
        <v>111</v>
      </c>
      <c r="B112" t="s">
        <v>123</v>
      </c>
      <c r="C112" t="s">
        <v>124</v>
      </c>
      <c r="D112" t="s">
        <v>125</v>
      </c>
      <c r="E112" t="s">
        <v>47</v>
      </c>
      <c r="F112" t="s">
        <v>50</v>
      </c>
      <c r="H112" t="s">
        <v>94</v>
      </c>
      <c r="J112" t="s">
        <v>49</v>
      </c>
      <c r="K112" t="s">
        <v>50</v>
      </c>
      <c r="L112" t="s">
        <v>762</v>
      </c>
      <c r="M112" t="s">
        <v>762</v>
      </c>
      <c r="N112">
        <v>80</v>
      </c>
      <c r="R112" t="s">
        <v>95</v>
      </c>
      <c r="S112" t="s">
        <v>96</v>
      </c>
      <c r="V112" t="s">
        <v>50</v>
      </c>
      <c r="W112" t="s">
        <v>63</v>
      </c>
      <c r="X112">
        <v>80000000</v>
      </c>
      <c r="AE112" t="s">
        <v>50</v>
      </c>
      <c r="AM112">
        <v>43465</v>
      </c>
      <c r="AN112">
        <v>43469.451388888891</v>
      </c>
      <c r="AO112" s="2">
        <f t="shared" si="11"/>
        <v>61</v>
      </c>
      <c r="AP112" s="2">
        <f t="shared" si="12"/>
        <v>67</v>
      </c>
      <c r="AQ112" s="3">
        <f t="shared" si="13"/>
        <v>0</v>
      </c>
      <c r="AR112" s="1" t="str">
        <f>INDEX(IOS!$B:$B,MATCH(D112,IOS!A:A,0))&amp;B112</f>
        <v>I.O.8</v>
      </c>
      <c r="AS112" s="1">
        <f t="shared" si="14"/>
        <v>0</v>
      </c>
      <c r="AT112" s="1">
        <f>IF(ISBLANK(W112),"",IF(ISERROR(MATCH(W112,HQLATABLE!$A:$A,0)),0,1))</f>
        <v>0</v>
      </c>
      <c r="AU112" s="1">
        <f t="shared" si="15"/>
        <v>0</v>
      </c>
      <c r="AV112" s="1" t="str">
        <f t="shared" si="16"/>
        <v>Blank</v>
      </c>
      <c r="AW112" s="1">
        <f t="shared" si="17"/>
        <v>-1</v>
      </c>
      <c r="AX112" s="1" t="str">
        <f t="shared" si="18"/>
        <v>Blank</v>
      </c>
      <c r="AY112" s="1"/>
      <c r="AZ112" s="1">
        <f>IF(COUNTIFS('PID CHECK'!$B:$B,AR112)=1,0,IF(COUNTIFS(AR$1:AR111,AR112)=1,0,1))</f>
        <v>0</v>
      </c>
      <c r="BA112" s="1"/>
      <c r="BB112" s="1"/>
    </row>
    <row r="113" spans="1:54">
      <c r="A113">
        <v>112</v>
      </c>
      <c r="B113" t="s">
        <v>123</v>
      </c>
      <c r="C113" t="s">
        <v>124</v>
      </c>
      <c r="D113" t="s">
        <v>125</v>
      </c>
      <c r="E113" t="s">
        <v>47</v>
      </c>
      <c r="F113" t="s">
        <v>50</v>
      </c>
      <c r="H113" t="s">
        <v>97</v>
      </c>
      <c r="J113" t="s">
        <v>49</v>
      </c>
      <c r="K113" t="s">
        <v>50</v>
      </c>
      <c r="L113" t="s">
        <v>762</v>
      </c>
      <c r="M113" t="s">
        <v>762</v>
      </c>
      <c r="N113">
        <v>100</v>
      </c>
      <c r="R113" t="s">
        <v>98</v>
      </c>
      <c r="S113" t="s">
        <v>99</v>
      </c>
      <c r="V113" t="s">
        <v>50</v>
      </c>
      <c r="W113" t="s">
        <v>63</v>
      </c>
      <c r="X113">
        <v>100000000</v>
      </c>
      <c r="AE113" t="s">
        <v>50</v>
      </c>
      <c r="AM113">
        <v>43465</v>
      </c>
      <c r="AN113">
        <v>43469.451388888891</v>
      </c>
      <c r="AO113" s="2">
        <f t="shared" si="11"/>
        <v>68</v>
      </c>
      <c r="AP113" s="2">
        <f t="shared" si="12"/>
        <v>74</v>
      </c>
      <c r="AQ113" s="3">
        <f t="shared" si="13"/>
        <v>0</v>
      </c>
      <c r="AR113" s="1" t="str">
        <f>INDEX(IOS!$B:$B,MATCH(D113,IOS!A:A,0))&amp;B113</f>
        <v>I.O.8</v>
      </c>
      <c r="AS113" s="1">
        <f t="shared" si="14"/>
        <v>0</v>
      </c>
      <c r="AT113" s="1">
        <f>IF(ISBLANK(W113),"",IF(ISERROR(MATCH(W113,HQLATABLE!$A:$A,0)),0,1))</f>
        <v>0</v>
      </c>
      <c r="AU113" s="1">
        <f t="shared" si="15"/>
        <v>0</v>
      </c>
      <c r="AV113" s="1" t="str">
        <f t="shared" si="16"/>
        <v>Blank</v>
      </c>
      <c r="AW113" s="1">
        <f t="shared" si="17"/>
        <v>-1</v>
      </c>
      <c r="AX113" s="1" t="str">
        <f t="shared" si="18"/>
        <v>Blank</v>
      </c>
      <c r="AY113" s="1"/>
      <c r="AZ113" s="1">
        <f>IF(COUNTIFS('PID CHECK'!$B:$B,AR113)=1,0,IF(COUNTIFS(AR$1:AR112,AR113)=1,0,1))</f>
        <v>0</v>
      </c>
      <c r="BA113" s="1"/>
      <c r="BB113" s="1"/>
    </row>
    <row r="114" spans="1:54">
      <c r="A114">
        <v>113</v>
      </c>
      <c r="B114" t="s">
        <v>123</v>
      </c>
      <c r="C114" t="s">
        <v>124</v>
      </c>
      <c r="D114" t="s">
        <v>125</v>
      </c>
      <c r="E114" t="s">
        <v>47</v>
      </c>
      <c r="F114" t="s">
        <v>50</v>
      </c>
      <c r="H114" t="s">
        <v>100</v>
      </c>
      <c r="J114" t="s">
        <v>49</v>
      </c>
      <c r="K114" t="s">
        <v>50</v>
      </c>
      <c r="L114" t="s">
        <v>762</v>
      </c>
      <c r="M114" t="s">
        <v>762</v>
      </c>
      <c r="N114">
        <v>100</v>
      </c>
      <c r="R114" t="s">
        <v>101</v>
      </c>
      <c r="S114" t="s">
        <v>102</v>
      </c>
      <c r="V114" t="s">
        <v>50</v>
      </c>
      <c r="W114" t="s">
        <v>63</v>
      </c>
      <c r="X114">
        <v>100000000</v>
      </c>
      <c r="AE114" t="s">
        <v>50</v>
      </c>
      <c r="AM114">
        <v>43465</v>
      </c>
      <c r="AN114">
        <v>43469.451388888891</v>
      </c>
      <c r="AO114" s="2">
        <f t="shared" si="11"/>
        <v>75</v>
      </c>
      <c r="AP114" s="2">
        <f t="shared" si="12"/>
        <v>82</v>
      </c>
      <c r="AQ114" s="3">
        <f t="shared" si="13"/>
        <v>0</v>
      </c>
      <c r="AR114" s="1" t="str">
        <f>INDEX(IOS!$B:$B,MATCH(D114,IOS!A:A,0))&amp;B114</f>
        <v>I.O.8</v>
      </c>
      <c r="AS114" s="1">
        <f t="shared" si="14"/>
        <v>0</v>
      </c>
      <c r="AT114" s="1">
        <f>IF(ISBLANK(W114),"",IF(ISERROR(MATCH(W114,HQLATABLE!$A:$A,0)),0,1))</f>
        <v>0</v>
      </c>
      <c r="AU114" s="1">
        <f t="shared" si="15"/>
        <v>0</v>
      </c>
      <c r="AV114" s="1" t="str">
        <f t="shared" si="16"/>
        <v>Blank</v>
      </c>
      <c r="AW114" s="1">
        <f t="shared" si="17"/>
        <v>-1</v>
      </c>
      <c r="AX114" s="1" t="str">
        <f t="shared" si="18"/>
        <v>Blank</v>
      </c>
      <c r="AY114" s="1"/>
      <c r="AZ114" s="1">
        <f>IF(COUNTIFS('PID CHECK'!$B:$B,AR114)=1,0,IF(COUNTIFS(AR$1:AR113,AR114)=1,0,1))</f>
        <v>0</v>
      </c>
      <c r="BA114" s="1"/>
      <c r="BB114" s="1"/>
    </row>
    <row r="115" spans="1:54">
      <c r="A115">
        <v>114</v>
      </c>
      <c r="B115" t="s">
        <v>123</v>
      </c>
      <c r="C115" t="s">
        <v>124</v>
      </c>
      <c r="D115" t="s">
        <v>125</v>
      </c>
      <c r="E115" t="s">
        <v>47</v>
      </c>
      <c r="F115" t="s">
        <v>50</v>
      </c>
      <c r="H115" t="s">
        <v>108</v>
      </c>
      <c r="J115" t="s">
        <v>49</v>
      </c>
      <c r="K115" t="s">
        <v>50</v>
      </c>
      <c r="L115" t="s">
        <v>762</v>
      </c>
      <c r="M115" t="s">
        <v>762</v>
      </c>
      <c r="N115">
        <v>150</v>
      </c>
      <c r="R115" t="s">
        <v>109</v>
      </c>
      <c r="S115" t="s">
        <v>110</v>
      </c>
      <c r="V115" t="s">
        <v>53</v>
      </c>
      <c r="W115" t="s">
        <v>60</v>
      </c>
      <c r="X115">
        <v>150000000</v>
      </c>
      <c r="AE115" t="s">
        <v>50</v>
      </c>
      <c r="AM115">
        <v>43465</v>
      </c>
      <c r="AN115">
        <v>43469.451388888891</v>
      </c>
      <c r="AO115" s="2">
        <f t="shared" si="11"/>
        <v>91</v>
      </c>
      <c r="AP115" s="2">
        <f t="shared" si="12"/>
        <v>120</v>
      </c>
      <c r="AQ115" s="3">
        <f t="shared" si="13"/>
        <v>0</v>
      </c>
      <c r="AR115" s="1" t="str">
        <f>INDEX(IOS!$B:$B,MATCH(D115,IOS!A:A,0))&amp;B115</f>
        <v>I.O.8</v>
      </c>
      <c r="AS115" s="1">
        <f t="shared" si="14"/>
        <v>0</v>
      </c>
      <c r="AT115" s="1">
        <f>IF(ISBLANK(W115),"",IF(ISERROR(MATCH(W115,HQLATABLE!$A:$A,0)),0,1))</f>
        <v>1</v>
      </c>
      <c r="AU115" s="1">
        <f t="shared" si="15"/>
        <v>1</v>
      </c>
      <c r="AV115" s="1" t="str">
        <f t="shared" si="16"/>
        <v>Blank</v>
      </c>
      <c r="AW115" s="1">
        <f t="shared" si="17"/>
        <v>-1</v>
      </c>
      <c r="AX115" s="1" t="str">
        <f t="shared" si="18"/>
        <v>Blank</v>
      </c>
      <c r="AY115" s="1"/>
      <c r="AZ115" s="1">
        <f>IF(COUNTIFS('PID CHECK'!$B:$B,AR115)=1,0,IF(COUNTIFS(AR$1:AR114,AR115)=1,0,1))</f>
        <v>0</v>
      </c>
      <c r="BA115" s="1"/>
      <c r="BB115" s="1"/>
    </row>
    <row r="116" spans="1:54">
      <c r="A116">
        <v>115</v>
      </c>
      <c r="B116" t="s">
        <v>58</v>
      </c>
      <c r="C116" t="s">
        <v>126</v>
      </c>
      <c r="D116" t="s">
        <v>125</v>
      </c>
      <c r="E116" t="s">
        <v>47</v>
      </c>
      <c r="F116" t="s">
        <v>50</v>
      </c>
      <c r="H116" t="s">
        <v>995</v>
      </c>
      <c r="J116" t="s">
        <v>49</v>
      </c>
      <c r="K116" t="s">
        <v>50</v>
      </c>
      <c r="L116" t="s">
        <v>762</v>
      </c>
      <c r="M116" t="s">
        <v>762</v>
      </c>
      <c r="N116">
        <v>0.2</v>
      </c>
      <c r="R116" t="s">
        <v>996</v>
      </c>
      <c r="S116" t="s">
        <v>996</v>
      </c>
      <c r="V116" t="s">
        <v>50</v>
      </c>
      <c r="AE116" t="s">
        <v>50</v>
      </c>
      <c r="AM116">
        <v>43465</v>
      </c>
      <c r="AN116">
        <v>43469.451388888891</v>
      </c>
      <c r="AO116" s="2">
        <f t="shared" si="11"/>
        <v>10</v>
      </c>
      <c r="AP116" s="2">
        <f t="shared" si="12"/>
        <v>10</v>
      </c>
      <c r="AQ116" s="3">
        <f t="shared" si="13"/>
        <v>1</v>
      </c>
      <c r="AR116" s="1" t="str">
        <f>INDEX(IOS!$B:$B,MATCH(D116,IOS!A:A,0))&amp;B116</f>
        <v>I.O.1</v>
      </c>
      <c r="AS116" s="1">
        <f t="shared" si="14"/>
        <v>0</v>
      </c>
      <c r="AT116" s="1" t="str">
        <f>IF(ISBLANK(W116),"",IF(ISERROR(MATCH(W116,HQLATABLE!$A:$A,0)),0,1))</f>
        <v/>
      </c>
      <c r="AU116" s="1">
        <f t="shared" si="15"/>
        <v>0</v>
      </c>
      <c r="AV116" s="1" t="str">
        <f t="shared" si="16"/>
        <v>Blank</v>
      </c>
      <c r="AW116" s="1">
        <f t="shared" si="17"/>
        <v>0</v>
      </c>
      <c r="AX116" s="1" t="str">
        <f t="shared" si="18"/>
        <v>Blank</v>
      </c>
      <c r="AY116" s="1"/>
      <c r="AZ116" s="1">
        <f>IF(COUNTIFS('PID CHECK'!$B:$B,AR116)=1,0,IF(COUNTIFS(AR$1:AR115,AR116)=1,0,1))</f>
        <v>0</v>
      </c>
      <c r="BA116" s="1"/>
      <c r="BB116" s="1"/>
    </row>
    <row r="117" spans="1:54">
      <c r="A117">
        <v>116</v>
      </c>
      <c r="B117" t="s">
        <v>58</v>
      </c>
      <c r="C117" t="s">
        <v>126</v>
      </c>
      <c r="D117" t="s">
        <v>125</v>
      </c>
      <c r="E117" t="s">
        <v>47</v>
      </c>
      <c r="F117" t="s">
        <v>50</v>
      </c>
      <c r="H117" t="s">
        <v>67</v>
      </c>
      <c r="J117" t="s">
        <v>49</v>
      </c>
      <c r="K117" t="s">
        <v>50</v>
      </c>
      <c r="L117" t="s">
        <v>762</v>
      </c>
      <c r="M117" t="s">
        <v>762</v>
      </c>
      <c r="N117">
        <v>0.19</v>
      </c>
      <c r="R117" t="s">
        <v>68</v>
      </c>
      <c r="S117" t="s">
        <v>69</v>
      </c>
      <c r="V117" t="s">
        <v>50</v>
      </c>
      <c r="AE117" t="s">
        <v>50</v>
      </c>
      <c r="AM117">
        <v>43465</v>
      </c>
      <c r="AN117">
        <v>43469.451388888891</v>
      </c>
      <c r="AO117" s="2">
        <f t="shared" si="11"/>
        <v>121</v>
      </c>
      <c r="AP117" s="2">
        <f t="shared" si="12"/>
        <v>150</v>
      </c>
      <c r="AQ117" s="3">
        <f t="shared" si="13"/>
        <v>0</v>
      </c>
      <c r="AR117" s="1" t="str">
        <f>INDEX(IOS!$B:$B,MATCH(D117,IOS!A:A,0))&amp;B117</f>
        <v>I.O.1</v>
      </c>
      <c r="AS117" s="1">
        <f t="shared" si="14"/>
        <v>0</v>
      </c>
      <c r="AT117" s="1" t="str">
        <f>IF(ISBLANK(W117),"",IF(ISERROR(MATCH(W117,HQLATABLE!$A:$A,0)),0,1))</f>
        <v/>
      </c>
      <c r="AU117" s="1">
        <f t="shared" si="15"/>
        <v>0</v>
      </c>
      <c r="AV117" s="1" t="str">
        <f t="shared" si="16"/>
        <v>Blank</v>
      </c>
      <c r="AW117" s="1">
        <f t="shared" si="17"/>
        <v>0</v>
      </c>
      <c r="AX117" s="1" t="str">
        <f t="shared" si="18"/>
        <v>Blank</v>
      </c>
      <c r="AY117" s="1"/>
      <c r="AZ117" s="1">
        <f>IF(COUNTIFS('PID CHECK'!$B:$B,AR117)=1,0,IF(COUNTIFS(AR$1:AR116,AR117)=1,0,1))</f>
        <v>0</v>
      </c>
      <c r="BA117" s="1"/>
      <c r="BB117" s="1"/>
    </row>
    <row r="118" spans="1:54">
      <c r="A118">
        <v>117</v>
      </c>
      <c r="B118" t="s">
        <v>58</v>
      </c>
      <c r="C118" t="s">
        <v>126</v>
      </c>
      <c r="D118" t="s">
        <v>125</v>
      </c>
      <c r="E118" t="s">
        <v>47</v>
      </c>
      <c r="F118" t="s">
        <v>50</v>
      </c>
      <c r="H118" t="s">
        <v>85</v>
      </c>
      <c r="J118" t="s">
        <v>49</v>
      </c>
      <c r="K118" t="s">
        <v>50</v>
      </c>
      <c r="L118" t="s">
        <v>762</v>
      </c>
      <c r="M118" t="s">
        <v>762</v>
      </c>
      <c r="N118">
        <v>0.06</v>
      </c>
      <c r="R118" t="s">
        <v>86</v>
      </c>
      <c r="S118" t="s">
        <v>86</v>
      </c>
      <c r="V118" t="s">
        <v>50</v>
      </c>
      <c r="AE118" t="s">
        <v>50</v>
      </c>
      <c r="AM118">
        <v>43465</v>
      </c>
      <c r="AN118">
        <v>43469.451388888891</v>
      </c>
      <c r="AO118" s="2">
        <f t="shared" si="11"/>
        <v>14</v>
      </c>
      <c r="AP118" s="2">
        <f t="shared" si="12"/>
        <v>14</v>
      </c>
      <c r="AQ118" s="3">
        <f t="shared" si="13"/>
        <v>1</v>
      </c>
      <c r="AR118" s="1" t="str">
        <f>INDEX(IOS!$B:$B,MATCH(D118,IOS!A:A,0))&amp;B118</f>
        <v>I.O.1</v>
      </c>
      <c r="AS118" s="1">
        <f t="shared" si="14"/>
        <v>0</v>
      </c>
      <c r="AT118" s="1" t="str">
        <f>IF(ISBLANK(W118),"",IF(ISERROR(MATCH(W118,HQLATABLE!$A:$A,0)),0,1))</f>
        <v/>
      </c>
      <c r="AU118" s="1">
        <f t="shared" si="15"/>
        <v>0</v>
      </c>
      <c r="AV118" s="1" t="str">
        <f t="shared" si="16"/>
        <v>Blank</v>
      </c>
      <c r="AW118" s="1">
        <f t="shared" si="17"/>
        <v>0</v>
      </c>
      <c r="AX118" s="1" t="str">
        <f t="shared" si="18"/>
        <v>Blank</v>
      </c>
      <c r="AY118" s="1"/>
      <c r="AZ118" s="1">
        <f>IF(COUNTIFS('PID CHECK'!$B:$B,AR118)=1,0,IF(COUNTIFS(AR$1:AR117,AR118)=1,0,1))</f>
        <v>0</v>
      </c>
      <c r="BA118" s="1"/>
      <c r="BB118" s="1"/>
    </row>
    <row r="119" spans="1:54">
      <c r="A119">
        <v>118</v>
      </c>
      <c r="B119" t="s">
        <v>58</v>
      </c>
      <c r="C119" t="s">
        <v>126</v>
      </c>
      <c r="D119" t="s">
        <v>125</v>
      </c>
      <c r="E119" t="s">
        <v>47</v>
      </c>
      <c r="F119" t="s">
        <v>50</v>
      </c>
      <c r="H119" t="s">
        <v>73</v>
      </c>
      <c r="J119" t="s">
        <v>49</v>
      </c>
      <c r="K119" t="s">
        <v>50</v>
      </c>
      <c r="L119" t="s">
        <v>762</v>
      </c>
      <c r="M119" t="s">
        <v>762</v>
      </c>
      <c r="N119">
        <v>0.2</v>
      </c>
      <c r="R119" t="s">
        <v>74</v>
      </c>
      <c r="S119" t="s">
        <v>75</v>
      </c>
      <c r="V119" t="s">
        <v>50</v>
      </c>
      <c r="AE119" t="s">
        <v>50</v>
      </c>
      <c r="AM119">
        <v>43465</v>
      </c>
      <c r="AN119">
        <v>43469.451388888891</v>
      </c>
      <c r="AO119" s="2">
        <f t="shared" si="11"/>
        <v>151</v>
      </c>
      <c r="AP119" s="2">
        <f t="shared" si="12"/>
        <v>180</v>
      </c>
      <c r="AQ119" s="3">
        <f t="shared" si="13"/>
        <v>0</v>
      </c>
      <c r="AR119" s="1" t="str">
        <f>INDEX(IOS!$B:$B,MATCH(D119,IOS!A:A,0))&amp;B119</f>
        <v>I.O.1</v>
      </c>
      <c r="AS119" s="1">
        <f t="shared" si="14"/>
        <v>0</v>
      </c>
      <c r="AT119" s="1" t="str">
        <f>IF(ISBLANK(W119),"",IF(ISERROR(MATCH(W119,HQLATABLE!$A:$A,0)),0,1))</f>
        <v/>
      </c>
      <c r="AU119" s="1">
        <f t="shared" si="15"/>
        <v>0</v>
      </c>
      <c r="AV119" s="1" t="str">
        <f t="shared" si="16"/>
        <v>Blank</v>
      </c>
      <c r="AW119" s="1">
        <f t="shared" si="17"/>
        <v>0</v>
      </c>
      <c r="AX119" s="1" t="str">
        <f t="shared" si="18"/>
        <v>Blank</v>
      </c>
      <c r="AY119" s="1"/>
      <c r="AZ119" s="1">
        <f>IF(COUNTIFS('PID CHECK'!$B:$B,AR119)=1,0,IF(COUNTIFS(AR$1:AR118,AR119)=1,0,1))</f>
        <v>0</v>
      </c>
      <c r="BA119" s="1"/>
      <c r="BB119" s="1"/>
    </row>
    <row r="120" spans="1:54">
      <c r="A120">
        <v>119</v>
      </c>
      <c r="B120" t="s">
        <v>58</v>
      </c>
      <c r="C120" t="s">
        <v>126</v>
      </c>
      <c r="D120" t="s">
        <v>125</v>
      </c>
      <c r="E120" t="s">
        <v>47</v>
      </c>
      <c r="F120" t="s">
        <v>50</v>
      </c>
      <c r="H120" t="s">
        <v>87</v>
      </c>
      <c r="J120" t="s">
        <v>49</v>
      </c>
      <c r="K120" t="s">
        <v>50</v>
      </c>
      <c r="L120" t="s">
        <v>762</v>
      </c>
      <c r="M120" t="s">
        <v>762</v>
      </c>
      <c r="N120">
        <v>0.69</v>
      </c>
      <c r="R120" t="s">
        <v>88</v>
      </c>
      <c r="S120" t="s">
        <v>89</v>
      </c>
      <c r="V120" t="s">
        <v>50</v>
      </c>
      <c r="AE120" t="s">
        <v>50</v>
      </c>
      <c r="AM120">
        <v>43465</v>
      </c>
      <c r="AN120">
        <v>43469.451388888891</v>
      </c>
      <c r="AO120" s="2">
        <f t="shared" si="11"/>
        <v>181</v>
      </c>
      <c r="AP120" s="2">
        <f t="shared" si="12"/>
        <v>270</v>
      </c>
      <c r="AQ120" s="3">
        <f t="shared" si="13"/>
        <v>0</v>
      </c>
      <c r="AR120" s="1" t="str">
        <f>INDEX(IOS!$B:$B,MATCH(D120,IOS!A:A,0))&amp;B120</f>
        <v>I.O.1</v>
      </c>
      <c r="AS120" s="1">
        <f t="shared" si="14"/>
        <v>0</v>
      </c>
      <c r="AT120" s="1" t="str">
        <f>IF(ISBLANK(W120),"",IF(ISERROR(MATCH(W120,HQLATABLE!$A:$A,0)),0,1))</f>
        <v/>
      </c>
      <c r="AU120" s="1">
        <f t="shared" si="15"/>
        <v>0</v>
      </c>
      <c r="AV120" s="1" t="str">
        <f t="shared" si="16"/>
        <v>Blank</v>
      </c>
      <c r="AW120" s="1">
        <f t="shared" si="17"/>
        <v>0</v>
      </c>
      <c r="AX120" s="1" t="str">
        <f t="shared" si="18"/>
        <v>Blank</v>
      </c>
      <c r="AY120" s="1"/>
      <c r="AZ120" s="1">
        <f>IF(COUNTIFS('PID CHECK'!$B:$B,AR120)=1,0,IF(COUNTIFS(AR$1:AR119,AR120)=1,0,1))</f>
        <v>0</v>
      </c>
      <c r="BA120" s="1"/>
      <c r="BB120" s="1"/>
    </row>
    <row r="121" spans="1:54">
      <c r="A121">
        <v>120</v>
      </c>
      <c r="B121" t="s">
        <v>58</v>
      </c>
      <c r="C121" t="s">
        <v>126</v>
      </c>
      <c r="D121" t="s">
        <v>125</v>
      </c>
      <c r="E121" t="s">
        <v>47</v>
      </c>
      <c r="F121" t="s">
        <v>50</v>
      </c>
      <c r="H121" t="s">
        <v>77</v>
      </c>
      <c r="J121" t="s">
        <v>49</v>
      </c>
      <c r="K121" t="s">
        <v>50</v>
      </c>
      <c r="L121" t="s">
        <v>762</v>
      </c>
      <c r="M121" t="s">
        <v>762</v>
      </c>
      <c r="N121">
        <v>21.78</v>
      </c>
      <c r="R121" t="s">
        <v>77</v>
      </c>
      <c r="S121" t="s">
        <v>762</v>
      </c>
      <c r="V121" t="s">
        <v>50</v>
      </c>
      <c r="AE121" t="s">
        <v>50</v>
      </c>
      <c r="AM121">
        <v>43465</v>
      </c>
      <c r="AN121">
        <v>43469.451388888891</v>
      </c>
      <c r="AO121" s="2">
        <f t="shared" si="11"/>
        <v>1827</v>
      </c>
      <c r="AP121" s="2">
        <f t="shared" si="12"/>
        <v>99999</v>
      </c>
      <c r="AQ121" s="3">
        <f t="shared" si="13"/>
        <v>0</v>
      </c>
      <c r="AR121" s="1" t="str">
        <f>INDEX(IOS!$B:$B,MATCH(D121,IOS!A:A,0))&amp;B121</f>
        <v>I.O.1</v>
      </c>
      <c r="AS121" s="1">
        <f t="shared" si="14"/>
        <v>0</v>
      </c>
      <c r="AT121" s="1" t="str">
        <f>IF(ISBLANK(W121),"",IF(ISERROR(MATCH(W121,HQLATABLE!$A:$A,0)),0,1))</f>
        <v/>
      </c>
      <c r="AU121" s="1">
        <f t="shared" si="15"/>
        <v>0</v>
      </c>
      <c r="AV121" s="1" t="str">
        <f t="shared" si="16"/>
        <v>Blank</v>
      </c>
      <c r="AW121" s="1">
        <f t="shared" si="17"/>
        <v>0</v>
      </c>
      <c r="AX121" s="1" t="str">
        <f t="shared" si="18"/>
        <v>Blank</v>
      </c>
      <c r="AY121" s="1"/>
      <c r="AZ121" s="1">
        <f>IF(COUNTIFS('PID CHECK'!$B:$B,AR121)=1,0,IF(COUNTIFS(AR$1:AR120,AR121)=1,0,1))</f>
        <v>0</v>
      </c>
      <c r="BA121" s="1"/>
      <c r="BB121" s="1"/>
    </row>
    <row r="122" spans="1:54">
      <c r="A122">
        <v>121</v>
      </c>
      <c r="B122" t="s">
        <v>58</v>
      </c>
      <c r="C122" t="s">
        <v>126</v>
      </c>
      <c r="D122" t="s">
        <v>125</v>
      </c>
      <c r="E122" t="s">
        <v>47</v>
      </c>
      <c r="F122" t="s">
        <v>50</v>
      </c>
      <c r="H122" t="s">
        <v>79</v>
      </c>
      <c r="J122" t="s">
        <v>49</v>
      </c>
      <c r="K122" t="s">
        <v>50</v>
      </c>
      <c r="L122" t="s">
        <v>762</v>
      </c>
      <c r="M122" t="s">
        <v>762</v>
      </c>
      <c r="N122">
        <v>0.68</v>
      </c>
      <c r="R122" t="s">
        <v>80</v>
      </c>
      <c r="S122" t="s">
        <v>81</v>
      </c>
      <c r="V122" t="s">
        <v>50</v>
      </c>
      <c r="AE122" t="s">
        <v>50</v>
      </c>
      <c r="AM122">
        <v>43465</v>
      </c>
      <c r="AN122">
        <v>43469.451388888891</v>
      </c>
      <c r="AO122" s="2">
        <f t="shared" si="11"/>
        <v>271</v>
      </c>
      <c r="AP122" s="2">
        <f t="shared" si="12"/>
        <v>365</v>
      </c>
      <c r="AQ122" s="3">
        <f t="shared" si="13"/>
        <v>0</v>
      </c>
      <c r="AR122" s="1" t="str">
        <f>INDEX(IOS!$B:$B,MATCH(D122,IOS!A:A,0))&amp;B122</f>
        <v>I.O.1</v>
      </c>
      <c r="AS122" s="1">
        <f t="shared" si="14"/>
        <v>0</v>
      </c>
      <c r="AT122" s="1" t="str">
        <f>IF(ISBLANK(W122),"",IF(ISERROR(MATCH(W122,HQLATABLE!$A:$A,0)),0,1))</f>
        <v/>
      </c>
      <c r="AU122" s="1">
        <f t="shared" si="15"/>
        <v>0</v>
      </c>
      <c r="AV122" s="1" t="str">
        <f t="shared" si="16"/>
        <v>Blank</v>
      </c>
      <c r="AW122" s="1">
        <f t="shared" si="17"/>
        <v>0</v>
      </c>
      <c r="AX122" s="1" t="str">
        <f t="shared" si="18"/>
        <v>Blank</v>
      </c>
      <c r="AY122" s="1"/>
      <c r="AZ122" s="1">
        <f>IF(COUNTIFS('PID CHECK'!$B:$B,AR122)=1,0,IF(COUNTIFS(AR$1:AR121,AR122)=1,0,1))</f>
        <v>0</v>
      </c>
      <c r="BA122" s="1"/>
      <c r="BB122" s="1"/>
    </row>
    <row r="123" spans="1:54">
      <c r="A123">
        <v>122</v>
      </c>
      <c r="B123" t="s">
        <v>58</v>
      </c>
      <c r="C123" t="s">
        <v>126</v>
      </c>
      <c r="D123" t="s">
        <v>125</v>
      </c>
      <c r="E123" t="s">
        <v>47</v>
      </c>
      <c r="F123" t="s">
        <v>50</v>
      </c>
      <c r="H123" t="s">
        <v>90</v>
      </c>
      <c r="J123" t="s">
        <v>49</v>
      </c>
      <c r="K123" t="s">
        <v>50</v>
      </c>
      <c r="L123" t="s">
        <v>762</v>
      </c>
      <c r="M123" t="s">
        <v>762</v>
      </c>
      <c r="N123">
        <v>0.2</v>
      </c>
      <c r="R123" t="s">
        <v>91</v>
      </c>
      <c r="S123" t="s">
        <v>91</v>
      </c>
      <c r="V123" t="s">
        <v>50</v>
      </c>
      <c r="AE123" t="s">
        <v>50</v>
      </c>
      <c r="AM123">
        <v>43465</v>
      </c>
      <c r="AN123">
        <v>43469.451388888891</v>
      </c>
      <c r="AO123" s="2">
        <f t="shared" si="11"/>
        <v>42</v>
      </c>
      <c r="AP123" s="2">
        <f t="shared" si="12"/>
        <v>42</v>
      </c>
      <c r="AQ123" s="3">
        <f t="shared" si="13"/>
        <v>0</v>
      </c>
      <c r="AR123" s="1" t="str">
        <f>INDEX(IOS!$B:$B,MATCH(D123,IOS!A:A,0))&amp;B123</f>
        <v>I.O.1</v>
      </c>
      <c r="AS123" s="1">
        <f t="shared" si="14"/>
        <v>0</v>
      </c>
      <c r="AT123" s="1" t="str">
        <f>IF(ISBLANK(W123),"",IF(ISERROR(MATCH(W123,HQLATABLE!$A:$A,0)),0,1))</f>
        <v/>
      </c>
      <c r="AU123" s="1">
        <f t="shared" si="15"/>
        <v>0</v>
      </c>
      <c r="AV123" s="1" t="str">
        <f t="shared" si="16"/>
        <v>Blank</v>
      </c>
      <c r="AW123" s="1">
        <f t="shared" si="17"/>
        <v>0</v>
      </c>
      <c r="AX123" s="1" t="str">
        <f t="shared" si="18"/>
        <v>Blank</v>
      </c>
      <c r="AY123" s="1"/>
      <c r="AZ123" s="1">
        <f>IF(COUNTIFS('PID CHECK'!$B:$B,AR123)=1,0,IF(COUNTIFS(AR$1:AR122,AR123)=1,0,1))</f>
        <v>0</v>
      </c>
      <c r="BA123" s="1"/>
      <c r="BB123" s="1"/>
    </row>
    <row r="124" spans="1:54">
      <c r="A124">
        <v>123</v>
      </c>
      <c r="B124" t="s">
        <v>58</v>
      </c>
      <c r="C124" t="s">
        <v>126</v>
      </c>
      <c r="D124" t="s">
        <v>125</v>
      </c>
      <c r="E124" t="s">
        <v>47</v>
      </c>
      <c r="F124" t="s">
        <v>50</v>
      </c>
      <c r="H124" t="s">
        <v>97</v>
      </c>
      <c r="J124" t="s">
        <v>49</v>
      </c>
      <c r="K124" t="s">
        <v>50</v>
      </c>
      <c r="L124" t="s">
        <v>762</v>
      </c>
      <c r="M124" t="s">
        <v>762</v>
      </c>
      <c r="N124">
        <v>0.18</v>
      </c>
      <c r="R124" t="s">
        <v>98</v>
      </c>
      <c r="S124" t="s">
        <v>99</v>
      </c>
      <c r="V124" t="s">
        <v>50</v>
      </c>
      <c r="AE124" t="s">
        <v>50</v>
      </c>
      <c r="AM124">
        <v>43465</v>
      </c>
      <c r="AN124">
        <v>43469.451388888891</v>
      </c>
      <c r="AO124" s="2">
        <f t="shared" si="11"/>
        <v>68</v>
      </c>
      <c r="AP124" s="2">
        <f t="shared" si="12"/>
        <v>74</v>
      </c>
      <c r="AQ124" s="3">
        <f t="shared" si="13"/>
        <v>0</v>
      </c>
      <c r="AR124" s="1" t="str">
        <f>INDEX(IOS!$B:$B,MATCH(D124,IOS!A:A,0))&amp;B124</f>
        <v>I.O.1</v>
      </c>
      <c r="AS124" s="1">
        <f t="shared" si="14"/>
        <v>0</v>
      </c>
      <c r="AT124" s="1" t="str">
        <f>IF(ISBLANK(W124),"",IF(ISERROR(MATCH(W124,HQLATABLE!$A:$A,0)),0,1))</f>
        <v/>
      </c>
      <c r="AU124" s="1">
        <f t="shared" si="15"/>
        <v>0</v>
      </c>
      <c r="AV124" s="1" t="str">
        <f t="shared" si="16"/>
        <v>Blank</v>
      </c>
      <c r="AW124" s="1">
        <f t="shared" si="17"/>
        <v>0</v>
      </c>
      <c r="AX124" s="1" t="str">
        <f t="shared" si="18"/>
        <v>Blank</v>
      </c>
      <c r="AY124" s="1"/>
      <c r="AZ124" s="1">
        <f>IF(COUNTIFS('PID CHECK'!$B:$B,AR124)=1,0,IF(COUNTIFS(AR$1:AR123,AR124)=1,0,1))</f>
        <v>0</v>
      </c>
      <c r="BA124" s="1"/>
      <c r="BB124" s="1"/>
    </row>
    <row r="125" spans="1:54">
      <c r="A125">
        <v>124</v>
      </c>
      <c r="B125" t="s">
        <v>58</v>
      </c>
      <c r="C125" t="s">
        <v>126</v>
      </c>
      <c r="D125" t="s">
        <v>125</v>
      </c>
      <c r="E125" t="s">
        <v>47</v>
      </c>
      <c r="F125" t="s">
        <v>50</v>
      </c>
      <c r="H125" t="s">
        <v>103</v>
      </c>
      <c r="J125" t="s">
        <v>49</v>
      </c>
      <c r="K125" t="s">
        <v>50</v>
      </c>
      <c r="L125" t="s">
        <v>762</v>
      </c>
      <c r="M125" t="s">
        <v>762</v>
      </c>
      <c r="N125">
        <v>0.05</v>
      </c>
      <c r="R125" t="s">
        <v>104</v>
      </c>
      <c r="S125" t="s">
        <v>104</v>
      </c>
      <c r="V125" t="s">
        <v>50</v>
      </c>
      <c r="AE125" t="s">
        <v>50</v>
      </c>
      <c r="AM125">
        <v>43465</v>
      </c>
      <c r="AN125">
        <v>43469.451388888891</v>
      </c>
      <c r="AO125" s="2">
        <f t="shared" si="11"/>
        <v>7</v>
      </c>
      <c r="AP125" s="2">
        <f t="shared" si="12"/>
        <v>7</v>
      </c>
      <c r="AQ125" s="3">
        <f t="shared" si="13"/>
        <v>1</v>
      </c>
      <c r="AR125" s="1" t="str">
        <f>INDEX(IOS!$B:$B,MATCH(D125,IOS!A:A,0))&amp;B125</f>
        <v>I.O.1</v>
      </c>
      <c r="AS125" s="1">
        <f t="shared" si="14"/>
        <v>0</v>
      </c>
      <c r="AT125" s="1" t="str">
        <f>IF(ISBLANK(W125),"",IF(ISERROR(MATCH(W125,HQLATABLE!$A:$A,0)),0,1))</f>
        <v/>
      </c>
      <c r="AU125" s="1">
        <f t="shared" si="15"/>
        <v>0</v>
      </c>
      <c r="AV125" s="1" t="str">
        <f t="shared" si="16"/>
        <v>Blank</v>
      </c>
      <c r="AW125" s="1">
        <f t="shared" si="17"/>
        <v>0</v>
      </c>
      <c r="AX125" s="1" t="str">
        <f t="shared" si="18"/>
        <v>Blank</v>
      </c>
      <c r="AY125" s="1"/>
      <c r="AZ125" s="1">
        <f>IF(COUNTIFS('PID CHECK'!$B:$B,AR125)=1,0,IF(COUNTIFS(AR$1:AR124,AR125)=1,0,1))</f>
        <v>0</v>
      </c>
      <c r="BA125" s="1"/>
      <c r="BB125" s="1"/>
    </row>
    <row r="126" spans="1:54">
      <c r="A126">
        <v>125</v>
      </c>
      <c r="B126" t="s">
        <v>58</v>
      </c>
      <c r="C126" t="s">
        <v>126</v>
      </c>
      <c r="D126" t="s">
        <v>125</v>
      </c>
      <c r="E126" t="s">
        <v>47</v>
      </c>
      <c r="F126" t="s">
        <v>50</v>
      </c>
      <c r="H126" t="s">
        <v>108</v>
      </c>
      <c r="J126" t="s">
        <v>49</v>
      </c>
      <c r="K126" t="s">
        <v>50</v>
      </c>
      <c r="L126" t="s">
        <v>762</v>
      </c>
      <c r="M126" t="s">
        <v>762</v>
      </c>
      <c r="N126">
        <v>0.3</v>
      </c>
      <c r="R126" t="s">
        <v>109</v>
      </c>
      <c r="S126" t="s">
        <v>110</v>
      </c>
      <c r="V126" t="s">
        <v>50</v>
      </c>
      <c r="AE126" t="s">
        <v>50</v>
      </c>
      <c r="AM126">
        <v>43465</v>
      </c>
      <c r="AN126">
        <v>43469.451388888891</v>
      </c>
      <c r="AO126" s="2">
        <f t="shared" si="11"/>
        <v>91</v>
      </c>
      <c r="AP126" s="2">
        <f t="shared" si="12"/>
        <v>120</v>
      </c>
      <c r="AQ126" s="3">
        <f t="shared" si="13"/>
        <v>0</v>
      </c>
      <c r="AR126" s="1" t="str">
        <f>INDEX(IOS!$B:$B,MATCH(D126,IOS!A:A,0))&amp;B126</f>
        <v>I.O.1</v>
      </c>
      <c r="AS126" s="1">
        <f t="shared" si="14"/>
        <v>0</v>
      </c>
      <c r="AT126" s="1" t="str">
        <f>IF(ISBLANK(W126),"",IF(ISERROR(MATCH(W126,HQLATABLE!$A:$A,0)),0,1))</f>
        <v/>
      </c>
      <c r="AU126" s="1">
        <f t="shared" si="15"/>
        <v>0</v>
      </c>
      <c r="AV126" s="1" t="str">
        <f t="shared" si="16"/>
        <v>Blank</v>
      </c>
      <c r="AW126" s="1">
        <f t="shared" si="17"/>
        <v>0</v>
      </c>
      <c r="AX126" s="1" t="str">
        <f t="shared" si="18"/>
        <v>Blank</v>
      </c>
      <c r="AY126" s="1"/>
      <c r="AZ126" s="1">
        <f>IF(COUNTIFS('PID CHECK'!$B:$B,AR126)=1,0,IF(COUNTIFS(AR$1:AR125,AR126)=1,0,1))</f>
        <v>0</v>
      </c>
      <c r="BA126" s="1"/>
      <c r="BB126" s="1"/>
    </row>
    <row r="127" spans="1:54">
      <c r="A127">
        <v>126</v>
      </c>
      <c r="B127" t="s">
        <v>111</v>
      </c>
      <c r="C127" t="s">
        <v>127</v>
      </c>
      <c r="D127" t="s">
        <v>125</v>
      </c>
      <c r="E127" t="s">
        <v>47</v>
      </c>
      <c r="F127" t="s">
        <v>50</v>
      </c>
      <c r="H127" t="s">
        <v>1026</v>
      </c>
      <c r="J127" t="s">
        <v>49</v>
      </c>
      <c r="K127" t="s">
        <v>50</v>
      </c>
      <c r="L127" t="s">
        <v>762</v>
      </c>
      <c r="M127" t="s">
        <v>762</v>
      </c>
      <c r="N127">
        <v>8</v>
      </c>
      <c r="R127" t="s">
        <v>1027</v>
      </c>
      <c r="S127" t="s">
        <v>1027</v>
      </c>
      <c r="V127" t="s">
        <v>50</v>
      </c>
      <c r="AE127" t="s">
        <v>50</v>
      </c>
      <c r="AM127">
        <v>43465</v>
      </c>
      <c r="AN127">
        <v>43469.451388888891</v>
      </c>
      <c r="AO127" s="2">
        <f t="shared" si="11"/>
        <v>30</v>
      </c>
      <c r="AP127" s="2">
        <f t="shared" si="12"/>
        <v>30</v>
      </c>
      <c r="AQ127" s="3">
        <f t="shared" si="13"/>
        <v>1</v>
      </c>
      <c r="AR127" s="1" t="str">
        <f>INDEX(IOS!$B:$B,MATCH(D127,IOS!A:A,0))&amp;B127</f>
        <v>I.O.6</v>
      </c>
      <c r="AS127" s="1">
        <f t="shared" si="14"/>
        <v>0</v>
      </c>
      <c r="AT127" s="1" t="str">
        <f>IF(ISBLANK(W127),"",IF(ISERROR(MATCH(W127,HQLATABLE!$A:$A,0)),0,1))</f>
        <v/>
      </c>
      <c r="AU127" s="1">
        <f t="shared" si="15"/>
        <v>0</v>
      </c>
      <c r="AV127" s="1" t="str">
        <f t="shared" si="16"/>
        <v>Blank</v>
      </c>
      <c r="AW127" s="1">
        <f t="shared" si="17"/>
        <v>0</v>
      </c>
      <c r="AX127" s="1" t="str">
        <f t="shared" si="18"/>
        <v>Blank</v>
      </c>
      <c r="AY127" s="1"/>
      <c r="AZ127" s="1">
        <f>IF(COUNTIFS('PID CHECK'!$B:$B,AR127)=1,0,IF(COUNTIFS(AR$1:AR126,AR127)=1,0,1))</f>
        <v>0</v>
      </c>
      <c r="BA127" s="1"/>
      <c r="BB127" s="1"/>
    </row>
    <row r="128" spans="1:54">
      <c r="A128">
        <v>127</v>
      </c>
      <c r="B128" t="s">
        <v>111</v>
      </c>
      <c r="C128" t="s">
        <v>127</v>
      </c>
      <c r="D128" t="s">
        <v>125</v>
      </c>
      <c r="E128" t="s">
        <v>47</v>
      </c>
      <c r="F128" t="s">
        <v>53</v>
      </c>
      <c r="H128" t="s">
        <v>1026</v>
      </c>
      <c r="J128" t="s">
        <v>49</v>
      </c>
      <c r="K128" t="s">
        <v>50</v>
      </c>
      <c r="L128" t="s">
        <v>762</v>
      </c>
      <c r="M128" t="s">
        <v>762</v>
      </c>
      <c r="N128">
        <v>1.36</v>
      </c>
      <c r="R128" t="s">
        <v>1027</v>
      </c>
      <c r="S128" t="s">
        <v>1027</v>
      </c>
      <c r="V128" t="s">
        <v>50</v>
      </c>
      <c r="AB128" t="s">
        <v>114</v>
      </c>
      <c r="AE128" t="s">
        <v>50</v>
      </c>
      <c r="AM128">
        <v>43465</v>
      </c>
      <c r="AN128">
        <v>43469.451388888891</v>
      </c>
      <c r="AO128" s="2">
        <f t="shared" si="11"/>
        <v>30</v>
      </c>
      <c r="AP128" s="2">
        <f t="shared" si="12"/>
        <v>30</v>
      </c>
      <c r="AQ128" s="3">
        <f t="shared" si="13"/>
        <v>1</v>
      </c>
      <c r="AR128" s="1" t="str">
        <f>INDEX(IOS!$B:$B,MATCH(D128,IOS!A:A,0))&amp;B128</f>
        <v>I.O.6</v>
      </c>
      <c r="AS128" s="1">
        <f t="shared" si="14"/>
        <v>1</v>
      </c>
      <c r="AT128" s="1" t="str">
        <f>IF(ISBLANK(W128),"",IF(ISERROR(MATCH(W128,HQLATABLE!$A:$A,0)),0,1))</f>
        <v/>
      </c>
      <c r="AU128" s="1">
        <f t="shared" si="15"/>
        <v>0</v>
      </c>
      <c r="AV128" s="1" t="str">
        <f t="shared" si="16"/>
        <v>Blank</v>
      </c>
      <c r="AW128" s="1">
        <f t="shared" si="17"/>
        <v>0</v>
      </c>
      <c r="AX128" s="1" t="str">
        <f t="shared" si="18"/>
        <v>Blank</v>
      </c>
      <c r="AY128" s="1"/>
      <c r="AZ128" s="1">
        <f>IF(COUNTIFS('PID CHECK'!$B:$B,AR128)=1,0,IF(COUNTIFS(AR$1:AR127,AR128)=1,0,1))</f>
        <v>0</v>
      </c>
      <c r="BA128" s="1"/>
      <c r="BB128" s="1"/>
    </row>
    <row r="129" spans="1:54">
      <c r="A129">
        <v>128</v>
      </c>
      <c r="B129" t="s">
        <v>118</v>
      </c>
      <c r="C129" t="s">
        <v>128</v>
      </c>
      <c r="D129" t="s">
        <v>125</v>
      </c>
      <c r="E129" t="s">
        <v>47</v>
      </c>
      <c r="F129" t="s">
        <v>50</v>
      </c>
      <c r="H129" t="s">
        <v>995</v>
      </c>
      <c r="J129" t="s">
        <v>49</v>
      </c>
      <c r="K129" t="s">
        <v>50</v>
      </c>
      <c r="L129" t="s">
        <v>762</v>
      </c>
      <c r="M129" t="s">
        <v>762</v>
      </c>
      <c r="N129">
        <v>0.2</v>
      </c>
      <c r="R129" t="s">
        <v>996</v>
      </c>
      <c r="S129" t="s">
        <v>996</v>
      </c>
      <c r="V129" t="s">
        <v>50</v>
      </c>
      <c r="AE129" t="s">
        <v>50</v>
      </c>
      <c r="AM129">
        <v>43465</v>
      </c>
      <c r="AN129">
        <v>43469.451388888891</v>
      </c>
      <c r="AO129" s="2">
        <f t="shared" si="11"/>
        <v>10</v>
      </c>
      <c r="AP129" s="2">
        <f t="shared" si="12"/>
        <v>10</v>
      </c>
      <c r="AQ129" s="3">
        <f t="shared" si="13"/>
        <v>1</v>
      </c>
      <c r="AR129" s="1" t="str">
        <f>INDEX(IOS!$B:$B,MATCH(D129,IOS!A:A,0))&amp;B129</f>
        <v>I.O.7</v>
      </c>
      <c r="AS129" s="1">
        <f t="shared" si="14"/>
        <v>0</v>
      </c>
      <c r="AT129" s="1" t="str">
        <f>IF(ISBLANK(W129),"",IF(ISERROR(MATCH(W129,HQLATABLE!$A:$A,0)),0,1))</f>
        <v/>
      </c>
      <c r="AU129" s="1">
        <f t="shared" si="15"/>
        <v>0</v>
      </c>
      <c r="AV129" s="1" t="str">
        <f t="shared" si="16"/>
        <v>Blank</v>
      </c>
      <c r="AW129" s="1">
        <f t="shared" si="17"/>
        <v>0</v>
      </c>
      <c r="AX129" s="1" t="str">
        <f t="shared" si="18"/>
        <v>Blank</v>
      </c>
      <c r="AY129" s="1"/>
      <c r="AZ129" s="1">
        <f>IF(COUNTIFS('PID CHECK'!$B:$B,AR129)=1,0,IF(COUNTIFS(AR$1:AR128,AR129)=1,0,1))</f>
        <v>0</v>
      </c>
      <c r="BA129" s="1"/>
      <c r="BB129" s="1"/>
    </row>
    <row r="130" spans="1:54">
      <c r="A130">
        <v>129</v>
      </c>
      <c r="B130" t="s">
        <v>118</v>
      </c>
      <c r="C130" t="s">
        <v>128</v>
      </c>
      <c r="D130" t="s">
        <v>125</v>
      </c>
      <c r="E130" t="s">
        <v>47</v>
      </c>
      <c r="F130" t="s">
        <v>53</v>
      </c>
      <c r="H130" t="s">
        <v>1019</v>
      </c>
      <c r="J130" t="s">
        <v>49</v>
      </c>
      <c r="K130" t="s">
        <v>50</v>
      </c>
      <c r="L130" t="s">
        <v>762</v>
      </c>
      <c r="M130" t="s">
        <v>762</v>
      </c>
      <c r="N130">
        <v>0.01</v>
      </c>
      <c r="R130" t="s">
        <v>1020</v>
      </c>
      <c r="S130" t="s">
        <v>1020</v>
      </c>
      <c r="V130" t="s">
        <v>50</v>
      </c>
      <c r="AB130" t="s">
        <v>78</v>
      </c>
      <c r="AE130" t="s">
        <v>50</v>
      </c>
      <c r="AM130">
        <v>43465</v>
      </c>
      <c r="AN130">
        <v>43469.451388888891</v>
      </c>
      <c r="AO130" s="2">
        <f t="shared" si="11"/>
        <v>11</v>
      </c>
      <c r="AP130" s="2">
        <f t="shared" si="12"/>
        <v>11</v>
      </c>
      <c r="AQ130" s="3">
        <f t="shared" si="13"/>
        <v>1</v>
      </c>
      <c r="AR130" s="1" t="str">
        <f>INDEX(IOS!$B:$B,MATCH(D130,IOS!A:A,0))&amp;B130</f>
        <v>I.O.7</v>
      </c>
      <c r="AS130" s="1">
        <f t="shared" si="14"/>
        <v>1</v>
      </c>
      <c r="AT130" s="1" t="str">
        <f>IF(ISBLANK(W130),"",IF(ISERROR(MATCH(W130,HQLATABLE!$A:$A,0)),0,1))</f>
        <v/>
      </c>
      <c r="AU130" s="1">
        <f t="shared" si="15"/>
        <v>0</v>
      </c>
      <c r="AV130" s="1" t="str">
        <f t="shared" si="16"/>
        <v>Blank</v>
      </c>
      <c r="AW130" s="1">
        <f t="shared" si="17"/>
        <v>0</v>
      </c>
      <c r="AX130" s="1" t="str">
        <f t="shared" si="18"/>
        <v>Blank</v>
      </c>
      <c r="AY130" s="1"/>
      <c r="AZ130" s="1">
        <f>IF(COUNTIFS('PID CHECK'!$B:$B,AR130)=1,0,IF(COUNTIFS(AR$1:AR129,AR130)=1,0,1))</f>
        <v>0</v>
      </c>
      <c r="BA130" s="1"/>
      <c r="BB130" s="1"/>
    </row>
    <row r="131" spans="1:54">
      <c r="A131">
        <v>130</v>
      </c>
      <c r="B131" t="s">
        <v>118</v>
      </c>
      <c r="C131" t="s">
        <v>128</v>
      </c>
      <c r="D131" t="s">
        <v>125</v>
      </c>
      <c r="E131" t="s">
        <v>47</v>
      </c>
      <c r="F131" t="s">
        <v>50</v>
      </c>
      <c r="H131" t="s">
        <v>85</v>
      </c>
      <c r="J131" t="s">
        <v>49</v>
      </c>
      <c r="K131" t="s">
        <v>50</v>
      </c>
      <c r="L131" t="s">
        <v>762</v>
      </c>
      <c r="M131" t="s">
        <v>762</v>
      </c>
      <c r="N131">
        <v>0.06</v>
      </c>
      <c r="R131" t="s">
        <v>86</v>
      </c>
      <c r="S131" t="s">
        <v>86</v>
      </c>
      <c r="V131" t="s">
        <v>50</v>
      </c>
      <c r="AE131" t="s">
        <v>50</v>
      </c>
      <c r="AM131">
        <v>43465</v>
      </c>
      <c r="AN131">
        <v>43469.451388888891</v>
      </c>
      <c r="AO131" s="2">
        <f t="shared" ref="AO131:AO194" si="19">VALUE(MID(R131,FIND("P",R131)+1,FIND("D",R131)-1-FIND("P",R131)))</f>
        <v>14</v>
      </c>
      <c r="AP131" s="2">
        <f t="shared" ref="AP131:AP194" si="20">IFERROR(VALUE(MID(S131,FIND("P",S131)+1,FIND("D",S131)-1-FIND("P",S131))),99999)</f>
        <v>14</v>
      </c>
      <c r="AQ131" s="3">
        <f t="shared" ref="AQ131:AQ194" si="21">IF(AO131&lt;=30,1,0)</f>
        <v>1</v>
      </c>
      <c r="AR131" s="1" t="str">
        <f>INDEX(IOS!$B:$B,MATCH(D131,IOS!A:A,0))&amp;B131</f>
        <v>I.O.7</v>
      </c>
      <c r="AS131" s="1">
        <f t="shared" ref="AS131:AS194" si="22">IF(F131="","Blank",IF(F131="True",1,0))</f>
        <v>0</v>
      </c>
      <c r="AT131" s="1" t="str">
        <f>IF(ISBLANK(W131),"",IF(ISERROR(MATCH(W131,HQLATABLE!$A:$A,0)),0,1))</f>
        <v/>
      </c>
      <c r="AU131" s="1">
        <f t="shared" ref="AU131:AU194" si="23">IF(V131="","Blank",IF(V131="True",1,0))</f>
        <v>0</v>
      </c>
      <c r="AV131" s="1" t="str">
        <f t="shared" ref="AV131:AV194" si="24">IF(AG131="","Blank",IF(AG131="True",1,0))</f>
        <v>Blank</v>
      </c>
      <c r="AW131" s="1">
        <f t="shared" ref="AW131:AW194" si="25">IF(X131="",0,IF(OR(X131&gt;=N131),-1,1))</f>
        <v>0</v>
      </c>
      <c r="AX131" s="1" t="str">
        <f t="shared" ref="AX131:AX194" si="26">IF(AC131="","Blank",IF(AC131="True",1,0))</f>
        <v>Blank</v>
      </c>
      <c r="AY131" s="1"/>
      <c r="AZ131" s="1">
        <f>IF(COUNTIFS('PID CHECK'!$B:$B,AR131)=1,0,IF(COUNTIFS(AR$1:AR130,AR131)=1,0,1))</f>
        <v>0</v>
      </c>
      <c r="BA131" s="1"/>
      <c r="BB131" s="1"/>
    </row>
    <row r="132" spans="1:54">
      <c r="A132">
        <v>131</v>
      </c>
      <c r="B132" t="s">
        <v>118</v>
      </c>
      <c r="C132" t="s">
        <v>128</v>
      </c>
      <c r="D132" t="s">
        <v>125</v>
      </c>
      <c r="E132" t="s">
        <v>47</v>
      </c>
      <c r="F132" t="s">
        <v>53</v>
      </c>
      <c r="H132" t="s">
        <v>1032</v>
      </c>
      <c r="J132" t="s">
        <v>49</v>
      </c>
      <c r="K132" t="s">
        <v>50</v>
      </c>
      <c r="L132" t="s">
        <v>762</v>
      </c>
      <c r="M132" t="s">
        <v>762</v>
      </c>
      <c r="N132">
        <v>24.42</v>
      </c>
      <c r="R132" t="s">
        <v>1033</v>
      </c>
      <c r="S132" t="s">
        <v>1033</v>
      </c>
      <c r="V132" t="s">
        <v>50</v>
      </c>
      <c r="AB132" t="s">
        <v>78</v>
      </c>
      <c r="AE132" t="s">
        <v>50</v>
      </c>
      <c r="AM132">
        <v>43465</v>
      </c>
      <c r="AN132">
        <v>43469.451388888891</v>
      </c>
      <c r="AO132" s="2">
        <f t="shared" si="19"/>
        <v>16</v>
      </c>
      <c r="AP132" s="2">
        <f t="shared" si="20"/>
        <v>16</v>
      </c>
      <c r="AQ132" s="3">
        <f t="shared" si="21"/>
        <v>1</v>
      </c>
      <c r="AR132" s="1" t="str">
        <f>INDEX(IOS!$B:$B,MATCH(D132,IOS!A:A,0))&amp;B132</f>
        <v>I.O.7</v>
      </c>
      <c r="AS132" s="1">
        <f t="shared" si="22"/>
        <v>1</v>
      </c>
      <c r="AT132" s="1" t="str">
        <f>IF(ISBLANK(W132),"",IF(ISERROR(MATCH(W132,HQLATABLE!$A:$A,0)),0,1))</f>
        <v/>
      </c>
      <c r="AU132" s="1">
        <f t="shared" si="23"/>
        <v>0</v>
      </c>
      <c r="AV132" s="1" t="str">
        <f t="shared" si="24"/>
        <v>Blank</v>
      </c>
      <c r="AW132" s="1">
        <f t="shared" si="25"/>
        <v>0</v>
      </c>
      <c r="AX132" s="1" t="str">
        <f t="shared" si="26"/>
        <v>Blank</v>
      </c>
      <c r="AY132" s="1"/>
      <c r="AZ132" s="1">
        <f>IF(COUNTIFS('PID CHECK'!$B:$B,AR132)=1,0,IF(COUNTIFS(AR$1:AR131,AR132)=1,0,1))</f>
        <v>0</v>
      </c>
      <c r="BA132" s="1"/>
      <c r="BB132" s="1"/>
    </row>
    <row r="133" spans="1:54">
      <c r="A133">
        <v>132</v>
      </c>
      <c r="B133" t="s">
        <v>118</v>
      </c>
      <c r="C133" t="s">
        <v>128</v>
      </c>
      <c r="D133" t="s">
        <v>125</v>
      </c>
      <c r="E133" t="s">
        <v>47</v>
      </c>
      <c r="F133" t="s">
        <v>53</v>
      </c>
      <c r="H133" t="s">
        <v>1046</v>
      </c>
      <c r="J133" t="s">
        <v>49</v>
      </c>
      <c r="K133" t="s">
        <v>50</v>
      </c>
      <c r="L133" t="s">
        <v>762</v>
      </c>
      <c r="M133" t="s">
        <v>762</v>
      </c>
      <c r="N133">
        <v>0.51</v>
      </c>
      <c r="R133" t="s">
        <v>1047</v>
      </c>
      <c r="S133" t="s">
        <v>1047</v>
      </c>
      <c r="V133" t="s">
        <v>50</v>
      </c>
      <c r="AB133" t="s">
        <v>78</v>
      </c>
      <c r="AE133" t="s">
        <v>50</v>
      </c>
      <c r="AM133">
        <v>43465</v>
      </c>
      <c r="AN133">
        <v>43469.451388888891</v>
      </c>
      <c r="AO133" s="2">
        <f t="shared" si="19"/>
        <v>29</v>
      </c>
      <c r="AP133" s="2">
        <f t="shared" si="20"/>
        <v>29</v>
      </c>
      <c r="AQ133" s="3">
        <f t="shared" si="21"/>
        <v>1</v>
      </c>
      <c r="AR133" s="1" t="str">
        <f>INDEX(IOS!$B:$B,MATCH(D133,IOS!A:A,0))&amp;B133</f>
        <v>I.O.7</v>
      </c>
      <c r="AS133" s="1">
        <f t="shared" si="22"/>
        <v>1</v>
      </c>
      <c r="AT133" s="1" t="str">
        <f>IF(ISBLANK(W133),"",IF(ISERROR(MATCH(W133,HQLATABLE!$A:$A,0)),0,1))</f>
        <v/>
      </c>
      <c r="AU133" s="1">
        <f t="shared" si="23"/>
        <v>0</v>
      </c>
      <c r="AV133" s="1" t="str">
        <f t="shared" si="24"/>
        <v>Blank</v>
      </c>
      <c r="AW133" s="1">
        <f t="shared" si="25"/>
        <v>0</v>
      </c>
      <c r="AX133" s="1" t="str">
        <f t="shared" si="26"/>
        <v>Blank</v>
      </c>
      <c r="AY133" s="1"/>
      <c r="AZ133" s="1">
        <f>IF(COUNTIFS('PID CHECK'!$B:$B,AR133)=1,0,IF(COUNTIFS(AR$1:AR132,AR133)=1,0,1))</f>
        <v>0</v>
      </c>
      <c r="BA133" s="1"/>
      <c r="BB133" s="1"/>
    </row>
    <row r="134" spans="1:54">
      <c r="A134">
        <v>133</v>
      </c>
      <c r="B134" t="s">
        <v>118</v>
      </c>
      <c r="C134" t="s">
        <v>128</v>
      </c>
      <c r="D134" t="s">
        <v>125</v>
      </c>
      <c r="E134" t="s">
        <v>47</v>
      </c>
      <c r="F134" t="s">
        <v>50</v>
      </c>
      <c r="H134" t="s">
        <v>1030</v>
      </c>
      <c r="J134" t="s">
        <v>49</v>
      </c>
      <c r="K134" t="s">
        <v>50</v>
      </c>
      <c r="L134" t="s">
        <v>762</v>
      </c>
      <c r="M134" t="s">
        <v>762</v>
      </c>
      <c r="N134">
        <v>1.73</v>
      </c>
      <c r="R134" t="s">
        <v>1031</v>
      </c>
      <c r="S134" t="s">
        <v>1031</v>
      </c>
      <c r="V134" t="s">
        <v>50</v>
      </c>
      <c r="AE134" t="s">
        <v>50</v>
      </c>
      <c r="AM134">
        <v>43465</v>
      </c>
      <c r="AN134">
        <v>43469.451388888891</v>
      </c>
      <c r="AO134" s="2">
        <f t="shared" si="19"/>
        <v>2</v>
      </c>
      <c r="AP134" s="2">
        <f t="shared" si="20"/>
        <v>2</v>
      </c>
      <c r="AQ134" s="3">
        <f t="shared" si="21"/>
        <v>1</v>
      </c>
      <c r="AR134" s="1" t="str">
        <f>INDEX(IOS!$B:$B,MATCH(D134,IOS!A:A,0))&amp;B134</f>
        <v>I.O.7</v>
      </c>
      <c r="AS134" s="1">
        <f t="shared" si="22"/>
        <v>0</v>
      </c>
      <c r="AT134" s="1" t="str">
        <f>IF(ISBLANK(W134),"",IF(ISERROR(MATCH(W134,HQLATABLE!$A:$A,0)),0,1))</f>
        <v/>
      </c>
      <c r="AU134" s="1">
        <f t="shared" si="23"/>
        <v>0</v>
      </c>
      <c r="AV134" s="1" t="str">
        <f t="shared" si="24"/>
        <v>Blank</v>
      </c>
      <c r="AW134" s="1">
        <f t="shared" si="25"/>
        <v>0</v>
      </c>
      <c r="AX134" s="1" t="str">
        <f t="shared" si="26"/>
        <v>Blank</v>
      </c>
      <c r="AY134" s="1"/>
      <c r="AZ134" s="1">
        <f>IF(COUNTIFS('PID CHECK'!$B:$B,AR134)=1,0,IF(COUNTIFS(AR$1:AR133,AR134)=1,0,1))</f>
        <v>0</v>
      </c>
      <c r="BA134" s="1"/>
      <c r="BB134" s="1"/>
    </row>
    <row r="135" spans="1:54">
      <c r="A135">
        <v>134</v>
      </c>
      <c r="B135" t="s">
        <v>118</v>
      </c>
      <c r="C135" t="s">
        <v>128</v>
      </c>
      <c r="D135" t="s">
        <v>125</v>
      </c>
      <c r="E135" t="s">
        <v>47</v>
      </c>
      <c r="F135" t="s">
        <v>53</v>
      </c>
      <c r="H135" t="s">
        <v>1030</v>
      </c>
      <c r="J135" t="s">
        <v>49</v>
      </c>
      <c r="K135" t="s">
        <v>50</v>
      </c>
      <c r="L135" t="s">
        <v>762</v>
      </c>
      <c r="M135" t="s">
        <v>762</v>
      </c>
      <c r="N135">
        <v>5</v>
      </c>
      <c r="R135" t="s">
        <v>1031</v>
      </c>
      <c r="S135" t="s">
        <v>1031</v>
      </c>
      <c r="V135" t="s">
        <v>50</v>
      </c>
      <c r="AB135" t="s">
        <v>78</v>
      </c>
      <c r="AE135" t="s">
        <v>50</v>
      </c>
      <c r="AM135">
        <v>43465</v>
      </c>
      <c r="AN135">
        <v>43469.451388888891</v>
      </c>
      <c r="AO135" s="2">
        <f t="shared" si="19"/>
        <v>2</v>
      </c>
      <c r="AP135" s="2">
        <f t="shared" si="20"/>
        <v>2</v>
      </c>
      <c r="AQ135" s="3">
        <f t="shared" si="21"/>
        <v>1</v>
      </c>
      <c r="AR135" s="1" t="str">
        <f>INDEX(IOS!$B:$B,MATCH(D135,IOS!A:A,0))&amp;B135</f>
        <v>I.O.7</v>
      </c>
      <c r="AS135" s="1">
        <f t="shared" si="22"/>
        <v>1</v>
      </c>
      <c r="AT135" s="1" t="str">
        <f>IF(ISBLANK(W135),"",IF(ISERROR(MATCH(W135,HQLATABLE!$A:$A,0)),0,1))</f>
        <v/>
      </c>
      <c r="AU135" s="1">
        <f t="shared" si="23"/>
        <v>0</v>
      </c>
      <c r="AV135" s="1" t="str">
        <f t="shared" si="24"/>
        <v>Blank</v>
      </c>
      <c r="AW135" s="1">
        <f t="shared" si="25"/>
        <v>0</v>
      </c>
      <c r="AX135" s="1" t="str">
        <f t="shared" si="26"/>
        <v>Blank</v>
      </c>
      <c r="AY135" s="1"/>
      <c r="AZ135" s="1">
        <f>IF(COUNTIFS('PID CHECK'!$B:$B,AR135)=1,0,IF(COUNTIFS(AR$1:AR134,AR135)=1,0,1))</f>
        <v>0</v>
      </c>
      <c r="BA135" s="1"/>
      <c r="BB135" s="1"/>
    </row>
    <row r="136" spans="1:54">
      <c r="A136">
        <v>135</v>
      </c>
      <c r="B136" t="s">
        <v>118</v>
      </c>
      <c r="C136" t="s">
        <v>128</v>
      </c>
      <c r="D136" t="s">
        <v>125</v>
      </c>
      <c r="E136" t="s">
        <v>47</v>
      </c>
      <c r="F136" t="s">
        <v>50</v>
      </c>
      <c r="H136" t="s">
        <v>1007</v>
      </c>
      <c r="J136" t="s">
        <v>49</v>
      </c>
      <c r="K136" t="s">
        <v>50</v>
      </c>
      <c r="L136" t="s">
        <v>762</v>
      </c>
      <c r="M136" t="s">
        <v>762</v>
      </c>
      <c r="N136">
        <v>19.190000000000001</v>
      </c>
      <c r="R136" t="s">
        <v>1008</v>
      </c>
      <c r="S136" t="s">
        <v>1008</v>
      </c>
      <c r="V136" t="s">
        <v>50</v>
      </c>
      <c r="AE136" t="s">
        <v>50</v>
      </c>
      <c r="AM136">
        <v>43465</v>
      </c>
      <c r="AN136">
        <v>43469.451388888891</v>
      </c>
      <c r="AO136" s="2">
        <f t="shared" si="19"/>
        <v>3</v>
      </c>
      <c r="AP136" s="2">
        <f t="shared" si="20"/>
        <v>3</v>
      </c>
      <c r="AQ136" s="3">
        <f t="shared" si="21"/>
        <v>1</v>
      </c>
      <c r="AR136" s="1" t="str">
        <f>INDEX(IOS!$B:$B,MATCH(D136,IOS!A:A,0))&amp;B136</f>
        <v>I.O.7</v>
      </c>
      <c r="AS136" s="1">
        <f t="shared" si="22"/>
        <v>0</v>
      </c>
      <c r="AT136" s="1" t="str">
        <f>IF(ISBLANK(W136),"",IF(ISERROR(MATCH(W136,HQLATABLE!$A:$A,0)),0,1))</f>
        <v/>
      </c>
      <c r="AU136" s="1">
        <f t="shared" si="23"/>
        <v>0</v>
      </c>
      <c r="AV136" s="1" t="str">
        <f t="shared" si="24"/>
        <v>Blank</v>
      </c>
      <c r="AW136" s="1">
        <f t="shared" si="25"/>
        <v>0</v>
      </c>
      <c r="AX136" s="1" t="str">
        <f t="shared" si="26"/>
        <v>Blank</v>
      </c>
      <c r="AY136" s="1"/>
      <c r="AZ136" s="1">
        <f>IF(COUNTIFS('PID CHECK'!$B:$B,AR136)=1,0,IF(COUNTIFS(AR$1:AR135,AR136)=1,0,1))</f>
        <v>0</v>
      </c>
      <c r="BA136" s="1"/>
      <c r="BB136" s="1"/>
    </row>
    <row r="137" spans="1:54">
      <c r="A137">
        <v>136</v>
      </c>
      <c r="B137" t="s">
        <v>118</v>
      </c>
      <c r="C137" t="s">
        <v>128</v>
      </c>
      <c r="D137" t="s">
        <v>125</v>
      </c>
      <c r="E137" t="s">
        <v>47</v>
      </c>
      <c r="F137" t="s">
        <v>53</v>
      </c>
      <c r="H137" t="s">
        <v>1007</v>
      </c>
      <c r="J137" t="s">
        <v>49</v>
      </c>
      <c r="K137" t="s">
        <v>50</v>
      </c>
      <c r="L137" t="s">
        <v>762</v>
      </c>
      <c r="M137" t="s">
        <v>762</v>
      </c>
      <c r="N137">
        <v>4.5</v>
      </c>
      <c r="R137" t="s">
        <v>1008</v>
      </c>
      <c r="S137" t="s">
        <v>1008</v>
      </c>
      <c r="V137" t="s">
        <v>50</v>
      </c>
      <c r="AB137" t="s">
        <v>78</v>
      </c>
      <c r="AE137" t="s">
        <v>50</v>
      </c>
      <c r="AM137">
        <v>43465</v>
      </c>
      <c r="AN137">
        <v>43469.451388888891</v>
      </c>
      <c r="AO137" s="2">
        <f t="shared" si="19"/>
        <v>3</v>
      </c>
      <c r="AP137" s="2">
        <f t="shared" si="20"/>
        <v>3</v>
      </c>
      <c r="AQ137" s="3">
        <f t="shared" si="21"/>
        <v>1</v>
      </c>
      <c r="AR137" s="1" t="str">
        <f>INDEX(IOS!$B:$B,MATCH(D137,IOS!A:A,0))&amp;B137</f>
        <v>I.O.7</v>
      </c>
      <c r="AS137" s="1">
        <f t="shared" si="22"/>
        <v>1</v>
      </c>
      <c r="AT137" s="1" t="str">
        <f>IF(ISBLANK(W137),"",IF(ISERROR(MATCH(W137,HQLATABLE!$A:$A,0)),0,1))</f>
        <v/>
      </c>
      <c r="AU137" s="1">
        <f t="shared" si="23"/>
        <v>0</v>
      </c>
      <c r="AV137" s="1" t="str">
        <f t="shared" si="24"/>
        <v>Blank</v>
      </c>
      <c r="AW137" s="1">
        <f t="shared" si="25"/>
        <v>0</v>
      </c>
      <c r="AX137" s="1" t="str">
        <f t="shared" si="26"/>
        <v>Blank</v>
      </c>
      <c r="AY137" s="1"/>
      <c r="AZ137" s="1">
        <f>IF(COUNTIFS('PID CHECK'!$B:$B,AR137)=1,0,IF(COUNTIFS(AR$1:AR136,AR137)=1,0,1))</f>
        <v>0</v>
      </c>
      <c r="BA137" s="1"/>
      <c r="BB137" s="1"/>
    </row>
    <row r="138" spans="1:54">
      <c r="A138">
        <v>137</v>
      </c>
      <c r="B138" t="s">
        <v>118</v>
      </c>
      <c r="C138" t="s">
        <v>128</v>
      </c>
      <c r="D138" t="s">
        <v>125</v>
      </c>
      <c r="E138" t="s">
        <v>47</v>
      </c>
      <c r="F138" t="s">
        <v>50</v>
      </c>
      <c r="H138" t="s">
        <v>103</v>
      </c>
      <c r="J138" t="s">
        <v>49</v>
      </c>
      <c r="K138" t="s">
        <v>50</v>
      </c>
      <c r="L138" t="s">
        <v>762</v>
      </c>
      <c r="M138" t="s">
        <v>762</v>
      </c>
      <c r="N138">
        <v>0.05</v>
      </c>
      <c r="R138" t="s">
        <v>104</v>
      </c>
      <c r="S138" t="s">
        <v>104</v>
      </c>
      <c r="V138" t="s">
        <v>50</v>
      </c>
      <c r="AE138" t="s">
        <v>50</v>
      </c>
      <c r="AM138">
        <v>43465</v>
      </c>
      <c r="AN138">
        <v>43469.451388888891</v>
      </c>
      <c r="AO138" s="2">
        <f t="shared" si="19"/>
        <v>7</v>
      </c>
      <c r="AP138" s="2">
        <f t="shared" si="20"/>
        <v>7</v>
      </c>
      <c r="AQ138" s="3">
        <f t="shared" si="21"/>
        <v>1</v>
      </c>
      <c r="AR138" s="1" t="str">
        <f>INDEX(IOS!$B:$B,MATCH(D138,IOS!A:A,0))&amp;B138</f>
        <v>I.O.7</v>
      </c>
      <c r="AS138" s="1">
        <f t="shared" si="22"/>
        <v>0</v>
      </c>
      <c r="AT138" s="1" t="str">
        <f>IF(ISBLANK(W138),"",IF(ISERROR(MATCH(W138,HQLATABLE!$A:$A,0)),0,1))</f>
        <v/>
      </c>
      <c r="AU138" s="1">
        <f t="shared" si="23"/>
        <v>0</v>
      </c>
      <c r="AV138" s="1" t="str">
        <f t="shared" si="24"/>
        <v>Blank</v>
      </c>
      <c r="AW138" s="1">
        <f t="shared" si="25"/>
        <v>0</v>
      </c>
      <c r="AX138" s="1" t="str">
        <f t="shared" si="26"/>
        <v>Blank</v>
      </c>
      <c r="AY138" s="1"/>
      <c r="AZ138" s="1">
        <f>IF(COUNTIFS('PID CHECK'!$B:$B,AR138)=1,0,IF(COUNTIFS(AR$1:AR137,AR138)=1,0,1))</f>
        <v>0</v>
      </c>
      <c r="BA138" s="1"/>
      <c r="BB138" s="1"/>
    </row>
    <row r="139" spans="1:54">
      <c r="A139">
        <v>138</v>
      </c>
      <c r="B139" t="s">
        <v>129</v>
      </c>
      <c r="C139" t="s">
        <v>130</v>
      </c>
      <c r="D139" t="s">
        <v>125</v>
      </c>
      <c r="E139" t="s">
        <v>47</v>
      </c>
      <c r="F139" t="s">
        <v>50</v>
      </c>
      <c r="H139" t="s">
        <v>995</v>
      </c>
      <c r="J139" t="s">
        <v>49</v>
      </c>
      <c r="K139" t="s">
        <v>50</v>
      </c>
      <c r="L139" t="s">
        <v>762</v>
      </c>
      <c r="M139" t="s">
        <v>762</v>
      </c>
      <c r="N139">
        <v>0.16</v>
      </c>
      <c r="R139" t="s">
        <v>996</v>
      </c>
      <c r="S139" t="s">
        <v>996</v>
      </c>
      <c r="V139" t="s">
        <v>50</v>
      </c>
      <c r="AE139" t="s">
        <v>50</v>
      </c>
      <c r="AM139">
        <v>43465</v>
      </c>
      <c r="AN139">
        <v>43469.451388888891</v>
      </c>
      <c r="AO139" s="2">
        <f t="shared" si="19"/>
        <v>10</v>
      </c>
      <c r="AP139" s="2">
        <f t="shared" si="20"/>
        <v>10</v>
      </c>
      <c r="AQ139" s="3">
        <f t="shared" si="21"/>
        <v>1</v>
      </c>
      <c r="AR139" s="1" t="str">
        <f>INDEX(IOS!$B:$B,MATCH(D139,IOS!A:A,0))&amp;B139</f>
        <v>I.O.9</v>
      </c>
      <c r="AS139" s="1">
        <f t="shared" si="22"/>
        <v>0</v>
      </c>
      <c r="AT139" s="1" t="str">
        <f>IF(ISBLANK(W139),"",IF(ISERROR(MATCH(W139,HQLATABLE!$A:$A,0)),0,1))</f>
        <v/>
      </c>
      <c r="AU139" s="1">
        <f t="shared" si="23"/>
        <v>0</v>
      </c>
      <c r="AV139" s="1" t="str">
        <f t="shared" si="24"/>
        <v>Blank</v>
      </c>
      <c r="AW139" s="1">
        <f t="shared" si="25"/>
        <v>0</v>
      </c>
      <c r="AX139" s="1" t="str">
        <f t="shared" si="26"/>
        <v>Blank</v>
      </c>
      <c r="AY139" s="1"/>
      <c r="AZ139" s="1">
        <f>IF(COUNTIFS('PID CHECK'!$B:$B,AR139)=1,0,IF(COUNTIFS(AR$1:AR138,AR139)=1,0,1))</f>
        <v>0</v>
      </c>
      <c r="BA139" s="1"/>
      <c r="BB139" s="1"/>
    </row>
    <row r="140" spans="1:54">
      <c r="A140">
        <v>139</v>
      </c>
      <c r="B140" t="s">
        <v>129</v>
      </c>
      <c r="C140" t="s">
        <v>130</v>
      </c>
      <c r="D140" t="s">
        <v>125</v>
      </c>
      <c r="E140" t="s">
        <v>47</v>
      </c>
      <c r="F140" t="s">
        <v>50</v>
      </c>
      <c r="H140" t="s">
        <v>67</v>
      </c>
      <c r="J140" t="s">
        <v>49</v>
      </c>
      <c r="K140" t="s">
        <v>50</v>
      </c>
      <c r="L140" t="s">
        <v>762</v>
      </c>
      <c r="M140" t="s">
        <v>762</v>
      </c>
      <c r="N140">
        <v>0.1</v>
      </c>
      <c r="R140" t="s">
        <v>68</v>
      </c>
      <c r="S140" t="s">
        <v>69</v>
      </c>
      <c r="V140" t="s">
        <v>50</v>
      </c>
      <c r="AE140" t="s">
        <v>50</v>
      </c>
      <c r="AM140">
        <v>43465</v>
      </c>
      <c r="AN140">
        <v>43469.451388888891</v>
      </c>
      <c r="AO140" s="2">
        <f t="shared" si="19"/>
        <v>121</v>
      </c>
      <c r="AP140" s="2">
        <f t="shared" si="20"/>
        <v>150</v>
      </c>
      <c r="AQ140" s="3">
        <f t="shared" si="21"/>
        <v>0</v>
      </c>
      <c r="AR140" s="1" t="str">
        <f>INDEX(IOS!$B:$B,MATCH(D140,IOS!A:A,0))&amp;B140</f>
        <v>I.O.9</v>
      </c>
      <c r="AS140" s="1">
        <f t="shared" si="22"/>
        <v>0</v>
      </c>
      <c r="AT140" s="1" t="str">
        <f>IF(ISBLANK(W140),"",IF(ISERROR(MATCH(W140,HQLATABLE!$A:$A,0)),0,1))</f>
        <v/>
      </c>
      <c r="AU140" s="1">
        <f t="shared" si="23"/>
        <v>0</v>
      </c>
      <c r="AV140" s="1" t="str">
        <f t="shared" si="24"/>
        <v>Blank</v>
      </c>
      <c r="AW140" s="1">
        <f t="shared" si="25"/>
        <v>0</v>
      </c>
      <c r="AX140" s="1" t="str">
        <f t="shared" si="26"/>
        <v>Blank</v>
      </c>
      <c r="AY140" s="1"/>
      <c r="AZ140" s="1">
        <f>IF(COUNTIFS('PID CHECK'!$B:$B,AR140)=1,0,IF(COUNTIFS(AR$1:AR139,AR140)=1,0,1))</f>
        <v>0</v>
      </c>
      <c r="BA140" s="1"/>
      <c r="BB140" s="1"/>
    </row>
    <row r="141" spans="1:54">
      <c r="A141">
        <v>140</v>
      </c>
      <c r="B141" t="s">
        <v>129</v>
      </c>
      <c r="C141" t="s">
        <v>130</v>
      </c>
      <c r="D141" t="s">
        <v>125</v>
      </c>
      <c r="E141" t="s">
        <v>47</v>
      </c>
      <c r="F141" t="s">
        <v>50</v>
      </c>
      <c r="H141" t="s">
        <v>73</v>
      </c>
      <c r="J141" t="s">
        <v>49</v>
      </c>
      <c r="K141" t="s">
        <v>50</v>
      </c>
      <c r="L141" t="s">
        <v>762</v>
      </c>
      <c r="M141" t="s">
        <v>762</v>
      </c>
      <c r="N141">
        <v>2.87</v>
      </c>
      <c r="R141" t="s">
        <v>74</v>
      </c>
      <c r="S141" t="s">
        <v>75</v>
      </c>
      <c r="V141" t="s">
        <v>50</v>
      </c>
      <c r="AE141" t="s">
        <v>50</v>
      </c>
      <c r="AM141">
        <v>43465</v>
      </c>
      <c r="AN141">
        <v>43469.451388888891</v>
      </c>
      <c r="AO141" s="2">
        <f t="shared" si="19"/>
        <v>151</v>
      </c>
      <c r="AP141" s="2">
        <f t="shared" si="20"/>
        <v>180</v>
      </c>
      <c r="AQ141" s="3">
        <f t="shared" si="21"/>
        <v>0</v>
      </c>
      <c r="AR141" s="1" t="str">
        <f>INDEX(IOS!$B:$B,MATCH(D141,IOS!A:A,0))&amp;B141</f>
        <v>I.O.9</v>
      </c>
      <c r="AS141" s="1">
        <f t="shared" si="22"/>
        <v>0</v>
      </c>
      <c r="AT141" s="1" t="str">
        <f>IF(ISBLANK(W141),"",IF(ISERROR(MATCH(W141,HQLATABLE!$A:$A,0)),0,1))</f>
        <v/>
      </c>
      <c r="AU141" s="1">
        <f t="shared" si="23"/>
        <v>0</v>
      </c>
      <c r="AV141" s="1" t="str">
        <f t="shared" si="24"/>
        <v>Blank</v>
      </c>
      <c r="AW141" s="1">
        <f t="shared" si="25"/>
        <v>0</v>
      </c>
      <c r="AX141" s="1" t="str">
        <f t="shared" si="26"/>
        <v>Blank</v>
      </c>
      <c r="AY141" s="1"/>
      <c r="AZ141" s="1">
        <f>IF(COUNTIFS('PID CHECK'!$B:$B,AR141)=1,0,IF(COUNTIFS(AR$1:AR140,AR141)=1,0,1))</f>
        <v>0</v>
      </c>
      <c r="BA141" s="1"/>
      <c r="BB141" s="1"/>
    </row>
    <row r="142" spans="1:54">
      <c r="A142">
        <v>141</v>
      </c>
      <c r="B142" t="s">
        <v>129</v>
      </c>
      <c r="C142" t="s">
        <v>130</v>
      </c>
      <c r="D142" t="s">
        <v>125</v>
      </c>
      <c r="E142" t="s">
        <v>47</v>
      </c>
      <c r="F142" t="s">
        <v>50</v>
      </c>
      <c r="H142" t="s">
        <v>1050</v>
      </c>
      <c r="J142" t="s">
        <v>49</v>
      </c>
      <c r="K142" t="s">
        <v>50</v>
      </c>
      <c r="L142" t="s">
        <v>762</v>
      </c>
      <c r="M142" t="s">
        <v>762</v>
      </c>
      <c r="N142">
        <v>0.02</v>
      </c>
      <c r="R142" t="s">
        <v>1051</v>
      </c>
      <c r="S142" t="s">
        <v>1051</v>
      </c>
      <c r="V142" t="s">
        <v>50</v>
      </c>
      <c r="AE142" t="s">
        <v>50</v>
      </c>
      <c r="AM142">
        <v>43465</v>
      </c>
      <c r="AN142">
        <v>43469.451388888891</v>
      </c>
      <c r="AO142" s="2">
        <f t="shared" si="19"/>
        <v>15</v>
      </c>
      <c r="AP142" s="2">
        <f t="shared" si="20"/>
        <v>15</v>
      </c>
      <c r="AQ142" s="3">
        <f t="shared" si="21"/>
        <v>1</v>
      </c>
      <c r="AR142" s="1" t="str">
        <f>INDEX(IOS!$B:$B,MATCH(D142,IOS!A:A,0))&amp;B142</f>
        <v>I.O.9</v>
      </c>
      <c r="AS142" s="1">
        <f t="shared" si="22"/>
        <v>0</v>
      </c>
      <c r="AT142" s="1" t="str">
        <f>IF(ISBLANK(W142),"",IF(ISERROR(MATCH(W142,HQLATABLE!$A:$A,0)),0,1))</f>
        <v/>
      </c>
      <c r="AU142" s="1">
        <f t="shared" si="23"/>
        <v>0</v>
      </c>
      <c r="AV142" s="1" t="str">
        <f t="shared" si="24"/>
        <v>Blank</v>
      </c>
      <c r="AW142" s="1">
        <f t="shared" si="25"/>
        <v>0</v>
      </c>
      <c r="AX142" s="1" t="str">
        <f t="shared" si="26"/>
        <v>Blank</v>
      </c>
      <c r="AY142" s="1"/>
      <c r="AZ142" s="1">
        <f>IF(COUNTIFS('PID CHECK'!$B:$B,AR142)=1,0,IF(COUNTIFS(AR$1:AR141,AR142)=1,0,1))</f>
        <v>0</v>
      </c>
      <c r="BA142" s="1"/>
      <c r="BB142" s="1"/>
    </row>
    <row r="143" spans="1:54">
      <c r="A143">
        <v>142</v>
      </c>
      <c r="B143" t="s">
        <v>129</v>
      </c>
      <c r="C143" t="s">
        <v>130</v>
      </c>
      <c r="D143" t="s">
        <v>125</v>
      </c>
      <c r="E143" t="s">
        <v>47</v>
      </c>
      <c r="F143" t="s">
        <v>50</v>
      </c>
      <c r="H143" t="s">
        <v>87</v>
      </c>
      <c r="J143" t="s">
        <v>49</v>
      </c>
      <c r="K143" t="s">
        <v>50</v>
      </c>
      <c r="L143" t="s">
        <v>762</v>
      </c>
      <c r="M143" t="s">
        <v>762</v>
      </c>
      <c r="N143">
        <v>5.4</v>
      </c>
      <c r="R143" t="s">
        <v>88</v>
      </c>
      <c r="S143" t="s">
        <v>89</v>
      </c>
      <c r="V143" t="s">
        <v>50</v>
      </c>
      <c r="AE143" t="s">
        <v>50</v>
      </c>
      <c r="AM143">
        <v>43465</v>
      </c>
      <c r="AN143">
        <v>43469.451388888891</v>
      </c>
      <c r="AO143" s="2">
        <f t="shared" si="19"/>
        <v>181</v>
      </c>
      <c r="AP143" s="2">
        <f t="shared" si="20"/>
        <v>270</v>
      </c>
      <c r="AQ143" s="3">
        <f t="shared" si="21"/>
        <v>0</v>
      </c>
      <c r="AR143" s="1" t="str">
        <f>INDEX(IOS!$B:$B,MATCH(D143,IOS!A:A,0))&amp;B143</f>
        <v>I.O.9</v>
      </c>
      <c r="AS143" s="1">
        <f t="shared" si="22"/>
        <v>0</v>
      </c>
      <c r="AT143" s="1" t="str">
        <f>IF(ISBLANK(W143),"",IF(ISERROR(MATCH(W143,HQLATABLE!$A:$A,0)),0,1))</f>
        <v/>
      </c>
      <c r="AU143" s="1">
        <f t="shared" si="23"/>
        <v>0</v>
      </c>
      <c r="AV143" s="1" t="str">
        <f t="shared" si="24"/>
        <v>Blank</v>
      </c>
      <c r="AW143" s="1">
        <f t="shared" si="25"/>
        <v>0</v>
      </c>
      <c r="AX143" s="1" t="str">
        <f t="shared" si="26"/>
        <v>Blank</v>
      </c>
      <c r="AY143" s="1"/>
      <c r="AZ143" s="1">
        <f>IF(COUNTIFS('PID CHECK'!$B:$B,AR143)=1,0,IF(COUNTIFS(AR$1:AR142,AR143)=1,0,1))</f>
        <v>0</v>
      </c>
      <c r="BA143" s="1"/>
      <c r="BB143" s="1"/>
    </row>
    <row r="144" spans="1:54">
      <c r="A144">
        <v>143</v>
      </c>
      <c r="B144" t="s">
        <v>129</v>
      </c>
      <c r="C144" t="s">
        <v>130</v>
      </c>
      <c r="D144" t="s">
        <v>125</v>
      </c>
      <c r="E144" t="s">
        <v>47</v>
      </c>
      <c r="F144" t="s">
        <v>50</v>
      </c>
      <c r="H144" t="s">
        <v>1028</v>
      </c>
      <c r="J144" t="s">
        <v>49</v>
      </c>
      <c r="K144" t="s">
        <v>50</v>
      </c>
      <c r="L144" t="s">
        <v>762</v>
      </c>
      <c r="M144" t="s">
        <v>762</v>
      </c>
      <c r="N144">
        <v>0.01</v>
      </c>
      <c r="R144" t="s">
        <v>1029</v>
      </c>
      <c r="S144" t="s">
        <v>1029</v>
      </c>
      <c r="V144" t="s">
        <v>50</v>
      </c>
      <c r="AE144" t="s">
        <v>50</v>
      </c>
      <c r="AM144">
        <v>43465</v>
      </c>
      <c r="AN144">
        <v>43469.451388888891</v>
      </c>
      <c r="AO144" s="2">
        <f t="shared" si="19"/>
        <v>25</v>
      </c>
      <c r="AP144" s="2">
        <f t="shared" si="20"/>
        <v>25</v>
      </c>
      <c r="AQ144" s="3">
        <f t="shared" si="21"/>
        <v>1</v>
      </c>
      <c r="AR144" s="1" t="str">
        <f>INDEX(IOS!$B:$B,MATCH(D144,IOS!A:A,0))&amp;B144</f>
        <v>I.O.9</v>
      </c>
      <c r="AS144" s="1">
        <f t="shared" si="22"/>
        <v>0</v>
      </c>
      <c r="AT144" s="1" t="str">
        <f>IF(ISBLANK(W144),"",IF(ISERROR(MATCH(W144,HQLATABLE!$A:$A,0)),0,1))</f>
        <v/>
      </c>
      <c r="AU144" s="1">
        <f t="shared" si="23"/>
        <v>0</v>
      </c>
      <c r="AV144" s="1" t="str">
        <f t="shared" si="24"/>
        <v>Blank</v>
      </c>
      <c r="AW144" s="1">
        <f t="shared" si="25"/>
        <v>0</v>
      </c>
      <c r="AX144" s="1" t="str">
        <f t="shared" si="26"/>
        <v>Blank</v>
      </c>
      <c r="AY144" s="1"/>
      <c r="AZ144" s="1">
        <f>IF(COUNTIFS('PID CHECK'!$B:$B,AR144)=1,0,IF(COUNTIFS(AR$1:AR143,AR144)=1,0,1))</f>
        <v>0</v>
      </c>
      <c r="BA144" s="1"/>
      <c r="BB144" s="1"/>
    </row>
    <row r="145" spans="1:54">
      <c r="A145">
        <v>144</v>
      </c>
      <c r="B145" t="s">
        <v>129</v>
      </c>
      <c r="C145" t="s">
        <v>130</v>
      </c>
      <c r="D145" t="s">
        <v>125</v>
      </c>
      <c r="E145" t="s">
        <v>47</v>
      </c>
      <c r="F145" t="s">
        <v>50</v>
      </c>
      <c r="H145" t="s">
        <v>79</v>
      </c>
      <c r="J145" t="s">
        <v>49</v>
      </c>
      <c r="K145" t="s">
        <v>50</v>
      </c>
      <c r="L145" t="s">
        <v>762</v>
      </c>
      <c r="M145" t="s">
        <v>762</v>
      </c>
      <c r="N145">
        <v>10.18</v>
      </c>
      <c r="R145" t="s">
        <v>80</v>
      </c>
      <c r="S145" t="s">
        <v>81</v>
      </c>
      <c r="V145" t="s">
        <v>50</v>
      </c>
      <c r="AE145" t="s">
        <v>50</v>
      </c>
      <c r="AM145">
        <v>43465</v>
      </c>
      <c r="AN145">
        <v>43469.451388888891</v>
      </c>
      <c r="AO145" s="2">
        <f t="shared" si="19"/>
        <v>271</v>
      </c>
      <c r="AP145" s="2">
        <f t="shared" si="20"/>
        <v>365</v>
      </c>
      <c r="AQ145" s="3">
        <f t="shared" si="21"/>
        <v>0</v>
      </c>
      <c r="AR145" s="1" t="str">
        <f>INDEX(IOS!$B:$B,MATCH(D145,IOS!A:A,0))&amp;B145</f>
        <v>I.O.9</v>
      </c>
      <c r="AS145" s="1">
        <f t="shared" si="22"/>
        <v>0</v>
      </c>
      <c r="AT145" s="1" t="str">
        <f>IF(ISBLANK(W145),"",IF(ISERROR(MATCH(W145,HQLATABLE!$A:$A,0)),0,1))</f>
        <v/>
      </c>
      <c r="AU145" s="1">
        <f t="shared" si="23"/>
        <v>0</v>
      </c>
      <c r="AV145" s="1" t="str">
        <f t="shared" si="24"/>
        <v>Blank</v>
      </c>
      <c r="AW145" s="1">
        <f t="shared" si="25"/>
        <v>0</v>
      </c>
      <c r="AX145" s="1" t="str">
        <f t="shared" si="26"/>
        <v>Blank</v>
      </c>
      <c r="AY145" s="1"/>
      <c r="AZ145" s="1">
        <f>IF(COUNTIFS('PID CHECK'!$B:$B,AR145)=1,0,IF(COUNTIFS(AR$1:AR144,AR145)=1,0,1))</f>
        <v>0</v>
      </c>
      <c r="BA145" s="1"/>
      <c r="BB145" s="1"/>
    </row>
    <row r="146" spans="1:54">
      <c r="A146">
        <v>145</v>
      </c>
      <c r="B146" t="s">
        <v>129</v>
      </c>
      <c r="C146" t="s">
        <v>130</v>
      </c>
      <c r="D146" t="s">
        <v>125</v>
      </c>
      <c r="E146" t="s">
        <v>47</v>
      </c>
      <c r="F146" t="s">
        <v>50</v>
      </c>
      <c r="H146" t="s">
        <v>1046</v>
      </c>
      <c r="J146" t="s">
        <v>49</v>
      </c>
      <c r="K146" t="s">
        <v>50</v>
      </c>
      <c r="L146" t="s">
        <v>762</v>
      </c>
      <c r="M146" t="s">
        <v>762</v>
      </c>
      <c r="N146">
        <v>0.02</v>
      </c>
      <c r="R146" t="s">
        <v>1047</v>
      </c>
      <c r="S146" t="s">
        <v>1047</v>
      </c>
      <c r="V146" t="s">
        <v>50</v>
      </c>
      <c r="AE146" t="s">
        <v>50</v>
      </c>
      <c r="AM146">
        <v>43465</v>
      </c>
      <c r="AN146">
        <v>43469.451388888891</v>
      </c>
      <c r="AO146" s="2">
        <f t="shared" si="19"/>
        <v>29</v>
      </c>
      <c r="AP146" s="2">
        <f t="shared" si="20"/>
        <v>29</v>
      </c>
      <c r="AQ146" s="3">
        <f t="shared" si="21"/>
        <v>1</v>
      </c>
      <c r="AR146" s="1" t="str">
        <f>INDEX(IOS!$B:$B,MATCH(D146,IOS!A:A,0))&amp;B146</f>
        <v>I.O.9</v>
      </c>
      <c r="AS146" s="1">
        <f t="shared" si="22"/>
        <v>0</v>
      </c>
      <c r="AT146" s="1" t="str">
        <f>IF(ISBLANK(W146),"",IF(ISERROR(MATCH(W146,HQLATABLE!$A:$A,0)),0,1))</f>
        <v/>
      </c>
      <c r="AU146" s="1">
        <f t="shared" si="23"/>
        <v>0</v>
      </c>
      <c r="AV146" s="1" t="str">
        <f t="shared" si="24"/>
        <v>Blank</v>
      </c>
      <c r="AW146" s="1">
        <f t="shared" si="25"/>
        <v>0</v>
      </c>
      <c r="AX146" s="1" t="str">
        <f t="shared" si="26"/>
        <v>Blank</v>
      </c>
      <c r="AY146" s="1"/>
      <c r="AZ146" s="1">
        <f>IF(COUNTIFS('PID CHECK'!$B:$B,AR146)=1,0,IF(COUNTIFS(AR$1:AR145,AR146)=1,0,1))</f>
        <v>0</v>
      </c>
      <c r="BA146" s="1"/>
      <c r="BB146" s="1"/>
    </row>
    <row r="147" spans="1:54">
      <c r="A147">
        <v>146</v>
      </c>
      <c r="B147" t="s">
        <v>129</v>
      </c>
      <c r="C147" t="s">
        <v>130</v>
      </c>
      <c r="D147" t="s">
        <v>125</v>
      </c>
      <c r="E147" t="s">
        <v>47</v>
      </c>
      <c r="F147" t="s">
        <v>50</v>
      </c>
      <c r="H147" t="s">
        <v>1026</v>
      </c>
      <c r="J147" t="s">
        <v>49</v>
      </c>
      <c r="K147" t="s">
        <v>50</v>
      </c>
      <c r="L147" t="s">
        <v>762</v>
      </c>
      <c r="M147" t="s">
        <v>762</v>
      </c>
      <c r="N147">
        <v>0.04</v>
      </c>
      <c r="R147" t="s">
        <v>1027</v>
      </c>
      <c r="S147" t="s">
        <v>1027</v>
      </c>
      <c r="V147" t="s">
        <v>50</v>
      </c>
      <c r="AE147" t="s">
        <v>50</v>
      </c>
      <c r="AM147">
        <v>43465</v>
      </c>
      <c r="AN147">
        <v>43469.451388888891</v>
      </c>
      <c r="AO147" s="2">
        <f t="shared" si="19"/>
        <v>30</v>
      </c>
      <c r="AP147" s="2">
        <f t="shared" si="20"/>
        <v>30</v>
      </c>
      <c r="AQ147" s="3">
        <f t="shared" si="21"/>
        <v>1</v>
      </c>
      <c r="AR147" s="1" t="str">
        <f>INDEX(IOS!$B:$B,MATCH(D147,IOS!A:A,0))&amp;B147</f>
        <v>I.O.9</v>
      </c>
      <c r="AS147" s="1">
        <f t="shared" si="22"/>
        <v>0</v>
      </c>
      <c r="AT147" s="1" t="str">
        <f>IF(ISBLANK(W147),"",IF(ISERROR(MATCH(W147,HQLATABLE!$A:$A,0)),0,1))</f>
        <v/>
      </c>
      <c r="AU147" s="1">
        <f t="shared" si="23"/>
        <v>0</v>
      </c>
      <c r="AV147" s="1" t="str">
        <f t="shared" si="24"/>
        <v>Blank</v>
      </c>
      <c r="AW147" s="1">
        <f t="shared" si="25"/>
        <v>0</v>
      </c>
      <c r="AX147" s="1" t="str">
        <f t="shared" si="26"/>
        <v>Blank</v>
      </c>
      <c r="AY147" s="1"/>
      <c r="AZ147" s="1">
        <f>IF(COUNTIFS('PID CHECK'!$B:$B,AR147)=1,0,IF(COUNTIFS(AR$1:AR146,AR147)=1,0,1))</f>
        <v>0</v>
      </c>
      <c r="BA147" s="1"/>
      <c r="BB147" s="1"/>
    </row>
    <row r="148" spans="1:54">
      <c r="A148">
        <v>147</v>
      </c>
      <c r="B148" t="s">
        <v>129</v>
      </c>
      <c r="C148" t="s">
        <v>130</v>
      </c>
      <c r="D148" t="s">
        <v>125</v>
      </c>
      <c r="E148" t="s">
        <v>47</v>
      </c>
      <c r="F148" t="s">
        <v>50</v>
      </c>
      <c r="H148" t="s">
        <v>1003</v>
      </c>
      <c r="J148" t="s">
        <v>49</v>
      </c>
      <c r="K148" t="s">
        <v>50</v>
      </c>
      <c r="L148" t="s">
        <v>762</v>
      </c>
      <c r="M148" t="s">
        <v>762</v>
      </c>
      <c r="N148">
        <v>0.1</v>
      </c>
      <c r="R148" t="s">
        <v>1004</v>
      </c>
      <c r="S148" t="s">
        <v>1004</v>
      </c>
      <c r="V148" t="s">
        <v>50</v>
      </c>
      <c r="AE148" t="s">
        <v>50</v>
      </c>
      <c r="AM148">
        <v>43465</v>
      </c>
      <c r="AN148">
        <v>43469.451388888891</v>
      </c>
      <c r="AO148" s="2">
        <f t="shared" si="19"/>
        <v>31</v>
      </c>
      <c r="AP148" s="2">
        <f t="shared" si="20"/>
        <v>31</v>
      </c>
      <c r="AQ148" s="3">
        <f t="shared" si="21"/>
        <v>0</v>
      </c>
      <c r="AR148" s="1" t="str">
        <f>INDEX(IOS!$B:$B,MATCH(D148,IOS!A:A,0))&amp;B148</f>
        <v>I.O.9</v>
      </c>
      <c r="AS148" s="1">
        <f t="shared" si="22"/>
        <v>0</v>
      </c>
      <c r="AT148" s="1" t="str">
        <f>IF(ISBLANK(W148),"",IF(ISERROR(MATCH(W148,HQLATABLE!$A:$A,0)),0,1))</f>
        <v/>
      </c>
      <c r="AU148" s="1">
        <f t="shared" si="23"/>
        <v>0</v>
      </c>
      <c r="AV148" s="1" t="str">
        <f t="shared" si="24"/>
        <v>Blank</v>
      </c>
      <c r="AW148" s="1">
        <f t="shared" si="25"/>
        <v>0</v>
      </c>
      <c r="AX148" s="1" t="str">
        <f t="shared" si="26"/>
        <v>Blank</v>
      </c>
      <c r="AY148" s="1"/>
      <c r="AZ148" s="1">
        <f>IF(COUNTIFS('PID CHECK'!$B:$B,AR148)=1,0,IF(COUNTIFS(AR$1:AR147,AR148)=1,0,1))</f>
        <v>0</v>
      </c>
      <c r="BA148" s="1"/>
      <c r="BB148" s="1"/>
    </row>
    <row r="149" spans="1:54">
      <c r="A149">
        <v>148</v>
      </c>
      <c r="B149" t="s">
        <v>129</v>
      </c>
      <c r="C149" t="s">
        <v>130</v>
      </c>
      <c r="D149" t="s">
        <v>125</v>
      </c>
      <c r="E149" t="s">
        <v>47</v>
      </c>
      <c r="F149" t="s">
        <v>50</v>
      </c>
      <c r="H149" t="s">
        <v>131</v>
      </c>
      <c r="J149" t="s">
        <v>49</v>
      </c>
      <c r="K149" t="s">
        <v>50</v>
      </c>
      <c r="L149" t="s">
        <v>762</v>
      </c>
      <c r="M149" t="s">
        <v>762</v>
      </c>
      <c r="N149">
        <v>53.28</v>
      </c>
      <c r="R149" t="s">
        <v>132</v>
      </c>
      <c r="S149" t="s">
        <v>133</v>
      </c>
      <c r="V149" t="s">
        <v>50</v>
      </c>
      <c r="AE149" t="s">
        <v>50</v>
      </c>
      <c r="AM149">
        <v>43465</v>
      </c>
      <c r="AN149">
        <v>43469.451388888891</v>
      </c>
      <c r="AO149" s="2">
        <f t="shared" si="19"/>
        <v>366</v>
      </c>
      <c r="AP149" s="2">
        <f t="shared" si="20"/>
        <v>730</v>
      </c>
      <c r="AQ149" s="3">
        <f t="shared" si="21"/>
        <v>0</v>
      </c>
      <c r="AR149" s="1" t="str">
        <f>INDEX(IOS!$B:$B,MATCH(D149,IOS!A:A,0))&amp;B149</f>
        <v>I.O.9</v>
      </c>
      <c r="AS149" s="1">
        <f t="shared" si="22"/>
        <v>0</v>
      </c>
      <c r="AT149" s="1" t="str">
        <f>IF(ISBLANK(W149),"",IF(ISERROR(MATCH(W149,HQLATABLE!$A:$A,0)),0,1))</f>
        <v/>
      </c>
      <c r="AU149" s="1">
        <f t="shared" si="23"/>
        <v>0</v>
      </c>
      <c r="AV149" s="1" t="str">
        <f t="shared" si="24"/>
        <v>Blank</v>
      </c>
      <c r="AW149" s="1">
        <f t="shared" si="25"/>
        <v>0</v>
      </c>
      <c r="AX149" s="1" t="str">
        <f t="shared" si="26"/>
        <v>Blank</v>
      </c>
      <c r="AY149" s="1"/>
      <c r="AZ149" s="1">
        <f>IF(COUNTIFS('PID CHECK'!$B:$B,AR149)=1,0,IF(COUNTIFS(AR$1:AR148,AR149)=1,0,1))</f>
        <v>0</v>
      </c>
      <c r="BA149" s="1"/>
      <c r="BB149" s="1"/>
    </row>
    <row r="150" spans="1:54">
      <c r="A150">
        <v>149</v>
      </c>
      <c r="B150" t="s">
        <v>129</v>
      </c>
      <c r="C150" t="s">
        <v>130</v>
      </c>
      <c r="D150" t="s">
        <v>125</v>
      </c>
      <c r="E150" t="s">
        <v>47</v>
      </c>
      <c r="F150" t="s">
        <v>50</v>
      </c>
      <c r="H150" t="s">
        <v>1007</v>
      </c>
      <c r="J150" t="s">
        <v>49</v>
      </c>
      <c r="K150" t="s">
        <v>50</v>
      </c>
      <c r="L150" t="s">
        <v>762</v>
      </c>
      <c r="M150" t="s">
        <v>762</v>
      </c>
      <c r="N150">
        <v>0.01</v>
      </c>
      <c r="R150" t="s">
        <v>1008</v>
      </c>
      <c r="S150" t="s">
        <v>1008</v>
      </c>
      <c r="V150" t="s">
        <v>50</v>
      </c>
      <c r="AE150" t="s">
        <v>50</v>
      </c>
      <c r="AM150">
        <v>43465</v>
      </c>
      <c r="AN150">
        <v>43469.451388888891</v>
      </c>
      <c r="AO150" s="2">
        <f t="shared" si="19"/>
        <v>3</v>
      </c>
      <c r="AP150" s="2">
        <f t="shared" si="20"/>
        <v>3</v>
      </c>
      <c r="AQ150" s="3">
        <f t="shared" si="21"/>
        <v>1</v>
      </c>
      <c r="AR150" s="1" t="str">
        <f>INDEX(IOS!$B:$B,MATCH(D150,IOS!A:A,0))&amp;B150</f>
        <v>I.O.9</v>
      </c>
      <c r="AS150" s="1">
        <f t="shared" si="22"/>
        <v>0</v>
      </c>
      <c r="AT150" s="1" t="str">
        <f>IF(ISBLANK(W150),"",IF(ISERROR(MATCH(W150,HQLATABLE!$A:$A,0)),0,1))</f>
        <v/>
      </c>
      <c r="AU150" s="1">
        <f t="shared" si="23"/>
        <v>0</v>
      </c>
      <c r="AV150" s="1" t="str">
        <f t="shared" si="24"/>
        <v>Blank</v>
      </c>
      <c r="AW150" s="1">
        <f t="shared" si="25"/>
        <v>0</v>
      </c>
      <c r="AX150" s="1" t="str">
        <f t="shared" si="26"/>
        <v>Blank</v>
      </c>
      <c r="AY150" s="1"/>
      <c r="AZ150" s="1">
        <f>IF(COUNTIFS('PID CHECK'!$B:$B,AR150)=1,0,IF(COUNTIFS(AR$1:AR149,AR150)=1,0,1))</f>
        <v>0</v>
      </c>
      <c r="BA150" s="1"/>
      <c r="BB150" s="1"/>
    </row>
    <row r="151" spans="1:54">
      <c r="A151">
        <v>150</v>
      </c>
      <c r="B151" t="s">
        <v>129</v>
      </c>
      <c r="C151" t="s">
        <v>130</v>
      </c>
      <c r="D151" t="s">
        <v>125</v>
      </c>
      <c r="E151" t="s">
        <v>47</v>
      </c>
      <c r="F151" t="s">
        <v>50</v>
      </c>
      <c r="H151" t="s">
        <v>1013</v>
      </c>
      <c r="J151" t="s">
        <v>49</v>
      </c>
      <c r="K151" t="s">
        <v>50</v>
      </c>
      <c r="L151" t="s">
        <v>762</v>
      </c>
      <c r="M151" t="s">
        <v>762</v>
      </c>
      <c r="N151">
        <v>0.01</v>
      </c>
      <c r="R151" t="s">
        <v>1014</v>
      </c>
      <c r="S151" t="s">
        <v>1014</v>
      </c>
      <c r="V151" t="s">
        <v>50</v>
      </c>
      <c r="AE151" t="s">
        <v>50</v>
      </c>
      <c r="AM151">
        <v>43465</v>
      </c>
      <c r="AN151">
        <v>43469.451388888891</v>
      </c>
      <c r="AO151" s="2">
        <f t="shared" si="19"/>
        <v>4</v>
      </c>
      <c r="AP151" s="2">
        <f t="shared" si="20"/>
        <v>4</v>
      </c>
      <c r="AQ151" s="3">
        <f t="shared" si="21"/>
        <v>1</v>
      </c>
      <c r="AR151" s="1" t="str">
        <f>INDEX(IOS!$B:$B,MATCH(D151,IOS!A:A,0))&amp;B151</f>
        <v>I.O.9</v>
      </c>
      <c r="AS151" s="1">
        <f t="shared" si="22"/>
        <v>0</v>
      </c>
      <c r="AT151" s="1" t="str">
        <f>IF(ISBLANK(W151),"",IF(ISERROR(MATCH(W151,HQLATABLE!$A:$A,0)),0,1))</f>
        <v/>
      </c>
      <c r="AU151" s="1">
        <f t="shared" si="23"/>
        <v>0</v>
      </c>
      <c r="AV151" s="1" t="str">
        <f t="shared" si="24"/>
        <v>Blank</v>
      </c>
      <c r="AW151" s="1">
        <f t="shared" si="25"/>
        <v>0</v>
      </c>
      <c r="AX151" s="1" t="str">
        <f t="shared" si="26"/>
        <v>Blank</v>
      </c>
      <c r="AY151" s="1"/>
      <c r="AZ151" s="1">
        <f>IF(COUNTIFS('PID CHECK'!$B:$B,AR151)=1,0,IF(COUNTIFS(AR$1:AR150,AR151)=1,0,1))</f>
        <v>0</v>
      </c>
      <c r="BA151" s="1"/>
      <c r="BB151" s="1"/>
    </row>
    <row r="152" spans="1:54">
      <c r="A152">
        <v>151</v>
      </c>
      <c r="B152" t="s">
        <v>129</v>
      </c>
      <c r="C152" t="s">
        <v>130</v>
      </c>
      <c r="D152" t="s">
        <v>125</v>
      </c>
      <c r="E152" t="s">
        <v>47</v>
      </c>
      <c r="F152" t="s">
        <v>50</v>
      </c>
      <c r="H152" t="s">
        <v>1017</v>
      </c>
      <c r="J152" t="s">
        <v>49</v>
      </c>
      <c r="K152" t="s">
        <v>50</v>
      </c>
      <c r="L152" t="s">
        <v>762</v>
      </c>
      <c r="M152" t="s">
        <v>762</v>
      </c>
      <c r="N152">
        <v>0.02</v>
      </c>
      <c r="R152" t="s">
        <v>1018</v>
      </c>
      <c r="S152" t="s">
        <v>1018</v>
      </c>
      <c r="V152" t="s">
        <v>50</v>
      </c>
      <c r="AE152" t="s">
        <v>50</v>
      </c>
      <c r="AM152">
        <v>43465</v>
      </c>
      <c r="AN152">
        <v>43469.451388888891</v>
      </c>
      <c r="AO152" s="2">
        <f t="shared" si="19"/>
        <v>59</v>
      </c>
      <c r="AP152" s="2">
        <f t="shared" si="20"/>
        <v>59</v>
      </c>
      <c r="AQ152" s="3">
        <f t="shared" si="21"/>
        <v>0</v>
      </c>
      <c r="AR152" s="1" t="str">
        <f>INDEX(IOS!$B:$B,MATCH(D152,IOS!A:A,0))&amp;B152</f>
        <v>I.O.9</v>
      </c>
      <c r="AS152" s="1">
        <f t="shared" si="22"/>
        <v>0</v>
      </c>
      <c r="AT152" s="1" t="str">
        <f>IF(ISBLANK(W152),"",IF(ISERROR(MATCH(W152,HQLATABLE!$A:$A,0)),0,1))</f>
        <v/>
      </c>
      <c r="AU152" s="1">
        <f t="shared" si="23"/>
        <v>0</v>
      </c>
      <c r="AV152" s="1" t="str">
        <f t="shared" si="24"/>
        <v>Blank</v>
      </c>
      <c r="AW152" s="1">
        <f t="shared" si="25"/>
        <v>0</v>
      </c>
      <c r="AX152" s="1" t="str">
        <f t="shared" si="26"/>
        <v>Blank</v>
      </c>
      <c r="AY152" s="1"/>
      <c r="AZ152" s="1">
        <f>IF(COUNTIFS('PID CHECK'!$B:$B,AR152)=1,0,IF(COUNTIFS(AR$1:AR151,AR152)=1,0,1))</f>
        <v>0</v>
      </c>
      <c r="BA152" s="1"/>
      <c r="BB152" s="1"/>
    </row>
    <row r="153" spans="1:54">
      <c r="A153">
        <v>152</v>
      </c>
      <c r="B153" t="s">
        <v>129</v>
      </c>
      <c r="C153" t="s">
        <v>130</v>
      </c>
      <c r="D153" t="s">
        <v>125</v>
      </c>
      <c r="E153" t="s">
        <v>47</v>
      </c>
      <c r="F153" t="s">
        <v>50</v>
      </c>
      <c r="H153" t="s">
        <v>1021</v>
      </c>
      <c r="J153" t="s">
        <v>49</v>
      </c>
      <c r="K153" t="s">
        <v>50</v>
      </c>
      <c r="L153" t="s">
        <v>762</v>
      </c>
      <c r="M153" t="s">
        <v>762</v>
      </c>
      <c r="N153">
        <v>0.01</v>
      </c>
      <c r="R153" t="s">
        <v>1022</v>
      </c>
      <c r="S153" t="s">
        <v>1022</v>
      </c>
      <c r="V153" t="s">
        <v>50</v>
      </c>
      <c r="AE153" t="s">
        <v>50</v>
      </c>
      <c r="AM153">
        <v>43465</v>
      </c>
      <c r="AN153">
        <v>43469.451388888891</v>
      </c>
      <c r="AO153" s="2">
        <f t="shared" si="19"/>
        <v>60</v>
      </c>
      <c r="AP153" s="2">
        <f t="shared" si="20"/>
        <v>60</v>
      </c>
      <c r="AQ153" s="3">
        <f t="shared" si="21"/>
        <v>0</v>
      </c>
      <c r="AR153" s="1" t="str">
        <f>INDEX(IOS!$B:$B,MATCH(D153,IOS!A:A,0))&amp;B153</f>
        <v>I.O.9</v>
      </c>
      <c r="AS153" s="1">
        <f t="shared" si="22"/>
        <v>0</v>
      </c>
      <c r="AT153" s="1" t="str">
        <f>IF(ISBLANK(W153),"",IF(ISERROR(MATCH(W153,HQLATABLE!$A:$A,0)),0,1))</f>
        <v/>
      </c>
      <c r="AU153" s="1">
        <f t="shared" si="23"/>
        <v>0</v>
      </c>
      <c r="AV153" s="1" t="str">
        <f t="shared" si="24"/>
        <v>Blank</v>
      </c>
      <c r="AW153" s="1">
        <f t="shared" si="25"/>
        <v>0</v>
      </c>
      <c r="AX153" s="1" t="str">
        <f t="shared" si="26"/>
        <v>Blank</v>
      </c>
      <c r="AY153" s="1"/>
      <c r="AZ153" s="1">
        <f>IF(COUNTIFS('PID CHECK'!$B:$B,AR153)=1,0,IF(COUNTIFS(AR$1:AR152,AR153)=1,0,1))</f>
        <v>0</v>
      </c>
      <c r="BA153" s="1"/>
      <c r="BB153" s="1"/>
    </row>
    <row r="154" spans="1:54">
      <c r="A154">
        <v>153</v>
      </c>
      <c r="B154" t="s">
        <v>129</v>
      </c>
      <c r="C154" t="s">
        <v>130</v>
      </c>
      <c r="D154" t="s">
        <v>125</v>
      </c>
      <c r="E154" t="s">
        <v>47</v>
      </c>
      <c r="F154" t="s">
        <v>50</v>
      </c>
      <c r="H154" t="s">
        <v>97</v>
      </c>
      <c r="J154" t="s">
        <v>49</v>
      </c>
      <c r="K154" t="s">
        <v>50</v>
      </c>
      <c r="L154" t="s">
        <v>762</v>
      </c>
      <c r="M154" t="s">
        <v>762</v>
      </c>
      <c r="N154">
        <v>0.12</v>
      </c>
      <c r="R154" t="s">
        <v>98</v>
      </c>
      <c r="S154" t="s">
        <v>99</v>
      </c>
      <c r="V154" t="s">
        <v>50</v>
      </c>
      <c r="AE154" t="s">
        <v>50</v>
      </c>
      <c r="AM154">
        <v>43465</v>
      </c>
      <c r="AN154">
        <v>43469.451388888891</v>
      </c>
      <c r="AO154" s="2">
        <f t="shared" si="19"/>
        <v>68</v>
      </c>
      <c r="AP154" s="2">
        <f t="shared" si="20"/>
        <v>74</v>
      </c>
      <c r="AQ154" s="3">
        <f t="shared" si="21"/>
        <v>0</v>
      </c>
      <c r="AR154" s="1" t="str">
        <f>INDEX(IOS!$B:$B,MATCH(D154,IOS!A:A,0))&amp;B154</f>
        <v>I.O.9</v>
      </c>
      <c r="AS154" s="1">
        <f t="shared" si="22"/>
        <v>0</v>
      </c>
      <c r="AT154" s="1" t="str">
        <f>IF(ISBLANK(W154),"",IF(ISERROR(MATCH(W154,HQLATABLE!$A:$A,0)),0,1))</f>
        <v/>
      </c>
      <c r="AU154" s="1">
        <f t="shared" si="23"/>
        <v>0</v>
      </c>
      <c r="AV154" s="1" t="str">
        <f t="shared" si="24"/>
        <v>Blank</v>
      </c>
      <c r="AW154" s="1">
        <f t="shared" si="25"/>
        <v>0</v>
      </c>
      <c r="AX154" s="1" t="str">
        <f t="shared" si="26"/>
        <v>Blank</v>
      </c>
      <c r="AY154" s="1"/>
      <c r="AZ154" s="1">
        <f>IF(COUNTIFS('PID CHECK'!$B:$B,AR154)=1,0,IF(COUNTIFS(AR$1:AR153,AR154)=1,0,1))</f>
        <v>0</v>
      </c>
      <c r="BA154" s="1"/>
      <c r="BB154" s="1"/>
    </row>
    <row r="155" spans="1:54">
      <c r="A155">
        <v>154</v>
      </c>
      <c r="B155" t="s">
        <v>129</v>
      </c>
      <c r="C155" t="s">
        <v>130</v>
      </c>
      <c r="D155" t="s">
        <v>125</v>
      </c>
      <c r="E155" t="s">
        <v>47</v>
      </c>
      <c r="F155" t="s">
        <v>50</v>
      </c>
      <c r="H155" t="s">
        <v>100</v>
      </c>
      <c r="J155" t="s">
        <v>49</v>
      </c>
      <c r="K155" t="s">
        <v>50</v>
      </c>
      <c r="L155" t="s">
        <v>762</v>
      </c>
      <c r="M155" t="s">
        <v>762</v>
      </c>
      <c r="N155">
        <v>0.08</v>
      </c>
      <c r="R155" t="s">
        <v>101</v>
      </c>
      <c r="S155" t="s">
        <v>102</v>
      </c>
      <c r="V155" t="s">
        <v>50</v>
      </c>
      <c r="AE155" t="s">
        <v>50</v>
      </c>
      <c r="AM155">
        <v>43465</v>
      </c>
      <c r="AN155">
        <v>43469.451388888891</v>
      </c>
      <c r="AO155" s="2">
        <f t="shared" si="19"/>
        <v>75</v>
      </c>
      <c r="AP155" s="2">
        <f t="shared" si="20"/>
        <v>82</v>
      </c>
      <c r="AQ155" s="3">
        <f t="shared" si="21"/>
        <v>0</v>
      </c>
      <c r="AR155" s="1" t="str">
        <f>INDEX(IOS!$B:$B,MATCH(D155,IOS!A:A,0))&amp;B155</f>
        <v>I.O.9</v>
      </c>
      <c r="AS155" s="1">
        <f t="shared" si="22"/>
        <v>0</v>
      </c>
      <c r="AT155" s="1" t="str">
        <f>IF(ISBLANK(W155),"",IF(ISERROR(MATCH(W155,HQLATABLE!$A:$A,0)),0,1))</f>
        <v/>
      </c>
      <c r="AU155" s="1">
        <f t="shared" si="23"/>
        <v>0</v>
      </c>
      <c r="AV155" s="1" t="str">
        <f t="shared" si="24"/>
        <v>Blank</v>
      </c>
      <c r="AW155" s="1">
        <f t="shared" si="25"/>
        <v>0</v>
      </c>
      <c r="AX155" s="1" t="str">
        <f t="shared" si="26"/>
        <v>Blank</v>
      </c>
      <c r="AY155" s="1"/>
      <c r="AZ155" s="1">
        <f>IF(COUNTIFS('PID CHECK'!$B:$B,AR155)=1,0,IF(COUNTIFS(AR$1:AR154,AR155)=1,0,1))</f>
        <v>0</v>
      </c>
      <c r="BA155" s="1"/>
      <c r="BB155" s="1"/>
    </row>
    <row r="156" spans="1:54">
      <c r="A156">
        <v>155</v>
      </c>
      <c r="B156" t="s">
        <v>129</v>
      </c>
      <c r="C156" t="s">
        <v>130</v>
      </c>
      <c r="D156" t="s">
        <v>125</v>
      </c>
      <c r="E156" t="s">
        <v>47</v>
      </c>
      <c r="F156" t="s">
        <v>50</v>
      </c>
      <c r="H156" t="s">
        <v>105</v>
      </c>
      <c r="J156" t="s">
        <v>49</v>
      </c>
      <c r="K156" t="s">
        <v>50</v>
      </c>
      <c r="L156" t="s">
        <v>762</v>
      </c>
      <c r="M156" t="s">
        <v>762</v>
      </c>
      <c r="N156">
        <v>4.8600000000000003</v>
      </c>
      <c r="R156" t="s">
        <v>106</v>
      </c>
      <c r="S156" t="s">
        <v>107</v>
      </c>
      <c r="V156" t="s">
        <v>50</v>
      </c>
      <c r="AE156" t="s">
        <v>50</v>
      </c>
      <c r="AM156">
        <v>43465</v>
      </c>
      <c r="AN156">
        <v>43469.451388888891</v>
      </c>
      <c r="AO156" s="2">
        <f t="shared" si="19"/>
        <v>83</v>
      </c>
      <c r="AP156" s="2">
        <f t="shared" si="20"/>
        <v>90</v>
      </c>
      <c r="AQ156" s="3">
        <f t="shared" si="21"/>
        <v>0</v>
      </c>
      <c r="AR156" s="1" t="str">
        <f>INDEX(IOS!$B:$B,MATCH(D156,IOS!A:A,0))&amp;B156</f>
        <v>I.O.9</v>
      </c>
      <c r="AS156" s="1">
        <f t="shared" si="22"/>
        <v>0</v>
      </c>
      <c r="AT156" s="1" t="str">
        <f>IF(ISBLANK(W156),"",IF(ISERROR(MATCH(W156,HQLATABLE!$A:$A,0)),0,1))</f>
        <v/>
      </c>
      <c r="AU156" s="1">
        <f t="shared" si="23"/>
        <v>0</v>
      </c>
      <c r="AV156" s="1" t="str">
        <f t="shared" si="24"/>
        <v>Blank</v>
      </c>
      <c r="AW156" s="1">
        <f t="shared" si="25"/>
        <v>0</v>
      </c>
      <c r="AX156" s="1" t="str">
        <f t="shared" si="26"/>
        <v>Blank</v>
      </c>
      <c r="AY156" s="1"/>
      <c r="AZ156" s="1">
        <f>IF(COUNTIFS('PID CHECK'!$B:$B,AR156)=1,0,IF(COUNTIFS(AR$1:AR155,AR156)=1,0,1))</f>
        <v>0</v>
      </c>
      <c r="BA156" s="1"/>
      <c r="BB156" s="1"/>
    </row>
    <row r="157" spans="1:54">
      <c r="A157">
        <v>156</v>
      </c>
      <c r="B157" t="s">
        <v>129</v>
      </c>
      <c r="C157" t="s">
        <v>130</v>
      </c>
      <c r="D157" t="s">
        <v>125</v>
      </c>
      <c r="E157" t="s">
        <v>47</v>
      </c>
      <c r="F157" t="s">
        <v>50</v>
      </c>
      <c r="H157" t="s">
        <v>108</v>
      </c>
      <c r="J157" t="s">
        <v>49</v>
      </c>
      <c r="K157" t="s">
        <v>50</v>
      </c>
      <c r="L157" t="s">
        <v>762</v>
      </c>
      <c r="M157" t="s">
        <v>762</v>
      </c>
      <c r="N157">
        <v>0.32</v>
      </c>
      <c r="R157" t="s">
        <v>109</v>
      </c>
      <c r="S157" t="s">
        <v>110</v>
      </c>
      <c r="V157" t="s">
        <v>50</v>
      </c>
      <c r="AE157" t="s">
        <v>50</v>
      </c>
      <c r="AM157">
        <v>43465</v>
      </c>
      <c r="AN157">
        <v>43469.451388888891</v>
      </c>
      <c r="AO157" s="2">
        <f t="shared" si="19"/>
        <v>91</v>
      </c>
      <c r="AP157" s="2">
        <f t="shared" si="20"/>
        <v>120</v>
      </c>
      <c r="AQ157" s="3">
        <f t="shared" si="21"/>
        <v>0</v>
      </c>
      <c r="AR157" s="1" t="str">
        <f>INDEX(IOS!$B:$B,MATCH(D157,IOS!A:A,0))&amp;B157</f>
        <v>I.O.9</v>
      </c>
      <c r="AS157" s="1">
        <f t="shared" si="22"/>
        <v>0</v>
      </c>
      <c r="AT157" s="1" t="str">
        <f>IF(ISBLANK(W157),"",IF(ISERROR(MATCH(W157,HQLATABLE!$A:$A,0)),0,1))</f>
        <v/>
      </c>
      <c r="AU157" s="1">
        <f t="shared" si="23"/>
        <v>0</v>
      </c>
      <c r="AV157" s="1" t="str">
        <f t="shared" si="24"/>
        <v>Blank</v>
      </c>
      <c r="AW157" s="1">
        <f t="shared" si="25"/>
        <v>0</v>
      </c>
      <c r="AX157" s="1" t="str">
        <f t="shared" si="26"/>
        <v>Blank</v>
      </c>
      <c r="AY157" s="1"/>
      <c r="AZ157" s="1">
        <f>IF(COUNTIFS('PID CHECK'!$B:$B,AR157)=1,0,IF(COUNTIFS(AR$1:AR156,AR157)=1,0,1))</f>
        <v>0</v>
      </c>
      <c r="BA157" s="1"/>
      <c r="BB157" s="1"/>
    </row>
    <row r="158" spans="1:54">
      <c r="A158">
        <v>157</v>
      </c>
      <c r="B158" t="s">
        <v>118</v>
      </c>
      <c r="C158" t="s">
        <v>128</v>
      </c>
      <c r="D158" t="s">
        <v>125</v>
      </c>
      <c r="E158" t="s">
        <v>47</v>
      </c>
      <c r="F158" t="s">
        <v>50</v>
      </c>
      <c r="H158" t="s">
        <v>1019</v>
      </c>
      <c r="J158" t="s">
        <v>49</v>
      </c>
      <c r="K158" t="s">
        <v>53</v>
      </c>
      <c r="L158" t="s">
        <v>762</v>
      </c>
      <c r="M158" t="s">
        <v>762</v>
      </c>
      <c r="N158">
        <v>0.01</v>
      </c>
      <c r="R158" t="s">
        <v>1020</v>
      </c>
      <c r="S158" t="s">
        <v>1020</v>
      </c>
      <c r="V158" t="s">
        <v>50</v>
      </c>
      <c r="AE158" t="s">
        <v>50</v>
      </c>
      <c r="AM158">
        <v>43465</v>
      </c>
      <c r="AN158">
        <v>43469.451388888891</v>
      </c>
      <c r="AO158" s="2">
        <f t="shared" si="19"/>
        <v>11</v>
      </c>
      <c r="AP158" s="2">
        <f t="shared" si="20"/>
        <v>11</v>
      </c>
      <c r="AQ158" s="3">
        <f t="shared" si="21"/>
        <v>1</v>
      </c>
      <c r="AR158" s="1" t="str">
        <f>INDEX(IOS!$B:$B,MATCH(D158,IOS!A:A,0))&amp;B158</f>
        <v>I.O.7</v>
      </c>
      <c r="AS158" s="1">
        <f t="shared" si="22"/>
        <v>0</v>
      </c>
      <c r="AT158" s="1" t="str">
        <f>IF(ISBLANK(W158),"",IF(ISERROR(MATCH(W158,HQLATABLE!$A:$A,0)),0,1))</f>
        <v/>
      </c>
      <c r="AU158" s="1">
        <f t="shared" si="23"/>
        <v>0</v>
      </c>
      <c r="AV158" s="1" t="str">
        <f t="shared" si="24"/>
        <v>Blank</v>
      </c>
      <c r="AW158" s="1">
        <f t="shared" si="25"/>
        <v>0</v>
      </c>
      <c r="AX158" s="1" t="str">
        <f t="shared" si="26"/>
        <v>Blank</v>
      </c>
      <c r="AY158" s="1"/>
      <c r="AZ158" s="1">
        <f>IF(COUNTIFS('PID CHECK'!$B:$B,AR158)=1,0,IF(COUNTIFS(AR$1:AR157,AR158)=1,0,1))</f>
        <v>0</v>
      </c>
      <c r="BA158" s="1"/>
      <c r="BB158" s="1"/>
    </row>
    <row r="159" spans="1:54">
      <c r="A159">
        <v>158</v>
      </c>
      <c r="B159" t="s">
        <v>118</v>
      </c>
      <c r="C159" t="s">
        <v>128</v>
      </c>
      <c r="D159" t="s">
        <v>125</v>
      </c>
      <c r="E159" t="s">
        <v>47</v>
      </c>
      <c r="F159" t="s">
        <v>50</v>
      </c>
      <c r="H159" t="s">
        <v>1032</v>
      </c>
      <c r="J159" t="s">
        <v>49</v>
      </c>
      <c r="K159" t="s">
        <v>53</v>
      </c>
      <c r="L159" t="s">
        <v>762</v>
      </c>
      <c r="M159" t="s">
        <v>762</v>
      </c>
      <c r="N159">
        <v>22.74</v>
      </c>
      <c r="R159" t="s">
        <v>1033</v>
      </c>
      <c r="S159" t="s">
        <v>1033</v>
      </c>
      <c r="V159" t="s">
        <v>50</v>
      </c>
      <c r="AE159" t="s">
        <v>50</v>
      </c>
      <c r="AM159">
        <v>43465</v>
      </c>
      <c r="AN159">
        <v>43469.451388888891</v>
      </c>
      <c r="AO159" s="2">
        <f t="shared" si="19"/>
        <v>16</v>
      </c>
      <c r="AP159" s="2">
        <f t="shared" si="20"/>
        <v>16</v>
      </c>
      <c r="AQ159" s="3">
        <f t="shared" si="21"/>
        <v>1</v>
      </c>
      <c r="AR159" s="1" t="str">
        <f>INDEX(IOS!$B:$B,MATCH(D159,IOS!A:A,0))&amp;B159</f>
        <v>I.O.7</v>
      </c>
      <c r="AS159" s="1">
        <f t="shared" si="22"/>
        <v>0</v>
      </c>
      <c r="AT159" s="1" t="str">
        <f>IF(ISBLANK(W159),"",IF(ISERROR(MATCH(W159,HQLATABLE!$A:$A,0)),0,1))</f>
        <v/>
      </c>
      <c r="AU159" s="1">
        <f t="shared" si="23"/>
        <v>0</v>
      </c>
      <c r="AV159" s="1" t="str">
        <f t="shared" si="24"/>
        <v>Blank</v>
      </c>
      <c r="AW159" s="1">
        <f t="shared" si="25"/>
        <v>0</v>
      </c>
      <c r="AX159" s="1" t="str">
        <f t="shared" si="26"/>
        <v>Blank</v>
      </c>
      <c r="AY159" s="1"/>
      <c r="AZ159" s="1">
        <f>IF(COUNTIFS('PID CHECK'!$B:$B,AR159)=1,0,IF(COUNTIFS(AR$1:AR158,AR159)=1,0,1))</f>
        <v>0</v>
      </c>
      <c r="BA159" s="1"/>
      <c r="BB159" s="1"/>
    </row>
    <row r="160" spans="1:54">
      <c r="A160">
        <v>159</v>
      </c>
      <c r="B160" t="s">
        <v>118</v>
      </c>
      <c r="C160" t="s">
        <v>128</v>
      </c>
      <c r="D160" t="s">
        <v>125</v>
      </c>
      <c r="E160" t="s">
        <v>47</v>
      </c>
      <c r="F160" t="s">
        <v>50</v>
      </c>
      <c r="H160" t="s">
        <v>1030</v>
      </c>
      <c r="J160" t="s">
        <v>49</v>
      </c>
      <c r="K160" t="s">
        <v>53</v>
      </c>
      <c r="L160" t="s">
        <v>762</v>
      </c>
      <c r="M160" t="s">
        <v>762</v>
      </c>
      <c r="N160">
        <v>5.04</v>
      </c>
      <c r="R160" t="s">
        <v>1031</v>
      </c>
      <c r="S160" t="s">
        <v>1031</v>
      </c>
      <c r="V160" t="s">
        <v>50</v>
      </c>
      <c r="AE160" t="s">
        <v>50</v>
      </c>
      <c r="AM160">
        <v>43465</v>
      </c>
      <c r="AN160">
        <v>43469.451388888891</v>
      </c>
      <c r="AO160" s="2">
        <f t="shared" si="19"/>
        <v>2</v>
      </c>
      <c r="AP160" s="2">
        <f t="shared" si="20"/>
        <v>2</v>
      </c>
      <c r="AQ160" s="3">
        <f t="shared" si="21"/>
        <v>1</v>
      </c>
      <c r="AR160" s="1" t="str">
        <f>INDEX(IOS!$B:$B,MATCH(D160,IOS!A:A,0))&amp;B160</f>
        <v>I.O.7</v>
      </c>
      <c r="AS160" s="1">
        <f t="shared" si="22"/>
        <v>0</v>
      </c>
      <c r="AT160" s="1" t="str">
        <f>IF(ISBLANK(W160),"",IF(ISERROR(MATCH(W160,HQLATABLE!$A:$A,0)),0,1))</f>
        <v/>
      </c>
      <c r="AU160" s="1">
        <f t="shared" si="23"/>
        <v>0</v>
      </c>
      <c r="AV160" s="1" t="str">
        <f t="shared" si="24"/>
        <v>Blank</v>
      </c>
      <c r="AW160" s="1">
        <f t="shared" si="25"/>
        <v>0</v>
      </c>
      <c r="AX160" s="1" t="str">
        <f t="shared" si="26"/>
        <v>Blank</v>
      </c>
      <c r="AY160" s="1"/>
      <c r="AZ160" s="1">
        <f>IF(COUNTIFS('PID CHECK'!$B:$B,AR160)=1,0,IF(COUNTIFS(AR$1:AR159,AR160)=1,0,1))</f>
        <v>0</v>
      </c>
      <c r="BA160" s="1"/>
      <c r="BB160" s="1"/>
    </row>
    <row r="161" spans="1:54">
      <c r="A161">
        <v>160</v>
      </c>
      <c r="B161" t="s">
        <v>118</v>
      </c>
      <c r="C161" t="s">
        <v>128</v>
      </c>
      <c r="D161" t="s">
        <v>125</v>
      </c>
      <c r="E161" t="s">
        <v>47</v>
      </c>
      <c r="F161" t="s">
        <v>53</v>
      </c>
      <c r="H161" t="s">
        <v>1030</v>
      </c>
      <c r="J161" t="s">
        <v>49</v>
      </c>
      <c r="K161" t="s">
        <v>53</v>
      </c>
      <c r="L161" t="s">
        <v>762</v>
      </c>
      <c r="M161" t="s">
        <v>762</v>
      </c>
      <c r="N161">
        <v>1.75</v>
      </c>
      <c r="R161" t="s">
        <v>1031</v>
      </c>
      <c r="S161" t="s">
        <v>1031</v>
      </c>
      <c r="V161" t="s">
        <v>50</v>
      </c>
      <c r="AB161" t="s">
        <v>78</v>
      </c>
      <c r="AE161" t="s">
        <v>50</v>
      </c>
      <c r="AM161">
        <v>43465</v>
      </c>
      <c r="AN161">
        <v>43469.451388888891</v>
      </c>
      <c r="AO161" s="2">
        <f t="shared" si="19"/>
        <v>2</v>
      </c>
      <c r="AP161" s="2">
        <f t="shared" si="20"/>
        <v>2</v>
      </c>
      <c r="AQ161" s="3">
        <f t="shared" si="21"/>
        <v>1</v>
      </c>
      <c r="AR161" s="1" t="str">
        <f>INDEX(IOS!$B:$B,MATCH(D161,IOS!A:A,0))&amp;B161</f>
        <v>I.O.7</v>
      </c>
      <c r="AS161" s="1">
        <f t="shared" si="22"/>
        <v>1</v>
      </c>
      <c r="AT161" s="1" t="str">
        <f>IF(ISBLANK(W161),"",IF(ISERROR(MATCH(W161,HQLATABLE!$A:$A,0)),0,1))</f>
        <v/>
      </c>
      <c r="AU161" s="1">
        <f t="shared" si="23"/>
        <v>0</v>
      </c>
      <c r="AV161" s="1" t="str">
        <f t="shared" si="24"/>
        <v>Blank</v>
      </c>
      <c r="AW161" s="1">
        <f t="shared" si="25"/>
        <v>0</v>
      </c>
      <c r="AX161" s="1" t="str">
        <f t="shared" si="26"/>
        <v>Blank</v>
      </c>
      <c r="AY161" s="1"/>
      <c r="AZ161" s="1">
        <f>IF(COUNTIFS('PID CHECK'!$B:$B,AR161)=1,0,IF(COUNTIFS(AR$1:AR160,AR161)=1,0,1))</f>
        <v>0</v>
      </c>
      <c r="BA161" s="1"/>
      <c r="BB161" s="1"/>
    </row>
    <row r="162" spans="1:54">
      <c r="A162">
        <v>161</v>
      </c>
      <c r="B162" t="s">
        <v>118</v>
      </c>
      <c r="C162" t="s">
        <v>128</v>
      </c>
      <c r="D162" t="s">
        <v>125</v>
      </c>
      <c r="E162" t="s">
        <v>47</v>
      </c>
      <c r="F162" t="s">
        <v>50</v>
      </c>
      <c r="H162" t="s">
        <v>1007</v>
      </c>
      <c r="J162" t="s">
        <v>49</v>
      </c>
      <c r="K162" t="s">
        <v>53</v>
      </c>
      <c r="L162" t="s">
        <v>762</v>
      </c>
      <c r="M162" t="s">
        <v>762</v>
      </c>
      <c r="N162">
        <v>4.5</v>
      </c>
      <c r="R162" t="s">
        <v>1008</v>
      </c>
      <c r="S162" t="s">
        <v>1008</v>
      </c>
      <c r="V162" t="s">
        <v>50</v>
      </c>
      <c r="AE162" t="s">
        <v>50</v>
      </c>
      <c r="AM162">
        <v>43465</v>
      </c>
      <c r="AN162">
        <v>43469.451388888891</v>
      </c>
      <c r="AO162" s="2">
        <f t="shared" si="19"/>
        <v>3</v>
      </c>
      <c r="AP162" s="2">
        <f t="shared" si="20"/>
        <v>3</v>
      </c>
      <c r="AQ162" s="3">
        <f t="shared" si="21"/>
        <v>1</v>
      </c>
      <c r="AR162" s="1" t="str">
        <f>INDEX(IOS!$B:$B,MATCH(D162,IOS!A:A,0))&amp;B162</f>
        <v>I.O.7</v>
      </c>
      <c r="AS162" s="1">
        <f t="shared" si="22"/>
        <v>0</v>
      </c>
      <c r="AT162" s="1" t="str">
        <f>IF(ISBLANK(W162),"",IF(ISERROR(MATCH(W162,HQLATABLE!$A:$A,0)),0,1))</f>
        <v/>
      </c>
      <c r="AU162" s="1">
        <f t="shared" si="23"/>
        <v>0</v>
      </c>
      <c r="AV162" s="1" t="str">
        <f t="shared" si="24"/>
        <v>Blank</v>
      </c>
      <c r="AW162" s="1">
        <f t="shared" si="25"/>
        <v>0</v>
      </c>
      <c r="AX162" s="1" t="str">
        <f t="shared" si="26"/>
        <v>Blank</v>
      </c>
      <c r="AY162" s="1"/>
      <c r="AZ162" s="1">
        <f>IF(COUNTIFS('PID CHECK'!$B:$B,AR162)=1,0,IF(COUNTIFS(AR$1:AR161,AR162)=1,0,1))</f>
        <v>0</v>
      </c>
      <c r="BA162" s="1"/>
      <c r="BB162" s="1"/>
    </row>
    <row r="163" spans="1:54">
      <c r="A163">
        <v>162</v>
      </c>
      <c r="B163" t="s">
        <v>118</v>
      </c>
      <c r="C163" t="s">
        <v>128</v>
      </c>
      <c r="D163" t="s">
        <v>125</v>
      </c>
      <c r="E163" t="s">
        <v>47</v>
      </c>
      <c r="F163" t="s">
        <v>53</v>
      </c>
      <c r="H163" t="s">
        <v>1007</v>
      </c>
      <c r="J163" t="s">
        <v>49</v>
      </c>
      <c r="K163" t="s">
        <v>53</v>
      </c>
      <c r="L163" t="s">
        <v>762</v>
      </c>
      <c r="M163" t="s">
        <v>762</v>
      </c>
      <c r="N163">
        <v>19.28</v>
      </c>
      <c r="R163" t="s">
        <v>1008</v>
      </c>
      <c r="S163" t="s">
        <v>1008</v>
      </c>
      <c r="V163" t="s">
        <v>50</v>
      </c>
      <c r="AB163" t="s">
        <v>78</v>
      </c>
      <c r="AE163" t="s">
        <v>50</v>
      </c>
      <c r="AM163">
        <v>43465</v>
      </c>
      <c r="AN163">
        <v>43469.451388888891</v>
      </c>
      <c r="AO163" s="2">
        <f t="shared" si="19"/>
        <v>3</v>
      </c>
      <c r="AP163" s="2">
        <f t="shared" si="20"/>
        <v>3</v>
      </c>
      <c r="AQ163" s="3">
        <f t="shared" si="21"/>
        <v>1</v>
      </c>
      <c r="AR163" s="1" t="str">
        <f>INDEX(IOS!$B:$B,MATCH(D163,IOS!A:A,0))&amp;B163</f>
        <v>I.O.7</v>
      </c>
      <c r="AS163" s="1">
        <f t="shared" si="22"/>
        <v>1</v>
      </c>
      <c r="AT163" s="1" t="str">
        <f>IF(ISBLANK(W163),"",IF(ISERROR(MATCH(W163,HQLATABLE!$A:$A,0)),0,1))</f>
        <v/>
      </c>
      <c r="AU163" s="1">
        <f t="shared" si="23"/>
        <v>0</v>
      </c>
      <c r="AV163" s="1" t="str">
        <f t="shared" si="24"/>
        <v>Blank</v>
      </c>
      <c r="AW163" s="1">
        <f t="shared" si="25"/>
        <v>0</v>
      </c>
      <c r="AX163" s="1" t="str">
        <f t="shared" si="26"/>
        <v>Blank</v>
      </c>
      <c r="AY163" s="1"/>
      <c r="AZ163" s="1">
        <f>IF(COUNTIFS('PID CHECK'!$B:$B,AR163)=1,0,IF(COUNTIFS(AR$1:AR162,AR163)=1,0,1))</f>
        <v>0</v>
      </c>
      <c r="BA163" s="1"/>
      <c r="BB163" s="1"/>
    </row>
    <row r="164" spans="1:54">
      <c r="A164">
        <v>163</v>
      </c>
      <c r="B164" t="s">
        <v>129</v>
      </c>
      <c r="C164" t="s">
        <v>659</v>
      </c>
      <c r="D164" t="s">
        <v>135</v>
      </c>
      <c r="E164" t="s">
        <v>163</v>
      </c>
      <c r="F164" t="s">
        <v>50</v>
      </c>
      <c r="H164" t="s">
        <v>995</v>
      </c>
      <c r="J164" t="s">
        <v>49</v>
      </c>
      <c r="K164" t="s">
        <v>50</v>
      </c>
      <c r="L164" t="s">
        <v>762</v>
      </c>
      <c r="M164" t="s">
        <v>762</v>
      </c>
      <c r="N164">
        <v>0.7</v>
      </c>
      <c r="R164" t="s">
        <v>996</v>
      </c>
      <c r="S164" t="s">
        <v>996</v>
      </c>
      <c r="V164" t="s">
        <v>50</v>
      </c>
      <c r="W164" t="s">
        <v>64</v>
      </c>
      <c r="X164">
        <v>824842.41</v>
      </c>
      <c r="Y164" t="s">
        <v>49</v>
      </c>
      <c r="Z164" t="s">
        <v>759</v>
      </c>
      <c r="AC164" t="s">
        <v>50</v>
      </c>
      <c r="AE164" t="s">
        <v>50</v>
      </c>
      <c r="AF164" t="s">
        <v>121</v>
      </c>
      <c r="AH164">
        <v>10</v>
      </c>
      <c r="AM164">
        <v>43465</v>
      </c>
      <c r="AN164">
        <v>43469.451388888891</v>
      </c>
      <c r="AO164" s="2">
        <f t="shared" si="19"/>
        <v>10</v>
      </c>
      <c r="AP164" s="2">
        <f t="shared" si="20"/>
        <v>10</v>
      </c>
      <c r="AQ164" s="3">
        <f t="shared" si="21"/>
        <v>1</v>
      </c>
      <c r="AR164" s="1" t="str">
        <f>INDEX(IOS!$B:$B,MATCH(D164,IOS!A:A,0))&amp;B164</f>
        <v>O.S.9</v>
      </c>
      <c r="AS164" s="1">
        <f t="shared" si="22"/>
        <v>0</v>
      </c>
      <c r="AT164" s="1">
        <f>IF(ISBLANK(W164),"",IF(ISERROR(MATCH(W164,HQLATABLE!$A:$A,0)),0,1))</f>
        <v>0</v>
      </c>
      <c r="AU164" s="1">
        <f t="shared" si="23"/>
        <v>0</v>
      </c>
      <c r="AV164" s="1" t="str">
        <f t="shared" si="24"/>
        <v>Blank</v>
      </c>
      <c r="AW164" s="1">
        <f t="shared" si="25"/>
        <v>-1</v>
      </c>
      <c r="AX164" s="1">
        <f t="shared" si="26"/>
        <v>0</v>
      </c>
      <c r="AY164" s="1"/>
      <c r="AZ164" s="1">
        <f>IF(COUNTIFS('PID CHECK'!$B:$B,AR164)=1,0,IF(COUNTIFS(AR$1:AR163,AR164)=1,0,1))</f>
        <v>0</v>
      </c>
      <c r="BA164" s="1"/>
      <c r="BB164" s="1"/>
    </row>
    <row r="165" spans="1:54">
      <c r="A165">
        <v>164</v>
      </c>
      <c r="B165" t="s">
        <v>129</v>
      </c>
      <c r="C165" t="s">
        <v>659</v>
      </c>
      <c r="D165" t="s">
        <v>135</v>
      </c>
      <c r="E165" t="s">
        <v>163</v>
      </c>
      <c r="F165" t="s">
        <v>50</v>
      </c>
      <c r="H165" t="s">
        <v>67</v>
      </c>
      <c r="J165" t="s">
        <v>49</v>
      </c>
      <c r="K165" t="s">
        <v>50</v>
      </c>
      <c r="L165" t="s">
        <v>762</v>
      </c>
      <c r="M165" t="s">
        <v>762</v>
      </c>
      <c r="N165">
        <v>1.43</v>
      </c>
      <c r="R165" t="s">
        <v>68</v>
      </c>
      <c r="S165" t="s">
        <v>69</v>
      </c>
      <c r="V165" t="s">
        <v>50</v>
      </c>
      <c r="W165" t="s">
        <v>64</v>
      </c>
      <c r="X165">
        <v>1647225.08</v>
      </c>
      <c r="Y165" t="s">
        <v>49</v>
      </c>
      <c r="Z165" t="s">
        <v>759</v>
      </c>
      <c r="AC165" t="s">
        <v>50</v>
      </c>
      <c r="AE165" t="s">
        <v>50</v>
      </c>
      <c r="AF165" t="s">
        <v>121</v>
      </c>
      <c r="AH165">
        <v>10</v>
      </c>
      <c r="AM165">
        <v>43465</v>
      </c>
      <c r="AN165">
        <v>43469.451388888891</v>
      </c>
      <c r="AO165" s="2">
        <f t="shared" si="19"/>
        <v>121</v>
      </c>
      <c r="AP165" s="2">
        <f t="shared" si="20"/>
        <v>150</v>
      </c>
      <c r="AQ165" s="3">
        <f t="shared" si="21"/>
        <v>0</v>
      </c>
      <c r="AR165" s="1" t="str">
        <f>INDEX(IOS!$B:$B,MATCH(D165,IOS!A:A,0))&amp;B165</f>
        <v>O.S.9</v>
      </c>
      <c r="AS165" s="1">
        <f t="shared" si="22"/>
        <v>0</v>
      </c>
      <c r="AT165" s="1">
        <f>IF(ISBLANK(W165),"",IF(ISERROR(MATCH(W165,HQLATABLE!$A:$A,0)),0,1))</f>
        <v>0</v>
      </c>
      <c r="AU165" s="1">
        <f t="shared" si="23"/>
        <v>0</v>
      </c>
      <c r="AV165" s="1" t="str">
        <f t="shared" si="24"/>
        <v>Blank</v>
      </c>
      <c r="AW165" s="1">
        <f t="shared" si="25"/>
        <v>-1</v>
      </c>
      <c r="AX165" s="1">
        <f t="shared" si="26"/>
        <v>0</v>
      </c>
      <c r="AY165" s="1"/>
      <c r="AZ165" s="1">
        <f>IF(COUNTIFS('PID CHECK'!$B:$B,AR165)=1,0,IF(COUNTIFS(AR$1:AR164,AR165)=1,0,1))</f>
        <v>0</v>
      </c>
      <c r="BA165" s="1"/>
      <c r="BB165" s="1"/>
    </row>
    <row r="166" spans="1:54">
      <c r="A166">
        <v>165</v>
      </c>
      <c r="B166" t="s">
        <v>129</v>
      </c>
      <c r="C166" t="s">
        <v>659</v>
      </c>
      <c r="D166" t="s">
        <v>135</v>
      </c>
      <c r="E166" t="s">
        <v>163</v>
      </c>
      <c r="F166" t="s">
        <v>53</v>
      </c>
      <c r="H166" t="s">
        <v>85</v>
      </c>
      <c r="J166" t="s">
        <v>49</v>
      </c>
      <c r="K166" t="s">
        <v>50</v>
      </c>
      <c r="L166" t="s">
        <v>762</v>
      </c>
      <c r="M166" t="s">
        <v>762</v>
      </c>
      <c r="N166">
        <v>1.53</v>
      </c>
      <c r="R166" t="s">
        <v>86</v>
      </c>
      <c r="S166" t="s">
        <v>86</v>
      </c>
      <c r="V166" t="s">
        <v>50</v>
      </c>
      <c r="W166" t="s">
        <v>64</v>
      </c>
      <c r="X166">
        <v>6139573.2999999998</v>
      </c>
      <c r="Y166" t="s">
        <v>49</v>
      </c>
      <c r="Z166" t="s">
        <v>84</v>
      </c>
      <c r="AB166" t="s">
        <v>76</v>
      </c>
      <c r="AC166" t="s">
        <v>50</v>
      </c>
      <c r="AE166" t="s">
        <v>50</v>
      </c>
      <c r="AF166" t="s">
        <v>121</v>
      </c>
      <c r="AH166">
        <v>3</v>
      </c>
      <c r="AM166">
        <v>43465</v>
      </c>
      <c r="AN166">
        <v>43469.451388888891</v>
      </c>
      <c r="AO166" s="2">
        <f t="shared" si="19"/>
        <v>14</v>
      </c>
      <c r="AP166" s="2">
        <f t="shared" si="20"/>
        <v>14</v>
      </c>
      <c r="AQ166" s="3">
        <f t="shared" si="21"/>
        <v>1</v>
      </c>
      <c r="AR166" s="1" t="str">
        <f>INDEX(IOS!$B:$B,MATCH(D166,IOS!A:A,0))&amp;B166</f>
        <v>O.S.9</v>
      </c>
      <c r="AS166" s="1">
        <f t="shared" si="22"/>
        <v>1</v>
      </c>
      <c r="AT166" s="1">
        <f>IF(ISBLANK(W166),"",IF(ISERROR(MATCH(W166,HQLATABLE!$A:$A,0)),0,1))</f>
        <v>0</v>
      </c>
      <c r="AU166" s="1">
        <f t="shared" si="23"/>
        <v>0</v>
      </c>
      <c r="AV166" s="1" t="str">
        <f t="shared" si="24"/>
        <v>Blank</v>
      </c>
      <c r="AW166" s="1">
        <f t="shared" si="25"/>
        <v>-1</v>
      </c>
      <c r="AX166" s="1">
        <f t="shared" si="26"/>
        <v>0</v>
      </c>
      <c r="AY166" s="1"/>
      <c r="AZ166" s="1">
        <f>IF(COUNTIFS('PID CHECK'!$B:$B,AR166)=1,0,IF(COUNTIFS(AR$1:AR165,AR166)=1,0,1))</f>
        <v>0</v>
      </c>
      <c r="BA166" s="1"/>
      <c r="BB166" s="1"/>
    </row>
    <row r="167" spans="1:54">
      <c r="A167">
        <v>166</v>
      </c>
      <c r="B167" t="s">
        <v>129</v>
      </c>
      <c r="C167" t="s">
        <v>659</v>
      </c>
      <c r="D167" t="s">
        <v>135</v>
      </c>
      <c r="E167" t="s">
        <v>163</v>
      </c>
      <c r="F167" t="s">
        <v>50</v>
      </c>
      <c r="H167" t="s">
        <v>73</v>
      </c>
      <c r="J167" t="s">
        <v>49</v>
      </c>
      <c r="K167" t="s">
        <v>50</v>
      </c>
      <c r="L167" t="s">
        <v>762</v>
      </c>
      <c r="M167" t="s">
        <v>762</v>
      </c>
      <c r="N167">
        <v>0.75</v>
      </c>
      <c r="R167" t="s">
        <v>74</v>
      </c>
      <c r="S167" t="s">
        <v>75</v>
      </c>
      <c r="V167" t="s">
        <v>50</v>
      </c>
      <c r="W167" t="s">
        <v>64</v>
      </c>
      <c r="X167">
        <v>801789.72</v>
      </c>
      <c r="Y167" t="s">
        <v>49</v>
      </c>
      <c r="Z167" t="s">
        <v>759</v>
      </c>
      <c r="AC167" t="s">
        <v>50</v>
      </c>
      <c r="AE167" t="s">
        <v>50</v>
      </c>
      <c r="AF167" t="s">
        <v>121</v>
      </c>
      <c r="AH167">
        <v>10</v>
      </c>
      <c r="AM167">
        <v>43465</v>
      </c>
      <c r="AN167">
        <v>43469.451388888891</v>
      </c>
      <c r="AO167" s="2">
        <f t="shared" si="19"/>
        <v>151</v>
      </c>
      <c r="AP167" s="2">
        <f t="shared" si="20"/>
        <v>180</v>
      </c>
      <c r="AQ167" s="3">
        <f t="shared" si="21"/>
        <v>0</v>
      </c>
      <c r="AR167" s="1" t="str">
        <f>INDEX(IOS!$B:$B,MATCH(D167,IOS!A:A,0))&amp;B167</f>
        <v>O.S.9</v>
      </c>
      <c r="AS167" s="1">
        <f t="shared" si="22"/>
        <v>0</v>
      </c>
      <c r="AT167" s="1">
        <f>IF(ISBLANK(W167),"",IF(ISERROR(MATCH(W167,HQLATABLE!$A:$A,0)),0,1))</f>
        <v>0</v>
      </c>
      <c r="AU167" s="1">
        <f t="shared" si="23"/>
        <v>0</v>
      </c>
      <c r="AV167" s="1" t="str">
        <f t="shared" si="24"/>
        <v>Blank</v>
      </c>
      <c r="AW167" s="1">
        <f t="shared" si="25"/>
        <v>-1</v>
      </c>
      <c r="AX167" s="1">
        <f t="shared" si="26"/>
        <v>0</v>
      </c>
      <c r="AY167" s="1"/>
      <c r="AZ167" s="1">
        <f>IF(COUNTIFS('PID CHECK'!$B:$B,AR167)=1,0,IF(COUNTIFS(AR$1:AR166,AR167)=1,0,1))</f>
        <v>0</v>
      </c>
      <c r="BA167" s="1"/>
      <c r="BB167" s="1"/>
    </row>
    <row r="168" spans="1:54">
      <c r="A168">
        <v>167</v>
      </c>
      <c r="B168" t="s">
        <v>129</v>
      </c>
      <c r="C168" t="s">
        <v>659</v>
      </c>
      <c r="D168" t="s">
        <v>135</v>
      </c>
      <c r="E168" t="s">
        <v>163</v>
      </c>
      <c r="F168" t="s">
        <v>53</v>
      </c>
      <c r="H168" t="s">
        <v>73</v>
      </c>
      <c r="J168" t="s">
        <v>49</v>
      </c>
      <c r="K168" t="s">
        <v>50</v>
      </c>
      <c r="L168" t="s">
        <v>762</v>
      </c>
      <c r="M168" t="s">
        <v>762</v>
      </c>
      <c r="N168">
        <v>1.66</v>
      </c>
      <c r="R168" t="s">
        <v>74</v>
      </c>
      <c r="S168" t="s">
        <v>75</v>
      </c>
      <c r="V168" t="s">
        <v>50</v>
      </c>
      <c r="W168" t="s">
        <v>64</v>
      </c>
      <c r="X168">
        <v>6196467.8399999999</v>
      </c>
      <c r="Y168" t="s">
        <v>49</v>
      </c>
      <c r="Z168" t="s">
        <v>84</v>
      </c>
      <c r="AB168" t="s">
        <v>76</v>
      </c>
      <c r="AC168" t="s">
        <v>50</v>
      </c>
      <c r="AE168" t="s">
        <v>50</v>
      </c>
      <c r="AF168" t="s">
        <v>121</v>
      </c>
      <c r="AH168">
        <v>3</v>
      </c>
      <c r="AM168">
        <v>43465</v>
      </c>
      <c r="AN168">
        <v>43469.451388888891</v>
      </c>
      <c r="AO168" s="2">
        <f t="shared" si="19"/>
        <v>151</v>
      </c>
      <c r="AP168" s="2">
        <f t="shared" si="20"/>
        <v>180</v>
      </c>
      <c r="AQ168" s="3">
        <f t="shared" si="21"/>
        <v>0</v>
      </c>
      <c r="AR168" s="1" t="str">
        <f>INDEX(IOS!$B:$B,MATCH(D168,IOS!A:A,0))&amp;B168</f>
        <v>O.S.9</v>
      </c>
      <c r="AS168" s="1">
        <f t="shared" si="22"/>
        <v>1</v>
      </c>
      <c r="AT168" s="1">
        <f>IF(ISBLANK(W168),"",IF(ISERROR(MATCH(W168,HQLATABLE!$A:$A,0)),0,1))</f>
        <v>0</v>
      </c>
      <c r="AU168" s="1">
        <f t="shared" si="23"/>
        <v>0</v>
      </c>
      <c r="AV168" s="1" t="str">
        <f t="shared" si="24"/>
        <v>Blank</v>
      </c>
      <c r="AW168" s="1">
        <f t="shared" si="25"/>
        <v>-1</v>
      </c>
      <c r="AX168" s="1">
        <f t="shared" si="26"/>
        <v>0</v>
      </c>
      <c r="AY168" s="1"/>
      <c r="AZ168" s="1">
        <f>IF(COUNTIFS('PID CHECK'!$B:$B,AR168)=1,0,IF(COUNTIFS(AR$1:AR167,AR168)=1,0,1))</f>
        <v>0</v>
      </c>
      <c r="BA168" s="1"/>
      <c r="BB168" s="1"/>
    </row>
    <row r="169" spans="1:54">
      <c r="A169">
        <v>168</v>
      </c>
      <c r="B169" t="s">
        <v>129</v>
      </c>
      <c r="C169" t="s">
        <v>659</v>
      </c>
      <c r="D169" t="s">
        <v>135</v>
      </c>
      <c r="E169" t="s">
        <v>163</v>
      </c>
      <c r="F169" t="s">
        <v>50</v>
      </c>
      <c r="H169" t="s">
        <v>87</v>
      </c>
      <c r="J169" t="s">
        <v>49</v>
      </c>
      <c r="K169" t="s">
        <v>50</v>
      </c>
      <c r="L169" t="s">
        <v>762</v>
      </c>
      <c r="M169" t="s">
        <v>762</v>
      </c>
      <c r="N169">
        <v>4.34</v>
      </c>
      <c r="R169" t="s">
        <v>88</v>
      </c>
      <c r="S169" t="s">
        <v>89</v>
      </c>
      <c r="V169" t="s">
        <v>50</v>
      </c>
      <c r="W169" t="s">
        <v>64</v>
      </c>
      <c r="X169">
        <v>4911664.21</v>
      </c>
      <c r="Y169" t="s">
        <v>49</v>
      </c>
      <c r="Z169" t="s">
        <v>759</v>
      </c>
      <c r="AC169" t="s">
        <v>50</v>
      </c>
      <c r="AE169" t="s">
        <v>50</v>
      </c>
      <c r="AF169" t="s">
        <v>121</v>
      </c>
      <c r="AH169">
        <v>10</v>
      </c>
      <c r="AM169">
        <v>43465</v>
      </c>
      <c r="AN169">
        <v>43469.451388888891</v>
      </c>
      <c r="AO169" s="2">
        <f t="shared" si="19"/>
        <v>181</v>
      </c>
      <c r="AP169" s="2">
        <f t="shared" si="20"/>
        <v>270</v>
      </c>
      <c r="AQ169" s="3">
        <f t="shared" si="21"/>
        <v>0</v>
      </c>
      <c r="AR169" s="1" t="str">
        <f>INDEX(IOS!$B:$B,MATCH(D169,IOS!A:A,0))&amp;B169</f>
        <v>O.S.9</v>
      </c>
      <c r="AS169" s="1">
        <f t="shared" si="22"/>
        <v>0</v>
      </c>
      <c r="AT169" s="1">
        <f>IF(ISBLANK(W169),"",IF(ISERROR(MATCH(W169,HQLATABLE!$A:$A,0)),0,1))</f>
        <v>0</v>
      </c>
      <c r="AU169" s="1">
        <f t="shared" si="23"/>
        <v>0</v>
      </c>
      <c r="AV169" s="1" t="str">
        <f t="shared" si="24"/>
        <v>Blank</v>
      </c>
      <c r="AW169" s="1">
        <f t="shared" si="25"/>
        <v>-1</v>
      </c>
      <c r="AX169" s="1">
        <f t="shared" si="26"/>
        <v>0</v>
      </c>
      <c r="AY169" s="1"/>
      <c r="AZ169" s="1">
        <f>IF(COUNTIFS('PID CHECK'!$B:$B,AR169)=1,0,IF(COUNTIFS(AR$1:AR168,AR169)=1,0,1))</f>
        <v>0</v>
      </c>
      <c r="BA169" s="1"/>
      <c r="BB169" s="1"/>
    </row>
    <row r="170" spans="1:54">
      <c r="A170">
        <v>169</v>
      </c>
      <c r="B170" t="s">
        <v>129</v>
      </c>
      <c r="C170" t="s">
        <v>659</v>
      </c>
      <c r="D170" t="s">
        <v>135</v>
      </c>
      <c r="E170" t="s">
        <v>163</v>
      </c>
      <c r="F170" t="s">
        <v>53</v>
      </c>
      <c r="H170" t="s">
        <v>87</v>
      </c>
      <c r="J170" t="s">
        <v>49</v>
      </c>
      <c r="K170" t="s">
        <v>50</v>
      </c>
      <c r="L170" t="s">
        <v>762</v>
      </c>
      <c r="M170" t="s">
        <v>762</v>
      </c>
      <c r="N170">
        <v>3.19</v>
      </c>
      <c r="R170" t="s">
        <v>88</v>
      </c>
      <c r="S170" t="s">
        <v>89</v>
      </c>
      <c r="V170" t="s">
        <v>50</v>
      </c>
      <c r="W170" t="s">
        <v>64</v>
      </c>
      <c r="X170">
        <v>12481534.140000001</v>
      </c>
      <c r="Y170" t="s">
        <v>49</v>
      </c>
      <c r="Z170" t="s">
        <v>84</v>
      </c>
      <c r="AB170" t="s">
        <v>76</v>
      </c>
      <c r="AC170" t="s">
        <v>50</v>
      </c>
      <c r="AE170" t="s">
        <v>50</v>
      </c>
      <c r="AF170" t="s">
        <v>121</v>
      </c>
      <c r="AH170">
        <v>3</v>
      </c>
      <c r="AM170">
        <v>43465</v>
      </c>
      <c r="AN170">
        <v>43469.451388888891</v>
      </c>
      <c r="AO170" s="2">
        <f t="shared" si="19"/>
        <v>181</v>
      </c>
      <c r="AP170" s="2">
        <f t="shared" si="20"/>
        <v>270</v>
      </c>
      <c r="AQ170" s="3">
        <f t="shared" si="21"/>
        <v>0</v>
      </c>
      <c r="AR170" s="1" t="str">
        <f>INDEX(IOS!$B:$B,MATCH(D170,IOS!A:A,0))&amp;B170</f>
        <v>O.S.9</v>
      </c>
      <c r="AS170" s="1">
        <f t="shared" si="22"/>
        <v>1</v>
      </c>
      <c r="AT170" s="1">
        <f>IF(ISBLANK(W170),"",IF(ISERROR(MATCH(W170,HQLATABLE!$A:$A,0)),0,1))</f>
        <v>0</v>
      </c>
      <c r="AU170" s="1">
        <f t="shared" si="23"/>
        <v>0</v>
      </c>
      <c r="AV170" s="1" t="str">
        <f t="shared" si="24"/>
        <v>Blank</v>
      </c>
      <c r="AW170" s="1">
        <f t="shared" si="25"/>
        <v>-1</v>
      </c>
      <c r="AX170" s="1">
        <f t="shared" si="26"/>
        <v>0</v>
      </c>
      <c r="AY170" s="1"/>
      <c r="AZ170" s="1">
        <f>IF(COUNTIFS('PID CHECK'!$B:$B,AR170)=1,0,IF(COUNTIFS(AR$1:AR169,AR170)=1,0,1))</f>
        <v>0</v>
      </c>
      <c r="BA170" s="1"/>
      <c r="BB170" s="1"/>
    </row>
    <row r="171" spans="1:54">
      <c r="A171">
        <v>170</v>
      </c>
      <c r="B171" t="s">
        <v>129</v>
      </c>
      <c r="C171" t="s">
        <v>659</v>
      </c>
      <c r="D171" t="s">
        <v>135</v>
      </c>
      <c r="E171" t="s">
        <v>163</v>
      </c>
      <c r="F171" t="s">
        <v>50</v>
      </c>
      <c r="H171" t="s">
        <v>79</v>
      </c>
      <c r="J171" t="s">
        <v>49</v>
      </c>
      <c r="K171" t="s">
        <v>50</v>
      </c>
      <c r="L171" t="s">
        <v>762</v>
      </c>
      <c r="M171" t="s">
        <v>762</v>
      </c>
      <c r="N171">
        <v>4.34</v>
      </c>
      <c r="R171" t="s">
        <v>80</v>
      </c>
      <c r="S171" t="s">
        <v>81</v>
      </c>
      <c r="V171" t="s">
        <v>50</v>
      </c>
      <c r="W171" t="s">
        <v>64</v>
      </c>
      <c r="X171">
        <v>4942720.45</v>
      </c>
      <c r="Y171" t="s">
        <v>49</v>
      </c>
      <c r="Z171" t="s">
        <v>759</v>
      </c>
      <c r="AC171" t="s">
        <v>50</v>
      </c>
      <c r="AE171" t="s">
        <v>50</v>
      </c>
      <c r="AF171" t="s">
        <v>121</v>
      </c>
      <c r="AH171">
        <v>10</v>
      </c>
      <c r="AM171">
        <v>43465</v>
      </c>
      <c r="AN171">
        <v>43469.451388888891</v>
      </c>
      <c r="AO171" s="2">
        <f t="shared" si="19"/>
        <v>271</v>
      </c>
      <c r="AP171" s="2">
        <f t="shared" si="20"/>
        <v>365</v>
      </c>
      <c r="AQ171" s="3">
        <f t="shared" si="21"/>
        <v>0</v>
      </c>
      <c r="AR171" s="1" t="str">
        <f>INDEX(IOS!$B:$B,MATCH(D171,IOS!A:A,0))&amp;B171</f>
        <v>O.S.9</v>
      </c>
      <c r="AS171" s="1">
        <f t="shared" si="22"/>
        <v>0</v>
      </c>
      <c r="AT171" s="1">
        <f>IF(ISBLANK(W171),"",IF(ISERROR(MATCH(W171,HQLATABLE!$A:$A,0)),0,1))</f>
        <v>0</v>
      </c>
      <c r="AU171" s="1">
        <f t="shared" si="23"/>
        <v>0</v>
      </c>
      <c r="AV171" s="1" t="str">
        <f t="shared" si="24"/>
        <v>Blank</v>
      </c>
      <c r="AW171" s="1">
        <f t="shared" si="25"/>
        <v>-1</v>
      </c>
      <c r="AX171" s="1">
        <f t="shared" si="26"/>
        <v>0</v>
      </c>
      <c r="AY171" s="1"/>
      <c r="AZ171" s="1">
        <f>IF(COUNTIFS('PID CHECK'!$B:$B,AR171)=1,0,IF(COUNTIFS(AR$1:AR170,AR171)=1,0,1))</f>
        <v>0</v>
      </c>
      <c r="BA171" s="1"/>
      <c r="BB171" s="1"/>
    </row>
    <row r="172" spans="1:54">
      <c r="A172">
        <v>171</v>
      </c>
      <c r="B172" t="s">
        <v>129</v>
      </c>
      <c r="C172" t="s">
        <v>659</v>
      </c>
      <c r="D172" t="s">
        <v>135</v>
      </c>
      <c r="E172" t="s">
        <v>163</v>
      </c>
      <c r="F172" t="s">
        <v>53</v>
      </c>
      <c r="H172" t="s">
        <v>79</v>
      </c>
      <c r="J172" t="s">
        <v>49</v>
      </c>
      <c r="K172" t="s">
        <v>50</v>
      </c>
      <c r="L172" t="s">
        <v>762</v>
      </c>
      <c r="M172" t="s">
        <v>762</v>
      </c>
      <c r="N172">
        <v>3.19</v>
      </c>
      <c r="R172" t="s">
        <v>80</v>
      </c>
      <c r="S172" t="s">
        <v>81</v>
      </c>
      <c r="V172" t="s">
        <v>50</v>
      </c>
      <c r="W172" t="s">
        <v>64</v>
      </c>
      <c r="X172">
        <v>12587225.300000001</v>
      </c>
      <c r="Y172" t="s">
        <v>49</v>
      </c>
      <c r="Z172" t="s">
        <v>84</v>
      </c>
      <c r="AB172" t="s">
        <v>76</v>
      </c>
      <c r="AC172" t="s">
        <v>50</v>
      </c>
      <c r="AE172" t="s">
        <v>50</v>
      </c>
      <c r="AF172" t="s">
        <v>121</v>
      </c>
      <c r="AH172">
        <v>3</v>
      </c>
      <c r="AM172">
        <v>43465</v>
      </c>
      <c r="AN172">
        <v>43469.451388888891</v>
      </c>
      <c r="AO172" s="2">
        <f t="shared" si="19"/>
        <v>271</v>
      </c>
      <c r="AP172" s="2">
        <f t="shared" si="20"/>
        <v>365</v>
      </c>
      <c r="AQ172" s="3">
        <f t="shared" si="21"/>
        <v>0</v>
      </c>
      <c r="AR172" s="1" t="str">
        <f>INDEX(IOS!$B:$B,MATCH(D172,IOS!A:A,0))&amp;B172</f>
        <v>O.S.9</v>
      </c>
      <c r="AS172" s="1">
        <f t="shared" si="22"/>
        <v>1</v>
      </c>
      <c r="AT172" s="1">
        <f>IF(ISBLANK(W172),"",IF(ISERROR(MATCH(W172,HQLATABLE!$A:$A,0)),0,1))</f>
        <v>0</v>
      </c>
      <c r="AU172" s="1">
        <f t="shared" si="23"/>
        <v>0</v>
      </c>
      <c r="AV172" s="1" t="str">
        <f t="shared" si="24"/>
        <v>Blank</v>
      </c>
      <c r="AW172" s="1">
        <f t="shared" si="25"/>
        <v>-1</v>
      </c>
      <c r="AX172" s="1">
        <f t="shared" si="26"/>
        <v>0</v>
      </c>
      <c r="AY172" s="1"/>
      <c r="AZ172" s="1">
        <f>IF(COUNTIFS('PID CHECK'!$B:$B,AR172)=1,0,IF(COUNTIFS(AR$1:AR171,AR172)=1,0,1))</f>
        <v>0</v>
      </c>
      <c r="BA172" s="1"/>
      <c r="BB172" s="1"/>
    </row>
    <row r="173" spans="1:54">
      <c r="A173">
        <v>172</v>
      </c>
      <c r="B173" t="s">
        <v>129</v>
      </c>
      <c r="C173" t="s">
        <v>659</v>
      </c>
      <c r="D173" t="s">
        <v>135</v>
      </c>
      <c r="E173" t="s">
        <v>163</v>
      </c>
      <c r="F173" t="s">
        <v>50</v>
      </c>
      <c r="H173" t="s">
        <v>1030</v>
      </c>
      <c r="J173" t="s">
        <v>49</v>
      </c>
      <c r="K173" t="s">
        <v>50</v>
      </c>
      <c r="L173" t="s">
        <v>762</v>
      </c>
      <c r="M173" t="s">
        <v>762</v>
      </c>
      <c r="N173">
        <v>0.72</v>
      </c>
      <c r="R173" t="s">
        <v>1031</v>
      </c>
      <c r="S173" t="s">
        <v>1031</v>
      </c>
      <c r="V173" t="s">
        <v>50</v>
      </c>
      <c r="W173" t="s">
        <v>64</v>
      </c>
      <c r="X173">
        <v>770161.64</v>
      </c>
      <c r="Y173" t="s">
        <v>49</v>
      </c>
      <c r="Z173" t="s">
        <v>759</v>
      </c>
      <c r="AC173" t="s">
        <v>50</v>
      </c>
      <c r="AE173" t="s">
        <v>50</v>
      </c>
      <c r="AF173" t="s">
        <v>121</v>
      </c>
      <c r="AH173">
        <v>10</v>
      </c>
      <c r="AM173">
        <v>43465</v>
      </c>
      <c r="AN173">
        <v>43469.451388888891</v>
      </c>
      <c r="AO173" s="2">
        <f t="shared" si="19"/>
        <v>2</v>
      </c>
      <c r="AP173" s="2">
        <f t="shared" si="20"/>
        <v>2</v>
      </c>
      <c r="AQ173" s="3">
        <f t="shared" si="21"/>
        <v>1</v>
      </c>
      <c r="AR173" s="1" t="str">
        <f>INDEX(IOS!$B:$B,MATCH(D173,IOS!A:A,0))&amp;B173</f>
        <v>O.S.9</v>
      </c>
      <c r="AS173" s="1">
        <f t="shared" si="22"/>
        <v>0</v>
      </c>
      <c r="AT173" s="1">
        <f>IF(ISBLANK(W173),"",IF(ISERROR(MATCH(W173,HQLATABLE!$A:$A,0)),0,1))</f>
        <v>0</v>
      </c>
      <c r="AU173" s="1">
        <f t="shared" si="23"/>
        <v>0</v>
      </c>
      <c r="AV173" s="1" t="str">
        <f t="shared" si="24"/>
        <v>Blank</v>
      </c>
      <c r="AW173" s="1">
        <f t="shared" si="25"/>
        <v>-1</v>
      </c>
      <c r="AX173" s="1">
        <f t="shared" si="26"/>
        <v>0</v>
      </c>
      <c r="AY173" s="1"/>
      <c r="AZ173" s="1">
        <f>IF(COUNTIFS('PID CHECK'!$B:$B,AR173)=1,0,IF(COUNTIFS(AR$1:AR172,AR173)=1,0,1))</f>
        <v>0</v>
      </c>
      <c r="BA173" s="1"/>
      <c r="BB173" s="1"/>
    </row>
    <row r="174" spans="1:54">
      <c r="A174">
        <v>173</v>
      </c>
      <c r="B174" t="s">
        <v>129</v>
      </c>
      <c r="C174" t="s">
        <v>659</v>
      </c>
      <c r="D174" t="s">
        <v>135</v>
      </c>
      <c r="E174" t="s">
        <v>163</v>
      </c>
      <c r="F174" t="s">
        <v>50</v>
      </c>
      <c r="H174" t="s">
        <v>131</v>
      </c>
      <c r="J174" t="s">
        <v>49</v>
      </c>
      <c r="K174" t="s">
        <v>50</v>
      </c>
      <c r="L174" t="s">
        <v>762</v>
      </c>
      <c r="M174" t="s">
        <v>762</v>
      </c>
      <c r="N174">
        <v>136.41999999999999</v>
      </c>
      <c r="R174" t="s">
        <v>132</v>
      </c>
      <c r="S174" t="s">
        <v>133</v>
      </c>
      <c r="V174" t="s">
        <v>50</v>
      </c>
      <c r="W174" t="s">
        <v>64</v>
      </c>
      <c r="X174">
        <v>197791790.22999999</v>
      </c>
      <c r="Y174" t="s">
        <v>49</v>
      </c>
      <c r="Z174" t="s">
        <v>759</v>
      </c>
      <c r="AC174" t="s">
        <v>50</v>
      </c>
      <c r="AE174" t="s">
        <v>50</v>
      </c>
      <c r="AF174" t="s">
        <v>121</v>
      </c>
      <c r="AH174">
        <v>10</v>
      </c>
      <c r="AM174">
        <v>43465</v>
      </c>
      <c r="AN174">
        <v>43469.451388888891</v>
      </c>
      <c r="AO174" s="2">
        <f t="shared" si="19"/>
        <v>366</v>
      </c>
      <c r="AP174" s="2">
        <f t="shared" si="20"/>
        <v>730</v>
      </c>
      <c r="AQ174" s="3">
        <f t="shared" si="21"/>
        <v>0</v>
      </c>
      <c r="AR174" s="1" t="str">
        <f>INDEX(IOS!$B:$B,MATCH(D174,IOS!A:A,0))&amp;B174</f>
        <v>O.S.9</v>
      </c>
      <c r="AS174" s="1">
        <f t="shared" si="22"/>
        <v>0</v>
      </c>
      <c r="AT174" s="1">
        <f>IF(ISBLANK(W174),"",IF(ISERROR(MATCH(W174,HQLATABLE!$A:$A,0)),0,1))</f>
        <v>0</v>
      </c>
      <c r="AU174" s="1">
        <f t="shared" si="23"/>
        <v>0</v>
      </c>
      <c r="AV174" s="1" t="str">
        <f t="shared" si="24"/>
        <v>Blank</v>
      </c>
      <c r="AW174" s="1">
        <f t="shared" si="25"/>
        <v>-1</v>
      </c>
      <c r="AX174" s="1">
        <f t="shared" si="26"/>
        <v>0</v>
      </c>
      <c r="AY174" s="1"/>
      <c r="AZ174" s="1">
        <f>IF(COUNTIFS('PID CHECK'!$B:$B,AR174)=1,0,IF(COUNTIFS(AR$1:AR173,AR174)=1,0,1))</f>
        <v>0</v>
      </c>
      <c r="BA174" s="1"/>
      <c r="BB174" s="1"/>
    </row>
    <row r="175" spans="1:54">
      <c r="A175">
        <v>174</v>
      </c>
      <c r="B175" t="s">
        <v>129</v>
      </c>
      <c r="C175" t="s">
        <v>659</v>
      </c>
      <c r="D175" t="s">
        <v>135</v>
      </c>
      <c r="E175" t="s">
        <v>163</v>
      </c>
      <c r="F175" t="s">
        <v>53</v>
      </c>
      <c r="H175" t="s">
        <v>131</v>
      </c>
      <c r="J175" t="s">
        <v>49</v>
      </c>
      <c r="K175" t="s">
        <v>50</v>
      </c>
      <c r="L175" t="s">
        <v>762</v>
      </c>
      <c r="M175" t="s">
        <v>762</v>
      </c>
      <c r="N175">
        <v>28.66</v>
      </c>
      <c r="R175" t="s">
        <v>132</v>
      </c>
      <c r="S175" t="s">
        <v>133</v>
      </c>
      <c r="V175" t="s">
        <v>50</v>
      </c>
      <c r="W175" t="s">
        <v>64</v>
      </c>
      <c r="X175">
        <v>117776964.81999999</v>
      </c>
      <c r="Y175" t="s">
        <v>49</v>
      </c>
      <c r="Z175" t="s">
        <v>84</v>
      </c>
      <c r="AB175" t="s">
        <v>76</v>
      </c>
      <c r="AC175" t="s">
        <v>50</v>
      </c>
      <c r="AE175" t="s">
        <v>50</v>
      </c>
      <c r="AF175" t="s">
        <v>121</v>
      </c>
      <c r="AH175">
        <v>3</v>
      </c>
      <c r="AM175">
        <v>43465</v>
      </c>
      <c r="AN175">
        <v>43469.451388888891</v>
      </c>
      <c r="AO175" s="2">
        <f t="shared" si="19"/>
        <v>366</v>
      </c>
      <c r="AP175" s="2">
        <f t="shared" si="20"/>
        <v>730</v>
      </c>
      <c r="AQ175" s="3">
        <f t="shared" si="21"/>
        <v>0</v>
      </c>
      <c r="AR175" s="1" t="str">
        <f>INDEX(IOS!$B:$B,MATCH(D175,IOS!A:A,0))&amp;B175</f>
        <v>O.S.9</v>
      </c>
      <c r="AS175" s="1">
        <f t="shared" si="22"/>
        <v>1</v>
      </c>
      <c r="AT175" s="1">
        <f>IF(ISBLANK(W175),"",IF(ISERROR(MATCH(W175,HQLATABLE!$A:$A,0)),0,1))</f>
        <v>0</v>
      </c>
      <c r="AU175" s="1">
        <f t="shared" si="23"/>
        <v>0</v>
      </c>
      <c r="AV175" s="1" t="str">
        <f t="shared" si="24"/>
        <v>Blank</v>
      </c>
      <c r="AW175" s="1">
        <f t="shared" si="25"/>
        <v>-1</v>
      </c>
      <c r="AX175" s="1">
        <f t="shared" si="26"/>
        <v>0</v>
      </c>
      <c r="AY175" s="1"/>
      <c r="AZ175" s="1">
        <f>IF(COUNTIFS('PID CHECK'!$B:$B,AR175)=1,0,IF(COUNTIFS(AR$1:AR174,AR175)=1,0,1))</f>
        <v>0</v>
      </c>
      <c r="BA175" s="1"/>
      <c r="BB175" s="1"/>
    </row>
    <row r="176" spans="1:54">
      <c r="A176">
        <v>175</v>
      </c>
      <c r="B176" t="s">
        <v>129</v>
      </c>
      <c r="C176" t="s">
        <v>659</v>
      </c>
      <c r="D176" t="s">
        <v>135</v>
      </c>
      <c r="E176" t="s">
        <v>163</v>
      </c>
      <c r="F176" t="s">
        <v>50</v>
      </c>
      <c r="H176" t="s">
        <v>1005</v>
      </c>
      <c r="J176" t="s">
        <v>49</v>
      </c>
      <c r="K176" t="s">
        <v>50</v>
      </c>
      <c r="L176" t="s">
        <v>762</v>
      </c>
      <c r="M176" t="s">
        <v>762</v>
      </c>
      <c r="N176">
        <v>0.73</v>
      </c>
      <c r="R176" t="s">
        <v>1006</v>
      </c>
      <c r="S176" t="s">
        <v>1006</v>
      </c>
      <c r="V176" t="s">
        <v>50</v>
      </c>
      <c r="W176" t="s">
        <v>64</v>
      </c>
      <c r="X176">
        <v>811029.32</v>
      </c>
      <c r="Y176" t="s">
        <v>49</v>
      </c>
      <c r="Z176" t="s">
        <v>759</v>
      </c>
      <c r="AC176" t="s">
        <v>50</v>
      </c>
      <c r="AE176" t="s">
        <v>50</v>
      </c>
      <c r="AF176" t="s">
        <v>121</v>
      </c>
      <c r="AH176">
        <v>10</v>
      </c>
      <c r="AM176">
        <v>43465</v>
      </c>
      <c r="AN176">
        <v>43469.451388888891</v>
      </c>
      <c r="AO176" s="2">
        <f t="shared" si="19"/>
        <v>38</v>
      </c>
      <c r="AP176" s="2">
        <f t="shared" si="20"/>
        <v>38</v>
      </c>
      <c r="AQ176" s="3">
        <f t="shared" si="21"/>
        <v>0</v>
      </c>
      <c r="AR176" s="1" t="str">
        <f>INDEX(IOS!$B:$B,MATCH(D176,IOS!A:A,0))&amp;B176</f>
        <v>O.S.9</v>
      </c>
      <c r="AS176" s="1">
        <f t="shared" si="22"/>
        <v>0</v>
      </c>
      <c r="AT176" s="1">
        <f>IF(ISBLANK(W176),"",IF(ISERROR(MATCH(W176,HQLATABLE!$A:$A,0)),0,1))</f>
        <v>0</v>
      </c>
      <c r="AU176" s="1">
        <f t="shared" si="23"/>
        <v>0</v>
      </c>
      <c r="AV176" s="1" t="str">
        <f t="shared" si="24"/>
        <v>Blank</v>
      </c>
      <c r="AW176" s="1">
        <f t="shared" si="25"/>
        <v>-1</v>
      </c>
      <c r="AX176" s="1">
        <f t="shared" si="26"/>
        <v>0</v>
      </c>
      <c r="AY176" s="1"/>
      <c r="AZ176" s="1">
        <f>IF(COUNTIFS('PID CHECK'!$B:$B,AR176)=1,0,IF(COUNTIFS(AR$1:AR175,AR176)=1,0,1))</f>
        <v>0</v>
      </c>
      <c r="BA176" s="1"/>
      <c r="BB176" s="1"/>
    </row>
    <row r="177" spans="1:54">
      <c r="A177">
        <v>176</v>
      </c>
      <c r="B177" t="s">
        <v>129</v>
      </c>
      <c r="C177" t="s">
        <v>659</v>
      </c>
      <c r="D177" t="s">
        <v>135</v>
      </c>
      <c r="E177" t="s">
        <v>163</v>
      </c>
      <c r="F177" t="s">
        <v>50</v>
      </c>
      <c r="H177" t="s">
        <v>1052</v>
      </c>
      <c r="J177" t="s">
        <v>49</v>
      </c>
      <c r="K177" t="s">
        <v>50</v>
      </c>
      <c r="L177" t="s">
        <v>762</v>
      </c>
      <c r="M177" t="s">
        <v>762</v>
      </c>
      <c r="N177">
        <v>0.71</v>
      </c>
      <c r="R177" t="s">
        <v>1053</v>
      </c>
      <c r="S177" t="s">
        <v>1053</v>
      </c>
      <c r="V177" t="s">
        <v>50</v>
      </c>
      <c r="W177" t="s">
        <v>64</v>
      </c>
      <c r="X177">
        <v>828389.34</v>
      </c>
      <c r="Y177" t="s">
        <v>49</v>
      </c>
      <c r="Z177" t="s">
        <v>759</v>
      </c>
      <c r="AC177" t="s">
        <v>50</v>
      </c>
      <c r="AE177" t="s">
        <v>50</v>
      </c>
      <c r="AF177" t="s">
        <v>121</v>
      </c>
      <c r="AH177">
        <v>10</v>
      </c>
      <c r="AM177">
        <v>43465</v>
      </c>
      <c r="AN177">
        <v>43469.451388888891</v>
      </c>
      <c r="AO177" s="2">
        <f t="shared" si="19"/>
        <v>51</v>
      </c>
      <c r="AP177" s="2">
        <f t="shared" si="20"/>
        <v>51</v>
      </c>
      <c r="AQ177" s="3">
        <f t="shared" si="21"/>
        <v>0</v>
      </c>
      <c r="AR177" s="1" t="str">
        <f>INDEX(IOS!$B:$B,MATCH(D177,IOS!A:A,0))&amp;B177</f>
        <v>O.S.9</v>
      </c>
      <c r="AS177" s="1">
        <f t="shared" si="22"/>
        <v>0</v>
      </c>
      <c r="AT177" s="1">
        <f>IF(ISBLANK(W177),"",IF(ISERROR(MATCH(W177,HQLATABLE!$A:$A,0)),0,1))</f>
        <v>0</v>
      </c>
      <c r="AU177" s="1">
        <f t="shared" si="23"/>
        <v>0</v>
      </c>
      <c r="AV177" s="1" t="str">
        <f t="shared" si="24"/>
        <v>Blank</v>
      </c>
      <c r="AW177" s="1">
        <f t="shared" si="25"/>
        <v>-1</v>
      </c>
      <c r="AX177" s="1">
        <f t="shared" si="26"/>
        <v>0</v>
      </c>
      <c r="AY177" s="1"/>
      <c r="AZ177" s="1">
        <f>IF(COUNTIFS('PID CHECK'!$B:$B,AR177)=1,0,IF(COUNTIFS(AR$1:AR176,AR177)=1,0,1))</f>
        <v>0</v>
      </c>
      <c r="BA177" s="1"/>
      <c r="BB177" s="1"/>
    </row>
    <row r="178" spans="1:54">
      <c r="A178">
        <v>177</v>
      </c>
      <c r="B178" t="s">
        <v>129</v>
      </c>
      <c r="C178" t="s">
        <v>659</v>
      </c>
      <c r="D178" t="s">
        <v>135</v>
      </c>
      <c r="E178" t="s">
        <v>163</v>
      </c>
      <c r="F178" t="s">
        <v>53</v>
      </c>
      <c r="H178" t="s">
        <v>94</v>
      </c>
      <c r="J178" t="s">
        <v>49</v>
      </c>
      <c r="K178" t="s">
        <v>50</v>
      </c>
      <c r="L178" t="s">
        <v>762</v>
      </c>
      <c r="M178" t="s">
        <v>762</v>
      </c>
      <c r="N178">
        <v>1.65</v>
      </c>
      <c r="R178" t="s">
        <v>95</v>
      </c>
      <c r="S178" t="s">
        <v>96</v>
      </c>
      <c r="V178" t="s">
        <v>50</v>
      </c>
      <c r="W178" t="s">
        <v>64</v>
      </c>
      <c r="X178">
        <v>6149427.0700000003</v>
      </c>
      <c r="Y178" t="s">
        <v>49</v>
      </c>
      <c r="Z178" t="s">
        <v>84</v>
      </c>
      <c r="AB178" t="s">
        <v>76</v>
      </c>
      <c r="AC178" t="s">
        <v>50</v>
      </c>
      <c r="AE178" t="s">
        <v>50</v>
      </c>
      <c r="AF178" t="s">
        <v>121</v>
      </c>
      <c r="AH178">
        <v>3</v>
      </c>
      <c r="AM178">
        <v>43465</v>
      </c>
      <c r="AN178">
        <v>43469.451388888891</v>
      </c>
      <c r="AO178" s="2">
        <f t="shared" si="19"/>
        <v>61</v>
      </c>
      <c r="AP178" s="2">
        <f t="shared" si="20"/>
        <v>67</v>
      </c>
      <c r="AQ178" s="3">
        <f t="shared" si="21"/>
        <v>0</v>
      </c>
      <c r="AR178" s="1" t="str">
        <f>INDEX(IOS!$B:$B,MATCH(D178,IOS!A:A,0))&amp;B178</f>
        <v>O.S.9</v>
      </c>
      <c r="AS178" s="1">
        <f t="shared" si="22"/>
        <v>1</v>
      </c>
      <c r="AT178" s="1">
        <f>IF(ISBLANK(W178),"",IF(ISERROR(MATCH(W178,HQLATABLE!$A:$A,0)),0,1))</f>
        <v>0</v>
      </c>
      <c r="AU178" s="1">
        <f t="shared" si="23"/>
        <v>0</v>
      </c>
      <c r="AV178" s="1" t="str">
        <f t="shared" si="24"/>
        <v>Blank</v>
      </c>
      <c r="AW178" s="1">
        <f t="shared" si="25"/>
        <v>-1</v>
      </c>
      <c r="AX178" s="1">
        <f t="shared" si="26"/>
        <v>0</v>
      </c>
      <c r="AY178" s="1"/>
      <c r="AZ178" s="1">
        <f>IF(COUNTIFS('PID CHECK'!$B:$B,AR178)=1,0,IF(COUNTIFS(AR$1:AR177,AR178)=1,0,1))</f>
        <v>0</v>
      </c>
      <c r="BA178" s="1"/>
      <c r="BB178" s="1"/>
    </row>
    <row r="179" spans="1:54">
      <c r="A179">
        <v>178</v>
      </c>
      <c r="B179" t="s">
        <v>129</v>
      </c>
      <c r="C179" t="s">
        <v>659</v>
      </c>
      <c r="D179" t="s">
        <v>135</v>
      </c>
      <c r="E179" t="s">
        <v>163</v>
      </c>
      <c r="F179" t="s">
        <v>50</v>
      </c>
      <c r="H179" t="s">
        <v>97</v>
      </c>
      <c r="J179" t="s">
        <v>49</v>
      </c>
      <c r="K179" t="s">
        <v>50</v>
      </c>
      <c r="L179" t="s">
        <v>762</v>
      </c>
      <c r="M179" t="s">
        <v>762</v>
      </c>
      <c r="N179">
        <v>0.74</v>
      </c>
      <c r="R179" t="s">
        <v>98</v>
      </c>
      <c r="S179" t="s">
        <v>99</v>
      </c>
      <c r="V179" t="s">
        <v>50</v>
      </c>
      <c r="W179" t="s">
        <v>64</v>
      </c>
      <c r="X179">
        <v>794146.47</v>
      </c>
      <c r="Y179" t="s">
        <v>49</v>
      </c>
      <c r="Z179" t="s">
        <v>759</v>
      </c>
      <c r="AC179" t="s">
        <v>50</v>
      </c>
      <c r="AE179" t="s">
        <v>50</v>
      </c>
      <c r="AF179" t="s">
        <v>121</v>
      </c>
      <c r="AH179">
        <v>10</v>
      </c>
      <c r="AM179">
        <v>43465</v>
      </c>
      <c r="AN179">
        <v>43469.451388888891</v>
      </c>
      <c r="AO179" s="2">
        <f t="shared" si="19"/>
        <v>68</v>
      </c>
      <c r="AP179" s="2">
        <f t="shared" si="20"/>
        <v>74</v>
      </c>
      <c r="AQ179" s="3">
        <f t="shared" si="21"/>
        <v>0</v>
      </c>
      <c r="AR179" s="1" t="str">
        <f>INDEX(IOS!$B:$B,MATCH(D179,IOS!A:A,0))&amp;B179</f>
        <v>O.S.9</v>
      </c>
      <c r="AS179" s="1">
        <f t="shared" si="22"/>
        <v>0</v>
      </c>
      <c r="AT179" s="1">
        <f>IF(ISBLANK(W179),"",IF(ISERROR(MATCH(W179,HQLATABLE!$A:$A,0)),0,1))</f>
        <v>0</v>
      </c>
      <c r="AU179" s="1">
        <f t="shared" si="23"/>
        <v>0</v>
      </c>
      <c r="AV179" s="1" t="str">
        <f t="shared" si="24"/>
        <v>Blank</v>
      </c>
      <c r="AW179" s="1">
        <f t="shared" si="25"/>
        <v>-1</v>
      </c>
      <c r="AX179" s="1">
        <f t="shared" si="26"/>
        <v>0</v>
      </c>
      <c r="AY179" s="1"/>
      <c r="AZ179" s="1">
        <f>IF(COUNTIFS('PID CHECK'!$B:$B,AR179)=1,0,IF(COUNTIFS(AR$1:AR178,AR179)=1,0,1))</f>
        <v>0</v>
      </c>
      <c r="BA179" s="1"/>
      <c r="BB179" s="1"/>
    </row>
    <row r="180" spans="1:54">
      <c r="A180">
        <v>179</v>
      </c>
      <c r="B180" t="s">
        <v>129</v>
      </c>
      <c r="C180" t="s">
        <v>659</v>
      </c>
      <c r="D180" t="s">
        <v>135</v>
      </c>
      <c r="E180" t="s">
        <v>163</v>
      </c>
      <c r="F180" t="s">
        <v>50</v>
      </c>
      <c r="H180" t="s">
        <v>108</v>
      </c>
      <c r="J180" t="s">
        <v>49</v>
      </c>
      <c r="K180" t="s">
        <v>50</v>
      </c>
      <c r="L180" t="s">
        <v>762</v>
      </c>
      <c r="M180" t="s">
        <v>762</v>
      </c>
      <c r="N180">
        <v>2.13</v>
      </c>
      <c r="R180" t="s">
        <v>109</v>
      </c>
      <c r="S180" t="s">
        <v>110</v>
      </c>
      <c r="V180" t="s">
        <v>50</v>
      </c>
      <c r="W180" t="s">
        <v>64</v>
      </c>
      <c r="X180">
        <v>2400064.12</v>
      </c>
      <c r="Y180" t="s">
        <v>49</v>
      </c>
      <c r="Z180" t="s">
        <v>759</v>
      </c>
      <c r="AC180" t="s">
        <v>50</v>
      </c>
      <c r="AE180" t="s">
        <v>50</v>
      </c>
      <c r="AF180" t="s">
        <v>121</v>
      </c>
      <c r="AH180">
        <v>10</v>
      </c>
      <c r="AM180">
        <v>43465</v>
      </c>
      <c r="AN180">
        <v>43469.451388888891</v>
      </c>
      <c r="AO180" s="2">
        <f t="shared" si="19"/>
        <v>91</v>
      </c>
      <c r="AP180" s="2">
        <f t="shared" si="20"/>
        <v>120</v>
      </c>
      <c r="AQ180" s="3">
        <f t="shared" si="21"/>
        <v>0</v>
      </c>
      <c r="AR180" s="1" t="str">
        <f>INDEX(IOS!$B:$B,MATCH(D180,IOS!A:A,0))&amp;B180</f>
        <v>O.S.9</v>
      </c>
      <c r="AS180" s="1">
        <f t="shared" si="22"/>
        <v>0</v>
      </c>
      <c r="AT180" s="1">
        <f>IF(ISBLANK(W180),"",IF(ISERROR(MATCH(W180,HQLATABLE!$A:$A,0)),0,1))</f>
        <v>0</v>
      </c>
      <c r="AU180" s="1">
        <f t="shared" si="23"/>
        <v>0</v>
      </c>
      <c r="AV180" s="1" t="str">
        <f t="shared" si="24"/>
        <v>Blank</v>
      </c>
      <c r="AW180" s="1">
        <f t="shared" si="25"/>
        <v>-1</v>
      </c>
      <c r="AX180" s="1">
        <f t="shared" si="26"/>
        <v>0</v>
      </c>
      <c r="AY180" s="1"/>
      <c r="AZ180" s="1">
        <f>IF(COUNTIFS('PID CHECK'!$B:$B,AR180)=1,0,IF(COUNTIFS(AR$1:AR179,AR180)=1,0,1))</f>
        <v>0</v>
      </c>
      <c r="BA180" s="1"/>
      <c r="BB180" s="1"/>
    </row>
    <row r="181" spans="1:54">
      <c r="A181">
        <v>180</v>
      </c>
      <c r="B181" t="s">
        <v>129</v>
      </c>
      <c r="C181" t="s">
        <v>659</v>
      </c>
      <c r="D181" t="s">
        <v>135</v>
      </c>
      <c r="E181" t="s">
        <v>163</v>
      </c>
      <c r="F181" t="s">
        <v>53</v>
      </c>
      <c r="H181" t="s">
        <v>108</v>
      </c>
      <c r="J181" t="s">
        <v>49</v>
      </c>
      <c r="K181" t="s">
        <v>50</v>
      </c>
      <c r="L181" t="s">
        <v>762</v>
      </c>
      <c r="M181" t="s">
        <v>762</v>
      </c>
      <c r="N181">
        <v>1.53</v>
      </c>
      <c r="R181" t="s">
        <v>109</v>
      </c>
      <c r="S181" t="s">
        <v>110</v>
      </c>
      <c r="V181" t="s">
        <v>50</v>
      </c>
      <c r="W181" t="s">
        <v>64</v>
      </c>
      <c r="X181">
        <v>6187903.7999999998</v>
      </c>
      <c r="Y181" t="s">
        <v>49</v>
      </c>
      <c r="Z181" t="s">
        <v>84</v>
      </c>
      <c r="AB181" t="s">
        <v>76</v>
      </c>
      <c r="AC181" t="s">
        <v>50</v>
      </c>
      <c r="AE181" t="s">
        <v>50</v>
      </c>
      <c r="AF181" t="s">
        <v>121</v>
      </c>
      <c r="AH181">
        <v>3</v>
      </c>
      <c r="AM181">
        <v>43465</v>
      </c>
      <c r="AN181">
        <v>43469.451388888891</v>
      </c>
      <c r="AO181" s="2">
        <f t="shared" si="19"/>
        <v>91</v>
      </c>
      <c r="AP181" s="2">
        <f t="shared" si="20"/>
        <v>120</v>
      </c>
      <c r="AQ181" s="3">
        <f t="shared" si="21"/>
        <v>0</v>
      </c>
      <c r="AR181" s="1" t="str">
        <f>INDEX(IOS!$B:$B,MATCH(D181,IOS!A:A,0))&amp;B181</f>
        <v>O.S.9</v>
      </c>
      <c r="AS181" s="1">
        <f t="shared" si="22"/>
        <v>1</v>
      </c>
      <c r="AT181" s="1">
        <f>IF(ISBLANK(W181),"",IF(ISERROR(MATCH(W181,HQLATABLE!$A:$A,0)),0,1))</f>
        <v>0</v>
      </c>
      <c r="AU181" s="1">
        <f t="shared" si="23"/>
        <v>0</v>
      </c>
      <c r="AV181" s="1" t="str">
        <f t="shared" si="24"/>
        <v>Blank</v>
      </c>
      <c r="AW181" s="1">
        <f t="shared" si="25"/>
        <v>-1</v>
      </c>
      <c r="AX181" s="1">
        <f t="shared" si="26"/>
        <v>0</v>
      </c>
      <c r="AY181" s="1"/>
      <c r="AZ181" s="1">
        <f>IF(COUNTIFS('PID CHECK'!$B:$B,AR181)=1,0,IF(COUNTIFS(AR$1:AR180,AR181)=1,0,1))</f>
        <v>0</v>
      </c>
      <c r="BA181" s="1"/>
      <c r="BB181" s="1"/>
    </row>
    <row r="182" spans="1:54">
      <c r="A182">
        <v>181</v>
      </c>
      <c r="B182" t="s">
        <v>129</v>
      </c>
      <c r="C182" t="s">
        <v>659</v>
      </c>
      <c r="D182" t="s">
        <v>135</v>
      </c>
      <c r="E182" t="s">
        <v>163</v>
      </c>
      <c r="F182" t="s">
        <v>50</v>
      </c>
      <c r="H182" t="s">
        <v>1044</v>
      </c>
      <c r="J182" t="s">
        <v>49</v>
      </c>
      <c r="K182" t="s">
        <v>50</v>
      </c>
      <c r="L182" t="s">
        <v>762</v>
      </c>
      <c r="M182" t="s">
        <v>762</v>
      </c>
      <c r="N182">
        <v>0.72</v>
      </c>
      <c r="R182" t="s">
        <v>1045</v>
      </c>
      <c r="S182" t="s">
        <v>1045</v>
      </c>
      <c r="V182" t="s">
        <v>50</v>
      </c>
      <c r="W182" t="s">
        <v>64</v>
      </c>
      <c r="X182">
        <v>790043.73</v>
      </c>
      <c r="Y182" t="s">
        <v>49</v>
      </c>
      <c r="Z182" t="s">
        <v>759</v>
      </c>
      <c r="AC182" t="s">
        <v>50</v>
      </c>
      <c r="AE182" t="s">
        <v>50</v>
      </c>
      <c r="AF182" t="s">
        <v>121</v>
      </c>
      <c r="AH182">
        <v>10</v>
      </c>
      <c r="AM182">
        <v>43465</v>
      </c>
      <c r="AN182">
        <v>43469.451388888891</v>
      </c>
      <c r="AO182" s="2">
        <f t="shared" si="19"/>
        <v>9</v>
      </c>
      <c r="AP182" s="2">
        <f t="shared" si="20"/>
        <v>9</v>
      </c>
      <c r="AQ182" s="3">
        <f t="shared" si="21"/>
        <v>1</v>
      </c>
      <c r="AR182" s="1" t="str">
        <f>INDEX(IOS!$B:$B,MATCH(D182,IOS!A:A,0))&amp;B182</f>
        <v>O.S.9</v>
      </c>
      <c r="AS182" s="1">
        <f t="shared" si="22"/>
        <v>0</v>
      </c>
      <c r="AT182" s="1">
        <f>IF(ISBLANK(W182),"",IF(ISERROR(MATCH(W182,HQLATABLE!$A:$A,0)),0,1))</f>
        <v>0</v>
      </c>
      <c r="AU182" s="1">
        <f t="shared" si="23"/>
        <v>0</v>
      </c>
      <c r="AV182" s="1" t="str">
        <f t="shared" si="24"/>
        <v>Blank</v>
      </c>
      <c r="AW182" s="1">
        <f t="shared" si="25"/>
        <v>-1</v>
      </c>
      <c r="AX182" s="1">
        <f t="shared" si="26"/>
        <v>0</v>
      </c>
      <c r="AY182" s="1"/>
      <c r="AZ182" s="1">
        <f>IF(COUNTIFS('PID CHECK'!$B:$B,AR182)=1,0,IF(COUNTIFS(AR$1:AR181,AR182)=1,0,1))</f>
        <v>0</v>
      </c>
      <c r="BA182" s="1"/>
      <c r="BB182" s="1"/>
    </row>
    <row r="183" spans="1:54">
      <c r="A183">
        <v>182</v>
      </c>
      <c r="B183" t="s">
        <v>140</v>
      </c>
      <c r="C183" t="s">
        <v>141</v>
      </c>
      <c r="D183" t="s">
        <v>139</v>
      </c>
      <c r="E183" t="s">
        <v>163</v>
      </c>
      <c r="F183" t="s">
        <v>50</v>
      </c>
      <c r="H183" t="s">
        <v>1032</v>
      </c>
      <c r="J183" t="s">
        <v>49</v>
      </c>
      <c r="K183" t="s">
        <v>50</v>
      </c>
      <c r="L183" t="s">
        <v>762</v>
      </c>
      <c r="M183" t="s">
        <v>762</v>
      </c>
      <c r="N183">
        <v>0.95</v>
      </c>
      <c r="R183" t="s">
        <v>1033</v>
      </c>
      <c r="S183" t="s">
        <v>1033</v>
      </c>
      <c r="AE183" t="s">
        <v>50</v>
      </c>
      <c r="AM183">
        <v>43465</v>
      </c>
      <c r="AN183">
        <v>43469.451388888891</v>
      </c>
      <c r="AO183" s="2">
        <f t="shared" si="19"/>
        <v>16</v>
      </c>
      <c r="AP183" s="2">
        <f t="shared" si="20"/>
        <v>16</v>
      </c>
      <c r="AQ183" s="3">
        <f t="shared" si="21"/>
        <v>1</v>
      </c>
      <c r="AR183" s="1" t="str">
        <f>INDEX(IOS!$B:$B,MATCH(D183,IOS!A:A,0))&amp;B183</f>
        <v>O.W.19</v>
      </c>
      <c r="AS183" s="1">
        <f t="shared" si="22"/>
        <v>0</v>
      </c>
      <c r="AT183" s="1" t="str">
        <f>IF(ISBLANK(W183),"",IF(ISERROR(MATCH(W183,HQLATABLE!$A:$A,0)),0,1))</f>
        <v/>
      </c>
      <c r="AU183" s="1" t="str">
        <f t="shared" si="23"/>
        <v>Blank</v>
      </c>
      <c r="AV183" s="1" t="str">
        <f t="shared" si="24"/>
        <v>Blank</v>
      </c>
      <c r="AW183" s="1">
        <f t="shared" si="25"/>
        <v>0</v>
      </c>
      <c r="AX183" s="1" t="str">
        <f t="shared" si="26"/>
        <v>Blank</v>
      </c>
      <c r="AY183" s="1"/>
      <c r="AZ183" s="1">
        <f>IF(COUNTIFS('PID CHECK'!$B:$B,AR183)=1,0,IF(COUNTIFS(AR$1:AR182,AR183)=1,0,1))</f>
        <v>0</v>
      </c>
      <c r="BA183" s="1"/>
      <c r="BB183" s="1"/>
    </row>
    <row r="184" spans="1:54">
      <c r="A184">
        <v>183</v>
      </c>
      <c r="B184" t="s">
        <v>140</v>
      </c>
      <c r="C184" t="s">
        <v>141</v>
      </c>
      <c r="D184" t="s">
        <v>139</v>
      </c>
      <c r="E184" t="s">
        <v>163</v>
      </c>
      <c r="F184" t="s">
        <v>50</v>
      </c>
      <c r="H184" t="s">
        <v>87</v>
      </c>
      <c r="J184" t="s">
        <v>49</v>
      </c>
      <c r="K184" t="s">
        <v>50</v>
      </c>
      <c r="L184" t="s">
        <v>762</v>
      </c>
      <c r="M184" t="s">
        <v>762</v>
      </c>
      <c r="N184">
        <v>0.93</v>
      </c>
      <c r="R184" t="s">
        <v>88</v>
      </c>
      <c r="S184" t="s">
        <v>89</v>
      </c>
      <c r="AE184" t="s">
        <v>50</v>
      </c>
      <c r="AM184">
        <v>43465</v>
      </c>
      <c r="AN184">
        <v>43469.451388888891</v>
      </c>
      <c r="AO184" s="2">
        <f t="shared" si="19"/>
        <v>181</v>
      </c>
      <c r="AP184" s="2">
        <f t="shared" si="20"/>
        <v>270</v>
      </c>
      <c r="AQ184" s="3">
        <f t="shared" si="21"/>
        <v>0</v>
      </c>
      <c r="AR184" s="1" t="str">
        <f>INDEX(IOS!$B:$B,MATCH(D184,IOS!A:A,0))&amp;B184</f>
        <v>O.W.19</v>
      </c>
      <c r="AS184" s="1">
        <f t="shared" si="22"/>
        <v>0</v>
      </c>
      <c r="AT184" s="1" t="str">
        <f>IF(ISBLANK(W184),"",IF(ISERROR(MATCH(W184,HQLATABLE!$A:$A,0)),0,1))</f>
        <v/>
      </c>
      <c r="AU184" s="1" t="str">
        <f t="shared" si="23"/>
        <v>Blank</v>
      </c>
      <c r="AV184" s="1" t="str">
        <f t="shared" si="24"/>
        <v>Blank</v>
      </c>
      <c r="AW184" s="1">
        <f t="shared" si="25"/>
        <v>0</v>
      </c>
      <c r="AX184" s="1" t="str">
        <f t="shared" si="26"/>
        <v>Blank</v>
      </c>
      <c r="AY184" s="1"/>
      <c r="AZ184" s="1">
        <f>IF(COUNTIFS('PID CHECK'!$B:$B,AR184)=1,0,IF(COUNTIFS(AR$1:AR183,AR184)=1,0,1))</f>
        <v>0</v>
      </c>
      <c r="BA184" s="1"/>
      <c r="BB184" s="1"/>
    </row>
    <row r="185" spans="1:54">
      <c r="A185">
        <v>184</v>
      </c>
      <c r="B185" t="s">
        <v>140</v>
      </c>
      <c r="C185" t="s">
        <v>141</v>
      </c>
      <c r="D185" t="s">
        <v>139</v>
      </c>
      <c r="E185" t="s">
        <v>163</v>
      </c>
      <c r="F185" t="s">
        <v>50</v>
      </c>
      <c r="H185" t="s">
        <v>79</v>
      </c>
      <c r="J185" t="s">
        <v>49</v>
      </c>
      <c r="K185" t="s">
        <v>50</v>
      </c>
      <c r="L185" t="s">
        <v>762</v>
      </c>
      <c r="M185" t="s">
        <v>762</v>
      </c>
      <c r="N185">
        <v>0.95</v>
      </c>
      <c r="R185" t="s">
        <v>80</v>
      </c>
      <c r="S185" t="s">
        <v>81</v>
      </c>
      <c r="AE185" t="s">
        <v>50</v>
      </c>
      <c r="AM185">
        <v>43465</v>
      </c>
      <c r="AN185">
        <v>43469.451388888891</v>
      </c>
      <c r="AO185" s="2">
        <f t="shared" si="19"/>
        <v>271</v>
      </c>
      <c r="AP185" s="2">
        <f t="shared" si="20"/>
        <v>365</v>
      </c>
      <c r="AQ185" s="3">
        <f t="shared" si="21"/>
        <v>0</v>
      </c>
      <c r="AR185" s="1" t="str">
        <f>INDEX(IOS!$B:$B,MATCH(D185,IOS!A:A,0))&amp;B185</f>
        <v>O.W.19</v>
      </c>
      <c r="AS185" s="1">
        <f t="shared" si="22"/>
        <v>0</v>
      </c>
      <c r="AT185" s="1" t="str">
        <f>IF(ISBLANK(W185),"",IF(ISERROR(MATCH(W185,HQLATABLE!$A:$A,0)),0,1))</f>
        <v/>
      </c>
      <c r="AU185" s="1" t="str">
        <f t="shared" si="23"/>
        <v>Blank</v>
      </c>
      <c r="AV185" s="1" t="str">
        <f t="shared" si="24"/>
        <v>Blank</v>
      </c>
      <c r="AW185" s="1">
        <f t="shared" si="25"/>
        <v>0</v>
      </c>
      <c r="AX185" s="1" t="str">
        <f t="shared" si="26"/>
        <v>Blank</v>
      </c>
      <c r="AY185" s="1"/>
      <c r="AZ185" s="1">
        <f>IF(COUNTIFS('PID CHECK'!$B:$B,AR185)=1,0,IF(COUNTIFS(AR$1:AR184,AR185)=1,0,1))</f>
        <v>0</v>
      </c>
      <c r="BA185" s="1"/>
      <c r="BB185" s="1"/>
    </row>
    <row r="186" spans="1:54">
      <c r="A186">
        <v>185</v>
      </c>
      <c r="B186" t="s">
        <v>140</v>
      </c>
      <c r="C186" t="s">
        <v>141</v>
      </c>
      <c r="D186" t="s">
        <v>139</v>
      </c>
      <c r="E186" t="s">
        <v>163</v>
      </c>
      <c r="F186" t="s">
        <v>50</v>
      </c>
      <c r="H186" t="s">
        <v>131</v>
      </c>
      <c r="J186" t="s">
        <v>49</v>
      </c>
      <c r="K186" t="s">
        <v>50</v>
      </c>
      <c r="L186" t="s">
        <v>762</v>
      </c>
      <c r="M186" t="s">
        <v>762</v>
      </c>
      <c r="N186">
        <v>109.35</v>
      </c>
      <c r="R186" t="s">
        <v>132</v>
      </c>
      <c r="S186" t="s">
        <v>133</v>
      </c>
      <c r="AE186" t="s">
        <v>50</v>
      </c>
      <c r="AM186">
        <v>43465</v>
      </c>
      <c r="AN186">
        <v>43469.451388888891</v>
      </c>
      <c r="AO186" s="2">
        <f t="shared" si="19"/>
        <v>366</v>
      </c>
      <c r="AP186" s="2">
        <f t="shared" si="20"/>
        <v>730</v>
      </c>
      <c r="AQ186" s="3">
        <f t="shared" si="21"/>
        <v>0</v>
      </c>
      <c r="AR186" s="1" t="str">
        <f>INDEX(IOS!$B:$B,MATCH(D186,IOS!A:A,0))&amp;B186</f>
        <v>O.W.19</v>
      </c>
      <c r="AS186" s="1">
        <f t="shared" si="22"/>
        <v>0</v>
      </c>
      <c r="AT186" s="1" t="str">
        <f>IF(ISBLANK(W186),"",IF(ISERROR(MATCH(W186,HQLATABLE!$A:$A,0)),0,1))</f>
        <v/>
      </c>
      <c r="AU186" s="1" t="str">
        <f t="shared" si="23"/>
        <v>Blank</v>
      </c>
      <c r="AV186" s="1" t="str">
        <f t="shared" si="24"/>
        <v>Blank</v>
      </c>
      <c r="AW186" s="1">
        <f t="shared" si="25"/>
        <v>0</v>
      </c>
      <c r="AX186" s="1" t="str">
        <f t="shared" si="26"/>
        <v>Blank</v>
      </c>
      <c r="AY186" s="1"/>
      <c r="AZ186" s="1">
        <f>IF(COUNTIFS('PID CHECK'!$B:$B,AR186)=1,0,IF(COUNTIFS(AR$1:AR185,AR186)=1,0,1))</f>
        <v>0</v>
      </c>
      <c r="BA186" s="1"/>
      <c r="BB186" s="1"/>
    </row>
    <row r="187" spans="1:54">
      <c r="A187">
        <v>186</v>
      </c>
      <c r="B187" t="s">
        <v>140</v>
      </c>
      <c r="C187" t="s">
        <v>141</v>
      </c>
      <c r="D187" t="s">
        <v>139</v>
      </c>
      <c r="E187" t="s">
        <v>163</v>
      </c>
      <c r="F187" t="s">
        <v>50</v>
      </c>
      <c r="H187" t="s">
        <v>108</v>
      </c>
      <c r="J187" t="s">
        <v>49</v>
      </c>
      <c r="K187" t="s">
        <v>50</v>
      </c>
      <c r="L187" t="s">
        <v>762</v>
      </c>
      <c r="M187" t="s">
        <v>762</v>
      </c>
      <c r="N187">
        <v>0.92</v>
      </c>
      <c r="R187" t="s">
        <v>109</v>
      </c>
      <c r="S187" t="s">
        <v>110</v>
      </c>
      <c r="AE187" t="s">
        <v>50</v>
      </c>
      <c r="AM187">
        <v>43465</v>
      </c>
      <c r="AN187">
        <v>43469.451388888891</v>
      </c>
      <c r="AO187" s="2">
        <f t="shared" si="19"/>
        <v>91</v>
      </c>
      <c r="AP187" s="2">
        <f t="shared" si="20"/>
        <v>120</v>
      </c>
      <c r="AQ187" s="3">
        <f t="shared" si="21"/>
        <v>0</v>
      </c>
      <c r="AR187" s="1" t="str">
        <f>INDEX(IOS!$B:$B,MATCH(D187,IOS!A:A,0))&amp;B187</f>
        <v>O.W.19</v>
      </c>
      <c r="AS187" s="1">
        <f t="shared" si="22"/>
        <v>0</v>
      </c>
      <c r="AT187" s="1" t="str">
        <f>IF(ISBLANK(W187),"",IF(ISERROR(MATCH(W187,HQLATABLE!$A:$A,0)),0,1))</f>
        <v/>
      </c>
      <c r="AU187" s="1" t="str">
        <f t="shared" si="23"/>
        <v>Blank</v>
      </c>
      <c r="AV187" s="1" t="str">
        <f t="shared" si="24"/>
        <v>Blank</v>
      </c>
      <c r="AW187" s="1">
        <f t="shared" si="25"/>
        <v>0</v>
      </c>
      <c r="AX187" s="1" t="str">
        <f t="shared" si="26"/>
        <v>Blank</v>
      </c>
      <c r="AY187" s="1"/>
      <c r="AZ187" s="1">
        <f>IF(COUNTIFS('PID CHECK'!$B:$B,AR187)=1,0,IF(COUNTIFS(AR$1:AR186,AR187)=1,0,1))</f>
        <v>0</v>
      </c>
      <c r="BA187" s="1"/>
      <c r="BB187" s="1"/>
    </row>
    <row r="188" spans="1:54">
      <c r="A188">
        <v>187</v>
      </c>
      <c r="B188" t="s">
        <v>142</v>
      </c>
      <c r="C188" t="s">
        <v>143</v>
      </c>
      <c r="D188" t="s">
        <v>139</v>
      </c>
      <c r="E188" t="s">
        <v>47</v>
      </c>
      <c r="F188" t="s">
        <v>53</v>
      </c>
      <c r="H188" t="s">
        <v>73</v>
      </c>
      <c r="J188" t="s">
        <v>49</v>
      </c>
      <c r="K188" t="s">
        <v>50</v>
      </c>
      <c r="L188" t="s">
        <v>762</v>
      </c>
      <c r="M188" t="s">
        <v>762</v>
      </c>
      <c r="N188">
        <v>2387</v>
      </c>
      <c r="R188" t="s">
        <v>74</v>
      </c>
      <c r="S188" t="s">
        <v>75</v>
      </c>
      <c r="Z188" t="s">
        <v>759</v>
      </c>
      <c r="AB188" t="s">
        <v>78</v>
      </c>
      <c r="AE188" t="s">
        <v>50</v>
      </c>
      <c r="AH188">
        <v>10</v>
      </c>
      <c r="AM188">
        <v>43465</v>
      </c>
      <c r="AN188">
        <v>43469.451388888891</v>
      </c>
      <c r="AO188" s="2">
        <f t="shared" si="19"/>
        <v>151</v>
      </c>
      <c r="AP188" s="2">
        <f t="shared" si="20"/>
        <v>180</v>
      </c>
      <c r="AQ188" s="3">
        <f t="shared" si="21"/>
        <v>0</v>
      </c>
      <c r="AR188" s="1" t="str">
        <f>INDEX(IOS!$B:$B,MATCH(D188,IOS!A:A,0))&amp;B188</f>
        <v>O.W.10</v>
      </c>
      <c r="AS188" s="1">
        <f t="shared" si="22"/>
        <v>1</v>
      </c>
      <c r="AT188" s="1" t="str">
        <f>IF(ISBLANK(W188),"",IF(ISERROR(MATCH(W188,HQLATABLE!$A:$A,0)),0,1))</f>
        <v/>
      </c>
      <c r="AU188" s="1" t="str">
        <f t="shared" si="23"/>
        <v>Blank</v>
      </c>
      <c r="AV188" s="1" t="str">
        <f t="shared" si="24"/>
        <v>Blank</v>
      </c>
      <c r="AW188" s="1">
        <f t="shared" si="25"/>
        <v>0</v>
      </c>
      <c r="AX188" s="1" t="str">
        <f t="shared" si="26"/>
        <v>Blank</v>
      </c>
      <c r="AY188" s="1"/>
      <c r="AZ188" s="1">
        <f>IF(COUNTIFS('PID CHECK'!$B:$B,AR188)=1,0,IF(COUNTIFS(AR$1:AR187,AR188)=1,0,1))</f>
        <v>0</v>
      </c>
      <c r="BA188" s="1"/>
      <c r="BB188" s="1"/>
    </row>
    <row r="189" spans="1:54">
      <c r="A189">
        <v>188</v>
      </c>
      <c r="B189" t="s">
        <v>142</v>
      </c>
      <c r="C189" t="s">
        <v>143</v>
      </c>
      <c r="D189" t="s">
        <v>139</v>
      </c>
      <c r="E189" t="s">
        <v>47</v>
      </c>
      <c r="F189" t="s">
        <v>53</v>
      </c>
      <c r="H189" t="s">
        <v>87</v>
      </c>
      <c r="J189" t="s">
        <v>49</v>
      </c>
      <c r="K189" t="s">
        <v>50</v>
      </c>
      <c r="L189" t="s">
        <v>762</v>
      </c>
      <c r="M189" t="s">
        <v>762</v>
      </c>
      <c r="N189">
        <v>1200</v>
      </c>
      <c r="R189" t="s">
        <v>88</v>
      </c>
      <c r="S189" t="s">
        <v>89</v>
      </c>
      <c r="Z189" t="s">
        <v>759</v>
      </c>
      <c r="AB189" t="s">
        <v>78</v>
      </c>
      <c r="AE189" t="s">
        <v>50</v>
      </c>
      <c r="AH189">
        <v>10</v>
      </c>
      <c r="AM189">
        <v>43465</v>
      </c>
      <c r="AN189">
        <v>43469.451388888891</v>
      </c>
      <c r="AO189" s="2">
        <f t="shared" si="19"/>
        <v>181</v>
      </c>
      <c r="AP189" s="2">
        <f t="shared" si="20"/>
        <v>270</v>
      </c>
      <c r="AQ189" s="3">
        <f t="shared" si="21"/>
        <v>0</v>
      </c>
      <c r="AR189" s="1" t="str">
        <f>INDEX(IOS!$B:$B,MATCH(D189,IOS!A:A,0))&amp;B189</f>
        <v>O.W.10</v>
      </c>
      <c r="AS189" s="1">
        <f t="shared" si="22"/>
        <v>1</v>
      </c>
      <c r="AT189" s="1" t="str">
        <f>IF(ISBLANK(W189),"",IF(ISERROR(MATCH(W189,HQLATABLE!$A:$A,0)),0,1))</f>
        <v/>
      </c>
      <c r="AU189" s="1" t="str">
        <f t="shared" si="23"/>
        <v>Blank</v>
      </c>
      <c r="AV189" s="1" t="str">
        <f t="shared" si="24"/>
        <v>Blank</v>
      </c>
      <c r="AW189" s="1">
        <f t="shared" si="25"/>
        <v>0</v>
      </c>
      <c r="AX189" s="1" t="str">
        <f t="shared" si="26"/>
        <v>Blank</v>
      </c>
      <c r="AY189" s="1"/>
      <c r="AZ189" s="1">
        <f>IF(COUNTIFS('PID CHECK'!$B:$B,AR189)=1,0,IF(COUNTIFS(AR$1:AR188,AR189)=1,0,1))</f>
        <v>0</v>
      </c>
      <c r="BA189" s="1"/>
      <c r="BB189" s="1"/>
    </row>
    <row r="190" spans="1:54">
      <c r="A190">
        <v>189</v>
      </c>
      <c r="B190" t="s">
        <v>142</v>
      </c>
      <c r="C190" t="s">
        <v>143</v>
      </c>
      <c r="D190" t="s">
        <v>139</v>
      </c>
      <c r="E190" t="s">
        <v>47</v>
      </c>
      <c r="F190" t="s">
        <v>53</v>
      </c>
      <c r="H190" t="s">
        <v>79</v>
      </c>
      <c r="J190" t="s">
        <v>49</v>
      </c>
      <c r="K190" t="s">
        <v>50</v>
      </c>
      <c r="L190" t="s">
        <v>762</v>
      </c>
      <c r="M190" t="s">
        <v>762</v>
      </c>
      <c r="N190">
        <v>5</v>
      </c>
      <c r="R190" t="s">
        <v>80</v>
      </c>
      <c r="S190" t="s">
        <v>81</v>
      </c>
      <c r="Z190" t="s">
        <v>759</v>
      </c>
      <c r="AB190" t="s">
        <v>76</v>
      </c>
      <c r="AE190" t="s">
        <v>50</v>
      </c>
      <c r="AH190">
        <v>10</v>
      </c>
      <c r="AM190">
        <v>43465</v>
      </c>
      <c r="AN190">
        <v>43469.451388888891</v>
      </c>
      <c r="AO190" s="2">
        <f t="shared" si="19"/>
        <v>271</v>
      </c>
      <c r="AP190" s="2">
        <f t="shared" si="20"/>
        <v>365</v>
      </c>
      <c r="AQ190" s="3">
        <f t="shared" si="21"/>
        <v>0</v>
      </c>
      <c r="AR190" s="1" t="str">
        <f>INDEX(IOS!$B:$B,MATCH(D190,IOS!A:A,0))&amp;B190</f>
        <v>O.W.10</v>
      </c>
      <c r="AS190" s="1">
        <f t="shared" si="22"/>
        <v>1</v>
      </c>
      <c r="AT190" s="1" t="str">
        <f>IF(ISBLANK(W190),"",IF(ISERROR(MATCH(W190,HQLATABLE!$A:$A,0)),0,1))</f>
        <v/>
      </c>
      <c r="AU190" s="1" t="str">
        <f t="shared" si="23"/>
        <v>Blank</v>
      </c>
      <c r="AV190" s="1" t="str">
        <f t="shared" si="24"/>
        <v>Blank</v>
      </c>
      <c r="AW190" s="1">
        <f t="shared" si="25"/>
        <v>0</v>
      </c>
      <c r="AX190" s="1" t="str">
        <f t="shared" si="26"/>
        <v>Blank</v>
      </c>
      <c r="AY190" s="1"/>
      <c r="AZ190" s="1">
        <f>IF(COUNTIFS('PID CHECK'!$B:$B,AR190)=1,0,IF(COUNTIFS(AR$1:AR189,AR190)=1,0,1))</f>
        <v>0</v>
      </c>
      <c r="BA190" s="1"/>
      <c r="BB190" s="1"/>
    </row>
    <row r="191" spans="1:54">
      <c r="A191">
        <v>190</v>
      </c>
      <c r="B191" t="s">
        <v>142</v>
      </c>
      <c r="C191" t="s">
        <v>143</v>
      </c>
      <c r="D191" t="s">
        <v>139</v>
      </c>
      <c r="E191" t="s">
        <v>47</v>
      </c>
      <c r="F191" t="s">
        <v>53</v>
      </c>
      <c r="H191" t="s">
        <v>1030</v>
      </c>
      <c r="J191" t="s">
        <v>49</v>
      </c>
      <c r="K191" t="s">
        <v>50</v>
      </c>
      <c r="L191" t="s">
        <v>762</v>
      </c>
      <c r="M191" t="s">
        <v>762</v>
      </c>
      <c r="N191">
        <v>14240</v>
      </c>
      <c r="R191" t="s">
        <v>1031</v>
      </c>
      <c r="S191" t="s">
        <v>1031</v>
      </c>
      <c r="Z191" t="s">
        <v>759</v>
      </c>
      <c r="AB191" t="s">
        <v>78</v>
      </c>
      <c r="AE191" t="s">
        <v>50</v>
      </c>
      <c r="AH191">
        <v>10</v>
      </c>
      <c r="AM191">
        <v>43465</v>
      </c>
      <c r="AN191">
        <v>43469.451388888891</v>
      </c>
      <c r="AO191" s="2">
        <f t="shared" si="19"/>
        <v>2</v>
      </c>
      <c r="AP191" s="2">
        <f t="shared" si="20"/>
        <v>2</v>
      </c>
      <c r="AQ191" s="3">
        <f t="shared" si="21"/>
        <v>1</v>
      </c>
      <c r="AR191" s="1" t="str">
        <f>INDEX(IOS!$B:$B,MATCH(D191,IOS!A:A,0))&amp;B191</f>
        <v>O.W.10</v>
      </c>
      <c r="AS191" s="1">
        <f t="shared" si="22"/>
        <v>1</v>
      </c>
      <c r="AT191" s="1" t="str">
        <f>IF(ISBLANK(W191),"",IF(ISERROR(MATCH(W191,HQLATABLE!$A:$A,0)),0,1))</f>
        <v/>
      </c>
      <c r="AU191" s="1" t="str">
        <f t="shared" si="23"/>
        <v>Blank</v>
      </c>
      <c r="AV191" s="1" t="str">
        <f t="shared" si="24"/>
        <v>Blank</v>
      </c>
      <c r="AW191" s="1">
        <f t="shared" si="25"/>
        <v>0</v>
      </c>
      <c r="AX191" s="1" t="str">
        <f t="shared" si="26"/>
        <v>Blank</v>
      </c>
      <c r="AY191" s="1"/>
      <c r="AZ191" s="1">
        <f>IF(COUNTIFS('PID CHECK'!$B:$B,AR191)=1,0,IF(COUNTIFS(AR$1:AR190,AR191)=1,0,1))</f>
        <v>0</v>
      </c>
      <c r="BA191" s="1"/>
      <c r="BB191" s="1"/>
    </row>
    <row r="192" spans="1:54">
      <c r="A192">
        <v>191</v>
      </c>
      <c r="B192" t="s">
        <v>142</v>
      </c>
      <c r="C192" t="s">
        <v>143</v>
      </c>
      <c r="D192" t="s">
        <v>139</v>
      </c>
      <c r="E192" t="s">
        <v>47</v>
      </c>
      <c r="F192" t="s">
        <v>53</v>
      </c>
      <c r="H192" t="s">
        <v>131</v>
      </c>
      <c r="J192" t="s">
        <v>49</v>
      </c>
      <c r="K192" t="s">
        <v>50</v>
      </c>
      <c r="L192" t="s">
        <v>762</v>
      </c>
      <c r="M192" t="s">
        <v>762</v>
      </c>
      <c r="N192">
        <v>2000</v>
      </c>
      <c r="R192" t="s">
        <v>132</v>
      </c>
      <c r="S192" t="s">
        <v>133</v>
      </c>
      <c r="Z192" t="s">
        <v>759</v>
      </c>
      <c r="AB192" t="s">
        <v>78</v>
      </c>
      <c r="AE192" t="s">
        <v>50</v>
      </c>
      <c r="AH192">
        <v>10</v>
      </c>
      <c r="AM192">
        <v>43465</v>
      </c>
      <c r="AN192">
        <v>43469.451388888891</v>
      </c>
      <c r="AO192" s="2">
        <f t="shared" si="19"/>
        <v>366</v>
      </c>
      <c r="AP192" s="2">
        <f t="shared" si="20"/>
        <v>730</v>
      </c>
      <c r="AQ192" s="3">
        <f t="shared" si="21"/>
        <v>0</v>
      </c>
      <c r="AR192" s="1" t="str">
        <f>INDEX(IOS!$B:$B,MATCH(D192,IOS!A:A,0))&amp;B192</f>
        <v>O.W.10</v>
      </c>
      <c r="AS192" s="1">
        <f t="shared" si="22"/>
        <v>1</v>
      </c>
      <c r="AT192" s="1" t="str">
        <f>IF(ISBLANK(W192),"",IF(ISERROR(MATCH(W192,HQLATABLE!$A:$A,0)),0,1))</f>
        <v/>
      </c>
      <c r="AU192" s="1" t="str">
        <f t="shared" si="23"/>
        <v>Blank</v>
      </c>
      <c r="AV192" s="1" t="str">
        <f t="shared" si="24"/>
        <v>Blank</v>
      </c>
      <c r="AW192" s="1">
        <f t="shared" si="25"/>
        <v>0</v>
      </c>
      <c r="AX192" s="1" t="str">
        <f t="shared" si="26"/>
        <v>Blank</v>
      </c>
      <c r="AY192" s="1"/>
      <c r="AZ192" s="1">
        <f>IF(COUNTIFS('PID CHECK'!$B:$B,AR192)=1,0,IF(COUNTIFS(AR$1:AR191,AR192)=1,0,1))</f>
        <v>0</v>
      </c>
      <c r="BA192" s="1"/>
      <c r="BB192" s="1"/>
    </row>
    <row r="193" spans="1:54">
      <c r="A193">
        <v>192</v>
      </c>
      <c r="B193" t="s">
        <v>142</v>
      </c>
      <c r="C193" t="s">
        <v>143</v>
      </c>
      <c r="D193" t="s">
        <v>139</v>
      </c>
      <c r="E193" t="s">
        <v>47</v>
      </c>
      <c r="F193" t="s">
        <v>53</v>
      </c>
      <c r="H193" t="s">
        <v>100</v>
      </c>
      <c r="J193" t="s">
        <v>49</v>
      </c>
      <c r="K193" t="s">
        <v>50</v>
      </c>
      <c r="L193" t="s">
        <v>762</v>
      </c>
      <c r="M193" t="s">
        <v>762</v>
      </c>
      <c r="N193">
        <v>5</v>
      </c>
      <c r="R193" t="s">
        <v>101</v>
      </c>
      <c r="S193" t="s">
        <v>102</v>
      </c>
      <c r="Z193" t="s">
        <v>759</v>
      </c>
      <c r="AB193" t="s">
        <v>76</v>
      </c>
      <c r="AE193" t="s">
        <v>50</v>
      </c>
      <c r="AH193">
        <v>10</v>
      </c>
      <c r="AM193">
        <v>43465</v>
      </c>
      <c r="AN193">
        <v>43469.451388888891</v>
      </c>
      <c r="AO193" s="2">
        <f t="shared" si="19"/>
        <v>75</v>
      </c>
      <c r="AP193" s="2">
        <f t="shared" si="20"/>
        <v>82</v>
      </c>
      <c r="AQ193" s="3">
        <f t="shared" si="21"/>
        <v>0</v>
      </c>
      <c r="AR193" s="1" t="str">
        <f>INDEX(IOS!$B:$B,MATCH(D193,IOS!A:A,0))&amp;B193</f>
        <v>O.W.10</v>
      </c>
      <c r="AS193" s="1">
        <f t="shared" si="22"/>
        <v>1</v>
      </c>
      <c r="AT193" s="1" t="str">
        <f>IF(ISBLANK(W193),"",IF(ISERROR(MATCH(W193,HQLATABLE!$A:$A,0)),0,1))</f>
        <v/>
      </c>
      <c r="AU193" s="1" t="str">
        <f t="shared" si="23"/>
        <v>Blank</v>
      </c>
      <c r="AV193" s="1" t="str">
        <f t="shared" si="24"/>
        <v>Blank</v>
      </c>
      <c r="AW193" s="1">
        <f t="shared" si="25"/>
        <v>0</v>
      </c>
      <c r="AX193" s="1" t="str">
        <f t="shared" si="26"/>
        <v>Blank</v>
      </c>
      <c r="AY193" s="1"/>
      <c r="AZ193" s="1">
        <f>IF(COUNTIFS('PID CHECK'!$B:$B,AR193)=1,0,IF(COUNTIFS(AR$1:AR192,AR193)=1,0,1))</f>
        <v>0</v>
      </c>
      <c r="BA193" s="1"/>
      <c r="BB193" s="1"/>
    </row>
    <row r="194" spans="1:54">
      <c r="A194">
        <v>193</v>
      </c>
      <c r="B194" t="s">
        <v>142</v>
      </c>
      <c r="C194" t="s">
        <v>143</v>
      </c>
      <c r="D194" t="s">
        <v>139</v>
      </c>
      <c r="E194" t="s">
        <v>47</v>
      </c>
      <c r="F194" t="s">
        <v>53</v>
      </c>
      <c r="H194" t="s">
        <v>999</v>
      </c>
      <c r="J194" t="s">
        <v>49</v>
      </c>
      <c r="K194" t="s">
        <v>53</v>
      </c>
      <c r="L194" t="s">
        <v>762</v>
      </c>
      <c r="M194" t="s">
        <v>762</v>
      </c>
      <c r="N194">
        <v>0.84</v>
      </c>
      <c r="R194" t="s">
        <v>1000</v>
      </c>
      <c r="S194" t="s">
        <v>1000</v>
      </c>
      <c r="Z194" t="s">
        <v>759</v>
      </c>
      <c r="AB194" t="s">
        <v>115</v>
      </c>
      <c r="AE194" t="s">
        <v>50</v>
      </c>
      <c r="AH194">
        <v>10</v>
      </c>
      <c r="AM194">
        <v>43465</v>
      </c>
      <c r="AN194">
        <v>43469.451388888891</v>
      </c>
      <c r="AO194" s="2">
        <f t="shared" si="19"/>
        <v>18</v>
      </c>
      <c r="AP194" s="2">
        <f t="shared" si="20"/>
        <v>18</v>
      </c>
      <c r="AQ194" s="3">
        <f t="shared" si="21"/>
        <v>1</v>
      </c>
      <c r="AR194" s="1" t="str">
        <f>INDEX(IOS!$B:$B,MATCH(D194,IOS!A:A,0))&amp;B194</f>
        <v>O.W.10</v>
      </c>
      <c r="AS194" s="1">
        <f t="shared" si="22"/>
        <v>1</v>
      </c>
      <c r="AT194" s="1" t="str">
        <f>IF(ISBLANK(W194),"",IF(ISERROR(MATCH(W194,HQLATABLE!$A:$A,0)),0,1))</f>
        <v/>
      </c>
      <c r="AU194" s="1" t="str">
        <f t="shared" si="23"/>
        <v>Blank</v>
      </c>
      <c r="AV194" s="1" t="str">
        <f t="shared" si="24"/>
        <v>Blank</v>
      </c>
      <c r="AW194" s="1">
        <f t="shared" si="25"/>
        <v>0</v>
      </c>
      <c r="AX194" s="1" t="str">
        <f t="shared" si="26"/>
        <v>Blank</v>
      </c>
      <c r="AY194" s="1"/>
      <c r="AZ194" s="1">
        <f>IF(COUNTIFS('PID CHECK'!$B:$B,AR194)=1,0,IF(COUNTIFS(AR$1:AR193,AR194)=1,0,1))</f>
        <v>0</v>
      </c>
      <c r="BA194" s="1"/>
      <c r="BB194" s="1"/>
    </row>
    <row r="195" spans="1:54">
      <c r="A195">
        <v>194</v>
      </c>
      <c r="B195" t="s">
        <v>44</v>
      </c>
      <c r="C195" t="s">
        <v>144</v>
      </c>
      <c r="D195" t="s">
        <v>145</v>
      </c>
      <c r="E195" t="s">
        <v>47</v>
      </c>
      <c r="F195" t="s">
        <v>50</v>
      </c>
      <c r="H195" t="s">
        <v>48</v>
      </c>
      <c r="J195" t="s">
        <v>49</v>
      </c>
      <c r="K195" t="s">
        <v>50</v>
      </c>
      <c r="L195" t="s">
        <v>762</v>
      </c>
      <c r="M195" t="s">
        <v>762</v>
      </c>
      <c r="N195">
        <v>14014.15</v>
      </c>
      <c r="R195" t="s">
        <v>51</v>
      </c>
      <c r="S195" t="s">
        <v>52</v>
      </c>
      <c r="X195">
        <v>0</v>
      </c>
      <c r="Y195" t="s">
        <v>49</v>
      </c>
      <c r="Z195" t="s">
        <v>84</v>
      </c>
      <c r="AE195" t="s">
        <v>50</v>
      </c>
      <c r="AH195">
        <v>3</v>
      </c>
      <c r="AM195">
        <v>43465</v>
      </c>
      <c r="AN195">
        <v>43469.451388888891</v>
      </c>
      <c r="AO195" s="2">
        <f t="shared" ref="AO195:AO258" si="27">VALUE(MID(R195,FIND("P",R195)+1,FIND("D",R195)-1-FIND("P",R195)))</f>
        <v>0</v>
      </c>
      <c r="AP195" s="2">
        <f t="shared" ref="AP195:AP258" si="28">IFERROR(VALUE(MID(S195,FIND("P",S195)+1,FIND("D",S195)-1-FIND("P",S195))),99999)</f>
        <v>0</v>
      </c>
      <c r="AQ195" s="3">
        <f t="shared" ref="AQ195:AQ258" si="29">IF(AO195&lt;=30,1,0)</f>
        <v>1</v>
      </c>
      <c r="AR195" s="1" t="str">
        <f>INDEX(IOS!$B:$B,MATCH(D195,IOS!A:A,0))&amp;B195</f>
        <v>O.O.4</v>
      </c>
      <c r="AS195" s="1">
        <f t="shared" ref="AS195:AS258" si="30">IF(F195="","Blank",IF(F195="True",1,0))</f>
        <v>0</v>
      </c>
      <c r="AT195" s="1" t="str">
        <f>IF(ISBLANK(W195),"",IF(ISERROR(MATCH(W195,HQLATABLE!$A:$A,0)),0,1))</f>
        <v/>
      </c>
      <c r="AU195" s="1" t="str">
        <f t="shared" ref="AU195:AU258" si="31">IF(V195="","Blank",IF(V195="True",1,0))</f>
        <v>Blank</v>
      </c>
      <c r="AV195" s="1" t="str">
        <f t="shared" ref="AV195:AV258" si="32">IF(AG195="","Blank",IF(AG195="True",1,0))</f>
        <v>Blank</v>
      </c>
      <c r="AW195" s="1">
        <f t="shared" ref="AW195:AW258" si="33">IF(X195="",0,IF(OR(X195&gt;=N195),-1,1))</f>
        <v>1</v>
      </c>
      <c r="AX195" s="1" t="str">
        <f t="shared" ref="AX195:AX258" si="34">IF(AC195="","Blank",IF(AC195="True",1,0))</f>
        <v>Blank</v>
      </c>
      <c r="AY195" s="1"/>
      <c r="AZ195" s="1">
        <f>IF(COUNTIFS('PID CHECK'!$B:$B,AR195)=1,0,IF(COUNTIFS(AR$1:AR194,AR195)=1,0,1))</f>
        <v>0</v>
      </c>
      <c r="BA195" s="1"/>
      <c r="BB195" s="1"/>
    </row>
    <row r="196" spans="1:54">
      <c r="A196">
        <v>195</v>
      </c>
      <c r="B196" t="s">
        <v>44</v>
      </c>
      <c r="C196" t="s">
        <v>144</v>
      </c>
      <c r="D196" t="s">
        <v>145</v>
      </c>
      <c r="E196" t="s">
        <v>47</v>
      </c>
      <c r="F196" t="s">
        <v>50</v>
      </c>
      <c r="H196" t="s">
        <v>48</v>
      </c>
      <c r="J196" t="s">
        <v>49</v>
      </c>
      <c r="K196" t="s">
        <v>50</v>
      </c>
      <c r="L196" t="s">
        <v>762</v>
      </c>
      <c r="M196" t="s">
        <v>762</v>
      </c>
      <c r="N196">
        <v>108.94</v>
      </c>
      <c r="R196" t="s">
        <v>51</v>
      </c>
      <c r="S196" t="s">
        <v>52</v>
      </c>
      <c r="X196">
        <v>0</v>
      </c>
      <c r="Y196" t="s">
        <v>49</v>
      </c>
      <c r="Z196" t="s">
        <v>904</v>
      </c>
      <c r="AE196" t="s">
        <v>50</v>
      </c>
      <c r="AH196">
        <v>7</v>
      </c>
      <c r="AM196">
        <v>43465</v>
      </c>
      <c r="AN196">
        <v>43469.451388888891</v>
      </c>
      <c r="AO196" s="2">
        <f t="shared" si="27"/>
        <v>0</v>
      </c>
      <c r="AP196" s="2">
        <f t="shared" si="28"/>
        <v>0</v>
      </c>
      <c r="AQ196" s="3">
        <f t="shared" si="29"/>
        <v>1</v>
      </c>
      <c r="AR196" s="1" t="str">
        <f>INDEX(IOS!$B:$B,MATCH(D196,IOS!A:A,0))&amp;B196</f>
        <v>O.O.4</v>
      </c>
      <c r="AS196" s="1">
        <f t="shared" si="30"/>
        <v>0</v>
      </c>
      <c r="AT196" s="1" t="str">
        <f>IF(ISBLANK(W196),"",IF(ISERROR(MATCH(W196,HQLATABLE!$A:$A,0)),0,1))</f>
        <v/>
      </c>
      <c r="AU196" s="1" t="str">
        <f t="shared" si="31"/>
        <v>Blank</v>
      </c>
      <c r="AV196" s="1" t="str">
        <f t="shared" si="32"/>
        <v>Blank</v>
      </c>
      <c r="AW196" s="1">
        <f t="shared" si="33"/>
        <v>1</v>
      </c>
      <c r="AX196" s="1" t="str">
        <f t="shared" si="34"/>
        <v>Blank</v>
      </c>
      <c r="AY196" s="1"/>
      <c r="AZ196" s="1">
        <f>IF(COUNTIFS('PID CHECK'!$B:$B,AR196)=1,0,IF(COUNTIFS(AR$1:AR195,AR196)=1,0,1))</f>
        <v>0</v>
      </c>
      <c r="BA196" s="1"/>
      <c r="BB196" s="1"/>
    </row>
    <row r="197" spans="1:54">
      <c r="A197">
        <v>196</v>
      </c>
      <c r="B197" t="s">
        <v>44</v>
      </c>
      <c r="C197" t="s">
        <v>144</v>
      </c>
      <c r="D197" t="s">
        <v>145</v>
      </c>
      <c r="E197" t="s">
        <v>47</v>
      </c>
      <c r="F197" t="s">
        <v>50</v>
      </c>
      <c r="H197" t="s">
        <v>48</v>
      </c>
      <c r="J197" t="s">
        <v>49</v>
      </c>
      <c r="K197" t="s">
        <v>50</v>
      </c>
      <c r="L197" t="s">
        <v>762</v>
      </c>
      <c r="M197" t="s">
        <v>762</v>
      </c>
      <c r="N197">
        <v>582.77</v>
      </c>
      <c r="R197" t="s">
        <v>51</v>
      </c>
      <c r="S197" t="s">
        <v>52</v>
      </c>
      <c r="X197">
        <v>0</v>
      </c>
      <c r="Y197" t="s">
        <v>49</v>
      </c>
      <c r="Z197" t="s">
        <v>116</v>
      </c>
      <c r="AE197" t="s">
        <v>50</v>
      </c>
      <c r="AH197">
        <v>11</v>
      </c>
      <c r="AM197">
        <v>43465</v>
      </c>
      <c r="AN197">
        <v>43469.451388888891</v>
      </c>
      <c r="AO197" s="2">
        <f t="shared" si="27"/>
        <v>0</v>
      </c>
      <c r="AP197" s="2">
        <f t="shared" si="28"/>
        <v>0</v>
      </c>
      <c r="AQ197" s="3">
        <f t="shared" si="29"/>
        <v>1</v>
      </c>
      <c r="AR197" s="1" t="str">
        <f>INDEX(IOS!$B:$B,MATCH(D197,IOS!A:A,0))&amp;B197</f>
        <v>O.O.4</v>
      </c>
      <c r="AS197" s="1">
        <f t="shared" si="30"/>
        <v>0</v>
      </c>
      <c r="AT197" s="1" t="str">
        <f>IF(ISBLANK(W197),"",IF(ISERROR(MATCH(W197,HQLATABLE!$A:$A,0)),0,1))</f>
        <v/>
      </c>
      <c r="AU197" s="1" t="str">
        <f t="shared" si="31"/>
        <v>Blank</v>
      </c>
      <c r="AV197" s="1" t="str">
        <f t="shared" si="32"/>
        <v>Blank</v>
      </c>
      <c r="AW197" s="1">
        <f t="shared" si="33"/>
        <v>1</v>
      </c>
      <c r="AX197" s="1" t="str">
        <f t="shared" si="34"/>
        <v>Blank</v>
      </c>
      <c r="AY197" s="1"/>
      <c r="AZ197" s="1">
        <f>IF(COUNTIFS('PID CHECK'!$B:$B,AR197)=1,0,IF(COUNTIFS(AR$1:AR196,AR197)=1,0,1))</f>
        <v>0</v>
      </c>
      <c r="BA197" s="1"/>
      <c r="BB197" s="1"/>
    </row>
    <row r="198" spans="1:54">
      <c r="A198">
        <v>197</v>
      </c>
      <c r="B198" t="s">
        <v>44</v>
      </c>
      <c r="C198" t="s">
        <v>144</v>
      </c>
      <c r="D198" t="s">
        <v>145</v>
      </c>
      <c r="E198" t="s">
        <v>47</v>
      </c>
      <c r="F198" t="s">
        <v>50</v>
      </c>
      <c r="H198" t="s">
        <v>48</v>
      </c>
      <c r="J198" t="s">
        <v>49</v>
      </c>
      <c r="K198" t="s">
        <v>50</v>
      </c>
      <c r="L198" t="s">
        <v>762</v>
      </c>
      <c r="M198" t="s">
        <v>762</v>
      </c>
      <c r="N198">
        <v>51.41</v>
      </c>
      <c r="R198" t="s">
        <v>51</v>
      </c>
      <c r="S198" t="s">
        <v>52</v>
      </c>
      <c r="W198" t="s">
        <v>64</v>
      </c>
      <c r="X198">
        <v>62578253.82</v>
      </c>
      <c r="Y198" t="s">
        <v>49</v>
      </c>
      <c r="Z198" t="s">
        <v>122</v>
      </c>
      <c r="AE198" t="s">
        <v>50</v>
      </c>
      <c r="AH198">
        <v>1</v>
      </c>
      <c r="AM198">
        <v>43465</v>
      </c>
      <c r="AN198">
        <v>43469.451388888891</v>
      </c>
      <c r="AO198" s="2">
        <f t="shared" si="27"/>
        <v>0</v>
      </c>
      <c r="AP198" s="2">
        <f t="shared" si="28"/>
        <v>0</v>
      </c>
      <c r="AQ198" s="3">
        <f t="shared" si="29"/>
        <v>1</v>
      </c>
      <c r="AR198" s="1" t="str">
        <f>INDEX(IOS!$B:$B,MATCH(D198,IOS!A:A,0))&amp;B198</f>
        <v>O.O.4</v>
      </c>
      <c r="AS198" s="1">
        <f t="shared" si="30"/>
        <v>0</v>
      </c>
      <c r="AT198" s="1">
        <f>IF(ISBLANK(W198),"",IF(ISERROR(MATCH(W198,HQLATABLE!$A:$A,0)),0,1))</f>
        <v>0</v>
      </c>
      <c r="AU198" s="1" t="str">
        <f t="shared" si="31"/>
        <v>Blank</v>
      </c>
      <c r="AV198" s="1" t="str">
        <f t="shared" si="32"/>
        <v>Blank</v>
      </c>
      <c r="AW198" s="1">
        <f t="shared" si="33"/>
        <v>-1</v>
      </c>
      <c r="AX198" s="1" t="str">
        <f t="shared" si="34"/>
        <v>Blank</v>
      </c>
      <c r="AY198" s="1"/>
      <c r="AZ198" s="1">
        <f>IF(COUNTIFS('PID CHECK'!$B:$B,AR198)=1,0,IF(COUNTIFS(AR$1:AR197,AR198)=1,0,1))</f>
        <v>0</v>
      </c>
      <c r="BA198" s="1"/>
      <c r="BB198" s="1"/>
    </row>
    <row r="199" spans="1:54">
      <c r="A199">
        <v>198</v>
      </c>
      <c r="B199" t="s">
        <v>44</v>
      </c>
      <c r="C199" t="s">
        <v>144</v>
      </c>
      <c r="D199" t="s">
        <v>145</v>
      </c>
      <c r="E199" t="s">
        <v>47</v>
      </c>
      <c r="F199" t="s">
        <v>50</v>
      </c>
      <c r="H199" t="s">
        <v>48</v>
      </c>
      <c r="J199" t="s">
        <v>49</v>
      </c>
      <c r="K199" t="s">
        <v>50</v>
      </c>
      <c r="L199" t="s">
        <v>762</v>
      </c>
      <c r="M199" t="s">
        <v>762</v>
      </c>
      <c r="N199">
        <v>2441.16</v>
      </c>
      <c r="R199" t="s">
        <v>51</v>
      </c>
      <c r="S199" t="s">
        <v>52</v>
      </c>
      <c r="W199" t="s">
        <v>64</v>
      </c>
      <c r="X199">
        <v>3146251785.3569469</v>
      </c>
      <c r="Y199" t="s">
        <v>49</v>
      </c>
      <c r="Z199" t="s">
        <v>84</v>
      </c>
      <c r="AE199" t="s">
        <v>50</v>
      </c>
      <c r="AH199">
        <v>3</v>
      </c>
      <c r="AM199">
        <v>43465</v>
      </c>
      <c r="AN199">
        <v>43469.451388888891</v>
      </c>
      <c r="AO199" s="2">
        <f t="shared" si="27"/>
        <v>0</v>
      </c>
      <c r="AP199" s="2">
        <f t="shared" si="28"/>
        <v>0</v>
      </c>
      <c r="AQ199" s="3">
        <f t="shared" si="29"/>
        <v>1</v>
      </c>
      <c r="AR199" s="1" t="str">
        <f>INDEX(IOS!$B:$B,MATCH(D199,IOS!A:A,0))&amp;B199</f>
        <v>O.O.4</v>
      </c>
      <c r="AS199" s="1">
        <f t="shared" si="30"/>
        <v>0</v>
      </c>
      <c r="AT199" s="1">
        <f>IF(ISBLANK(W199),"",IF(ISERROR(MATCH(W199,HQLATABLE!$A:$A,0)),0,1))</f>
        <v>0</v>
      </c>
      <c r="AU199" s="1" t="str">
        <f t="shared" si="31"/>
        <v>Blank</v>
      </c>
      <c r="AV199" s="1" t="str">
        <f t="shared" si="32"/>
        <v>Blank</v>
      </c>
      <c r="AW199" s="1">
        <f t="shared" si="33"/>
        <v>-1</v>
      </c>
      <c r="AX199" s="1" t="str">
        <f t="shared" si="34"/>
        <v>Blank</v>
      </c>
      <c r="AY199" s="1"/>
      <c r="AZ199" s="1">
        <f>IF(COUNTIFS('PID CHECK'!$B:$B,AR199)=1,0,IF(COUNTIFS(AR$1:AR198,AR199)=1,0,1))</f>
        <v>0</v>
      </c>
      <c r="BA199" s="1"/>
      <c r="BB199" s="1"/>
    </row>
    <row r="200" spans="1:54">
      <c r="A200">
        <v>199</v>
      </c>
      <c r="B200" t="s">
        <v>44</v>
      </c>
      <c r="C200" t="s">
        <v>144</v>
      </c>
      <c r="D200" t="s">
        <v>145</v>
      </c>
      <c r="E200" t="s">
        <v>47</v>
      </c>
      <c r="F200" t="s">
        <v>50</v>
      </c>
      <c r="H200" t="s">
        <v>48</v>
      </c>
      <c r="J200" t="s">
        <v>49</v>
      </c>
      <c r="K200" t="s">
        <v>50</v>
      </c>
      <c r="L200" t="s">
        <v>762</v>
      </c>
      <c r="M200" t="s">
        <v>762</v>
      </c>
      <c r="N200">
        <v>84.43</v>
      </c>
      <c r="R200" t="s">
        <v>51</v>
      </c>
      <c r="S200" t="s">
        <v>52</v>
      </c>
      <c r="W200" t="s">
        <v>64</v>
      </c>
      <c r="X200">
        <v>84433905.976346999</v>
      </c>
      <c r="Y200" t="s">
        <v>49</v>
      </c>
      <c r="Z200" t="s">
        <v>116</v>
      </c>
      <c r="AE200" t="s">
        <v>50</v>
      </c>
      <c r="AH200">
        <v>11</v>
      </c>
      <c r="AM200">
        <v>43465</v>
      </c>
      <c r="AN200">
        <v>43469.451388888891</v>
      </c>
      <c r="AO200" s="2">
        <f t="shared" si="27"/>
        <v>0</v>
      </c>
      <c r="AP200" s="2">
        <f t="shared" si="28"/>
        <v>0</v>
      </c>
      <c r="AQ200" s="3">
        <f t="shared" si="29"/>
        <v>1</v>
      </c>
      <c r="AR200" s="1" t="str">
        <f>INDEX(IOS!$B:$B,MATCH(D200,IOS!A:A,0))&amp;B200</f>
        <v>O.O.4</v>
      </c>
      <c r="AS200" s="1">
        <f t="shared" si="30"/>
        <v>0</v>
      </c>
      <c r="AT200" s="1">
        <f>IF(ISBLANK(W200),"",IF(ISERROR(MATCH(W200,HQLATABLE!$A:$A,0)),0,1))</f>
        <v>0</v>
      </c>
      <c r="AU200" s="1" t="str">
        <f t="shared" si="31"/>
        <v>Blank</v>
      </c>
      <c r="AV200" s="1" t="str">
        <f t="shared" si="32"/>
        <v>Blank</v>
      </c>
      <c r="AW200" s="1">
        <f t="shared" si="33"/>
        <v>-1</v>
      </c>
      <c r="AX200" s="1" t="str">
        <f t="shared" si="34"/>
        <v>Blank</v>
      </c>
      <c r="AY200" s="1"/>
      <c r="AZ200" s="1">
        <f>IF(COUNTIFS('PID CHECK'!$B:$B,AR200)=1,0,IF(COUNTIFS(AR$1:AR199,AR200)=1,0,1))</f>
        <v>0</v>
      </c>
      <c r="BA200" s="1"/>
      <c r="BB200" s="1"/>
    </row>
    <row r="201" spans="1:54">
      <c r="A201">
        <v>200</v>
      </c>
      <c r="B201" t="s">
        <v>82</v>
      </c>
      <c r="C201" t="s">
        <v>146</v>
      </c>
      <c r="D201" t="s">
        <v>145</v>
      </c>
      <c r="E201" t="s">
        <v>47</v>
      </c>
      <c r="F201" t="s">
        <v>50</v>
      </c>
      <c r="H201" t="s">
        <v>48</v>
      </c>
      <c r="J201" t="s">
        <v>49</v>
      </c>
      <c r="K201" t="s">
        <v>50</v>
      </c>
      <c r="L201" t="s">
        <v>762</v>
      </c>
      <c r="M201" t="s">
        <v>762</v>
      </c>
      <c r="N201">
        <v>560</v>
      </c>
      <c r="R201" t="s">
        <v>51</v>
      </c>
      <c r="S201" t="s">
        <v>52</v>
      </c>
      <c r="X201">
        <v>0</v>
      </c>
      <c r="Y201" t="s">
        <v>49</v>
      </c>
      <c r="Z201" t="s">
        <v>84</v>
      </c>
      <c r="AE201" t="s">
        <v>50</v>
      </c>
      <c r="AH201">
        <v>3</v>
      </c>
      <c r="AM201">
        <v>43465</v>
      </c>
      <c r="AN201">
        <v>43469.451388888891</v>
      </c>
      <c r="AO201" s="2">
        <f t="shared" si="27"/>
        <v>0</v>
      </c>
      <c r="AP201" s="2">
        <f t="shared" si="28"/>
        <v>0</v>
      </c>
      <c r="AQ201" s="3">
        <f t="shared" si="29"/>
        <v>1</v>
      </c>
      <c r="AR201" s="1" t="str">
        <f>INDEX(IOS!$B:$B,MATCH(D201,IOS!A:A,0))&amp;B201</f>
        <v>O.O.5</v>
      </c>
      <c r="AS201" s="1">
        <f t="shared" si="30"/>
        <v>0</v>
      </c>
      <c r="AT201" s="1" t="str">
        <f>IF(ISBLANK(W201),"",IF(ISERROR(MATCH(W201,HQLATABLE!$A:$A,0)),0,1))</f>
        <v/>
      </c>
      <c r="AU201" s="1" t="str">
        <f t="shared" si="31"/>
        <v>Blank</v>
      </c>
      <c r="AV201" s="1" t="str">
        <f t="shared" si="32"/>
        <v>Blank</v>
      </c>
      <c r="AW201" s="1">
        <f t="shared" si="33"/>
        <v>1</v>
      </c>
      <c r="AX201" s="1" t="str">
        <f t="shared" si="34"/>
        <v>Blank</v>
      </c>
      <c r="AY201" s="1"/>
      <c r="AZ201" s="1">
        <f>IF(COUNTIFS('PID CHECK'!$B:$B,AR201)=1,0,IF(COUNTIFS(AR$1:AR200,AR201)=1,0,1))</f>
        <v>0</v>
      </c>
      <c r="BA201" s="1"/>
      <c r="BB201" s="1"/>
    </row>
    <row r="202" spans="1:54">
      <c r="A202">
        <v>201</v>
      </c>
      <c r="B202" t="s">
        <v>140</v>
      </c>
      <c r="C202" t="s">
        <v>147</v>
      </c>
      <c r="D202" t="s">
        <v>145</v>
      </c>
      <c r="E202" t="s">
        <v>47</v>
      </c>
      <c r="F202" t="s">
        <v>53</v>
      </c>
      <c r="H202" t="s">
        <v>1030</v>
      </c>
      <c r="J202" t="s">
        <v>49</v>
      </c>
      <c r="K202" t="s">
        <v>50</v>
      </c>
      <c r="L202" t="s">
        <v>762</v>
      </c>
      <c r="M202" t="s">
        <v>762</v>
      </c>
      <c r="N202">
        <v>22.27</v>
      </c>
      <c r="R202" t="s">
        <v>1031</v>
      </c>
      <c r="S202" t="s">
        <v>1031</v>
      </c>
      <c r="AB202" t="s">
        <v>78</v>
      </c>
      <c r="AE202" t="s">
        <v>50</v>
      </c>
      <c r="AM202">
        <v>43465</v>
      </c>
      <c r="AN202">
        <v>43469.451388888891</v>
      </c>
      <c r="AO202" s="2">
        <f t="shared" si="27"/>
        <v>2</v>
      </c>
      <c r="AP202" s="2">
        <f t="shared" si="28"/>
        <v>2</v>
      </c>
      <c r="AQ202" s="3">
        <f t="shared" si="29"/>
        <v>1</v>
      </c>
      <c r="AR202" s="1" t="str">
        <f>INDEX(IOS!$B:$B,MATCH(D202,IOS!A:A,0))&amp;B202</f>
        <v>O.O.19</v>
      </c>
      <c r="AS202" s="1">
        <f t="shared" si="30"/>
        <v>1</v>
      </c>
      <c r="AT202" s="1" t="str">
        <f>IF(ISBLANK(W202),"",IF(ISERROR(MATCH(W202,HQLATABLE!$A:$A,0)),0,1))</f>
        <v/>
      </c>
      <c r="AU202" s="1" t="str">
        <f t="shared" si="31"/>
        <v>Blank</v>
      </c>
      <c r="AV202" s="1" t="str">
        <f t="shared" si="32"/>
        <v>Blank</v>
      </c>
      <c r="AW202" s="1">
        <f t="shared" si="33"/>
        <v>0</v>
      </c>
      <c r="AX202" s="1" t="str">
        <f t="shared" si="34"/>
        <v>Blank</v>
      </c>
      <c r="AY202" s="1"/>
      <c r="AZ202" s="1">
        <f>IF(COUNTIFS('PID CHECK'!$B:$B,AR202)=1,0,IF(COUNTIFS(AR$1:AR201,AR202)=1,0,1))</f>
        <v>0</v>
      </c>
      <c r="BA202" s="1"/>
      <c r="BB202" s="1"/>
    </row>
    <row r="203" spans="1:54">
      <c r="A203">
        <v>202</v>
      </c>
      <c r="B203" t="s">
        <v>140</v>
      </c>
      <c r="C203" t="s">
        <v>147</v>
      </c>
      <c r="D203" t="s">
        <v>145</v>
      </c>
      <c r="E203" t="s">
        <v>47</v>
      </c>
      <c r="F203" t="s">
        <v>53</v>
      </c>
      <c r="H203" t="s">
        <v>1030</v>
      </c>
      <c r="J203" t="s">
        <v>49</v>
      </c>
      <c r="K203" t="s">
        <v>53</v>
      </c>
      <c r="L203" t="s">
        <v>762</v>
      </c>
      <c r="M203" t="s">
        <v>762</v>
      </c>
      <c r="N203">
        <v>0</v>
      </c>
      <c r="R203" t="s">
        <v>1031</v>
      </c>
      <c r="S203" t="s">
        <v>1031</v>
      </c>
      <c r="AB203" t="s">
        <v>115</v>
      </c>
      <c r="AE203" t="s">
        <v>50</v>
      </c>
      <c r="AM203">
        <v>43465</v>
      </c>
      <c r="AN203">
        <v>43469.451388888891</v>
      </c>
      <c r="AO203" s="2">
        <f t="shared" si="27"/>
        <v>2</v>
      </c>
      <c r="AP203" s="2">
        <f t="shared" si="28"/>
        <v>2</v>
      </c>
      <c r="AQ203" s="3">
        <f t="shared" si="29"/>
        <v>1</v>
      </c>
      <c r="AR203" s="1" t="str">
        <f>INDEX(IOS!$B:$B,MATCH(D203,IOS!A:A,0))&amp;B203</f>
        <v>O.O.19</v>
      </c>
      <c r="AS203" s="1">
        <f t="shared" si="30"/>
        <v>1</v>
      </c>
      <c r="AT203" s="1" t="str">
        <f>IF(ISBLANK(W203),"",IF(ISERROR(MATCH(W203,HQLATABLE!$A:$A,0)),0,1))</f>
        <v/>
      </c>
      <c r="AU203" s="1" t="str">
        <f t="shared" si="31"/>
        <v>Blank</v>
      </c>
      <c r="AV203" s="1" t="str">
        <f t="shared" si="32"/>
        <v>Blank</v>
      </c>
      <c r="AW203" s="1">
        <f t="shared" si="33"/>
        <v>0</v>
      </c>
      <c r="AX203" s="1" t="str">
        <f t="shared" si="34"/>
        <v>Blank</v>
      </c>
      <c r="AY203" s="1"/>
      <c r="AZ203" s="1">
        <f>IF(COUNTIFS('PID CHECK'!$B:$B,AR203)=1,0,IF(COUNTIFS(AR$1:AR202,AR203)=1,0,1))</f>
        <v>0</v>
      </c>
      <c r="BA203" s="1"/>
      <c r="BB203" s="1"/>
    </row>
    <row r="204" spans="1:54">
      <c r="A204">
        <v>203</v>
      </c>
      <c r="B204" t="s">
        <v>140</v>
      </c>
      <c r="C204" t="s">
        <v>147</v>
      </c>
      <c r="D204" t="s">
        <v>145</v>
      </c>
      <c r="E204" t="s">
        <v>47</v>
      </c>
      <c r="F204" t="s">
        <v>50</v>
      </c>
      <c r="H204" t="s">
        <v>1030</v>
      </c>
      <c r="J204" t="s">
        <v>49</v>
      </c>
      <c r="K204" t="s">
        <v>50</v>
      </c>
      <c r="L204" t="s">
        <v>762</v>
      </c>
      <c r="M204" t="s">
        <v>762</v>
      </c>
      <c r="N204">
        <v>19.89</v>
      </c>
      <c r="R204" t="s">
        <v>1031</v>
      </c>
      <c r="S204" t="s">
        <v>1031</v>
      </c>
      <c r="AE204" t="s">
        <v>50</v>
      </c>
      <c r="AM204">
        <v>43465</v>
      </c>
      <c r="AN204">
        <v>43469.451388888891</v>
      </c>
      <c r="AO204" s="2">
        <f t="shared" si="27"/>
        <v>2</v>
      </c>
      <c r="AP204" s="2">
        <f t="shared" si="28"/>
        <v>2</v>
      </c>
      <c r="AQ204" s="3">
        <f t="shared" si="29"/>
        <v>1</v>
      </c>
      <c r="AR204" s="1" t="str">
        <f>INDEX(IOS!$B:$B,MATCH(D204,IOS!A:A,0))&amp;B204</f>
        <v>O.O.19</v>
      </c>
      <c r="AS204" s="1">
        <f t="shared" si="30"/>
        <v>0</v>
      </c>
      <c r="AT204" s="1" t="str">
        <f>IF(ISBLANK(W204),"",IF(ISERROR(MATCH(W204,HQLATABLE!$A:$A,0)),0,1))</f>
        <v/>
      </c>
      <c r="AU204" s="1" t="str">
        <f t="shared" si="31"/>
        <v>Blank</v>
      </c>
      <c r="AV204" s="1" t="str">
        <f t="shared" si="32"/>
        <v>Blank</v>
      </c>
      <c r="AW204" s="1">
        <f t="shared" si="33"/>
        <v>0</v>
      </c>
      <c r="AX204" s="1" t="str">
        <f t="shared" si="34"/>
        <v>Blank</v>
      </c>
      <c r="AY204" s="1"/>
      <c r="AZ204" s="1">
        <f>IF(COUNTIFS('PID CHECK'!$B:$B,AR204)=1,0,IF(COUNTIFS(AR$1:AR203,AR204)=1,0,1))</f>
        <v>0</v>
      </c>
      <c r="BA204" s="1"/>
      <c r="BB204" s="1"/>
    </row>
    <row r="205" spans="1:54">
      <c r="A205">
        <v>204</v>
      </c>
      <c r="B205" t="s">
        <v>149</v>
      </c>
      <c r="C205" t="s">
        <v>150</v>
      </c>
      <c r="D205" t="s">
        <v>145</v>
      </c>
      <c r="E205" t="s">
        <v>47</v>
      </c>
      <c r="F205" t="s">
        <v>883</v>
      </c>
      <c r="H205" t="s">
        <v>995</v>
      </c>
      <c r="J205" t="s">
        <v>49</v>
      </c>
      <c r="K205" t="s">
        <v>50</v>
      </c>
      <c r="L205" t="s">
        <v>762</v>
      </c>
      <c r="M205" t="s">
        <v>762</v>
      </c>
      <c r="N205">
        <v>0.18</v>
      </c>
      <c r="R205" t="s">
        <v>996</v>
      </c>
      <c r="S205" t="s">
        <v>996</v>
      </c>
      <c r="AE205" t="s">
        <v>53</v>
      </c>
      <c r="AM205">
        <v>43465</v>
      </c>
      <c r="AN205">
        <v>43469.451388888891</v>
      </c>
      <c r="AO205" s="2">
        <f t="shared" si="27"/>
        <v>10</v>
      </c>
      <c r="AP205" s="2">
        <f t="shared" si="28"/>
        <v>10</v>
      </c>
      <c r="AQ205" s="3">
        <f t="shared" si="29"/>
        <v>1</v>
      </c>
      <c r="AR205" s="1" t="str">
        <f>INDEX(IOS!$B:$B,MATCH(D205,IOS!A:A,0))&amp;B205</f>
        <v>O.O.20</v>
      </c>
      <c r="AS205" s="1">
        <f t="shared" si="30"/>
        <v>0</v>
      </c>
      <c r="AT205" s="1" t="str">
        <f>IF(ISBLANK(W205),"",IF(ISERROR(MATCH(W205,HQLATABLE!$A:$A,0)),0,1))</f>
        <v/>
      </c>
      <c r="AU205" s="1" t="str">
        <f t="shared" si="31"/>
        <v>Blank</v>
      </c>
      <c r="AV205" s="1" t="str">
        <f t="shared" si="32"/>
        <v>Blank</v>
      </c>
      <c r="AW205" s="1">
        <f t="shared" si="33"/>
        <v>0</v>
      </c>
      <c r="AX205" s="1" t="str">
        <f t="shared" si="34"/>
        <v>Blank</v>
      </c>
      <c r="AY205" s="1"/>
      <c r="AZ205" s="1">
        <f>IF(COUNTIFS('PID CHECK'!$B:$B,AR205)=1,0,IF(COUNTIFS(AR$1:AR204,AR205)=1,0,1))</f>
        <v>0</v>
      </c>
      <c r="BA205" s="1"/>
      <c r="BB205" s="1"/>
    </row>
    <row r="206" spans="1:54">
      <c r="A206">
        <v>205</v>
      </c>
      <c r="B206" t="s">
        <v>149</v>
      </c>
      <c r="C206" t="s">
        <v>150</v>
      </c>
      <c r="D206" t="s">
        <v>145</v>
      </c>
      <c r="E206" t="s">
        <v>47</v>
      </c>
      <c r="F206" t="s">
        <v>50</v>
      </c>
      <c r="H206" t="s">
        <v>1019</v>
      </c>
      <c r="J206" t="s">
        <v>49</v>
      </c>
      <c r="K206" t="s">
        <v>50</v>
      </c>
      <c r="L206" t="s">
        <v>762</v>
      </c>
      <c r="M206" t="s">
        <v>762</v>
      </c>
      <c r="N206">
        <v>0.01</v>
      </c>
      <c r="R206" t="s">
        <v>1020</v>
      </c>
      <c r="S206" t="s">
        <v>1020</v>
      </c>
      <c r="AE206" t="s">
        <v>53</v>
      </c>
      <c r="AM206">
        <v>43465</v>
      </c>
      <c r="AN206">
        <v>43469.451388888891</v>
      </c>
      <c r="AO206" s="2">
        <f t="shared" si="27"/>
        <v>11</v>
      </c>
      <c r="AP206" s="2">
        <f t="shared" si="28"/>
        <v>11</v>
      </c>
      <c r="AQ206" s="3">
        <f t="shared" si="29"/>
        <v>1</v>
      </c>
      <c r="AR206" s="1" t="str">
        <f>INDEX(IOS!$B:$B,MATCH(D206,IOS!A:A,0))&amp;B206</f>
        <v>O.O.20</v>
      </c>
      <c r="AS206" s="1">
        <f t="shared" si="30"/>
        <v>0</v>
      </c>
      <c r="AT206" s="1" t="str">
        <f>IF(ISBLANK(W206),"",IF(ISERROR(MATCH(W206,HQLATABLE!$A:$A,0)),0,1))</f>
        <v/>
      </c>
      <c r="AU206" s="1" t="str">
        <f t="shared" si="31"/>
        <v>Blank</v>
      </c>
      <c r="AV206" s="1" t="str">
        <f t="shared" si="32"/>
        <v>Blank</v>
      </c>
      <c r="AW206" s="1">
        <f t="shared" si="33"/>
        <v>0</v>
      </c>
      <c r="AX206" s="1" t="str">
        <f t="shared" si="34"/>
        <v>Blank</v>
      </c>
      <c r="AY206" s="1"/>
      <c r="AZ206" s="1">
        <f>IF(COUNTIFS('PID CHECK'!$B:$B,AR206)=1,0,IF(COUNTIFS(AR$1:AR205,AR206)=1,0,1))</f>
        <v>0</v>
      </c>
      <c r="BA206" s="1"/>
      <c r="BB206" s="1"/>
    </row>
    <row r="207" spans="1:54">
      <c r="A207">
        <v>206</v>
      </c>
      <c r="B207" t="s">
        <v>149</v>
      </c>
      <c r="C207" t="s">
        <v>150</v>
      </c>
      <c r="D207" t="s">
        <v>145</v>
      </c>
      <c r="E207" t="s">
        <v>47</v>
      </c>
      <c r="F207" t="s">
        <v>883</v>
      </c>
      <c r="H207" t="s">
        <v>85</v>
      </c>
      <c r="J207" t="s">
        <v>49</v>
      </c>
      <c r="K207" t="s">
        <v>50</v>
      </c>
      <c r="L207" t="s">
        <v>762</v>
      </c>
      <c r="M207" t="s">
        <v>762</v>
      </c>
      <c r="N207">
        <v>0.05</v>
      </c>
      <c r="R207" t="s">
        <v>86</v>
      </c>
      <c r="S207" t="s">
        <v>86</v>
      </c>
      <c r="AE207" t="s">
        <v>53</v>
      </c>
      <c r="AM207">
        <v>43465</v>
      </c>
      <c r="AN207">
        <v>43469.451388888891</v>
      </c>
      <c r="AO207" s="2">
        <f t="shared" si="27"/>
        <v>14</v>
      </c>
      <c r="AP207" s="2">
        <f t="shared" si="28"/>
        <v>14</v>
      </c>
      <c r="AQ207" s="3">
        <f t="shared" si="29"/>
        <v>1</v>
      </c>
      <c r="AR207" s="1" t="str">
        <f>INDEX(IOS!$B:$B,MATCH(D207,IOS!A:A,0))&amp;B207</f>
        <v>O.O.20</v>
      </c>
      <c r="AS207" s="1">
        <f t="shared" si="30"/>
        <v>0</v>
      </c>
      <c r="AT207" s="1" t="str">
        <f>IF(ISBLANK(W207),"",IF(ISERROR(MATCH(W207,HQLATABLE!$A:$A,0)),0,1))</f>
        <v/>
      </c>
      <c r="AU207" s="1" t="str">
        <f t="shared" si="31"/>
        <v>Blank</v>
      </c>
      <c r="AV207" s="1" t="str">
        <f t="shared" si="32"/>
        <v>Blank</v>
      </c>
      <c r="AW207" s="1">
        <f t="shared" si="33"/>
        <v>0</v>
      </c>
      <c r="AX207" s="1" t="str">
        <f t="shared" si="34"/>
        <v>Blank</v>
      </c>
      <c r="AY207" s="1"/>
      <c r="AZ207" s="1">
        <f>IF(COUNTIFS('PID CHECK'!$B:$B,AR207)=1,0,IF(COUNTIFS(AR$1:AR206,AR207)=1,0,1))</f>
        <v>0</v>
      </c>
      <c r="BA207" s="1"/>
      <c r="BB207" s="1"/>
    </row>
    <row r="208" spans="1:54">
      <c r="A208">
        <v>207</v>
      </c>
      <c r="B208" t="s">
        <v>149</v>
      </c>
      <c r="C208" t="s">
        <v>150</v>
      </c>
      <c r="D208" t="s">
        <v>145</v>
      </c>
      <c r="E208" t="s">
        <v>47</v>
      </c>
      <c r="F208" t="s">
        <v>50</v>
      </c>
      <c r="H208" t="s">
        <v>1032</v>
      </c>
      <c r="J208" t="s">
        <v>49</v>
      </c>
      <c r="K208" t="s">
        <v>50</v>
      </c>
      <c r="L208" t="s">
        <v>762</v>
      </c>
      <c r="M208" t="s">
        <v>762</v>
      </c>
      <c r="N208">
        <v>24.41</v>
      </c>
      <c r="R208" t="s">
        <v>1033</v>
      </c>
      <c r="S208" t="s">
        <v>1033</v>
      </c>
      <c r="AE208" t="s">
        <v>53</v>
      </c>
      <c r="AM208">
        <v>43465</v>
      </c>
      <c r="AN208">
        <v>43469.451388888891</v>
      </c>
      <c r="AO208" s="2">
        <f t="shared" si="27"/>
        <v>16</v>
      </c>
      <c r="AP208" s="2">
        <f t="shared" si="28"/>
        <v>16</v>
      </c>
      <c r="AQ208" s="3">
        <f t="shared" si="29"/>
        <v>1</v>
      </c>
      <c r="AR208" s="1" t="str">
        <f>INDEX(IOS!$B:$B,MATCH(D208,IOS!A:A,0))&amp;B208</f>
        <v>O.O.20</v>
      </c>
      <c r="AS208" s="1">
        <f t="shared" si="30"/>
        <v>0</v>
      </c>
      <c r="AT208" s="1" t="str">
        <f>IF(ISBLANK(W208),"",IF(ISERROR(MATCH(W208,HQLATABLE!$A:$A,0)),0,1))</f>
        <v/>
      </c>
      <c r="AU208" s="1" t="str">
        <f t="shared" si="31"/>
        <v>Blank</v>
      </c>
      <c r="AV208" s="1" t="str">
        <f t="shared" si="32"/>
        <v>Blank</v>
      </c>
      <c r="AW208" s="1">
        <f t="shared" si="33"/>
        <v>0</v>
      </c>
      <c r="AX208" s="1" t="str">
        <f t="shared" si="34"/>
        <v>Blank</v>
      </c>
      <c r="AY208" s="1"/>
      <c r="AZ208" s="1">
        <f>IF(COUNTIFS('PID CHECK'!$B:$B,AR208)=1,0,IF(COUNTIFS(AR$1:AR207,AR208)=1,0,1))</f>
        <v>0</v>
      </c>
      <c r="BA208" s="1"/>
      <c r="BB208" s="1"/>
    </row>
    <row r="209" spans="1:54">
      <c r="A209">
        <v>208</v>
      </c>
      <c r="B209" t="s">
        <v>149</v>
      </c>
      <c r="C209" t="s">
        <v>150</v>
      </c>
      <c r="D209" t="s">
        <v>145</v>
      </c>
      <c r="E209" t="s">
        <v>47</v>
      </c>
      <c r="F209" t="s">
        <v>50</v>
      </c>
      <c r="H209" t="s">
        <v>1030</v>
      </c>
      <c r="J209" t="s">
        <v>49</v>
      </c>
      <c r="K209" t="s">
        <v>50</v>
      </c>
      <c r="L209" t="s">
        <v>762</v>
      </c>
      <c r="M209" t="s">
        <v>762</v>
      </c>
      <c r="N209">
        <v>5</v>
      </c>
      <c r="R209" t="s">
        <v>1031</v>
      </c>
      <c r="S209" t="s">
        <v>1031</v>
      </c>
      <c r="AE209" t="s">
        <v>53</v>
      </c>
      <c r="AM209">
        <v>43465</v>
      </c>
      <c r="AN209">
        <v>43469.451388888891</v>
      </c>
      <c r="AO209" s="2">
        <f t="shared" si="27"/>
        <v>2</v>
      </c>
      <c r="AP209" s="2">
        <f t="shared" si="28"/>
        <v>2</v>
      </c>
      <c r="AQ209" s="3">
        <f t="shared" si="29"/>
        <v>1</v>
      </c>
      <c r="AR209" s="1" t="str">
        <f>INDEX(IOS!$B:$B,MATCH(D209,IOS!A:A,0))&amp;B209</f>
        <v>O.O.20</v>
      </c>
      <c r="AS209" s="1">
        <f t="shared" si="30"/>
        <v>0</v>
      </c>
      <c r="AT209" s="1" t="str">
        <f>IF(ISBLANK(W209),"",IF(ISERROR(MATCH(W209,HQLATABLE!$A:$A,0)),0,1))</f>
        <v/>
      </c>
      <c r="AU209" s="1" t="str">
        <f t="shared" si="31"/>
        <v>Blank</v>
      </c>
      <c r="AV209" s="1" t="str">
        <f t="shared" si="32"/>
        <v>Blank</v>
      </c>
      <c r="AW209" s="1">
        <f t="shared" si="33"/>
        <v>0</v>
      </c>
      <c r="AX209" s="1" t="str">
        <f t="shared" si="34"/>
        <v>Blank</v>
      </c>
      <c r="AY209" s="1"/>
      <c r="AZ209" s="1">
        <f>IF(COUNTIFS('PID CHECK'!$B:$B,AR209)=1,0,IF(COUNTIFS(AR$1:AR208,AR209)=1,0,1))</f>
        <v>0</v>
      </c>
      <c r="BA209" s="1"/>
      <c r="BB209" s="1"/>
    </row>
    <row r="210" spans="1:54">
      <c r="A210">
        <v>209</v>
      </c>
      <c r="B210" t="s">
        <v>149</v>
      </c>
      <c r="C210" t="s">
        <v>150</v>
      </c>
      <c r="D210" t="s">
        <v>145</v>
      </c>
      <c r="E210" t="s">
        <v>47</v>
      </c>
      <c r="F210" t="s">
        <v>53</v>
      </c>
      <c r="H210" t="s">
        <v>1030</v>
      </c>
      <c r="J210" t="s">
        <v>49</v>
      </c>
      <c r="K210" t="s">
        <v>50</v>
      </c>
      <c r="L210" t="s">
        <v>762</v>
      </c>
      <c r="M210" t="s">
        <v>762</v>
      </c>
      <c r="N210">
        <v>1.73</v>
      </c>
      <c r="R210" t="s">
        <v>1031</v>
      </c>
      <c r="S210" t="s">
        <v>1031</v>
      </c>
      <c r="AB210" t="s">
        <v>78</v>
      </c>
      <c r="AE210" t="s">
        <v>53</v>
      </c>
      <c r="AM210">
        <v>43465</v>
      </c>
      <c r="AN210">
        <v>43469.451388888891</v>
      </c>
      <c r="AO210" s="2">
        <f t="shared" si="27"/>
        <v>2</v>
      </c>
      <c r="AP210" s="2">
        <f t="shared" si="28"/>
        <v>2</v>
      </c>
      <c r="AQ210" s="3">
        <f t="shared" si="29"/>
        <v>1</v>
      </c>
      <c r="AR210" s="1" t="str">
        <f>INDEX(IOS!$B:$B,MATCH(D210,IOS!A:A,0))&amp;B210</f>
        <v>O.O.20</v>
      </c>
      <c r="AS210" s="1">
        <f t="shared" si="30"/>
        <v>1</v>
      </c>
      <c r="AT210" s="1" t="str">
        <f>IF(ISBLANK(W210),"",IF(ISERROR(MATCH(W210,HQLATABLE!$A:$A,0)),0,1))</f>
        <v/>
      </c>
      <c r="AU210" s="1" t="str">
        <f t="shared" si="31"/>
        <v>Blank</v>
      </c>
      <c r="AV210" s="1" t="str">
        <f t="shared" si="32"/>
        <v>Blank</v>
      </c>
      <c r="AW210" s="1">
        <f t="shared" si="33"/>
        <v>0</v>
      </c>
      <c r="AX210" s="1" t="str">
        <f t="shared" si="34"/>
        <v>Blank</v>
      </c>
      <c r="AY210" s="1"/>
      <c r="AZ210" s="1">
        <f>IF(COUNTIFS('PID CHECK'!$B:$B,AR210)=1,0,IF(COUNTIFS(AR$1:AR209,AR210)=1,0,1))</f>
        <v>0</v>
      </c>
      <c r="BA210" s="1"/>
      <c r="BB210" s="1"/>
    </row>
    <row r="211" spans="1:54">
      <c r="A211">
        <v>210</v>
      </c>
      <c r="B211" t="s">
        <v>149</v>
      </c>
      <c r="C211" t="s">
        <v>150</v>
      </c>
      <c r="D211" t="s">
        <v>145</v>
      </c>
      <c r="E211" t="s">
        <v>47</v>
      </c>
      <c r="F211" t="s">
        <v>50</v>
      </c>
      <c r="H211" t="s">
        <v>1007</v>
      </c>
      <c r="J211" t="s">
        <v>49</v>
      </c>
      <c r="K211" t="s">
        <v>50</v>
      </c>
      <c r="L211" t="s">
        <v>762</v>
      </c>
      <c r="M211" t="s">
        <v>762</v>
      </c>
      <c r="N211">
        <v>4.5</v>
      </c>
      <c r="R211" t="s">
        <v>1008</v>
      </c>
      <c r="S211" t="s">
        <v>1008</v>
      </c>
      <c r="AE211" t="s">
        <v>53</v>
      </c>
      <c r="AM211">
        <v>43465</v>
      </c>
      <c r="AN211">
        <v>43469.451388888891</v>
      </c>
      <c r="AO211" s="2">
        <f t="shared" si="27"/>
        <v>3</v>
      </c>
      <c r="AP211" s="2">
        <f t="shared" si="28"/>
        <v>3</v>
      </c>
      <c r="AQ211" s="3">
        <f t="shared" si="29"/>
        <v>1</v>
      </c>
      <c r="AR211" s="1" t="str">
        <f>INDEX(IOS!$B:$B,MATCH(D211,IOS!A:A,0))&amp;B211</f>
        <v>O.O.20</v>
      </c>
      <c r="AS211" s="1">
        <f t="shared" si="30"/>
        <v>0</v>
      </c>
      <c r="AT211" s="1" t="str">
        <f>IF(ISBLANK(W211),"",IF(ISERROR(MATCH(W211,HQLATABLE!$A:$A,0)),0,1))</f>
        <v/>
      </c>
      <c r="AU211" s="1" t="str">
        <f t="shared" si="31"/>
        <v>Blank</v>
      </c>
      <c r="AV211" s="1" t="str">
        <f t="shared" si="32"/>
        <v>Blank</v>
      </c>
      <c r="AW211" s="1">
        <f t="shared" si="33"/>
        <v>0</v>
      </c>
      <c r="AX211" s="1" t="str">
        <f t="shared" si="34"/>
        <v>Blank</v>
      </c>
      <c r="AY211" s="1"/>
      <c r="AZ211" s="1">
        <f>IF(COUNTIFS('PID CHECK'!$B:$B,AR211)=1,0,IF(COUNTIFS(AR$1:AR210,AR211)=1,0,1))</f>
        <v>0</v>
      </c>
      <c r="BA211" s="1"/>
      <c r="BB211" s="1"/>
    </row>
    <row r="212" spans="1:54">
      <c r="A212">
        <v>211</v>
      </c>
      <c r="B212" t="s">
        <v>149</v>
      </c>
      <c r="C212" t="s">
        <v>150</v>
      </c>
      <c r="D212" t="s">
        <v>145</v>
      </c>
      <c r="E212" t="s">
        <v>47</v>
      </c>
      <c r="F212" t="s">
        <v>53</v>
      </c>
      <c r="H212" t="s">
        <v>1007</v>
      </c>
      <c r="J212" t="s">
        <v>49</v>
      </c>
      <c r="K212" t="s">
        <v>50</v>
      </c>
      <c r="L212" t="s">
        <v>762</v>
      </c>
      <c r="M212" t="s">
        <v>762</v>
      </c>
      <c r="N212">
        <v>19.18</v>
      </c>
      <c r="R212" t="s">
        <v>1008</v>
      </c>
      <c r="S212" t="s">
        <v>1008</v>
      </c>
      <c r="AB212" t="s">
        <v>78</v>
      </c>
      <c r="AE212" t="s">
        <v>53</v>
      </c>
      <c r="AM212">
        <v>43465</v>
      </c>
      <c r="AN212">
        <v>43469.451388888891</v>
      </c>
      <c r="AO212" s="2">
        <f t="shared" si="27"/>
        <v>3</v>
      </c>
      <c r="AP212" s="2">
        <f t="shared" si="28"/>
        <v>3</v>
      </c>
      <c r="AQ212" s="3">
        <f t="shared" si="29"/>
        <v>1</v>
      </c>
      <c r="AR212" s="1" t="str">
        <f>INDEX(IOS!$B:$B,MATCH(D212,IOS!A:A,0))&amp;B212</f>
        <v>O.O.20</v>
      </c>
      <c r="AS212" s="1">
        <f t="shared" si="30"/>
        <v>1</v>
      </c>
      <c r="AT212" s="1" t="str">
        <f>IF(ISBLANK(W212),"",IF(ISERROR(MATCH(W212,HQLATABLE!$A:$A,0)),0,1))</f>
        <v/>
      </c>
      <c r="AU212" s="1" t="str">
        <f t="shared" si="31"/>
        <v>Blank</v>
      </c>
      <c r="AV212" s="1" t="str">
        <f t="shared" si="32"/>
        <v>Blank</v>
      </c>
      <c r="AW212" s="1">
        <f t="shared" si="33"/>
        <v>0</v>
      </c>
      <c r="AX212" s="1" t="str">
        <f t="shared" si="34"/>
        <v>Blank</v>
      </c>
      <c r="AY212" s="1"/>
      <c r="AZ212" s="1">
        <f>IF(COUNTIFS('PID CHECK'!$B:$B,AR212)=1,0,IF(COUNTIFS(AR$1:AR211,AR212)=1,0,1))</f>
        <v>0</v>
      </c>
      <c r="BA212" s="1"/>
      <c r="BB212" s="1"/>
    </row>
    <row r="213" spans="1:54">
      <c r="A213">
        <v>212</v>
      </c>
      <c r="B213" t="s">
        <v>149</v>
      </c>
      <c r="C213" t="s">
        <v>150</v>
      </c>
      <c r="D213" t="s">
        <v>145</v>
      </c>
      <c r="E213" t="s">
        <v>47</v>
      </c>
      <c r="F213" t="s">
        <v>883</v>
      </c>
      <c r="H213" t="s">
        <v>103</v>
      </c>
      <c r="J213" t="s">
        <v>49</v>
      </c>
      <c r="K213" t="s">
        <v>50</v>
      </c>
      <c r="L213" t="s">
        <v>762</v>
      </c>
      <c r="M213" t="s">
        <v>762</v>
      </c>
      <c r="N213">
        <v>0.05</v>
      </c>
      <c r="R213" t="s">
        <v>104</v>
      </c>
      <c r="S213" t="s">
        <v>104</v>
      </c>
      <c r="AE213" t="s">
        <v>53</v>
      </c>
      <c r="AM213">
        <v>43465</v>
      </c>
      <c r="AN213">
        <v>43469.451388888891</v>
      </c>
      <c r="AO213" s="2">
        <f t="shared" si="27"/>
        <v>7</v>
      </c>
      <c r="AP213" s="2">
        <f t="shared" si="28"/>
        <v>7</v>
      </c>
      <c r="AQ213" s="3">
        <f t="shared" si="29"/>
        <v>1</v>
      </c>
      <c r="AR213" s="1" t="str">
        <f>INDEX(IOS!$B:$B,MATCH(D213,IOS!A:A,0))&amp;B213</f>
        <v>O.O.20</v>
      </c>
      <c r="AS213" s="1">
        <f t="shared" si="30"/>
        <v>0</v>
      </c>
      <c r="AT213" s="1" t="str">
        <f>IF(ISBLANK(W213),"",IF(ISERROR(MATCH(W213,HQLATABLE!$A:$A,0)),0,1))</f>
        <v/>
      </c>
      <c r="AU213" s="1" t="str">
        <f t="shared" si="31"/>
        <v>Blank</v>
      </c>
      <c r="AV213" s="1" t="str">
        <f t="shared" si="32"/>
        <v>Blank</v>
      </c>
      <c r="AW213" s="1">
        <f t="shared" si="33"/>
        <v>0</v>
      </c>
      <c r="AX213" s="1" t="str">
        <f t="shared" si="34"/>
        <v>Blank</v>
      </c>
      <c r="AY213" s="1"/>
      <c r="AZ213" s="1">
        <f>IF(COUNTIFS('PID CHECK'!$B:$B,AR213)=1,0,IF(COUNTIFS(AR$1:AR212,AR213)=1,0,1))</f>
        <v>0</v>
      </c>
      <c r="BA213" s="1"/>
      <c r="BB213" s="1"/>
    </row>
    <row r="214" spans="1:54">
      <c r="A214">
        <v>213</v>
      </c>
      <c r="B214" t="s">
        <v>149</v>
      </c>
      <c r="C214" t="s">
        <v>150</v>
      </c>
      <c r="D214" t="s">
        <v>145</v>
      </c>
      <c r="E214" t="s">
        <v>47</v>
      </c>
      <c r="F214" t="s">
        <v>53</v>
      </c>
      <c r="H214" t="s">
        <v>1019</v>
      </c>
      <c r="J214" t="s">
        <v>49</v>
      </c>
      <c r="K214" t="s">
        <v>53</v>
      </c>
      <c r="L214" t="s">
        <v>762</v>
      </c>
      <c r="M214" t="s">
        <v>762</v>
      </c>
      <c r="N214">
        <v>0.01</v>
      </c>
      <c r="R214" t="s">
        <v>1020</v>
      </c>
      <c r="S214" t="s">
        <v>1020</v>
      </c>
      <c r="AB214" t="s">
        <v>78</v>
      </c>
      <c r="AE214" t="s">
        <v>53</v>
      </c>
      <c r="AM214">
        <v>43465</v>
      </c>
      <c r="AN214">
        <v>43469.451388888891</v>
      </c>
      <c r="AO214" s="2">
        <f t="shared" si="27"/>
        <v>11</v>
      </c>
      <c r="AP214" s="2">
        <f t="shared" si="28"/>
        <v>11</v>
      </c>
      <c r="AQ214" s="3">
        <f t="shared" si="29"/>
        <v>1</v>
      </c>
      <c r="AR214" s="1" t="str">
        <f>INDEX(IOS!$B:$B,MATCH(D214,IOS!A:A,0))&amp;B214</f>
        <v>O.O.20</v>
      </c>
      <c r="AS214" s="1">
        <f t="shared" si="30"/>
        <v>1</v>
      </c>
      <c r="AT214" s="1" t="str">
        <f>IF(ISBLANK(W214),"",IF(ISERROR(MATCH(W214,HQLATABLE!$A:$A,0)),0,1))</f>
        <v/>
      </c>
      <c r="AU214" s="1" t="str">
        <f t="shared" si="31"/>
        <v>Blank</v>
      </c>
      <c r="AV214" s="1" t="str">
        <f t="shared" si="32"/>
        <v>Blank</v>
      </c>
      <c r="AW214" s="1">
        <f t="shared" si="33"/>
        <v>0</v>
      </c>
      <c r="AX214" s="1" t="str">
        <f t="shared" si="34"/>
        <v>Blank</v>
      </c>
      <c r="AY214" s="1"/>
      <c r="AZ214" s="1">
        <f>IF(COUNTIFS('PID CHECK'!$B:$B,AR214)=1,0,IF(COUNTIFS(AR$1:AR213,AR214)=1,0,1))</f>
        <v>0</v>
      </c>
      <c r="BA214" s="1"/>
      <c r="BB214" s="1"/>
    </row>
    <row r="215" spans="1:54">
      <c r="A215">
        <v>214</v>
      </c>
      <c r="B215" t="s">
        <v>149</v>
      </c>
      <c r="C215" t="s">
        <v>150</v>
      </c>
      <c r="D215" t="s">
        <v>145</v>
      </c>
      <c r="E215" t="s">
        <v>47</v>
      </c>
      <c r="F215" t="s">
        <v>53</v>
      </c>
      <c r="H215" t="s">
        <v>1032</v>
      </c>
      <c r="J215" t="s">
        <v>49</v>
      </c>
      <c r="K215" t="s">
        <v>53</v>
      </c>
      <c r="L215" t="s">
        <v>762</v>
      </c>
      <c r="M215" t="s">
        <v>762</v>
      </c>
      <c r="N215">
        <v>22.74</v>
      </c>
      <c r="R215" t="s">
        <v>1033</v>
      </c>
      <c r="S215" t="s">
        <v>1033</v>
      </c>
      <c r="AB215" t="s">
        <v>78</v>
      </c>
      <c r="AE215" t="s">
        <v>53</v>
      </c>
      <c r="AM215">
        <v>43465</v>
      </c>
      <c r="AN215">
        <v>43469.451388888891</v>
      </c>
      <c r="AO215" s="2">
        <f t="shared" si="27"/>
        <v>16</v>
      </c>
      <c r="AP215" s="2">
        <f t="shared" si="28"/>
        <v>16</v>
      </c>
      <c r="AQ215" s="3">
        <f t="shared" si="29"/>
        <v>1</v>
      </c>
      <c r="AR215" s="1" t="str">
        <f>INDEX(IOS!$B:$B,MATCH(D215,IOS!A:A,0))&amp;B215</f>
        <v>O.O.20</v>
      </c>
      <c r="AS215" s="1">
        <f t="shared" si="30"/>
        <v>1</v>
      </c>
      <c r="AT215" s="1" t="str">
        <f>IF(ISBLANK(W215),"",IF(ISERROR(MATCH(W215,HQLATABLE!$A:$A,0)),0,1))</f>
        <v/>
      </c>
      <c r="AU215" s="1" t="str">
        <f t="shared" si="31"/>
        <v>Blank</v>
      </c>
      <c r="AV215" s="1" t="str">
        <f t="shared" si="32"/>
        <v>Blank</v>
      </c>
      <c r="AW215" s="1">
        <f t="shared" si="33"/>
        <v>0</v>
      </c>
      <c r="AX215" s="1" t="str">
        <f t="shared" si="34"/>
        <v>Blank</v>
      </c>
      <c r="AY215" s="1"/>
      <c r="AZ215" s="1">
        <f>IF(COUNTIFS('PID CHECK'!$B:$B,AR215)=1,0,IF(COUNTIFS(AR$1:AR214,AR215)=1,0,1))</f>
        <v>0</v>
      </c>
      <c r="BA215" s="1"/>
      <c r="BB215" s="1"/>
    </row>
    <row r="216" spans="1:54">
      <c r="A216">
        <v>215</v>
      </c>
      <c r="B216" t="s">
        <v>149</v>
      </c>
      <c r="C216" t="s">
        <v>150</v>
      </c>
      <c r="D216" t="s">
        <v>145</v>
      </c>
      <c r="E216" t="s">
        <v>47</v>
      </c>
      <c r="F216" t="s">
        <v>53</v>
      </c>
      <c r="H216" t="s">
        <v>1046</v>
      </c>
      <c r="J216" t="s">
        <v>49</v>
      </c>
      <c r="K216" t="s">
        <v>53</v>
      </c>
      <c r="L216" t="s">
        <v>762</v>
      </c>
      <c r="M216" t="s">
        <v>762</v>
      </c>
      <c r="N216">
        <v>0.52</v>
      </c>
      <c r="R216" t="s">
        <v>1047</v>
      </c>
      <c r="S216" t="s">
        <v>1047</v>
      </c>
      <c r="AB216" t="s">
        <v>78</v>
      </c>
      <c r="AE216" t="s">
        <v>53</v>
      </c>
      <c r="AM216">
        <v>43465</v>
      </c>
      <c r="AN216">
        <v>43469.451388888891</v>
      </c>
      <c r="AO216" s="2">
        <f t="shared" si="27"/>
        <v>29</v>
      </c>
      <c r="AP216" s="2">
        <f t="shared" si="28"/>
        <v>29</v>
      </c>
      <c r="AQ216" s="3">
        <f t="shared" si="29"/>
        <v>1</v>
      </c>
      <c r="AR216" s="1" t="str">
        <f>INDEX(IOS!$B:$B,MATCH(D216,IOS!A:A,0))&amp;B216</f>
        <v>O.O.20</v>
      </c>
      <c r="AS216" s="1">
        <f t="shared" si="30"/>
        <v>1</v>
      </c>
      <c r="AT216" s="1" t="str">
        <f>IF(ISBLANK(W216),"",IF(ISERROR(MATCH(W216,HQLATABLE!$A:$A,0)),0,1))</f>
        <v/>
      </c>
      <c r="AU216" s="1" t="str">
        <f t="shared" si="31"/>
        <v>Blank</v>
      </c>
      <c r="AV216" s="1" t="str">
        <f t="shared" si="32"/>
        <v>Blank</v>
      </c>
      <c r="AW216" s="1">
        <f t="shared" si="33"/>
        <v>0</v>
      </c>
      <c r="AX216" s="1" t="str">
        <f t="shared" si="34"/>
        <v>Blank</v>
      </c>
      <c r="AY216" s="1"/>
      <c r="AZ216" s="1">
        <f>IF(COUNTIFS('PID CHECK'!$B:$B,AR216)=1,0,IF(COUNTIFS(AR$1:AR215,AR216)=1,0,1))</f>
        <v>0</v>
      </c>
      <c r="BA216" s="1"/>
      <c r="BB216" s="1"/>
    </row>
    <row r="217" spans="1:54">
      <c r="A217">
        <v>216</v>
      </c>
      <c r="B217" t="s">
        <v>149</v>
      </c>
      <c r="C217" t="s">
        <v>150</v>
      </c>
      <c r="D217" t="s">
        <v>145</v>
      </c>
      <c r="E217" t="s">
        <v>47</v>
      </c>
      <c r="F217" t="s">
        <v>50</v>
      </c>
      <c r="H217" t="s">
        <v>1030</v>
      </c>
      <c r="J217" t="s">
        <v>49</v>
      </c>
      <c r="K217" t="s">
        <v>53</v>
      </c>
      <c r="L217" t="s">
        <v>762</v>
      </c>
      <c r="M217" t="s">
        <v>762</v>
      </c>
      <c r="N217">
        <v>1.75</v>
      </c>
      <c r="R217" t="s">
        <v>1031</v>
      </c>
      <c r="S217" t="s">
        <v>1031</v>
      </c>
      <c r="AE217" t="s">
        <v>53</v>
      </c>
      <c r="AM217">
        <v>43465</v>
      </c>
      <c r="AN217">
        <v>43469.451388888891</v>
      </c>
      <c r="AO217" s="2">
        <f t="shared" si="27"/>
        <v>2</v>
      </c>
      <c r="AP217" s="2">
        <f t="shared" si="28"/>
        <v>2</v>
      </c>
      <c r="AQ217" s="3">
        <f t="shared" si="29"/>
        <v>1</v>
      </c>
      <c r="AR217" s="1" t="str">
        <f>INDEX(IOS!$B:$B,MATCH(D217,IOS!A:A,0))&amp;B217</f>
        <v>O.O.20</v>
      </c>
      <c r="AS217" s="1">
        <f t="shared" si="30"/>
        <v>0</v>
      </c>
      <c r="AT217" s="1" t="str">
        <f>IF(ISBLANK(W217),"",IF(ISERROR(MATCH(W217,HQLATABLE!$A:$A,0)),0,1))</f>
        <v/>
      </c>
      <c r="AU217" s="1" t="str">
        <f t="shared" si="31"/>
        <v>Blank</v>
      </c>
      <c r="AV217" s="1" t="str">
        <f t="shared" si="32"/>
        <v>Blank</v>
      </c>
      <c r="AW217" s="1">
        <f t="shared" si="33"/>
        <v>0</v>
      </c>
      <c r="AX217" s="1" t="str">
        <f t="shared" si="34"/>
        <v>Blank</v>
      </c>
      <c r="AY217" s="1"/>
      <c r="AZ217" s="1">
        <f>IF(COUNTIFS('PID CHECK'!$B:$B,AR217)=1,0,IF(COUNTIFS(AR$1:AR216,AR217)=1,0,1))</f>
        <v>0</v>
      </c>
      <c r="BA217" s="1"/>
      <c r="BB217" s="1"/>
    </row>
    <row r="218" spans="1:54">
      <c r="A218">
        <v>217</v>
      </c>
      <c r="B218" t="s">
        <v>149</v>
      </c>
      <c r="C218" t="s">
        <v>150</v>
      </c>
      <c r="D218" t="s">
        <v>145</v>
      </c>
      <c r="E218" t="s">
        <v>47</v>
      </c>
      <c r="F218" t="s">
        <v>53</v>
      </c>
      <c r="H218" t="s">
        <v>1030</v>
      </c>
      <c r="J218" t="s">
        <v>49</v>
      </c>
      <c r="K218" t="s">
        <v>53</v>
      </c>
      <c r="L218" t="s">
        <v>762</v>
      </c>
      <c r="M218" t="s">
        <v>762</v>
      </c>
      <c r="N218">
        <v>5.04</v>
      </c>
      <c r="R218" t="s">
        <v>1031</v>
      </c>
      <c r="S218" t="s">
        <v>1031</v>
      </c>
      <c r="AB218" t="s">
        <v>78</v>
      </c>
      <c r="AE218" t="s">
        <v>53</v>
      </c>
      <c r="AM218">
        <v>43465</v>
      </c>
      <c r="AN218">
        <v>43469.451388888891</v>
      </c>
      <c r="AO218" s="2">
        <f t="shared" si="27"/>
        <v>2</v>
      </c>
      <c r="AP218" s="2">
        <f t="shared" si="28"/>
        <v>2</v>
      </c>
      <c r="AQ218" s="3">
        <f t="shared" si="29"/>
        <v>1</v>
      </c>
      <c r="AR218" s="1" t="str">
        <f>INDEX(IOS!$B:$B,MATCH(D218,IOS!A:A,0))&amp;B218</f>
        <v>O.O.20</v>
      </c>
      <c r="AS218" s="1">
        <f t="shared" si="30"/>
        <v>1</v>
      </c>
      <c r="AT218" s="1" t="str">
        <f>IF(ISBLANK(W218),"",IF(ISERROR(MATCH(W218,HQLATABLE!$A:$A,0)),0,1))</f>
        <v/>
      </c>
      <c r="AU218" s="1" t="str">
        <f t="shared" si="31"/>
        <v>Blank</v>
      </c>
      <c r="AV218" s="1" t="str">
        <f t="shared" si="32"/>
        <v>Blank</v>
      </c>
      <c r="AW218" s="1">
        <f t="shared" si="33"/>
        <v>0</v>
      </c>
      <c r="AX218" s="1" t="str">
        <f t="shared" si="34"/>
        <v>Blank</v>
      </c>
      <c r="AY218" s="1"/>
      <c r="AZ218" s="1">
        <f>IF(COUNTIFS('PID CHECK'!$B:$B,AR218)=1,0,IF(COUNTIFS(AR$1:AR217,AR218)=1,0,1))</f>
        <v>0</v>
      </c>
      <c r="BA218" s="1"/>
      <c r="BB218" s="1"/>
    </row>
    <row r="219" spans="1:54">
      <c r="A219">
        <v>218</v>
      </c>
      <c r="B219" t="s">
        <v>149</v>
      </c>
      <c r="C219" t="s">
        <v>150</v>
      </c>
      <c r="D219" t="s">
        <v>145</v>
      </c>
      <c r="E219" t="s">
        <v>47</v>
      </c>
      <c r="F219" t="s">
        <v>50</v>
      </c>
      <c r="H219" t="s">
        <v>1007</v>
      </c>
      <c r="J219" t="s">
        <v>49</v>
      </c>
      <c r="K219" t="s">
        <v>53</v>
      </c>
      <c r="L219" t="s">
        <v>762</v>
      </c>
      <c r="M219" t="s">
        <v>762</v>
      </c>
      <c r="N219">
        <v>19.28</v>
      </c>
      <c r="R219" t="s">
        <v>1008</v>
      </c>
      <c r="S219" t="s">
        <v>1008</v>
      </c>
      <c r="AE219" t="s">
        <v>53</v>
      </c>
      <c r="AM219">
        <v>43465</v>
      </c>
      <c r="AN219">
        <v>43469.451388888891</v>
      </c>
      <c r="AO219" s="2">
        <f t="shared" si="27"/>
        <v>3</v>
      </c>
      <c r="AP219" s="2">
        <f t="shared" si="28"/>
        <v>3</v>
      </c>
      <c r="AQ219" s="3">
        <f t="shared" si="29"/>
        <v>1</v>
      </c>
      <c r="AR219" s="1" t="str">
        <f>INDEX(IOS!$B:$B,MATCH(D219,IOS!A:A,0))&amp;B219</f>
        <v>O.O.20</v>
      </c>
      <c r="AS219" s="1">
        <f t="shared" si="30"/>
        <v>0</v>
      </c>
      <c r="AT219" s="1" t="str">
        <f>IF(ISBLANK(W219),"",IF(ISERROR(MATCH(W219,HQLATABLE!$A:$A,0)),0,1))</f>
        <v/>
      </c>
      <c r="AU219" s="1" t="str">
        <f t="shared" si="31"/>
        <v>Blank</v>
      </c>
      <c r="AV219" s="1" t="str">
        <f t="shared" si="32"/>
        <v>Blank</v>
      </c>
      <c r="AW219" s="1">
        <f t="shared" si="33"/>
        <v>0</v>
      </c>
      <c r="AX219" s="1" t="str">
        <f t="shared" si="34"/>
        <v>Blank</v>
      </c>
      <c r="AY219" s="1"/>
      <c r="AZ219" s="1">
        <f>IF(COUNTIFS('PID CHECK'!$B:$B,AR219)=1,0,IF(COUNTIFS(AR$1:AR218,AR219)=1,0,1))</f>
        <v>0</v>
      </c>
      <c r="BA219" s="1"/>
      <c r="BB219" s="1"/>
    </row>
    <row r="220" spans="1:54">
      <c r="A220">
        <v>219</v>
      </c>
      <c r="B220" t="s">
        <v>149</v>
      </c>
      <c r="C220" t="s">
        <v>150</v>
      </c>
      <c r="D220" t="s">
        <v>145</v>
      </c>
      <c r="E220" t="s">
        <v>47</v>
      </c>
      <c r="F220" t="s">
        <v>53</v>
      </c>
      <c r="H220" t="s">
        <v>1007</v>
      </c>
      <c r="J220" t="s">
        <v>49</v>
      </c>
      <c r="K220" t="s">
        <v>53</v>
      </c>
      <c r="L220" t="s">
        <v>762</v>
      </c>
      <c r="M220" t="s">
        <v>762</v>
      </c>
      <c r="N220">
        <v>4.5</v>
      </c>
      <c r="R220" t="s">
        <v>1008</v>
      </c>
      <c r="S220" t="s">
        <v>1008</v>
      </c>
      <c r="AB220" t="s">
        <v>78</v>
      </c>
      <c r="AE220" t="s">
        <v>53</v>
      </c>
      <c r="AM220">
        <v>43465</v>
      </c>
      <c r="AN220">
        <v>43469.451388888891</v>
      </c>
      <c r="AO220" s="2">
        <f t="shared" si="27"/>
        <v>3</v>
      </c>
      <c r="AP220" s="2">
        <f t="shared" si="28"/>
        <v>3</v>
      </c>
      <c r="AQ220" s="3">
        <f t="shared" si="29"/>
        <v>1</v>
      </c>
      <c r="AR220" s="1" t="str">
        <f>INDEX(IOS!$B:$B,MATCH(D220,IOS!A:A,0))&amp;B220</f>
        <v>O.O.20</v>
      </c>
      <c r="AS220" s="1">
        <f t="shared" si="30"/>
        <v>1</v>
      </c>
      <c r="AT220" s="1" t="str">
        <f>IF(ISBLANK(W220),"",IF(ISERROR(MATCH(W220,HQLATABLE!$A:$A,0)),0,1))</f>
        <v/>
      </c>
      <c r="AU220" s="1" t="str">
        <f t="shared" si="31"/>
        <v>Blank</v>
      </c>
      <c r="AV220" s="1" t="str">
        <f t="shared" si="32"/>
        <v>Blank</v>
      </c>
      <c r="AW220" s="1">
        <f t="shared" si="33"/>
        <v>0</v>
      </c>
      <c r="AX220" s="1" t="str">
        <f t="shared" si="34"/>
        <v>Blank</v>
      </c>
      <c r="AY220" s="1"/>
      <c r="AZ220" s="1">
        <f>IF(COUNTIFS('PID CHECK'!$B:$B,AR220)=1,0,IF(COUNTIFS(AR$1:AR219,AR220)=1,0,1))</f>
        <v>0</v>
      </c>
      <c r="BA220" s="1"/>
      <c r="BB220" s="1"/>
    </row>
    <row r="221" spans="1:54">
      <c r="A221">
        <v>220</v>
      </c>
      <c r="B221" t="s">
        <v>58</v>
      </c>
      <c r="C221" t="s">
        <v>151</v>
      </c>
      <c r="D221" t="s">
        <v>145</v>
      </c>
      <c r="E221" t="s">
        <v>47</v>
      </c>
      <c r="F221" t="s">
        <v>53</v>
      </c>
      <c r="H221" t="s">
        <v>995</v>
      </c>
      <c r="J221" t="s">
        <v>49</v>
      </c>
      <c r="K221" t="s">
        <v>50</v>
      </c>
      <c r="L221" t="s">
        <v>762</v>
      </c>
      <c r="M221" t="s">
        <v>762</v>
      </c>
      <c r="N221">
        <v>0.18</v>
      </c>
      <c r="R221" t="s">
        <v>996</v>
      </c>
      <c r="S221" t="s">
        <v>996</v>
      </c>
      <c r="AB221" t="s">
        <v>78</v>
      </c>
      <c r="AE221" t="s">
        <v>50</v>
      </c>
      <c r="AM221">
        <v>43465</v>
      </c>
      <c r="AN221">
        <v>43469.451388888891</v>
      </c>
      <c r="AO221" s="2">
        <f t="shared" si="27"/>
        <v>10</v>
      </c>
      <c r="AP221" s="2">
        <f t="shared" si="28"/>
        <v>10</v>
      </c>
      <c r="AQ221" s="3">
        <f t="shared" si="29"/>
        <v>1</v>
      </c>
      <c r="AR221" s="1" t="str">
        <f>INDEX(IOS!$B:$B,MATCH(D221,IOS!A:A,0))&amp;B221</f>
        <v>O.O.1</v>
      </c>
      <c r="AS221" s="1">
        <f t="shared" si="30"/>
        <v>1</v>
      </c>
      <c r="AT221" s="1" t="str">
        <f>IF(ISBLANK(W221),"",IF(ISERROR(MATCH(W221,HQLATABLE!$A:$A,0)),0,1))</f>
        <v/>
      </c>
      <c r="AU221" s="1" t="str">
        <f t="shared" si="31"/>
        <v>Blank</v>
      </c>
      <c r="AV221" s="1" t="str">
        <f t="shared" si="32"/>
        <v>Blank</v>
      </c>
      <c r="AW221" s="1">
        <f t="shared" si="33"/>
        <v>0</v>
      </c>
      <c r="AX221" s="1" t="str">
        <f t="shared" si="34"/>
        <v>Blank</v>
      </c>
      <c r="AY221" s="1"/>
      <c r="AZ221" s="1">
        <f>IF(COUNTIFS('PID CHECK'!$B:$B,AR221)=1,0,IF(COUNTIFS(AR$1:AR220,AR221)=1,0,1))</f>
        <v>0</v>
      </c>
      <c r="BA221" s="1"/>
      <c r="BB221" s="1"/>
    </row>
    <row r="222" spans="1:54">
      <c r="A222">
        <v>221</v>
      </c>
      <c r="B222" t="s">
        <v>58</v>
      </c>
      <c r="C222" t="s">
        <v>151</v>
      </c>
      <c r="D222" t="s">
        <v>145</v>
      </c>
      <c r="E222" t="s">
        <v>47</v>
      </c>
      <c r="F222" t="s">
        <v>53</v>
      </c>
      <c r="H222" t="s">
        <v>67</v>
      </c>
      <c r="J222" t="s">
        <v>49</v>
      </c>
      <c r="K222" t="s">
        <v>50</v>
      </c>
      <c r="L222" t="s">
        <v>762</v>
      </c>
      <c r="M222" t="s">
        <v>762</v>
      </c>
      <c r="N222">
        <v>0.17</v>
      </c>
      <c r="R222" t="s">
        <v>68</v>
      </c>
      <c r="S222" t="s">
        <v>69</v>
      </c>
      <c r="AB222" t="s">
        <v>78</v>
      </c>
      <c r="AE222" t="s">
        <v>50</v>
      </c>
      <c r="AM222">
        <v>43465</v>
      </c>
      <c r="AN222">
        <v>43469.451388888891</v>
      </c>
      <c r="AO222" s="2">
        <f t="shared" si="27"/>
        <v>121</v>
      </c>
      <c r="AP222" s="2">
        <f t="shared" si="28"/>
        <v>150</v>
      </c>
      <c r="AQ222" s="3">
        <f t="shared" si="29"/>
        <v>0</v>
      </c>
      <c r="AR222" s="1" t="str">
        <f>INDEX(IOS!$B:$B,MATCH(D222,IOS!A:A,0))&amp;B222</f>
        <v>O.O.1</v>
      </c>
      <c r="AS222" s="1">
        <f t="shared" si="30"/>
        <v>1</v>
      </c>
      <c r="AT222" s="1" t="str">
        <f>IF(ISBLANK(W222),"",IF(ISERROR(MATCH(W222,HQLATABLE!$A:$A,0)),0,1))</f>
        <v/>
      </c>
      <c r="AU222" s="1" t="str">
        <f t="shared" si="31"/>
        <v>Blank</v>
      </c>
      <c r="AV222" s="1" t="str">
        <f t="shared" si="32"/>
        <v>Blank</v>
      </c>
      <c r="AW222" s="1">
        <f t="shared" si="33"/>
        <v>0</v>
      </c>
      <c r="AX222" s="1" t="str">
        <f t="shared" si="34"/>
        <v>Blank</v>
      </c>
      <c r="AY222" s="1"/>
      <c r="AZ222" s="1">
        <f>IF(COUNTIFS('PID CHECK'!$B:$B,AR222)=1,0,IF(COUNTIFS(AR$1:AR221,AR222)=1,0,1))</f>
        <v>0</v>
      </c>
      <c r="BA222" s="1"/>
      <c r="BB222" s="1"/>
    </row>
    <row r="223" spans="1:54">
      <c r="A223">
        <v>222</v>
      </c>
      <c r="B223" t="s">
        <v>58</v>
      </c>
      <c r="C223" t="s">
        <v>151</v>
      </c>
      <c r="D223" t="s">
        <v>145</v>
      </c>
      <c r="E223" t="s">
        <v>47</v>
      </c>
      <c r="F223" t="s">
        <v>53</v>
      </c>
      <c r="H223" t="s">
        <v>85</v>
      </c>
      <c r="J223" t="s">
        <v>49</v>
      </c>
      <c r="K223" t="s">
        <v>50</v>
      </c>
      <c r="L223" t="s">
        <v>762</v>
      </c>
      <c r="M223" t="s">
        <v>762</v>
      </c>
      <c r="N223">
        <v>0.05</v>
      </c>
      <c r="R223" t="s">
        <v>86</v>
      </c>
      <c r="S223" t="s">
        <v>86</v>
      </c>
      <c r="AB223" t="s">
        <v>78</v>
      </c>
      <c r="AE223" t="s">
        <v>50</v>
      </c>
      <c r="AM223">
        <v>43465</v>
      </c>
      <c r="AN223">
        <v>43469.451388888891</v>
      </c>
      <c r="AO223" s="2">
        <f t="shared" si="27"/>
        <v>14</v>
      </c>
      <c r="AP223" s="2">
        <f t="shared" si="28"/>
        <v>14</v>
      </c>
      <c r="AQ223" s="3">
        <f t="shared" si="29"/>
        <v>1</v>
      </c>
      <c r="AR223" s="1" t="str">
        <f>INDEX(IOS!$B:$B,MATCH(D223,IOS!A:A,0))&amp;B223</f>
        <v>O.O.1</v>
      </c>
      <c r="AS223" s="1">
        <f t="shared" si="30"/>
        <v>1</v>
      </c>
      <c r="AT223" s="1" t="str">
        <f>IF(ISBLANK(W223),"",IF(ISERROR(MATCH(W223,HQLATABLE!$A:$A,0)),0,1))</f>
        <v/>
      </c>
      <c r="AU223" s="1" t="str">
        <f t="shared" si="31"/>
        <v>Blank</v>
      </c>
      <c r="AV223" s="1" t="str">
        <f t="shared" si="32"/>
        <v>Blank</v>
      </c>
      <c r="AW223" s="1">
        <f t="shared" si="33"/>
        <v>0</v>
      </c>
      <c r="AX223" s="1" t="str">
        <f t="shared" si="34"/>
        <v>Blank</v>
      </c>
      <c r="AY223" s="1"/>
      <c r="AZ223" s="1">
        <f>IF(COUNTIFS('PID CHECK'!$B:$B,AR223)=1,0,IF(COUNTIFS(AR$1:AR222,AR223)=1,0,1))</f>
        <v>0</v>
      </c>
      <c r="BA223" s="1"/>
      <c r="BB223" s="1"/>
    </row>
    <row r="224" spans="1:54">
      <c r="A224">
        <v>223</v>
      </c>
      <c r="B224" t="s">
        <v>58</v>
      </c>
      <c r="C224" t="s">
        <v>151</v>
      </c>
      <c r="D224" t="s">
        <v>145</v>
      </c>
      <c r="E224" t="s">
        <v>47</v>
      </c>
      <c r="F224" t="s">
        <v>53</v>
      </c>
      <c r="H224" t="s">
        <v>73</v>
      </c>
      <c r="J224" t="s">
        <v>49</v>
      </c>
      <c r="K224" t="s">
        <v>50</v>
      </c>
      <c r="L224" t="s">
        <v>762</v>
      </c>
      <c r="M224" t="s">
        <v>762</v>
      </c>
      <c r="N224">
        <v>0.18</v>
      </c>
      <c r="R224" t="s">
        <v>74</v>
      </c>
      <c r="S224" t="s">
        <v>75</v>
      </c>
      <c r="AB224" t="s">
        <v>78</v>
      </c>
      <c r="AE224" t="s">
        <v>50</v>
      </c>
      <c r="AM224">
        <v>43465</v>
      </c>
      <c r="AN224">
        <v>43469.451388888891</v>
      </c>
      <c r="AO224" s="2">
        <f t="shared" si="27"/>
        <v>151</v>
      </c>
      <c r="AP224" s="2">
        <f t="shared" si="28"/>
        <v>180</v>
      </c>
      <c r="AQ224" s="3">
        <f t="shared" si="29"/>
        <v>0</v>
      </c>
      <c r="AR224" s="1" t="str">
        <f>INDEX(IOS!$B:$B,MATCH(D224,IOS!A:A,0))&amp;B224</f>
        <v>O.O.1</v>
      </c>
      <c r="AS224" s="1">
        <f t="shared" si="30"/>
        <v>1</v>
      </c>
      <c r="AT224" s="1" t="str">
        <f>IF(ISBLANK(W224),"",IF(ISERROR(MATCH(W224,HQLATABLE!$A:$A,0)),0,1))</f>
        <v/>
      </c>
      <c r="AU224" s="1" t="str">
        <f t="shared" si="31"/>
        <v>Blank</v>
      </c>
      <c r="AV224" s="1" t="str">
        <f t="shared" si="32"/>
        <v>Blank</v>
      </c>
      <c r="AW224" s="1">
        <f t="shared" si="33"/>
        <v>0</v>
      </c>
      <c r="AX224" s="1" t="str">
        <f t="shared" si="34"/>
        <v>Blank</v>
      </c>
      <c r="AY224" s="1"/>
      <c r="AZ224" s="1">
        <f>IF(COUNTIFS('PID CHECK'!$B:$B,AR224)=1,0,IF(COUNTIFS(AR$1:AR223,AR224)=1,0,1))</f>
        <v>0</v>
      </c>
      <c r="BA224" s="1"/>
      <c r="BB224" s="1"/>
    </row>
    <row r="225" spans="1:54">
      <c r="A225">
        <v>224</v>
      </c>
      <c r="B225" t="s">
        <v>58</v>
      </c>
      <c r="C225" t="s">
        <v>151</v>
      </c>
      <c r="D225" t="s">
        <v>145</v>
      </c>
      <c r="E225" t="s">
        <v>47</v>
      </c>
      <c r="F225" t="s">
        <v>53</v>
      </c>
      <c r="H225" t="s">
        <v>87</v>
      </c>
      <c r="J225" t="s">
        <v>49</v>
      </c>
      <c r="K225" t="s">
        <v>50</v>
      </c>
      <c r="L225" t="s">
        <v>762</v>
      </c>
      <c r="M225" t="s">
        <v>762</v>
      </c>
      <c r="N225">
        <v>0.62</v>
      </c>
      <c r="R225" t="s">
        <v>88</v>
      </c>
      <c r="S225" t="s">
        <v>89</v>
      </c>
      <c r="AB225" t="s">
        <v>78</v>
      </c>
      <c r="AE225" t="s">
        <v>50</v>
      </c>
      <c r="AM225">
        <v>43465</v>
      </c>
      <c r="AN225">
        <v>43469.451388888891</v>
      </c>
      <c r="AO225" s="2">
        <f t="shared" si="27"/>
        <v>181</v>
      </c>
      <c r="AP225" s="2">
        <f t="shared" si="28"/>
        <v>270</v>
      </c>
      <c r="AQ225" s="3">
        <f t="shared" si="29"/>
        <v>0</v>
      </c>
      <c r="AR225" s="1" t="str">
        <f>INDEX(IOS!$B:$B,MATCH(D225,IOS!A:A,0))&amp;B225</f>
        <v>O.O.1</v>
      </c>
      <c r="AS225" s="1">
        <f t="shared" si="30"/>
        <v>1</v>
      </c>
      <c r="AT225" s="1" t="str">
        <f>IF(ISBLANK(W225),"",IF(ISERROR(MATCH(W225,HQLATABLE!$A:$A,0)),0,1))</f>
        <v/>
      </c>
      <c r="AU225" s="1" t="str">
        <f t="shared" si="31"/>
        <v>Blank</v>
      </c>
      <c r="AV225" s="1" t="str">
        <f t="shared" si="32"/>
        <v>Blank</v>
      </c>
      <c r="AW225" s="1">
        <f t="shared" si="33"/>
        <v>0</v>
      </c>
      <c r="AX225" s="1" t="str">
        <f t="shared" si="34"/>
        <v>Blank</v>
      </c>
      <c r="AY225" s="1"/>
      <c r="AZ225" s="1">
        <f>IF(COUNTIFS('PID CHECK'!$B:$B,AR225)=1,0,IF(COUNTIFS(AR$1:AR224,AR225)=1,0,1))</f>
        <v>0</v>
      </c>
      <c r="BA225" s="1"/>
      <c r="BB225" s="1"/>
    </row>
    <row r="226" spans="1:54">
      <c r="A226">
        <v>225</v>
      </c>
      <c r="B226" t="s">
        <v>58</v>
      </c>
      <c r="C226" t="s">
        <v>151</v>
      </c>
      <c r="D226" t="s">
        <v>145</v>
      </c>
      <c r="E226" t="s">
        <v>47</v>
      </c>
      <c r="F226" t="s">
        <v>53</v>
      </c>
      <c r="H226" t="s">
        <v>77</v>
      </c>
      <c r="J226" t="s">
        <v>49</v>
      </c>
      <c r="K226" t="s">
        <v>50</v>
      </c>
      <c r="L226" t="s">
        <v>762</v>
      </c>
      <c r="M226" t="s">
        <v>762</v>
      </c>
      <c r="N226">
        <v>19.5</v>
      </c>
      <c r="R226" t="s">
        <v>77</v>
      </c>
      <c r="S226" t="s">
        <v>762</v>
      </c>
      <c r="AB226" t="s">
        <v>78</v>
      </c>
      <c r="AE226" t="s">
        <v>50</v>
      </c>
      <c r="AM226">
        <v>43465</v>
      </c>
      <c r="AN226">
        <v>43469.451388888891</v>
      </c>
      <c r="AO226" s="2">
        <f t="shared" si="27"/>
        <v>1827</v>
      </c>
      <c r="AP226" s="2">
        <f t="shared" si="28"/>
        <v>99999</v>
      </c>
      <c r="AQ226" s="3">
        <f t="shared" si="29"/>
        <v>0</v>
      </c>
      <c r="AR226" s="1" t="str">
        <f>INDEX(IOS!$B:$B,MATCH(D226,IOS!A:A,0))&amp;B226</f>
        <v>O.O.1</v>
      </c>
      <c r="AS226" s="1">
        <f t="shared" si="30"/>
        <v>1</v>
      </c>
      <c r="AT226" s="1" t="str">
        <f>IF(ISBLANK(W226),"",IF(ISERROR(MATCH(W226,HQLATABLE!$A:$A,0)),0,1))</f>
        <v/>
      </c>
      <c r="AU226" s="1" t="str">
        <f t="shared" si="31"/>
        <v>Blank</v>
      </c>
      <c r="AV226" s="1" t="str">
        <f t="shared" si="32"/>
        <v>Blank</v>
      </c>
      <c r="AW226" s="1">
        <f t="shared" si="33"/>
        <v>0</v>
      </c>
      <c r="AX226" s="1" t="str">
        <f t="shared" si="34"/>
        <v>Blank</v>
      </c>
      <c r="AY226" s="1"/>
      <c r="AZ226" s="1">
        <f>IF(COUNTIFS('PID CHECK'!$B:$B,AR226)=1,0,IF(COUNTIFS(AR$1:AR225,AR226)=1,0,1))</f>
        <v>0</v>
      </c>
      <c r="BA226" s="1"/>
      <c r="BB226" s="1"/>
    </row>
    <row r="227" spans="1:54">
      <c r="A227">
        <v>226</v>
      </c>
      <c r="B227" t="s">
        <v>58</v>
      </c>
      <c r="C227" t="s">
        <v>151</v>
      </c>
      <c r="D227" t="s">
        <v>145</v>
      </c>
      <c r="E227" t="s">
        <v>47</v>
      </c>
      <c r="F227" t="s">
        <v>53</v>
      </c>
      <c r="H227" t="s">
        <v>79</v>
      </c>
      <c r="J227" t="s">
        <v>49</v>
      </c>
      <c r="K227" t="s">
        <v>50</v>
      </c>
      <c r="L227" t="s">
        <v>762</v>
      </c>
      <c r="M227" t="s">
        <v>762</v>
      </c>
      <c r="N227">
        <v>0.61</v>
      </c>
      <c r="R227" t="s">
        <v>80</v>
      </c>
      <c r="S227" t="s">
        <v>81</v>
      </c>
      <c r="AB227" t="s">
        <v>78</v>
      </c>
      <c r="AE227" t="s">
        <v>50</v>
      </c>
      <c r="AM227">
        <v>43465</v>
      </c>
      <c r="AN227">
        <v>43469.451388888891</v>
      </c>
      <c r="AO227" s="2">
        <f t="shared" si="27"/>
        <v>271</v>
      </c>
      <c r="AP227" s="2">
        <f t="shared" si="28"/>
        <v>365</v>
      </c>
      <c r="AQ227" s="3">
        <f t="shared" si="29"/>
        <v>0</v>
      </c>
      <c r="AR227" s="1" t="str">
        <f>INDEX(IOS!$B:$B,MATCH(D227,IOS!A:A,0))&amp;B227</f>
        <v>O.O.1</v>
      </c>
      <c r="AS227" s="1">
        <f t="shared" si="30"/>
        <v>1</v>
      </c>
      <c r="AT227" s="1" t="str">
        <f>IF(ISBLANK(W227),"",IF(ISERROR(MATCH(W227,HQLATABLE!$A:$A,0)),0,1))</f>
        <v/>
      </c>
      <c r="AU227" s="1" t="str">
        <f t="shared" si="31"/>
        <v>Blank</v>
      </c>
      <c r="AV227" s="1" t="str">
        <f t="shared" si="32"/>
        <v>Blank</v>
      </c>
      <c r="AW227" s="1">
        <f t="shared" si="33"/>
        <v>0</v>
      </c>
      <c r="AX227" s="1" t="str">
        <f t="shared" si="34"/>
        <v>Blank</v>
      </c>
      <c r="AY227" s="1"/>
      <c r="AZ227" s="1">
        <f>IF(COUNTIFS('PID CHECK'!$B:$B,AR227)=1,0,IF(COUNTIFS(AR$1:AR226,AR227)=1,0,1))</f>
        <v>0</v>
      </c>
      <c r="BA227" s="1"/>
      <c r="BB227" s="1"/>
    </row>
    <row r="228" spans="1:54">
      <c r="A228">
        <v>227</v>
      </c>
      <c r="B228" t="s">
        <v>58</v>
      </c>
      <c r="C228" t="s">
        <v>151</v>
      </c>
      <c r="D228" t="s">
        <v>145</v>
      </c>
      <c r="E228" t="s">
        <v>47</v>
      </c>
      <c r="F228" t="s">
        <v>53</v>
      </c>
      <c r="H228" t="s">
        <v>90</v>
      </c>
      <c r="J228" t="s">
        <v>49</v>
      </c>
      <c r="K228" t="s">
        <v>50</v>
      </c>
      <c r="L228" t="s">
        <v>762</v>
      </c>
      <c r="M228" t="s">
        <v>762</v>
      </c>
      <c r="N228">
        <v>0.18</v>
      </c>
      <c r="R228" t="s">
        <v>91</v>
      </c>
      <c r="S228" t="s">
        <v>91</v>
      </c>
      <c r="AB228" t="s">
        <v>78</v>
      </c>
      <c r="AE228" t="s">
        <v>50</v>
      </c>
      <c r="AM228">
        <v>43465</v>
      </c>
      <c r="AN228">
        <v>43469.451388888891</v>
      </c>
      <c r="AO228" s="2">
        <f t="shared" si="27"/>
        <v>42</v>
      </c>
      <c r="AP228" s="2">
        <f t="shared" si="28"/>
        <v>42</v>
      </c>
      <c r="AQ228" s="3">
        <f t="shared" si="29"/>
        <v>0</v>
      </c>
      <c r="AR228" s="1" t="str">
        <f>INDEX(IOS!$B:$B,MATCH(D228,IOS!A:A,0))&amp;B228</f>
        <v>O.O.1</v>
      </c>
      <c r="AS228" s="1">
        <f t="shared" si="30"/>
        <v>1</v>
      </c>
      <c r="AT228" s="1" t="str">
        <f>IF(ISBLANK(W228),"",IF(ISERROR(MATCH(W228,HQLATABLE!$A:$A,0)),0,1))</f>
        <v/>
      </c>
      <c r="AU228" s="1" t="str">
        <f t="shared" si="31"/>
        <v>Blank</v>
      </c>
      <c r="AV228" s="1" t="str">
        <f t="shared" si="32"/>
        <v>Blank</v>
      </c>
      <c r="AW228" s="1">
        <f t="shared" si="33"/>
        <v>0</v>
      </c>
      <c r="AX228" s="1" t="str">
        <f t="shared" si="34"/>
        <v>Blank</v>
      </c>
      <c r="AY228" s="1"/>
      <c r="AZ228" s="1">
        <f>IF(COUNTIFS('PID CHECK'!$B:$B,AR228)=1,0,IF(COUNTIFS(AR$1:AR227,AR228)=1,0,1))</f>
        <v>0</v>
      </c>
      <c r="BA228" s="1"/>
      <c r="BB228" s="1"/>
    </row>
    <row r="229" spans="1:54">
      <c r="A229">
        <v>228</v>
      </c>
      <c r="B229" t="s">
        <v>58</v>
      </c>
      <c r="C229" t="s">
        <v>151</v>
      </c>
      <c r="D229" t="s">
        <v>145</v>
      </c>
      <c r="E229" t="s">
        <v>47</v>
      </c>
      <c r="F229" t="s">
        <v>53</v>
      </c>
      <c r="H229" t="s">
        <v>97</v>
      </c>
      <c r="J229" t="s">
        <v>49</v>
      </c>
      <c r="K229" t="s">
        <v>50</v>
      </c>
      <c r="L229" t="s">
        <v>762</v>
      </c>
      <c r="M229" t="s">
        <v>762</v>
      </c>
      <c r="N229">
        <v>0.16</v>
      </c>
      <c r="R229" t="s">
        <v>98</v>
      </c>
      <c r="S229" t="s">
        <v>99</v>
      </c>
      <c r="AB229" t="s">
        <v>78</v>
      </c>
      <c r="AE229" t="s">
        <v>50</v>
      </c>
      <c r="AM229">
        <v>43465</v>
      </c>
      <c r="AN229">
        <v>43469.451388888891</v>
      </c>
      <c r="AO229" s="2">
        <f t="shared" si="27"/>
        <v>68</v>
      </c>
      <c r="AP229" s="2">
        <f t="shared" si="28"/>
        <v>74</v>
      </c>
      <c r="AQ229" s="3">
        <f t="shared" si="29"/>
        <v>0</v>
      </c>
      <c r="AR229" s="1" t="str">
        <f>INDEX(IOS!$B:$B,MATCH(D229,IOS!A:A,0))&amp;B229</f>
        <v>O.O.1</v>
      </c>
      <c r="AS229" s="1">
        <f t="shared" si="30"/>
        <v>1</v>
      </c>
      <c r="AT229" s="1" t="str">
        <f>IF(ISBLANK(W229),"",IF(ISERROR(MATCH(W229,HQLATABLE!$A:$A,0)),0,1))</f>
        <v/>
      </c>
      <c r="AU229" s="1" t="str">
        <f t="shared" si="31"/>
        <v>Blank</v>
      </c>
      <c r="AV229" s="1" t="str">
        <f t="shared" si="32"/>
        <v>Blank</v>
      </c>
      <c r="AW229" s="1">
        <f t="shared" si="33"/>
        <v>0</v>
      </c>
      <c r="AX229" s="1" t="str">
        <f t="shared" si="34"/>
        <v>Blank</v>
      </c>
      <c r="AY229" s="1"/>
      <c r="AZ229" s="1">
        <f>IF(COUNTIFS('PID CHECK'!$B:$B,AR229)=1,0,IF(COUNTIFS(AR$1:AR228,AR229)=1,0,1))</f>
        <v>0</v>
      </c>
      <c r="BA229" s="1"/>
      <c r="BB229" s="1"/>
    </row>
    <row r="230" spans="1:54">
      <c r="A230">
        <v>229</v>
      </c>
      <c r="B230" t="s">
        <v>58</v>
      </c>
      <c r="C230" t="s">
        <v>151</v>
      </c>
      <c r="D230" t="s">
        <v>145</v>
      </c>
      <c r="E230" t="s">
        <v>47</v>
      </c>
      <c r="F230" t="s">
        <v>53</v>
      </c>
      <c r="H230" t="s">
        <v>103</v>
      </c>
      <c r="J230" t="s">
        <v>49</v>
      </c>
      <c r="K230" t="s">
        <v>50</v>
      </c>
      <c r="L230" t="s">
        <v>762</v>
      </c>
      <c r="M230" t="s">
        <v>762</v>
      </c>
      <c r="N230">
        <v>0.05</v>
      </c>
      <c r="R230" t="s">
        <v>104</v>
      </c>
      <c r="S230" t="s">
        <v>104</v>
      </c>
      <c r="AB230" t="s">
        <v>78</v>
      </c>
      <c r="AE230" t="s">
        <v>50</v>
      </c>
      <c r="AM230">
        <v>43465</v>
      </c>
      <c r="AN230">
        <v>43469.451388888891</v>
      </c>
      <c r="AO230" s="2">
        <f t="shared" si="27"/>
        <v>7</v>
      </c>
      <c r="AP230" s="2">
        <f t="shared" si="28"/>
        <v>7</v>
      </c>
      <c r="AQ230" s="3">
        <f t="shared" si="29"/>
        <v>1</v>
      </c>
      <c r="AR230" s="1" t="str">
        <f>INDEX(IOS!$B:$B,MATCH(D230,IOS!A:A,0))&amp;B230</f>
        <v>O.O.1</v>
      </c>
      <c r="AS230" s="1">
        <f t="shared" si="30"/>
        <v>1</v>
      </c>
      <c r="AT230" s="1" t="str">
        <f>IF(ISBLANK(W230),"",IF(ISERROR(MATCH(W230,HQLATABLE!$A:$A,0)),0,1))</f>
        <v/>
      </c>
      <c r="AU230" s="1" t="str">
        <f t="shared" si="31"/>
        <v>Blank</v>
      </c>
      <c r="AV230" s="1" t="str">
        <f t="shared" si="32"/>
        <v>Blank</v>
      </c>
      <c r="AW230" s="1">
        <f t="shared" si="33"/>
        <v>0</v>
      </c>
      <c r="AX230" s="1" t="str">
        <f t="shared" si="34"/>
        <v>Blank</v>
      </c>
      <c r="AY230" s="1"/>
      <c r="AZ230" s="1">
        <f>IF(COUNTIFS('PID CHECK'!$B:$B,AR230)=1,0,IF(COUNTIFS(AR$1:AR229,AR230)=1,0,1))</f>
        <v>0</v>
      </c>
      <c r="BA230" s="1"/>
      <c r="BB230" s="1"/>
    </row>
    <row r="231" spans="1:54">
      <c r="A231">
        <v>230</v>
      </c>
      <c r="B231" t="s">
        <v>58</v>
      </c>
      <c r="C231" t="s">
        <v>151</v>
      </c>
      <c r="D231" t="s">
        <v>145</v>
      </c>
      <c r="E231" t="s">
        <v>47</v>
      </c>
      <c r="F231" t="s">
        <v>53</v>
      </c>
      <c r="H231" t="s">
        <v>108</v>
      </c>
      <c r="J231" t="s">
        <v>49</v>
      </c>
      <c r="K231" t="s">
        <v>50</v>
      </c>
      <c r="L231" t="s">
        <v>762</v>
      </c>
      <c r="M231" t="s">
        <v>762</v>
      </c>
      <c r="N231">
        <v>0.27</v>
      </c>
      <c r="R231" t="s">
        <v>109</v>
      </c>
      <c r="S231" t="s">
        <v>110</v>
      </c>
      <c r="AB231" t="s">
        <v>78</v>
      </c>
      <c r="AE231" t="s">
        <v>50</v>
      </c>
      <c r="AM231">
        <v>43465</v>
      </c>
      <c r="AN231">
        <v>43469.451388888891</v>
      </c>
      <c r="AO231" s="2">
        <f t="shared" si="27"/>
        <v>91</v>
      </c>
      <c r="AP231" s="2">
        <f t="shared" si="28"/>
        <v>120</v>
      </c>
      <c r="AQ231" s="3">
        <f t="shared" si="29"/>
        <v>0</v>
      </c>
      <c r="AR231" s="1" t="str">
        <f>INDEX(IOS!$B:$B,MATCH(D231,IOS!A:A,0))&amp;B231</f>
        <v>O.O.1</v>
      </c>
      <c r="AS231" s="1">
        <f t="shared" si="30"/>
        <v>1</v>
      </c>
      <c r="AT231" s="1" t="str">
        <f>IF(ISBLANK(W231),"",IF(ISERROR(MATCH(W231,HQLATABLE!$A:$A,0)),0,1))</f>
        <v/>
      </c>
      <c r="AU231" s="1" t="str">
        <f t="shared" si="31"/>
        <v>Blank</v>
      </c>
      <c r="AV231" s="1" t="str">
        <f t="shared" si="32"/>
        <v>Blank</v>
      </c>
      <c r="AW231" s="1">
        <f t="shared" si="33"/>
        <v>0</v>
      </c>
      <c r="AX231" s="1" t="str">
        <f t="shared" si="34"/>
        <v>Blank</v>
      </c>
      <c r="AY231" s="1"/>
      <c r="AZ231" s="1">
        <f>IF(COUNTIFS('PID CHECK'!$B:$B,AR231)=1,0,IF(COUNTIFS(AR$1:AR230,AR231)=1,0,1))</f>
        <v>0</v>
      </c>
      <c r="BA231" s="1"/>
      <c r="BB231" s="1"/>
    </row>
    <row r="232" spans="1:54">
      <c r="A232">
        <v>231</v>
      </c>
      <c r="B232" t="s">
        <v>58</v>
      </c>
      <c r="C232" t="s">
        <v>152</v>
      </c>
      <c r="D232" t="s">
        <v>153</v>
      </c>
      <c r="E232" t="s">
        <v>47</v>
      </c>
      <c r="F232" t="s">
        <v>50</v>
      </c>
      <c r="H232" t="s">
        <v>48</v>
      </c>
      <c r="J232" t="s">
        <v>49</v>
      </c>
      <c r="K232" t="s">
        <v>50</v>
      </c>
      <c r="L232" t="s">
        <v>762</v>
      </c>
      <c r="M232" t="s">
        <v>762</v>
      </c>
      <c r="N232">
        <v>62.72</v>
      </c>
      <c r="R232" t="s">
        <v>51</v>
      </c>
      <c r="S232" t="s">
        <v>52</v>
      </c>
      <c r="Z232" t="s">
        <v>122</v>
      </c>
      <c r="AA232" t="s">
        <v>154</v>
      </c>
      <c r="AC232" t="s">
        <v>883</v>
      </c>
      <c r="AD232" t="s">
        <v>50</v>
      </c>
      <c r="AH232">
        <v>1</v>
      </c>
      <c r="AM232">
        <v>43465</v>
      </c>
      <c r="AN232">
        <v>43469</v>
      </c>
      <c r="AO232" s="2">
        <f t="shared" si="27"/>
        <v>0</v>
      </c>
      <c r="AP232" s="2">
        <f t="shared" si="28"/>
        <v>0</v>
      </c>
      <c r="AQ232" s="3">
        <f t="shared" si="29"/>
        <v>1</v>
      </c>
      <c r="AR232" s="1" t="str">
        <f>INDEX(IOS!$B:$B,MATCH(D232,IOS!A:A,0))&amp;B232</f>
        <v>O.D.1</v>
      </c>
      <c r="AS232" s="1">
        <f t="shared" si="30"/>
        <v>0</v>
      </c>
      <c r="AT232" s="1" t="str">
        <f>IF(ISBLANK(W232),"",IF(ISERROR(MATCH(W232,HQLATABLE!$A:$A,0)),0,1))</f>
        <v/>
      </c>
      <c r="AU232" s="1" t="str">
        <f t="shared" si="31"/>
        <v>Blank</v>
      </c>
      <c r="AV232" s="1" t="str">
        <f t="shared" si="32"/>
        <v>Blank</v>
      </c>
      <c r="AW232" s="1">
        <f t="shared" si="33"/>
        <v>0</v>
      </c>
      <c r="AX232" s="1">
        <f t="shared" si="34"/>
        <v>0</v>
      </c>
      <c r="AY232" s="1"/>
      <c r="AZ232" s="1">
        <f>IF(COUNTIFS('PID CHECK'!$B:$B,AR232)=1,0,IF(COUNTIFS(AR$1:AR231,AR232)=1,0,1))</f>
        <v>0</v>
      </c>
      <c r="BA232" s="1"/>
      <c r="BB232" s="1"/>
    </row>
    <row r="233" spans="1:54">
      <c r="A233">
        <v>232</v>
      </c>
      <c r="B233" t="s">
        <v>58</v>
      </c>
      <c r="C233" t="s">
        <v>152</v>
      </c>
      <c r="D233" t="s">
        <v>153</v>
      </c>
      <c r="E233" t="s">
        <v>47</v>
      </c>
      <c r="F233" t="s">
        <v>50</v>
      </c>
      <c r="H233" t="s">
        <v>48</v>
      </c>
      <c r="J233" t="s">
        <v>49</v>
      </c>
      <c r="K233" t="s">
        <v>50</v>
      </c>
      <c r="L233" t="s">
        <v>762</v>
      </c>
      <c r="M233" t="s">
        <v>762</v>
      </c>
      <c r="N233">
        <v>0.24</v>
      </c>
      <c r="R233" t="s">
        <v>51</v>
      </c>
      <c r="S233" t="s">
        <v>52</v>
      </c>
      <c r="Z233" t="s">
        <v>155</v>
      </c>
      <c r="AA233" t="s">
        <v>154</v>
      </c>
      <c r="AC233" t="s">
        <v>883</v>
      </c>
      <c r="AD233" t="s">
        <v>50</v>
      </c>
      <c r="AH233">
        <v>2</v>
      </c>
      <c r="AM233">
        <v>43465</v>
      </c>
      <c r="AN233">
        <v>43469</v>
      </c>
      <c r="AO233" s="2">
        <f t="shared" si="27"/>
        <v>0</v>
      </c>
      <c r="AP233" s="2">
        <f t="shared" si="28"/>
        <v>0</v>
      </c>
      <c r="AQ233" s="3">
        <f t="shared" si="29"/>
        <v>1</v>
      </c>
      <c r="AR233" s="1" t="str">
        <f>INDEX(IOS!$B:$B,MATCH(D233,IOS!A:A,0))&amp;B233</f>
        <v>O.D.1</v>
      </c>
      <c r="AS233" s="1">
        <f t="shared" si="30"/>
        <v>0</v>
      </c>
      <c r="AT233" s="1" t="str">
        <f>IF(ISBLANK(W233),"",IF(ISERROR(MATCH(W233,HQLATABLE!$A:$A,0)),0,1))</f>
        <v/>
      </c>
      <c r="AU233" s="1" t="str">
        <f t="shared" si="31"/>
        <v>Blank</v>
      </c>
      <c r="AV233" s="1" t="str">
        <f t="shared" si="32"/>
        <v>Blank</v>
      </c>
      <c r="AW233" s="1">
        <f t="shared" si="33"/>
        <v>0</v>
      </c>
      <c r="AX233" s="1">
        <f t="shared" si="34"/>
        <v>0</v>
      </c>
      <c r="AY233" s="1"/>
      <c r="AZ233" s="1">
        <f>IF(COUNTIFS('PID CHECK'!$B:$B,AR233)=1,0,IF(COUNTIFS(AR$1:AR232,AR233)=1,0,1))</f>
        <v>0</v>
      </c>
      <c r="BA233" s="1"/>
      <c r="BB233" s="1"/>
    </row>
    <row r="234" spans="1:54">
      <c r="A234">
        <v>233</v>
      </c>
      <c r="B234" t="s">
        <v>58</v>
      </c>
      <c r="C234" t="s">
        <v>152</v>
      </c>
      <c r="D234" t="s">
        <v>153</v>
      </c>
      <c r="E234" t="s">
        <v>47</v>
      </c>
      <c r="F234" t="s">
        <v>50</v>
      </c>
      <c r="H234" t="s">
        <v>48</v>
      </c>
      <c r="J234" t="s">
        <v>49</v>
      </c>
      <c r="K234" t="s">
        <v>50</v>
      </c>
      <c r="L234" t="s">
        <v>762</v>
      </c>
      <c r="M234" t="s">
        <v>762</v>
      </c>
      <c r="N234">
        <v>6.7</v>
      </c>
      <c r="R234" t="s">
        <v>51</v>
      </c>
      <c r="S234" t="s">
        <v>52</v>
      </c>
      <c r="Z234" t="s">
        <v>122</v>
      </c>
      <c r="AA234" t="s">
        <v>156</v>
      </c>
      <c r="AC234" t="s">
        <v>883</v>
      </c>
      <c r="AD234" t="s">
        <v>50</v>
      </c>
      <c r="AH234">
        <v>1</v>
      </c>
      <c r="AM234">
        <v>43465</v>
      </c>
      <c r="AN234">
        <v>43469</v>
      </c>
      <c r="AO234" s="2">
        <f t="shared" si="27"/>
        <v>0</v>
      </c>
      <c r="AP234" s="2">
        <f t="shared" si="28"/>
        <v>0</v>
      </c>
      <c r="AQ234" s="3">
        <f t="shared" si="29"/>
        <v>1</v>
      </c>
      <c r="AR234" s="1" t="str">
        <f>INDEX(IOS!$B:$B,MATCH(D234,IOS!A:A,0))&amp;B234</f>
        <v>O.D.1</v>
      </c>
      <c r="AS234" s="1">
        <f t="shared" si="30"/>
        <v>0</v>
      </c>
      <c r="AT234" s="1" t="str">
        <f>IF(ISBLANK(W234),"",IF(ISERROR(MATCH(W234,HQLATABLE!$A:$A,0)),0,1))</f>
        <v/>
      </c>
      <c r="AU234" s="1" t="str">
        <f t="shared" si="31"/>
        <v>Blank</v>
      </c>
      <c r="AV234" s="1" t="str">
        <f t="shared" si="32"/>
        <v>Blank</v>
      </c>
      <c r="AW234" s="1">
        <f t="shared" si="33"/>
        <v>0</v>
      </c>
      <c r="AX234" s="1">
        <f t="shared" si="34"/>
        <v>0</v>
      </c>
      <c r="AY234" s="1"/>
      <c r="AZ234" s="1">
        <f>IF(COUNTIFS('PID CHECK'!$B:$B,AR234)=1,0,IF(COUNTIFS(AR$1:AR233,AR234)=1,0,1))</f>
        <v>0</v>
      </c>
      <c r="BA234" s="1"/>
      <c r="BB234" s="1"/>
    </row>
    <row r="235" spans="1:54">
      <c r="A235">
        <v>234</v>
      </c>
      <c r="B235" t="s">
        <v>58</v>
      </c>
      <c r="C235" t="s">
        <v>152</v>
      </c>
      <c r="D235" t="s">
        <v>153</v>
      </c>
      <c r="E235" t="s">
        <v>47</v>
      </c>
      <c r="F235" t="s">
        <v>50</v>
      </c>
      <c r="H235" t="s">
        <v>48</v>
      </c>
      <c r="J235" t="s">
        <v>49</v>
      </c>
      <c r="K235" t="s">
        <v>50</v>
      </c>
      <c r="L235" t="s">
        <v>762</v>
      </c>
      <c r="M235" t="s">
        <v>762</v>
      </c>
      <c r="N235">
        <v>0.01</v>
      </c>
      <c r="R235" t="s">
        <v>51</v>
      </c>
      <c r="S235" t="s">
        <v>52</v>
      </c>
      <c r="Z235" t="s">
        <v>155</v>
      </c>
      <c r="AA235" t="s">
        <v>156</v>
      </c>
      <c r="AC235" t="s">
        <v>883</v>
      </c>
      <c r="AD235" t="s">
        <v>50</v>
      </c>
      <c r="AH235">
        <v>2</v>
      </c>
      <c r="AM235">
        <v>43465</v>
      </c>
      <c r="AN235">
        <v>43469</v>
      </c>
      <c r="AO235" s="2">
        <f t="shared" si="27"/>
        <v>0</v>
      </c>
      <c r="AP235" s="2">
        <f t="shared" si="28"/>
        <v>0</v>
      </c>
      <c r="AQ235" s="3">
        <f t="shared" si="29"/>
        <v>1</v>
      </c>
      <c r="AR235" s="1" t="str">
        <f>INDEX(IOS!$B:$B,MATCH(D235,IOS!A:A,0))&amp;B235</f>
        <v>O.D.1</v>
      </c>
      <c r="AS235" s="1">
        <f t="shared" si="30"/>
        <v>0</v>
      </c>
      <c r="AT235" s="1" t="str">
        <f>IF(ISBLANK(W235),"",IF(ISERROR(MATCH(W235,HQLATABLE!$A:$A,0)),0,1))</f>
        <v/>
      </c>
      <c r="AU235" s="1" t="str">
        <f t="shared" si="31"/>
        <v>Blank</v>
      </c>
      <c r="AV235" s="1" t="str">
        <f t="shared" si="32"/>
        <v>Blank</v>
      </c>
      <c r="AW235" s="1">
        <f t="shared" si="33"/>
        <v>0</v>
      </c>
      <c r="AX235" s="1">
        <f t="shared" si="34"/>
        <v>0</v>
      </c>
      <c r="AY235" s="1"/>
      <c r="AZ235" s="1">
        <f>IF(COUNTIFS('PID CHECK'!$B:$B,AR235)=1,0,IF(COUNTIFS(AR$1:AR234,AR235)=1,0,1))</f>
        <v>0</v>
      </c>
      <c r="BA235" s="1"/>
      <c r="BB235" s="1"/>
    </row>
    <row r="236" spans="1:54">
      <c r="A236">
        <v>235</v>
      </c>
      <c r="B236" t="s">
        <v>142</v>
      </c>
      <c r="C236" t="s">
        <v>157</v>
      </c>
      <c r="D236" t="s">
        <v>153</v>
      </c>
      <c r="E236" t="s">
        <v>47</v>
      </c>
      <c r="F236" t="s">
        <v>50</v>
      </c>
      <c r="H236" t="s">
        <v>48</v>
      </c>
      <c r="J236" t="s">
        <v>49</v>
      </c>
      <c r="K236" t="s">
        <v>50</v>
      </c>
      <c r="L236" t="s">
        <v>762</v>
      </c>
      <c r="M236" t="s">
        <v>762</v>
      </c>
      <c r="N236">
        <v>7.0000000000000007E-2</v>
      </c>
      <c r="R236" t="s">
        <v>51</v>
      </c>
      <c r="S236" t="s">
        <v>52</v>
      </c>
      <c r="Z236" t="s">
        <v>759</v>
      </c>
      <c r="AA236" t="s">
        <v>154</v>
      </c>
      <c r="AC236" t="s">
        <v>883</v>
      </c>
      <c r="AD236" t="s">
        <v>50</v>
      </c>
      <c r="AH236">
        <v>10</v>
      </c>
      <c r="AM236">
        <v>43465</v>
      </c>
      <c r="AN236">
        <v>43469</v>
      </c>
      <c r="AO236" s="2">
        <f t="shared" si="27"/>
        <v>0</v>
      </c>
      <c r="AP236" s="2">
        <f t="shared" si="28"/>
        <v>0</v>
      </c>
      <c r="AQ236" s="3">
        <f t="shared" si="29"/>
        <v>1</v>
      </c>
      <c r="AR236" s="1" t="str">
        <f>INDEX(IOS!$B:$B,MATCH(D236,IOS!A:A,0))&amp;B236</f>
        <v>O.D.10</v>
      </c>
      <c r="AS236" s="1">
        <f t="shared" si="30"/>
        <v>0</v>
      </c>
      <c r="AT236" s="1" t="str">
        <f>IF(ISBLANK(W236),"",IF(ISERROR(MATCH(W236,HQLATABLE!$A:$A,0)),0,1))</f>
        <v/>
      </c>
      <c r="AU236" s="1" t="str">
        <f t="shared" si="31"/>
        <v>Blank</v>
      </c>
      <c r="AV236" s="1" t="str">
        <f t="shared" si="32"/>
        <v>Blank</v>
      </c>
      <c r="AW236" s="1">
        <f t="shared" si="33"/>
        <v>0</v>
      </c>
      <c r="AX236" s="1">
        <f t="shared" si="34"/>
        <v>0</v>
      </c>
      <c r="AY236" s="1"/>
      <c r="AZ236" s="1">
        <f>IF(COUNTIFS('PID CHECK'!$B:$B,AR236)=1,0,IF(COUNTIFS(AR$1:AR235,AR236)=1,0,1))</f>
        <v>0</v>
      </c>
      <c r="BA236" s="1"/>
      <c r="BB236" s="1"/>
    </row>
    <row r="237" spans="1:54">
      <c r="A237">
        <v>236</v>
      </c>
      <c r="B237" t="s">
        <v>142</v>
      </c>
      <c r="C237" t="s">
        <v>157</v>
      </c>
      <c r="D237" t="s">
        <v>153</v>
      </c>
      <c r="E237" t="s">
        <v>47</v>
      </c>
      <c r="F237" t="s">
        <v>50</v>
      </c>
      <c r="H237" t="s">
        <v>48</v>
      </c>
      <c r="J237" t="s">
        <v>49</v>
      </c>
      <c r="K237" t="s">
        <v>50</v>
      </c>
      <c r="L237" t="s">
        <v>762</v>
      </c>
      <c r="M237" t="s">
        <v>762</v>
      </c>
      <c r="N237">
        <v>5144.4799999999996</v>
      </c>
      <c r="R237" t="s">
        <v>51</v>
      </c>
      <c r="S237" t="s">
        <v>52</v>
      </c>
      <c r="Z237" t="s">
        <v>158</v>
      </c>
      <c r="AA237" t="s">
        <v>156</v>
      </c>
      <c r="AC237" t="s">
        <v>883</v>
      </c>
      <c r="AD237" t="s">
        <v>50</v>
      </c>
      <c r="AH237">
        <v>5</v>
      </c>
      <c r="AM237">
        <v>43465</v>
      </c>
      <c r="AN237">
        <v>43469</v>
      </c>
      <c r="AO237" s="2">
        <f t="shared" si="27"/>
        <v>0</v>
      </c>
      <c r="AP237" s="2">
        <f t="shared" si="28"/>
        <v>0</v>
      </c>
      <c r="AQ237" s="3">
        <f t="shared" si="29"/>
        <v>1</v>
      </c>
      <c r="AR237" s="1" t="str">
        <f>INDEX(IOS!$B:$B,MATCH(D237,IOS!A:A,0))&amp;B237</f>
        <v>O.D.10</v>
      </c>
      <c r="AS237" s="1">
        <f t="shared" si="30"/>
        <v>0</v>
      </c>
      <c r="AT237" s="1" t="str">
        <f>IF(ISBLANK(W237),"",IF(ISERROR(MATCH(W237,HQLATABLE!$A:$A,0)),0,1))</f>
        <v/>
      </c>
      <c r="AU237" s="1" t="str">
        <f t="shared" si="31"/>
        <v>Blank</v>
      </c>
      <c r="AV237" s="1" t="str">
        <f t="shared" si="32"/>
        <v>Blank</v>
      </c>
      <c r="AW237" s="1">
        <f t="shared" si="33"/>
        <v>0</v>
      </c>
      <c r="AX237" s="1">
        <f t="shared" si="34"/>
        <v>0</v>
      </c>
      <c r="AY237" s="1"/>
      <c r="AZ237" s="1">
        <f>IF(COUNTIFS('PID CHECK'!$B:$B,AR237)=1,0,IF(COUNTIFS(AR$1:AR236,AR237)=1,0,1))</f>
        <v>0</v>
      </c>
      <c r="BA237" s="1"/>
      <c r="BB237" s="1"/>
    </row>
    <row r="238" spans="1:54">
      <c r="A238">
        <v>237</v>
      </c>
      <c r="B238" t="s">
        <v>142</v>
      </c>
      <c r="C238" t="s">
        <v>157</v>
      </c>
      <c r="D238" t="s">
        <v>153</v>
      </c>
      <c r="E238" t="s">
        <v>47</v>
      </c>
      <c r="F238" t="s">
        <v>50</v>
      </c>
      <c r="H238" t="s">
        <v>48</v>
      </c>
      <c r="J238" t="s">
        <v>49</v>
      </c>
      <c r="K238" t="s">
        <v>50</v>
      </c>
      <c r="L238" t="s">
        <v>762</v>
      </c>
      <c r="M238" t="s">
        <v>762</v>
      </c>
      <c r="N238">
        <v>6529.05</v>
      </c>
      <c r="R238" t="s">
        <v>51</v>
      </c>
      <c r="S238" t="s">
        <v>52</v>
      </c>
      <c r="Z238" t="s">
        <v>759</v>
      </c>
      <c r="AA238" t="s">
        <v>156</v>
      </c>
      <c r="AC238" t="s">
        <v>883</v>
      </c>
      <c r="AD238" t="s">
        <v>50</v>
      </c>
      <c r="AH238">
        <v>10</v>
      </c>
      <c r="AM238">
        <v>43465</v>
      </c>
      <c r="AN238">
        <v>43469</v>
      </c>
      <c r="AO238" s="2">
        <f t="shared" si="27"/>
        <v>0</v>
      </c>
      <c r="AP238" s="2">
        <f t="shared" si="28"/>
        <v>0</v>
      </c>
      <c r="AQ238" s="3">
        <f t="shared" si="29"/>
        <v>1</v>
      </c>
      <c r="AR238" s="1" t="str">
        <f>INDEX(IOS!$B:$B,MATCH(D238,IOS!A:A,0))&amp;B238</f>
        <v>O.D.10</v>
      </c>
      <c r="AS238" s="1">
        <f t="shared" si="30"/>
        <v>0</v>
      </c>
      <c r="AT238" s="1" t="str">
        <f>IF(ISBLANK(W238),"",IF(ISERROR(MATCH(W238,HQLATABLE!$A:$A,0)),0,1))</f>
        <v/>
      </c>
      <c r="AU238" s="1" t="str">
        <f t="shared" si="31"/>
        <v>Blank</v>
      </c>
      <c r="AV238" s="1" t="str">
        <f t="shared" si="32"/>
        <v>Blank</v>
      </c>
      <c r="AW238" s="1">
        <f t="shared" si="33"/>
        <v>0</v>
      </c>
      <c r="AX238" s="1">
        <f t="shared" si="34"/>
        <v>0</v>
      </c>
      <c r="AY238" s="1"/>
      <c r="AZ238" s="1">
        <f>IF(COUNTIFS('PID CHECK'!$B:$B,AR238)=1,0,IF(COUNTIFS(AR$1:AR237,AR238)=1,0,1))</f>
        <v>0</v>
      </c>
      <c r="BA238" s="1"/>
      <c r="BB238" s="1"/>
    </row>
    <row r="239" spans="1:54">
      <c r="A239">
        <v>238</v>
      </c>
      <c r="B239" t="s">
        <v>142</v>
      </c>
      <c r="C239" t="s">
        <v>157</v>
      </c>
      <c r="D239" t="s">
        <v>153</v>
      </c>
      <c r="E239" t="s">
        <v>47</v>
      </c>
      <c r="F239" t="s">
        <v>50</v>
      </c>
      <c r="H239" t="s">
        <v>48</v>
      </c>
      <c r="J239" t="s">
        <v>49</v>
      </c>
      <c r="K239" t="s">
        <v>50</v>
      </c>
      <c r="L239" t="s">
        <v>762</v>
      </c>
      <c r="M239" t="s">
        <v>762</v>
      </c>
      <c r="N239">
        <v>1324.76</v>
      </c>
      <c r="R239" t="s">
        <v>51</v>
      </c>
      <c r="S239" t="s">
        <v>52</v>
      </c>
      <c r="Z239" t="s">
        <v>116</v>
      </c>
      <c r="AA239" t="s">
        <v>156</v>
      </c>
      <c r="AC239" t="s">
        <v>883</v>
      </c>
      <c r="AD239" t="s">
        <v>50</v>
      </c>
      <c r="AH239">
        <v>11</v>
      </c>
      <c r="AM239">
        <v>43465</v>
      </c>
      <c r="AN239">
        <v>43469</v>
      </c>
      <c r="AO239" s="2">
        <f t="shared" si="27"/>
        <v>0</v>
      </c>
      <c r="AP239" s="2">
        <f t="shared" si="28"/>
        <v>0</v>
      </c>
      <c r="AQ239" s="3">
        <f t="shared" si="29"/>
        <v>1</v>
      </c>
      <c r="AR239" s="1" t="str">
        <f>INDEX(IOS!$B:$B,MATCH(D239,IOS!A:A,0))&amp;B239</f>
        <v>O.D.10</v>
      </c>
      <c r="AS239" s="1">
        <f t="shared" si="30"/>
        <v>0</v>
      </c>
      <c r="AT239" s="1" t="str">
        <f>IF(ISBLANK(W239),"",IF(ISERROR(MATCH(W239,HQLATABLE!$A:$A,0)),0,1))</f>
        <v/>
      </c>
      <c r="AU239" s="1" t="str">
        <f t="shared" si="31"/>
        <v>Blank</v>
      </c>
      <c r="AV239" s="1" t="str">
        <f t="shared" si="32"/>
        <v>Blank</v>
      </c>
      <c r="AW239" s="1">
        <f t="shared" si="33"/>
        <v>0</v>
      </c>
      <c r="AX239" s="1">
        <f t="shared" si="34"/>
        <v>0</v>
      </c>
      <c r="AY239" s="1"/>
      <c r="AZ239" s="1">
        <f>IF(COUNTIFS('PID CHECK'!$B:$B,AR239)=1,0,IF(COUNTIFS(AR$1:AR238,AR239)=1,0,1))</f>
        <v>0</v>
      </c>
      <c r="BA239" s="1"/>
      <c r="BB239" s="1"/>
    </row>
    <row r="240" spans="1:54">
      <c r="A240">
        <v>239</v>
      </c>
      <c r="B240" t="s">
        <v>142</v>
      </c>
      <c r="C240" t="s">
        <v>157</v>
      </c>
      <c r="D240" t="s">
        <v>153</v>
      </c>
      <c r="E240" t="s">
        <v>47</v>
      </c>
      <c r="F240" t="s">
        <v>53</v>
      </c>
      <c r="H240" t="s">
        <v>48</v>
      </c>
      <c r="J240" t="s">
        <v>49</v>
      </c>
      <c r="K240" t="s">
        <v>50</v>
      </c>
      <c r="L240" t="s">
        <v>762</v>
      </c>
      <c r="M240" t="s">
        <v>762</v>
      </c>
      <c r="N240">
        <v>1256.9000000000001</v>
      </c>
      <c r="R240" t="s">
        <v>51</v>
      </c>
      <c r="S240" t="s">
        <v>52</v>
      </c>
      <c r="Z240" t="s">
        <v>759</v>
      </c>
      <c r="AA240" t="s">
        <v>156</v>
      </c>
      <c r="AB240" t="s">
        <v>114</v>
      </c>
      <c r="AC240" t="s">
        <v>883</v>
      </c>
      <c r="AD240" t="s">
        <v>50</v>
      </c>
      <c r="AH240">
        <v>10</v>
      </c>
      <c r="AM240">
        <v>43465</v>
      </c>
      <c r="AN240">
        <v>43469</v>
      </c>
      <c r="AO240" s="2">
        <f t="shared" si="27"/>
        <v>0</v>
      </c>
      <c r="AP240" s="2">
        <f t="shared" si="28"/>
        <v>0</v>
      </c>
      <c r="AQ240" s="3">
        <f t="shared" si="29"/>
        <v>1</v>
      </c>
      <c r="AR240" s="1" t="str">
        <f>INDEX(IOS!$B:$B,MATCH(D240,IOS!A:A,0))&amp;B240</f>
        <v>O.D.10</v>
      </c>
      <c r="AS240" s="1">
        <f t="shared" si="30"/>
        <v>1</v>
      </c>
      <c r="AT240" s="1" t="str">
        <f>IF(ISBLANK(W240),"",IF(ISERROR(MATCH(W240,HQLATABLE!$A:$A,0)),0,1))</f>
        <v/>
      </c>
      <c r="AU240" s="1" t="str">
        <f t="shared" si="31"/>
        <v>Blank</v>
      </c>
      <c r="AV240" s="1" t="str">
        <f t="shared" si="32"/>
        <v>Blank</v>
      </c>
      <c r="AW240" s="1">
        <f t="shared" si="33"/>
        <v>0</v>
      </c>
      <c r="AX240" s="1">
        <f t="shared" si="34"/>
        <v>0</v>
      </c>
      <c r="AY240" s="1"/>
      <c r="AZ240" s="1">
        <f>IF(COUNTIFS('PID CHECK'!$B:$B,AR240)=1,0,IF(COUNTIFS(AR$1:AR239,AR240)=1,0,1))</f>
        <v>0</v>
      </c>
      <c r="BA240" s="1"/>
      <c r="BB240" s="1"/>
    </row>
    <row r="241" spans="1:54">
      <c r="A241">
        <v>240</v>
      </c>
      <c r="B241" t="s">
        <v>142</v>
      </c>
      <c r="C241" t="s">
        <v>157</v>
      </c>
      <c r="D241" t="s">
        <v>153</v>
      </c>
      <c r="E241" t="s">
        <v>47</v>
      </c>
      <c r="F241" t="s">
        <v>53</v>
      </c>
      <c r="H241" t="s">
        <v>48</v>
      </c>
      <c r="J241" t="s">
        <v>49</v>
      </c>
      <c r="K241" t="s">
        <v>50</v>
      </c>
      <c r="L241" t="s">
        <v>762</v>
      </c>
      <c r="M241" t="s">
        <v>762</v>
      </c>
      <c r="N241">
        <v>2054.63</v>
      </c>
      <c r="R241" t="s">
        <v>51</v>
      </c>
      <c r="S241" t="s">
        <v>52</v>
      </c>
      <c r="Z241" t="s">
        <v>759</v>
      </c>
      <c r="AA241" t="s">
        <v>156</v>
      </c>
      <c r="AB241" t="s">
        <v>78</v>
      </c>
      <c r="AC241" t="s">
        <v>883</v>
      </c>
      <c r="AD241" t="s">
        <v>50</v>
      </c>
      <c r="AH241">
        <v>10</v>
      </c>
      <c r="AM241">
        <v>43465</v>
      </c>
      <c r="AN241">
        <v>43469</v>
      </c>
      <c r="AO241" s="2">
        <f t="shared" si="27"/>
        <v>0</v>
      </c>
      <c r="AP241" s="2">
        <f t="shared" si="28"/>
        <v>0</v>
      </c>
      <c r="AQ241" s="3">
        <f t="shared" si="29"/>
        <v>1</v>
      </c>
      <c r="AR241" s="1" t="str">
        <f>INDEX(IOS!$B:$B,MATCH(D241,IOS!A:A,0))&amp;B241</f>
        <v>O.D.10</v>
      </c>
      <c r="AS241" s="1">
        <f t="shared" si="30"/>
        <v>1</v>
      </c>
      <c r="AT241" s="1" t="str">
        <f>IF(ISBLANK(W241),"",IF(ISERROR(MATCH(W241,HQLATABLE!$A:$A,0)),0,1))</f>
        <v/>
      </c>
      <c r="AU241" s="1" t="str">
        <f t="shared" si="31"/>
        <v>Blank</v>
      </c>
      <c r="AV241" s="1" t="str">
        <f t="shared" si="32"/>
        <v>Blank</v>
      </c>
      <c r="AW241" s="1">
        <f t="shared" si="33"/>
        <v>0</v>
      </c>
      <c r="AX241" s="1">
        <f t="shared" si="34"/>
        <v>0</v>
      </c>
      <c r="AY241" s="1"/>
      <c r="AZ241" s="1">
        <f>IF(COUNTIFS('PID CHECK'!$B:$B,AR241)=1,0,IF(COUNTIFS(AR$1:AR240,AR241)=1,0,1))</f>
        <v>0</v>
      </c>
      <c r="BA241" s="1"/>
      <c r="BB241" s="1"/>
    </row>
    <row r="242" spans="1:54">
      <c r="A242">
        <v>241</v>
      </c>
      <c r="B242" t="s">
        <v>142</v>
      </c>
      <c r="C242" t="s">
        <v>157</v>
      </c>
      <c r="D242" t="s">
        <v>153</v>
      </c>
      <c r="E242" t="s">
        <v>47</v>
      </c>
      <c r="F242" t="s">
        <v>53</v>
      </c>
      <c r="H242" t="s">
        <v>48</v>
      </c>
      <c r="J242" t="s">
        <v>49</v>
      </c>
      <c r="K242" t="s">
        <v>50</v>
      </c>
      <c r="L242" t="s">
        <v>762</v>
      </c>
      <c r="M242" t="s">
        <v>762</v>
      </c>
      <c r="N242">
        <v>1277.43</v>
      </c>
      <c r="R242" t="s">
        <v>51</v>
      </c>
      <c r="S242" t="s">
        <v>52</v>
      </c>
      <c r="Z242" t="s">
        <v>759</v>
      </c>
      <c r="AA242" t="s">
        <v>156</v>
      </c>
      <c r="AB242" t="s">
        <v>115</v>
      </c>
      <c r="AC242" t="s">
        <v>883</v>
      </c>
      <c r="AD242" t="s">
        <v>50</v>
      </c>
      <c r="AH242">
        <v>10</v>
      </c>
      <c r="AM242">
        <v>43465</v>
      </c>
      <c r="AN242">
        <v>43469</v>
      </c>
      <c r="AO242" s="2">
        <f t="shared" si="27"/>
        <v>0</v>
      </c>
      <c r="AP242" s="2">
        <f t="shared" si="28"/>
        <v>0</v>
      </c>
      <c r="AQ242" s="3">
        <f t="shared" si="29"/>
        <v>1</v>
      </c>
      <c r="AR242" s="1" t="str">
        <f>INDEX(IOS!$B:$B,MATCH(D242,IOS!A:A,0))&amp;B242</f>
        <v>O.D.10</v>
      </c>
      <c r="AS242" s="1">
        <f t="shared" si="30"/>
        <v>1</v>
      </c>
      <c r="AT242" s="1" t="str">
        <f>IF(ISBLANK(W242),"",IF(ISERROR(MATCH(W242,HQLATABLE!$A:$A,0)),0,1))</f>
        <v/>
      </c>
      <c r="AU242" s="1" t="str">
        <f t="shared" si="31"/>
        <v>Blank</v>
      </c>
      <c r="AV242" s="1" t="str">
        <f t="shared" si="32"/>
        <v>Blank</v>
      </c>
      <c r="AW242" s="1">
        <f t="shared" si="33"/>
        <v>0</v>
      </c>
      <c r="AX242" s="1">
        <f t="shared" si="34"/>
        <v>0</v>
      </c>
      <c r="AY242" s="1"/>
      <c r="AZ242" s="1">
        <f>IF(COUNTIFS('PID CHECK'!$B:$B,AR242)=1,0,IF(COUNTIFS(AR$1:AR241,AR242)=1,0,1))</f>
        <v>0</v>
      </c>
      <c r="BA242" s="1"/>
      <c r="BB242" s="1"/>
    </row>
    <row r="243" spans="1:54">
      <c r="A243">
        <v>242</v>
      </c>
      <c r="B243" t="s">
        <v>142</v>
      </c>
      <c r="C243" t="s">
        <v>157</v>
      </c>
      <c r="D243" t="s">
        <v>153</v>
      </c>
      <c r="E243" t="s">
        <v>47</v>
      </c>
      <c r="F243" t="s">
        <v>53</v>
      </c>
      <c r="H243" t="s">
        <v>48</v>
      </c>
      <c r="J243" t="s">
        <v>49</v>
      </c>
      <c r="K243" t="s">
        <v>50</v>
      </c>
      <c r="L243" t="s">
        <v>762</v>
      </c>
      <c r="M243" t="s">
        <v>762</v>
      </c>
      <c r="N243">
        <v>527.88</v>
      </c>
      <c r="R243" t="s">
        <v>51</v>
      </c>
      <c r="S243" t="s">
        <v>52</v>
      </c>
      <c r="Z243" t="s">
        <v>759</v>
      </c>
      <c r="AA243" t="s">
        <v>156</v>
      </c>
      <c r="AB243" t="s">
        <v>76</v>
      </c>
      <c r="AC243" t="s">
        <v>883</v>
      </c>
      <c r="AD243" t="s">
        <v>50</v>
      </c>
      <c r="AH243">
        <v>10</v>
      </c>
      <c r="AM243">
        <v>43465</v>
      </c>
      <c r="AN243">
        <v>43469</v>
      </c>
      <c r="AO243" s="2">
        <f t="shared" si="27"/>
        <v>0</v>
      </c>
      <c r="AP243" s="2">
        <f t="shared" si="28"/>
        <v>0</v>
      </c>
      <c r="AQ243" s="3">
        <f t="shared" si="29"/>
        <v>1</v>
      </c>
      <c r="AR243" s="1" t="str">
        <f>INDEX(IOS!$B:$B,MATCH(D243,IOS!A:A,0))&amp;B243</f>
        <v>O.D.10</v>
      </c>
      <c r="AS243" s="1">
        <f t="shared" si="30"/>
        <v>1</v>
      </c>
      <c r="AT243" s="1" t="str">
        <f>IF(ISBLANK(W243),"",IF(ISERROR(MATCH(W243,HQLATABLE!$A:$A,0)),0,1))</f>
        <v/>
      </c>
      <c r="AU243" s="1" t="str">
        <f t="shared" si="31"/>
        <v>Blank</v>
      </c>
      <c r="AV243" s="1" t="str">
        <f t="shared" si="32"/>
        <v>Blank</v>
      </c>
      <c r="AW243" s="1">
        <f t="shared" si="33"/>
        <v>0</v>
      </c>
      <c r="AX243" s="1">
        <f t="shared" si="34"/>
        <v>0</v>
      </c>
      <c r="AY243" s="1"/>
      <c r="AZ243" s="1">
        <f>IF(COUNTIFS('PID CHECK'!$B:$B,AR243)=1,0,IF(COUNTIFS(AR$1:AR242,AR243)=1,0,1))</f>
        <v>0</v>
      </c>
      <c r="BA243" s="1"/>
      <c r="BB243" s="1"/>
    </row>
    <row r="244" spans="1:54">
      <c r="A244">
        <v>243</v>
      </c>
      <c r="B244" t="s">
        <v>142</v>
      </c>
      <c r="C244" t="s">
        <v>157</v>
      </c>
      <c r="D244" t="s">
        <v>153</v>
      </c>
      <c r="E244" t="s">
        <v>47</v>
      </c>
      <c r="F244" t="s">
        <v>53</v>
      </c>
      <c r="H244" t="s">
        <v>48</v>
      </c>
      <c r="J244" t="s">
        <v>49</v>
      </c>
      <c r="K244" t="s">
        <v>50</v>
      </c>
      <c r="L244" t="s">
        <v>762</v>
      </c>
      <c r="M244" t="s">
        <v>762</v>
      </c>
      <c r="N244">
        <v>1.39</v>
      </c>
      <c r="R244" t="s">
        <v>51</v>
      </c>
      <c r="S244" t="s">
        <v>52</v>
      </c>
      <c r="Z244" t="s">
        <v>116</v>
      </c>
      <c r="AA244" t="s">
        <v>156</v>
      </c>
      <c r="AB244" t="s">
        <v>163</v>
      </c>
      <c r="AC244" t="s">
        <v>883</v>
      </c>
      <c r="AD244" t="s">
        <v>50</v>
      </c>
      <c r="AH244">
        <v>11</v>
      </c>
      <c r="AM244">
        <v>43465</v>
      </c>
      <c r="AN244">
        <v>43469</v>
      </c>
      <c r="AO244" s="2">
        <f t="shared" si="27"/>
        <v>0</v>
      </c>
      <c r="AP244" s="2">
        <f t="shared" si="28"/>
        <v>0</v>
      </c>
      <c r="AQ244" s="3">
        <f t="shared" si="29"/>
        <v>1</v>
      </c>
      <c r="AR244" s="1" t="str">
        <f>INDEX(IOS!$B:$B,MATCH(D244,IOS!A:A,0))&amp;B244</f>
        <v>O.D.10</v>
      </c>
      <c r="AS244" s="1">
        <f t="shared" si="30"/>
        <v>1</v>
      </c>
      <c r="AT244" s="1" t="str">
        <f>IF(ISBLANK(W244),"",IF(ISERROR(MATCH(W244,HQLATABLE!$A:$A,0)),0,1))</f>
        <v/>
      </c>
      <c r="AU244" s="1" t="str">
        <f t="shared" si="31"/>
        <v>Blank</v>
      </c>
      <c r="AV244" s="1" t="str">
        <f t="shared" si="32"/>
        <v>Blank</v>
      </c>
      <c r="AW244" s="1">
        <f t="shared" si="33"/>
        <v>0</v>
      </c>
      <c r="AX244" s="1">
        <f t="shared" si="34"/>
        <v>0</v>
      </c>
      <c r="AY244" s="1"/>
      <c r="AZ244" s="1">
        <f>IF(COUNTIFS('PID CHECK'!$B:$B,AR244)=1,0,IF(COUNTIFS(AR$1:AR243,AR244)=1,0,1))</f>
        <v>0</v>
      </c>
      <c r="BA244" s="1"/>
      <c r="BB244" s="1"/>
    </row>
    <row r="245" spans="1:54">
      <c r="A245">
        <v>244</v>
      </c>
      <c r="B245" t="s">
        <v>142</v>
      </c>
      <c r="C245" t="s">
        <v>157</v>
      </c>
      <c r="D245" t="s">
        <v>153</v>
      </c>
      <c r="E245" t="s">
        <v>47</v>
      </c>
      <c r="F245" t="s">
        <v>53</v>
      </c>
      <c r="H245" t="s">
        <v>48</v>
      </c>
      <c r="J245" t="s">
        <v>49</v>
      </c>
      <c r="K245" t="s">
        <v>50</v>
      </c>
      <c r="L245" t="s">
        <v>762</v>
      </c>
      <c r="M245" t="s">
        <v>762</v>
      </c>
      <c r="N245">
        <v>13.29</v>
      </c>
      <c r="R245" t="s">
        <v>51</v>
      </c>
      <c r="S245" t="s">
        <v>52</v>
      </c>
      <c r="Z245" t="s">
        <v>116</v>
      </c>
      <c r="AA245" t="s">
        <v>156</v>
      </c>
      <c r="AB245" t="s">
        <v>78</v>
      </c>
      <c r="AC245" t="s">
        <v>883</v>
      </c>
      <c r="AD245" t="s">
        <v>50</v>
      </c>
      <c r="AH245">
        <v>11</v>
      </c>
      <c r="AM245">
        <v>43465</v>
      </c>
      <c r="AN245">
        <v>43469</v>
      </c>
      <c r="AO245" s="2">
        <f t="shared" si="27"/>
        <v>0</v>
      </c>
      <c r="AP245" s="2">
        <f t="shared" si="28"/>
        <v>0</v>
      </c>
      <c r="AQ245" s="3">
        <f t="shared" si="29"/>
        <v>1</v>
      </c>
      <c r="AR245" s="1" t="str">
        <f>INDEX(IOS!$B:$B,MATCH(D245,IOS!A:A,0))&amp;B245</f>
        <v>O.D.10</v>
      </c>
      <c r="AS245" s="1">
        <f t="shared" si="30"/>
        <v>1</v>
      </c>
      <c r="AT245" s="1" t="str">
        <f>IF(ISBLANK(W245),"",IF(ISERROR(MATCH(W245,HQLATABLE!$A:$A,0)),0,1))</f>
        <v/>
      </c>
      <c r="AU245" s="1" t="str">
        <f t="shared" si="31"/>
        <v>Blank</v>
      </c>
      <c r="AV245" s="1" t="str">
        <f t="shared" si="32"/>
        <v>Blank</v>
      </c>
      <c r="AW245" s="1">
        <f t="shared" si="33"/>
        <v>0</v>
      </c>
      <c r="AX245" s="1">
        <f t="shared" si="34"/>
        <v>0</v>
      </c>
      <c r="AY245" s="1"/>
      <c r="AZ245" s="1">
        <f>IF(COUNTIFS('PID CHECK'!$B:$B,AR245)=1,0,IF(COUNTIFS(AR$1:AR244,AR245)=1,0,1))</f>
        <v>0</v>
      </c>
      <c r="BA245" s="1"/>
      <c r="BB245" s="1"/>
    </row>
    <row r="246" spans="1:54">
      <c r="A246">
        <v>245</v>
      </c>
      <c r="B246" t="s">
        <v>142</v>
      </c>
      <c r="C246" t="s">
        <v>157</v>
      </c>
      <c r="D246" t="s">
        <v>153</v>
      </c>
      <c r="E246" t="s">
        <v>47</v>
      </c>
      <c r="F246" t="s">
        <v>53</v>
      </c>
      <c r="H246" t="s">
        <v>48</v>
      </c>
      <c r="J246" t="s">
        <v>49</v>
      </c>
      <c r="K246" t="s">
        <v>50</v>
      </c>
      <c r="L246" t="s">
        <v>762</v>
      </c>
      <c r="M246" t="s">
        <v>762</v>
      </c>
      <c r="N246">
        <v>0.06</v>
      </c>
      <c r="R246" t="s">
        <v>51</v>
      </c>
      <c r="S246" t="s">
        <v>52</v>
      </c>
      <c r="Z246" t="s">
        <v>116</v>
      </c>
      <c r="AA246" t="s">
        <v>156</v>
      </c>
      <c r="AB246" t="s">
        <v>115</v>
      </c>
      <c r="AC246" t="s">
        <v>883</v>
      </c>
      <c r="AD246" t="s">
        <v>50</v>
      </c>
      <c r="AH246">
        <v>11</v>
      </c>
      <c r="AM246">
        <v>43465</v>
      </c>
      <c r="AN246">
        <v>43469</v>
      </c>
      <c r="AO246" s="2">
        <f t="shared" si="27"/>
        <v>0</v>
      </c>
      <c r="AP246" s="2">
        <f t="shared" si="28"/>
        <v>0</v>
      </c>
      <c r="AQ246" s="3">
        <f t="shared" si="29"/>
        <v>1</v>
      </c>
      <c r="AR246" s="1" t="str">
        <f>INDEX(IOS!$B:$B,MATCH(D246,IOS!A:A,0))&amp;B246</f>
        <v>O.D.10</v>
      </c>
      <c r="AS246" s="1">
        <f t="shared" si="30"/>
        <v>1</v>
      </c>
      <c r="AT246" s="1" t="str">
        <f>IF(ISBLANK(W246),"",IF(ISERROR(MATCH(W246,HQLATABLE!$A:$A,0)),0,1))</f>
        <v/>
      </c>
      <c r="AU246" s="1" t="str">
        <f t="shared" si="31"/>
        <v>Blank</v>
      </c>
      <c r="AV246" s="1" t="str">
        <f t="shared" si="32"/>
        <v>Blank</v>
      </c>
      <c r="AW246" s="1">
        <f t="shared" si="33"/>
        <v>0</v>
      </c>
      <c r="AX246" s="1">
        <f t="shared" si="34"/>
        <v>0</v>
      </c>
      <c r="AY246" s="1"/>
      <c r="AZ246" s="1">
        <f>IF(COUNTIFS('PID CHECK'!$B:$B,AR246)=1,0,IF(COUNTIFS(AR$1:AR245,AR246)=1,0,1))</f>
        <v>0</v>
      </c>
      <c r="BA246" s="1"/>
      <c r="BB246" s="1"/>
    </row>
    <row r="247" spans="1:54">
      <c r="A247">
        <v>246</v>
      </c>
      <c r="B247" t="s">
        <v>71</v>
      </c>
      <c r="C247" t="s">
        <v>159</v>
      </c>
      <c r="D247" t="s">
        <v>153</v>
      </c>
      <c r="E247" t="s">
        <v>47</v>
      </c>
      <c r="F247" t="s">
        <v>50</v>
      </c>
      <c r="H247" t="s">
        <v>48</v>
      </c>
      <c r="J247" t="s">
        <v>49</v>
      </c>
      <c r="K247" t="s">
        <v>50</v>
      </c>
      <c r="L247" t="s">
        <v>762</v>
      </c>
      <c r="M247" t="s">
        <v>762</v>
      </c>
      <c r="N247">
        <v>11.12</v>
      </c>
      <c r="R247" t="s">
        <v>51</v>
      </c>
      <c r="S247" t="s">
        <v>52</v>
      </c>
      <c r="Z247" t="s">
        <v>122</v>
      </c>
      <c r="AA247" t="s">
        <v>154</v>
      </c>
      <c r="AC247" t="s">
        <v>883</v>
      </c>
      <c r="AD247" t="s">
        <v>50</v>
      </c>
      <c r="AH247">
        <v>1</v>
      </c>
      <c r="AM247">
        <v>43465</v>
      </c>
      <c r="AN247">
        <v>43469</v>
      </c>
      <c r="AO247" s="2">
        <f t="shared" si="27"/>
        <v>0</v>
      </c>
      <c r="AP247" s="2">
        <f t="shared" si="28"/>
        <v>0</v>
      </c>
      <c r="AQ247" s="3">
        <f t="shared" si="29"/>
        <v>1</v>
      </c>
      <c r="AR247" s="1" t="str">
        <f>INDEX(IOS!$B:$B,MATCH(D247,IOS!A:A,0))&amp;B247</f>
        <v>O.D.2</v>
      </c>
      <c r="AS247" s="1">
        <f t="shared" si="30"/>
        <v>0</v>
      </c>
      <c r="AT247" s="1" t="str">
        <f>IF(ISBLANK(W247),"",IF(ISERROR(MATCH(W247,HQLATABLE!$A:$A,0)),0,1))</f>
        <v/>
      </c>
      <c r="AU247" s="1" t="str">
        <f t="shared" si="31"/>
        <v>Blank</v>
      </c>
      <c r="AV247" s="1" t="str">
        <f t="shared" si="32"/>
        <v>Blank</v>
      </c>
      <c r="AW247" s="1">
        <f t="shared" si="33"/>
        <v>0</v>
      </c>
      <c r="AX247" s="1">
        <f t="shared" si="34"/>
        <v>0</v>
      </c>
      <c r="AY247" s="1"/>
      <c r="AZ247" s="1">
        <f>IF(COUNTIFS('PID CHECK'!$B:$B,AR247)=1,0,IF(COUNTIFS(AR$1:AR246,AR247)=1,0,1))</f>
        <v>0</v>
      </c>
      <c r="BA247" s="1"/>
      <c r="BB247" s="1"/>
    </row>
    <row r="248" spans="1:54">
      <c r="A248">
        <v>247</v>
      </c>
      <c r="B248" t="s">
        <v>71</v>
      </c>
      <c r="C248" t="s">
        <v>159</v>
      </c>
      <c r="D248" t="s">
        <v>153</v>
      </c>
      <c r="E248" t="s">
        <v>47</v>
      </c>
      <c r="F248" t="s">
        <v>50</v>
      </c>
      <c r="H248" t="s">
        <v>48</v>
      </c>
      <c r="J248" t="s">
        <v>49</v>
      </c>
      <c r="K248" t="s">
        <v>50</v>
      </c>
      <c r="L248" t="s">
        <v>762</v>
      </c>
      <c r="M248" t="s">
        <v>762</v>
      </c>
      <c r="N248">
        <v>3.55</v>
      </c>
      <c r="R248" t="s">
        <v>51</v>
      </c>
      <c r="S248" t="s">
        <v>52</v>
      </c>
      <c r="Z248" t="s">
        <v>122</v>
      </c>
      <c r="AA248" t="s">
        <v>156</v>
      </c>
      <c r="AC248" t="s">
        <v>883</v>
      </c>
      <c r="AD248" t="s">
        <v>50</v>
      </c>
      <c r="AH248">
        <v>1</v>
      </c>
      <c r="AM248">
        <v>43465</v>
      </c>
      <c r="AN248">
        <v>43469</v>
      </c>
      <c r="AO248" s="2">
        <f t="shared" si="27"/>
        <v>0</v>
      </c>
      <c r="AP248" s="2">
        <f t="shared" si="28"/>
        <v>0</v>
      </c>
      <c r="AQ248" s="3">
        <f t="shared" si="29"/>
        <v>1</v>
      </c>
      <c r="AR248" s="1" t="str">
        <f>INDEX(IOS!$B:$B,MATCH(D248,IOS!A:A,0))&amp;B248</f>
        <v>O.D.2</v>
      </c>
      <c r="AS248" s="1">
        <f t="shared" si="30"/>
        <v>0</v>
      </c>
      <c r="AT248" s="1" t="str">
        <f>IF(ISBLANK(W248),"",IF(ISERROR(MATCH(W248,HQLATABLE!$A:$A,0)),0,1))</f>
        <v/>
      </c>
      <c r="AU248" s="1" t="str">
        <f t="shared" si="31"/>
        <v>Blank</v>
      </c>
      <c r="AV248" s="1" t="str">
        <f t="shared" si="32"/>
        <v>Blank</v>
      </c>
      <c r="AW248" s="1">
        <f t="shared" si="33"/>
        <v>0</v>
      </c>
      <c r="AX248" s="1">
        <f t="shared" si="34"/>
        <v>0</v>
      </c>
      <c r="AY248" s="1"/>
      <c r="AZ248" s="1">
        <f>IF(COUNTIFS('PID CHECK'!$B:$B,AR248)=1,0,IF(COUNTIFS(AR$1:AR247,AR248)=1,0,1))</f>
        <v>0</v>
      </c>
      <c r="BA248" s="1"/>
      <c r="BB248" s="1"/>
    </row>
    <row r="249" spans="1:54">
      <c r="A249">
        <v>248</v>
      </c>
      <c r="B249" t="s">
        <v>71</v>
      </c>
      <c r="C249" t="s">
        <v>159</v>
      </c>
      <c r="D249" t="s">
        <v>153</v>
      </c>
      <c r="E249" t="s">
        <v>47</v>
      </c>
      <c r="F249" t="s">
        <v>50</v>
      </c>
      <c r="H249" t="s">
        <v>995</v>
      </c>
      <c r="J249" t="s">
        <v>49</v>
      </c>
      <c r="K249" t="s">
        <v>50</v>
      </c>
      <c r="L249" t="s">
        <v>762</v>
      </c>
      <c r="M249" t="s">
        <v>762</v>
      </c>
      <c r="N249">
        <v>0.01</v>
      </c>
      <c r="R249" t="s">
        <v>996</v>
      </c>
      <c r="S249" t="s">
        <v>996</v>
      </c>
      <c r="Z249" t="s">
        <v>122</v>
      </c>
      <c r="AA249" t="s">
        <v>154</v>
      </c>
      <c r="AC249" t="s">
        <v>883</v>
      </c>
      <c r="AD249" t="s">
        <v>50</v>
      </c>
      <c r="AH249">
        <v>1</v>
      </c>
      <c r="AM249">
        <v>43465</v>
      </c>
      <c r="AN249">
        <v>43469</v>
      </c>
      <c r="AO249" s="2">
        <f t="shared" si="27"/>
        <v>10</v>
      </c>
      <c r="AP249" s="2">
        <f t="shared" si="28"/>
        <v>10</v>
      </c>
      <c r="AQ249" s="3">
        <f t="shared" si="29"/>
        <v>1</v>
      </c>
      <c r="AR249" s="1" t="str">
        <f>INDEX(IOS!$B:$B,MATCH(D249,IOS!A:A,0))&amp;B249</f>
        <v>O.D.2</v>
      </c>
      <c r="AS249" s="1">
        <f t="shared" si="30"/>
        <v>0</v>
      </c>
      <c r="AT249" s="1" t="str">
        <f>IF(ISBLANK(W249),"",IF(ISERROR(MATCH(W249,HQLATABLE!$A:$A,0)),0,1))</f>
        <v/>
      </c>
      <c r="AU249" s="1" t="str">
        <f t="shared" si="31"/>
        <v>Blank</v>
      </c>
      <c r="AV249" s="1" t="str">
        <f t="shared" si="32"/>
        <v>Blank</v>
      </c>
      <c r="AW249" s="1">
        <f t="shared" si="33"/>
        <v>0</v>
      </c>
      <c r="AX249" s="1">
        <f t="shared" si="34"/>
        <v>0</v>
      </c>
      <c r="AY249" s="1"/>
      <c r="AZ249" s="1">
        <f>IF(COUNTIFS('PID CHECK'!$B:$B,AR249)=1,0,IF(COUNTIFS(AR$1:AR248,AR249)=1,0,1))</f>
        <v>0</v>
      </c>
      <c r="BA249" s="1"/>
      <c r="BB249" s="1"/>
    </row>
    <row r="250" spans="1:54">
      <c r="A250">
        <v>249</v>
      </c>
      <c r="B250" t="s">
        <v>71</v>
      </c>
      <c r="C250" t="s">
        <v>159</v>
      </c>
      <c r="D250" t="s">
        <v>153</v>
      </c>
      <c r="E250" t="s">
        <v>47</v>
      </c>
      <c r="F250" t="s">
        <v>50</v>
      </c>
      <c r="H250" t="s">
        <v>1019</v>
      </c>
      <c r="J250" t="s">
        <v>49</v>
      </c>
      <c r="K250" t="s">
        <v>50</v>
      </c>
      <c r="L250" t="s">
        <v>762</v>
      </c>
      <c r="M250" t="s">
        <v>762</v>
      </c>
      <c r="N250">
        <v>0.12</v>
      </c>
      <c r="R250" t="s">
        <v>1020</v>
      </c>
      <c r="S250" t="s">
        <v>1020</v>
      </c>
      <c r="Z250" t="s">
        <v>122</v>
      </c>
      <c r="AA250" t="s">
        <v>154</v>
      </c>
      <c r="AC250" t="s">
        <v>883</v>
      </c>
      <c r="AD250" t="s">
        <v>50</v>
      </c>
      <c r="AH250">
        <v>1</v>
      </c>
      <c r="AM250">
        <v>43465</v>
      </c>
      <c r="AN250">
        <v>43469</v>
      </c>
      <c r="AO250" s="2">
        <f t="shared" si="27"/>
        <v>11</v>
      </c>
      <c r="AP250" s="2">
        <f t="shared" si="28"/>
        <v>11</v>
      </c>
      <c r="AQ250" s="3">
        <f t="shared" si="29"/>
        <v>1</v>
      </c>
      <c r="AR250" s="1" t="str">
        <f>INDEX(IOS!$B:$B,MATCH(D250,IOS!A:A,0))&amp;B250</f>
        <v>O.D.2</v>
      </c>
      <c r="AS250" s="1">
        <f t="shared" si="30"/>
        <v>0</v>
      </c>
      <c r="AT250" s="1" t="str">
        <f>IF(ISBLANK(W250),"",IF(ISERROR(MATCH(W250,HQLATABLE!$A:$A,0)),0,1))</f>
        <v/>
      </c>
      <c r="AU250" s="1" t="str">
        <f t="shared" si="31"/>
        <v>Blank</v>
      </c>
      <c r="AV250" s="1" t="str">
        <f t="shared" si="32"/>
        <v>Blank</v>
      </c>
      <c r="AW250" s="1">
        <f t="shared" si="33"/>
        <v>0</v>
      </c>
      <c r="AX250" s="1">
        <f t="shared" si="34"/>
        <v>0</v>
      </c>
      <c r="AY250" s="1"/>
      <c r="AZ250" s="1">
        <f>IF(COUNTIFS('PID CHECK'!$B:$B,AR250)=1,0,IF(COUNTIFS(AR$1:AR249,AR250)=1,0,1))</f>
        <v>0</v>
      </c>
      <c r="BA250" s="1"/>
      <c r="BB250" s="1"/>
    </row>
    <row r="251" spans="1:54">
      <c r="A251">
        <v>250</v>
      </c>
      <c r="B251" t="s">
        <v>71</v>
      </c>
      <c r="C251" t="s">
        <v>159</v>
      </c>
      <c r="D251" t="s">
        <v>153</v>
      </c>
      <c r="E251" t="s">
        <v>47</v>
      </c>
      <c r="F251" t="s">
        <v>50</v>
      </c>
      <c r="H251" t="s">
        <v>67</v>
      </c>
      <c r="J251" t="s">
        <v>49</v>
      </c>
      <c r="K251" t="s">
        <v>50</v>
      </c>
      <c r="L251" t="s">
        <v>762</v>
      </c>
      <c r="M251" t="s">
        <v>762</v>
      </c>
      <c r="N251">
        <v>4.25</v>
      </c>
      <c r="R251" t="s">
        <v>68</v>
      </c>
      <c r="S251" t="s">
        <v>69</v>
      </c>
      <c r="Z251" t="s">
        <v>122</v>
      </c>
      <c r="AA251" t="s">
        <v>154</v>
      </c>
      <c r="AC251" t="s">
        <v>883</v>
      </c>
      <c r="AD251" t="s">
        <v>50</v>
      </c>
      <c r="AH251">
        <v>1</v>
      </c>
      <c r="AM251">
        <v>43465</v>
      </c>
      <c r="AN251">
        <v>43469</v>
      </c>
      <c r="AO251" s="2">
        <f t="shared" si="27"/>
        <v>121</v>
      </c>
      <c r="AP251" s="2">
        <f t="shared" si="28"/>
        <v>150</v>
      </c>
      <c r="AQ251" s="3">
        <f t="shared" si="29"/>
        <v>0</v>
      </c>
      <c r="AR251" s="1" t="str">
        <f>INDEX(IOS!$B:$B,MATCH(D251,IOS!A:A,0))&amp;B251</f>
        <v>O.D.2</v>
      </c>
      <c r="AS251" s="1">
        <f t="shared" si="30"/>
        <v>0</v>
      </c>
      <c r="AT251" s="1" t="str">
        <f>IF(ISBLANK(W251),"",IF(ISERROR(MATCH(W251,HQLATABLE!$A:$A,0)),0,1))</f>
        <v/>
      </c>
      <c r="AU251" s="1" t="str">
        <f t="shared" si="31"/>
        <v>Blank</v>
      </c>
      <c r="AV251" s="1" t="str">
        <f t="shared" si="32"/>
        <v>Blank</v>
      </c>
      <c r="AW251" s="1">
        <f t="shared" si="33"/>
        <v>0</v>
      </c>
      <c r="AX251" s="1">
        <f t="shared" si="34"/>
        <v>0</v>
      </c>
      <c r="AY251" s="1"/>
      <c r="AZ251" s="1">
        <f>IF(COUNTIFS('PID CHECK'!$B:$B,AR251)=1,0,IF(COUNTIFS(AR$1:AR250,AR251)=1,0,1))</f>
        <v>0</v>
      </c>
      <c r="BA251" s="1"/>
      <c r="BB251" s="1"/>
    </row>
    <row r="252" spans="1:54">
      <c r="A252">
        <v>251</v>
      </c>
      <c r="B252" t="s">
        <v>71</v>
      </c>
      <c r="C252" t="s">
        <v>159</v>
      </c>
      <c r="D252" t="s">
        <v>153</v>
      </c>
      <c r="E252" t="s">
        <v>47</v>
      </c>
      <c r="F252" t="s">
        <v>50</v>
      </c>
      <c r="H252" t="s">
        <v>67</v>
      </c>
      <c r="J252" t="s">
        <v>49</v>
      </c>
      <c r="K252" t="s">
        <v>50</v>
      </c>
      <c r="L252" t="s">
        <v>762</v>
      </c>
      <c r="M252" t="s">
        <v>762</v>
      </c>
      <c r="N252">
        <v>7.95</v>
      </c>
      <c r="R252" t="s">
        <v>68</v>
      </c>
      <c r="S252" t="s">
        <v>69</v>
      </c>
      <c r="Z252" t="s">
        <v>122</v>
      </c>
      <c r="AA252" t="s">
        <v>156</v>
      </c>
      <c r="AC252" t="s">
        <v>883</v>
      </c>
      <c r="AD252" t="s">
        <v>50</v>
      </c>
      <c r="AH252">
        <v>1</v>
      </c>
      <c r="AM252">
        <v>43465</v>
      </c>
      <c r="AN252">
        <v>43469</v>
      </c>
      <c r="AO252" s="2">
        <f t="shared" si="27"/>
        <v>121</v>
      </c>
      <c r="AP252" s="2">
        <f t="shared" si="28"/>
        <v>150</v>
      </c>
      <c r="AQ252" s="3">
        <f t="shared" si="29"/>
        <v>0</v>
      </c>
      <c r="AR252" s="1" t="str">
        <f>INDEX(IOS!$B:$B,MATCH(D252,IOS!A:A,0))&amp;B252</f>
        <v>O.D.2</v>
      </c>
      <c r="AS252" s="1">
        <f t="shared" si="30"/>
        <v>0</v>
      </c>
      <c r="AT252" s="1" t="str">
        <f>IF(ISBLANK(W252),"",IF(ISERROR(MATCH(W252,HQLATABLE!$A:$A,0)),0,1))</f>
        <v/>
      </c>
      <c r="AU252" s="1" t="str">
        <f t="shared" si="31"/>
        <v>Blank</v>
      </c>
      <c r="AV252" s="1" t="str">
        <f t="shared" si="32"/>
        <v>Blank</v>
      </c>
      <c r="AW252" s="1">
        <f t="shared" si="33"/>
        <v>0</v>
      </c>
      <c r="AX252" s="1">
        <f t="shared" si="34"/>
        <v>0</v>
      </c>
      <c r="AY252" s="1"/>
      <c r="AZ252" s="1">
        <f>IF(COUNTIFS('PID CHECK'!$B:$B,AR252)=1,0,IF(COUNTIFS(AR$1:AR251,AR252)=1,0,1))</f>
        <v>0</v>
      </c>
      <c r="BA252" s="1"/>
      <c r="BB252" s="1"/>
    </row>
    <row r="253" spans="1:54">
      <c r="A253">
        <v>252</v>
      </c>
      <c r="B253" t="s">
        <v>71</v>
      </c>
      <c r="C253" t="s">
        <v>159</v>
      </c>
      <c r="D253" t="s">
        <v>153</v>
      </c>
      <c r="E253" t="s">
        <v>47</v>
      </c>
      <c r="F253" t="s">
        <v>50</v>
      </c>
      <c r="H253" t="s">
        <v>85</v>
      </c>
      <c r="J253" t="s">
        <v>49</v>
      </c>
      <c r="K253" t="s">
        <v>50</v>
      </c>
      <c r="L253" t="s">
        <v>762</v>
      </c>
      <c r="M253" t="s">
        <v>762</v>
      </c>
      <c r="N253">
        <v>7.0000000000000007E-2</v>
      </c>
      <c r="R253" t="s">
        <v>86</v>
      </c>
      <c r="S253" t="s">
        <v>86</v>
      </c>
      <c r="Z253" t="s">
        <v>122</v>
      </c>
      <c r="AA253" t="s">
        <v>154</v>
      </c>
      <c r="AC253" t="s">
        <v>883</v>
      </c>
      <c r="AD253" t="s">
        <v>50</v>
      </c>
      <c r="AH253">
        <v>1</v>
      </c>
      <c r="AM253">
        <v>43465</v>
      </c>
      <c r="AN253">
        <v>43469</v>
      </c>
      <c r="AO253" s="2">
        <f t="shared" si="27"/>
        <v>14</v>
      </c>
      <c r="AP253" s="2">
        <f t="shared" si="28"/>
        <v>14</v>
      </c>
      <c r="AQ253" s="3">
        <f t="shared" si="29"/>
        <v>1</v>
      </c>
      <c r="AR253" s="1" t="str">
        <f>INDEX(IOS!$B:$B,MATCH(D253,IOS!A:A,0))&amp;B253</f>
        <v>O.D.2</v>
      </c>
      <c r="AS253" s="1">
        <f t="shared" si="30"/>
        <v>0</v>
      </c>
      <c r="AT253" s="1" t="str">
        <f>IF(ISBLANK(W253),"",IF(ISERROR(MATCH(W253,HQLATABLE!$A:$A,0)),0,1))</f>
        <v/>
      </c>
      <c r="AU253" s="1" t="str">
        <f t="shared" si="31"/>
        <v>Blank</v>
      </c>
      <c r="AV253" s="1" t="str">
        <f t="shared" si="32"/>
        <v>Blank</v>
      </c>
      <c r="AW253" s="1">
        <f t="shared" si="33"/>
        <v>0</v>
      </c>
      <c r="AX253" s="1">
        <f t="shared" si="34"/>
        <v>0</v>
      </c>
      <c r="AY253" s="1"/>
      <c r="AZ253" s="1">
        <f>IF(COUNTIFS('PID CHECK'!$B:$B,AR253)=1,0,IF(COUNTIFS(AR$1:AR252,AR253)=1,0,1))</f>
        <v>0</v>
      </c>
      <c r="BA253" s="1"/>
      <c r="BB253" s="1"/>
    </row>
    <row r="254" spans="1:54">
      <c r="A254">
        <v>253</v>
      </c>
      <c r="B254" t="s">
        <v>71</v>
      </c>
      <c r="C254" t="s">
        <v>159</v>
      </c>
      <c r="D254" t="s">
        <v>153</v>
      </c>
      <c r="E254" t="s">
        <v>47</v>
      </c>
      <c r="F254" t="s">
        <v>50</v>
      </c>
      <c r="H254" t="s">
        <v>73</v>
      </c>
      <c r="J254" t="s">
        <v>49</v>
      </c>
      <c r="K254" t="s">
        <v>50</v>
      </c>
      <c r="L254" t="s">
        <v>762</v>
      </c>
      <c r="M254" t="s">
        <v>762</v>
      </c>
      <c r="N254">
        <v>2.67</v>
      </c>
      <c r="R254" t="s">
        <v>74</v>
      </c>
      <c r="S254" t="s">
        <v>75</v>
      </c>
      <c r="Z254" t="s">
        <v>122</v>
      </c>
      <c r="AA254" t="s">
        <v>154</v>
      </c>
      <c r="AC254" t="s">
        <v>883</v>
      </c>
      <c r="AD254" t="s">
        <v>50</v>
      </c>
      <c r="AH254">
        <v>1</v>
      </c>
      <c r="AM254">
        <v>43465</v>
      </c>
      <c r="AN254">
        <v>43469</v>
      </c>
      <c r="AO254" s="2">
        <f t="shared" si="27"/>
        <v>151</v>
      </c>
      <c r="AP254" s="2">
        <f t="shared" si="28"/>
        <v>180</v>
      </c>
      <c r="AQ254" s="3">
        <f t="shared" si="29"/>
        <v>0</v>
      </c>
      <c r="AR254" s="1" t="str">
        <f>INDEX(IOS!$B:$B,MATCH(D254,IOS!A:A,0))&amp;B254</f>
        <v>O.D.2</v>
      </c>
      <c r="AS254" s="1">
        <f t="shared" si="30"/>
        <v>0</v>
      </c>
      <c r="AT254" s="1" t="str">
        <f>IF(ISBLANK(W254),"",IF(ISERROR(MATCH(W254,HQLATABLE!$A:$A,0)),0,1))</f>
        <v/>
      </c>
      <c r="AU254" s="1" t="str">
        <f t="shared" si="31"/>
        <v>Blank</v>
      </c>
      <c r="AV254" s="1" t="str">
        <f t="shared" si="32"/>
        <v>Blank</v>
      </c>
      <c r="AW254" s="1">
        <f t="shared" si="33"/>
        <v>0</v>
      </c>
      <c r="AX254" s="1">
        <f t="shared" si="34"/>
        <v>0</v>
      </c>
      <c r="AY254" s="1"/>
      <c r="AZ254" s="1">
        <f>IF(COUNTIFS('PID CHECK'!$B:$B,AR254)=1,0,IF(COUNTIFS(AR$1:AR253,AR254)=1,0,1))</f>
        <v>0</v>
      </c>
      <c r="BA254" s="1"/>
      <c r="BB254" s="1"/>
    </row>
    <row r="255" spans="1:54">
      <c r="A255">
        <v>254</v>
      </c>
      <c r="B255" t="s">
        <v>71</v>
      </c>
      <c r="C255" t="s">
        <v>159</v>
      </c>
      <c r="D255" t="s">
        <v>153</v>
      </c>
      <c r="E255" t="s">
        <v>47</v>
      </c>
      <c r="F255" t="s">
        <v>50</v>
      </c>
      <c r="H255" t="s">
        <v>73</v>
      </c>
      <c r="J255" t="s">
        <v>49</v>
      </c>
      <c r="K255" t="s">
        <v>50</v>
      </c>
      <c r="L255" t="s">
        <v>762</v>
      </c>
      <c r="M255" t="s">
        <v>762</v>
      </c>
      <c r="N255">
        <v>18.93</v>
      </c>
      <c r="R255" t="s">
        <v>74</v>
      </c>
      <c r="S255" t="s">
        <v>75</v>
      </c>
      <c r="Z255" t="s">
        <v>122</v>
      </c>
      <c r="AA255" t="s">
        <v>156</v>
      </c>
      <c r="AC255" t="s">
        <v>883</v>
      </c>
      <c r="AD255" t="s">
        <v>50</v>
      </c>
      <c r="AH255">
        <v>1</v>
      </c>
      <c r="AM255">
        <v>43465</v>
      </c>
      <c r="AN255">
        <v>43469</v>
      </c>
      <c r="AO255" s="2">
        <f t="shared" si="27"/>
        <v>151</v>
      </c>
      <c r="AP255" s="2">
        <f t="shared" si="28"/>
        <v>180</v>
      </c>
      <c r="AQ255" s="3">
        <f t="shared" si="29"/>
        <v>0</v>
      </c>
      <c r="AR255" s="1" t="str">
        <f>INDEX(IOS!$B:$B,MATCH(D255,IOS!A:A,0))&amp;B255</f>
        <v>O.D.2</v>
      </c>
      <c r="AS255" s="1">
        <f t="shared" si="30"/>
        <v>0</v>
      </c>
      <c r="AT255" s="1" t="str">
        <f>IF(ISBLANK(W255),"",IF(ISERROR(MATCH(W255,HQLATABLE!$A:$A,0)),0,1))</f>
        <v/>
      </c>
      <c r="AU255" s="1" t="str">
        <f t="shared" si="31"/>
        <v>Blank</v>
      </c>
      <c r="AV255" s="1" t="str">
        <f t="shared" si="32"/>
        <v>Blank</v>
      </c>
      <c r="AW255" s="1">
        <f t="shared" si="33"/>
        <v>0</v>
      </c>
      <c r="AX255" s="1">
        <f t="shared" si="34"/>
        <v>0</v>
      </c>
      <c r="AY255" s="1"/>
      <c r="AZ255" s="1">
        <f>IF(COUNTIFS('PID CHECK'!$B:$B,AR255)=1,0,IF(COUNTIFS(AR$1:AR254,AR255)=1,0,1))</f>
        <v>0</v>
      </c>
      <c r="BA255" s="1"/>
      <c r="BB255" s="1"/>
    </row>
    <row r="256" spans="1:54">
      <c r="A256">
        <v>255</v>
      </c>
      <c r="B256" t="s">
        <v>71</v>
      </c>
      <c r="C256" t="s">
        <v>159</v>
      </c>
      <c r="D256" t="s">
        <v>153</v>
      </c>
      <c r="E256" t="s">
        <v>47</v>
      </c>
      <c r="F256" t="s">
        <v>50</v>
      </c>
      <c r="H256" t="s">
        <v>1032</v>
      </c>
      <c r="J256" t="s">
        <v>49</v>
      </c>
      <c r="K256" t="s">
        <v>50</v>
      </c>
      <c r="L256" t="s">
        <v>762</v>
      </c>
      <c r="M256" t="s">
        <v>762</v>
      </c>
      <c r="N256">
        <v>0.15</v>
      </c>
      <c r="R256" t="s">
        <v>1033</v>
      </c>
      <c r="S256" t="s">
        <v>1033</v>
      </c>
      <c r="Z256" t="s">
        <v>122</v>
      </c>
      <c r="AA256" t="s">
        <v>154</v>
      </c>
      <c r="AC256" t="s">
        <v>883</v>
      </c>
      <c r="AD256" t="s">
        <v>50</v>
      </c>
      <c r="AH256">
        <v>1</v>
      </c>
      <c r="AM256">
        <v>43465</v>
      </c>
      <c r="AN256">
        <v>43469</v>
      </c>
      <c r="AO256" s="2">
        <f t="shared" si="27"/>
        <v>16</v>
      </c>
      <c r="AP256" s="2">
        <f t="shared" si="28"/>
        <v>16</v>
      </c>
      <c r="AQ256" s="3">
        <f t="shared" si="29"/>
        <v>1</v>
      </c>
      <c r="AR256" s="1" t="str">
        <f>INDEX(IOS!$B:$B,MATCH(D256,IOS!A:A,0))&amp;B256</f>
        <v>O.D.2</v>
      </c>
      <c r="AS256" s="1">
        <f t="shared" si="30"/>
        <v>0</v>
      </c>
      <c r="AT256" s="1" t="str">
        <f>IF(ISBLANK(W256),"",IF(ISERROR(MATCH(W256,HQLATABLE!$A:$A,0)),0,1))</f>
        <v/>
      </c>
      <c r="AU256" s="1" t="str">
        <f t="shared" si="31"/>
        <v>Blank</v>
      </c>
      <c r="AV256" s="1" t="str">
        <f t="shared" si="32"/>
        <v>Blank</v>
      </c>
      <c r="AW256" s="1">
        <f t="shared" si="33"/>
        <v>0</v>
      </c>
      <c r="AX256" s="1">
        <f t="shared" si="34"/>
        <v>0</v>
      </c>
      <c r="AY256" s="1"/>
      <c r="AZ256" s="1">
        <f>IF(COUNTIFS('PID CHECK'!$B:$B,AR256)=1,0,IF(COUNTIFS(AR$1:AR255,AR256)=1,0,1))</f>
        <v>0</v>
      </c>
      <c r="BA256" s="1"/>
      <c r="BB256" s="1"/>
    </row>
    <row r="257" spans="1:54">
      <c r="A257">
        <v>256</v>
      </c>
      <c r="B257" t="s">
        <v>71</v>
      </c>
      <c r="C257" t="s">
        <v>159</v>
      </c>
      <c r="D257" t="s">
        <v>153</v>
      </c>
      <c r="E257" t="s">
        <v>47</v>
      </c>
      <c r="F257" t="s">
        <v>50</v>
      </c>
      <c r="H257" t="s">
        <v>997</v>
      </c>
      <c r="J257" t="s">
        <v>49</v>
      </c>
      <c r="K257" t="s">
        <v>50</v>
      </c>
      <c r="L257" t="s">
        <v>762</v>
      </c>
      <c r="M257" t="s">
        <v>762</v>
      </c>
      <c r="N257">
        <v>0.2</v>
      </c>
      <c r="R257" t="s">
        <v>998</v>
      </c>
      <c r="S257" t="s">
        <v>998</v>
      </c>
      <c r="Z257" t="s">
        <v>122</v>
      </c>
      <c r="AA257" t="s">
        <v>154</v>
      </c>
      <c r="AC257" t="s">
        <v>883</v>
      </c>
      <c r="AD257" t="s">
        <v>50</v>
      </c>
      <c r="AH257">
        <v>1</v>
      </c>
      <c r="AM257">
        <v>43465</v>
      </c>
      <c r="AN257">
        <v>43469</v>
      </c>
      <c r="AO257" s="2">
        <f t="shared" si="27"/>
        <v>17</v>
      </c>
      <c r="AP257" s="2">
        <f t="shared" si="28"/>
        <v>17</v>
      </c>
      <c r="AQ257" s="3">
        <f t="shared" si="29"/>
        <v>1</v>
      </c>
      <c r="AR257" s="1" t="str">
        <f>INDEX(IOS!$B:$B,MATCH(D257,IOS!A:A,0))&amp;B257</f>
        <v>O.D.2</v>
      </c>
      <c r="AS257" s="1">
        <f t="shared" si="30"/>
        <v>0</v>
      </c>
      <c r="AT257" s="1" t="str">
        <f>IF(ISBLANK(W257),"",IF(ISERROR(MATCH(W257,HQLATABLE!$A:$A,0)),0,1))</f>
        <v/>
      </c>
      <c r="AU257" s="1" t="str">
        <f t="shared" si="31"/>
        <v>Blank</v>
      </c>
      <c r="AV257" s="1" t="str">
        <f t="shared" si="32"/>
        <v>Blank</v>
      </c>
      <c r="AW257" s="1">
        <f t="shared" si="33"/>
        <v>0</v>
      </c>
      <c r="AX257" s="1">
        <f t="shared" si="34"/>
        <v>0</v>
      </c>
      <c r="AY257" s="1"/>
      <c r="AZ257" s="1">
        <f>IF(COUNTIFS('PID CHECK'!$B:$B,AR257)=1,0,IF(COUNTIFS(AR$1:AR256,AR257)=1,0,1))</f>
        <v>0</v>
      </c>
      <c r="BA257" s="1"/>
      <c r="BB257" s="1"/>
    </row>
    <row r="258" spans="1:54">
      <c r="A258">
        <v>257</v>
      </c>
      <c r="B258" t="s">
        <v>71</v>
      </c>
      <c r="C258" t="s">
        <v>159</v>
      </c>
      <c r="D258" t="s">
        <v>153</v>
      </c>
      <c r="E258" t="s">
        <v>47</v>
      </c>
      <c r="F258" t="s">
        <v>50</v>
      </c>
      <c r="H258" t="s">
        <v>87</v>
      </c>
      <c r="J258" t="s">
        <v>49</v>
      </c>
      <c r="K258" t="s">
        <v>50</v>
      </c>
      <c r="L258" t="s">
        <v>762</v>
      </c>
      <c r="M258" t="s">
        <v>762</v>
      </c>
      <c r="N258">
        <v>4.03</v>
      </c>
      <c r="R258" t="s">
        <v>88</v>
      </c>
      <c r="S258" t="s">
        <v>89</v>
      </c>
      <c r="Z258" t="s">
        <v>122</v>
      </c>
      <c r="AA258" t="s">
        <v>154</v>
      </c>
      <c r="AC258" t="s">
        <v>883</v>
      </c>
      <c r="AD258" t="s">
        <v>50</v>
      </c>
      <c r="AH258">
        <v>1</v>
      </c>
      <c r="AM258">
        <v>43465</v>
      </c>
      <c r="AN258">
        <v>43469</v>
      </c>
      <c r="AO258" s="2">
        <f t="shared" si="27"/>
        <v>181</v>
      </c>
      <c r="AP258" s="2">
        <f t="shared" si="28"/>
        <v>270</v>
      </c>
      <c r="AQ258" s="3">
        <f t="shared" si="29"/>
        <v>0</v>
      </c>
      <c r="AR258" s="1" t="str">
        <f>INDEX(IOS!$B:$B,MATCH(D258,IOS!A:A,0))&amp;B258</f>
        <v>O.D.2</v>
      </c>
      <c r="AS258" s="1">
        <f t="shared" si="30"/>
        <v>0</v>
      </c>
      <c r="AT258" s="1" t="str">
        <f>IF(ISBLANK(W258),"",IF(ISERROR(MATCH(W258,HQLATABLE!$A:$A,0)),0,1))</f>
        <v/>
      </c>
      <c r="AU258" s="1" t="str">
        <f t="shared" si="31"/>
        <v>Blank</v>
      </c>
      <c r="AV258" s="1" t="str">
        <f t="shared" si="32"/>
        <v>Blank</v>
      </c>
      <c r="AW258" s="1">
        <f t="shared" si="33"/>
        <v>0</v>
      </c>
      <c r="AX258" s="1">
        <f t="shared" si="34"/>
        <v>0</v>
      </c>
      <c r="AY258" s="1"/>
      <c r="AZ258" s="1">
        <f>IF(COUNTIFS('PID CHECK'!$B:$B,AR258)=1,0,IF(COUNTIFS(AR$1:AR257,AR258)=1,0,1))</f>
        <v>0</v>
      </c>
      <c r="BA258" s="1"/>
      <c r="BB258" s="1"/>
    </row>
    <row r="259" spans="1:54">
      <c r="A259">
        <v>258</v>
      </c>
      <c r="B259" t="s">
        <v>71</v>
      </c>
      <c r="C259" t="s">
        <v>159</v>
      </c>
      <c r="D259" t="s">
        <v>153</v>
      </c>
      <c r="E259" t="s">
        <v>47</v>
      </c>
      <c r="F259" t="s">
        <v>50</v>
      </c>
      <c r="H259" t="s">
        <v>87</v>
      </c>
      <c r="J259" t="s">
        <v>49</v>
      </c>
      <c r="K259" t="s">
        <v>50</v>
      </c>
      <c r="L259" t="s">
        <v>762</v>
      </c>
      <c r="M259" t="s">
        <v>762</v>
      </c>
      <c r="N259">
        <v>1.77</v>
      </c>
      <c r="R259" t="s">
        <v>88</v>
      </c>
      <c r="S259" t="s">
        <v>89</v>
      </c>
      <c r="Z259" t="s">
        <v>122</v>
      </c>
      <c r="AA259" t="s">
        <v>156</v>
      </c>
      <c r="AC259" t="s">
        <v>883</v>
      </c>
      <c r="AD259" t="s">
        <v>50</v>
      </c>
      <c r="AH259">
        <v>1</v>
      </c>
      <c r="AM259">
        <v>43465</v>
      </c>
      <c r="AN259">
        <v>43469</v>
      </c>
      <c r="AO259" s="2">
        <f t="shared" ref="AO259:AO322" si="35">VALUE(MID(R259,FIND("P",R259)+1,FIND("D",R259)-1-FIND("P",R259)))</f>
        <v>181</v>
      </c>
      <c r="AP259" s="2">
        <f t="shared" ref="AP259:AP322" si="36">IFERROR(VALUE(MID(S259,FIND("P",S259)+1,FIND("D",S259)-1-FIND("P",S259))),99999)</f>
        <v>270</v>
      </c>
      <c r="AQ259" s="3">
        <f t="shared" ref="AQ259:AQ322" si="37">IF(AO259&lt;=30,1,0)</f>
        <v>0</v>
      </c>
      <c r="AR259" s="1" t="str">
        <f>INDEX(IOS!$B:$B,MATCH(D259,IOS!A:A,0))&amp;B259</f>
        <v>O.D.2</v>
      </c>
      <c r="AS259" s="1">
        <f t="shared" ref="AS259:AS322" si="38">IF(F259="","Blank",IF(F259="True",1,0))</f>
        <v>0</v>
      </c>
      <c r="AT259" s="1" t="str">
        <f>IF(ISBLANK(W259),"",IF(ISERROR(MATCH(W259,HQLATABLE!$A:$A,0)),0,1))</f>
        <v/>
      </c>
      <c r="AU259" s="1" t="str">
        <f t="shared" ref="AU259:AU322" si="39">IF(V259="","Blank",IF(V259="True",1,0))</f>
        <v>Blank</v>
      </c>
      <c r="AV259" s="1" t="str">
        <f t="shared" ref="AV259:AV322" si="40">IF(AG259="","Blank",IF(AG259="True",1,0))</f>
        <v>Blank</v>
      </c>
      <c r="AW259" s="1">
        <f t="shared" ref="AW259:AW322" si="41">IF(X259="",0,IF(OR(X259&gt;=N259),-1,1))</f>
        <v>0</v>
      </c>
      <c r="AX259" s="1">
        <f t="shared" ref="AX259:AX322" si="42">IF(AC259="","Blank",IF(AC259="True",1,0))</f>
        <v>0</v>
      </c>
      <c r="AY259" s="1"/>
      <c r="AZ259" s="1">
        <f>IF(COUNTIFS('PID CHECK'!$B:$B,AR259)=1,0,IF(COUNTIFS(AR$1:AR258,AR259)=1,0,1))</f>
        <v>0</v>
      </c>
      <c r="BA259" s="1"/>
      <c r="BB259" s="1"/>
    </row>
    <row r="260" spans="1:54">
      <c r="A260">
        <v>259</v>
      </c>
      <c r="B260" t="s">
        <v>71</v>
      </c>
      <c r="C260" t="s">
        <v>159</v>
      </c>
      <c r="D260" t="s">
        <v>153</v>
      </c>
      <c r="E260" t="s">
        <v>47</v>
      </c>
      <c r="F260" t="s">
        <v>50</v>
      </c>
      <c r="H260" t="s">
        <v>999</v>
      </c>
      <c r="J260" t="s">
        <v>49</v>
      </c>
      <c r="K260" t="s">
        <v>50</v>
      </c>
      <c r="L260" t="s">
        <v>762</v>
      </c>
      <c r="M260" t="s">
        <v>762</v>
      </c>
      <c r="N260">
        <v>0</v>
      </c>
      <c r="R260" t="s">
        <v>1000</v>
      </c>
      <c r="S260" t="s">
        <v>1000</v>
      </c>
      <c r="Z260" t="s">
        <v>122</v>
      </c>
      <c r="AA260" t="s">
        <v>154</v>
      </c>
      <c r="AC260" t="s">
        <v>883</v>
      </c>
      <c r="AD260" t="s">
        <v>50</v>
      </c>
      <c r="AH260">
        <v>1</v>
      </c>
      <c r="AM260">
        <v>43465</v>
      </c>
      <c r="AN260">
        <v>43469</v>
      </c>
      <c r="AO260" s="2">
        <f t="shared" si="35"/>
        <v>18</v>
      </c>
      <c r="AP260" s="2">
        <f t="shared" si="36"/>
        <v>18</v>
      </c>
      <c r="AQ260" s="3">
        <f t="shared" si="37"/>
        <v>1</v>
      </c>
      <c r="AR260" s="1" t="str">
        <f>INDEX(IOS!$B:$B,MATCH(D260,IOS!A:A,0))&amp;B260</f>
        <v>O.D.2</v>
      </c>
      <c r="AS260" s="1">
        <f t="shared" si="38"/>
        <v>0</v>
      </c>
      <c r="AT260" s="1" t="str">
        <f>IF(ISBLANK(W260),"",IF(ISERROR(MATCH(W260,HQLATABLE!$A:$A,0)),0,1))</f>
        <v/>
      </c>
      <c r="AU260" s="1" t="str">
        <f t="shared" si="39"/>
        <v>Blank</v>
      </c>
      <c r="AV260" s="1" t="str">
        <f t="shared" si="40"/>
        <v>Blank</v>
      </c>
      <c r="AW260" s="1">
        <f t="shared" si="41"/>
        <v>0</v>
      </c>
      <c r="AX260" s="1">
        <f t="shared" si="42"/>
        <v>0</v>
      </c>
      <c r="AY260" s="1"/>
      <c r="AZ260" s="1">
        <f>IF(COUNTIFS('PID CHECK'!$B:$B,AR260)=1,0,IF(COUNTIFS(AR$1:AR259,AR260)=1,0,1))</f>
        <v>0</v>
      </c>
      <c r="BA260" s="1"/>
      <c r="BB260" s="1"/>
    </row>
    <row r="261" spans="1:54">
      <c r="A261">
        <v>260</v>
      </c>
      <c r="B261" t="s">
        <v>71</v>
      </c>
      <c r="C261" t="s">
        <v>159</v>
      </c>
      <c r="D261" t="s">
        <v>153</v>
      </c>
      <c r="E261" t="s">
        <v>47</v>
      </c>
      <c r="F261" t="s">
        <v>50</v>
      </c>
      <c r="H261" t="s">
        <v>999</v>
      </c>
      <c r="J261" t="s">
        <v>49</v>
      </c>
      <c r="K261" t="s">
        <v>50</v>
      </c>
      <c r="L261" t="s">
        <v>762</v>
      </c>
      <c r="M261" t="s">
        <v>762</v>
      </c>
      <c r="N261">
        <v>0.4</v>
      </c>
      <c r="R261" t="s">
        <v>1000</v>
      </c>
      <c r="S261" t="s">
        <v>1000</v>
      </c>
      <c r="Z261" t="s">
        <v>122</v>
      </c>
      <c r="AA261" t="s">
        <v>156</v>
      </c>
      <c r="AC261" t="s">
        <v>883</v>
      </c>
      <c r="AD261" t="s">
        <v>50</v>
      </c>
      <c r="AH261">
        <v>1</v>
      </c>
      <c r="AM261">
        <v>43465</v>
      </c>
      <c r="AN261">
        <v>43469</v>
      </c>
      <c r="AO261" s="2">
        <f t="shared" si="35"/>
        <v>18</v>
      </c>
      <c r="AP261" s="2">
        <f t="shared" si="36"/>
        <v>18</v>
      </c>
      <c r="AQ261" s="3">
        <f t="shared" si="37"/>
        <v>1</v>
      </c>
      <c r="AR261" s="1" t="str">
        <f>INDEX(IOS!$B:$B,MATCH(D261,IOS!A:A,0))&amp;B261</f>
        <v>O.D.2</v>
      </c>
      <c r="AS261" s="1">
        <f t="shared" si="38"/>
        <v>0</v>
      </c>
      <c r="AT261" s="1" t="str">
        <f>IF(ISBLANK(W261),"",IF(ISERROR(MATCH(W261,HQLATABLE!$A:$A,0)),0,1))</f>
        <v/>
      </c>
      <c r="AU261" s="1" t="str">
        <f t="shared" si="39"/>
        <v>Blank</v>
      </c>
      <c r="AV261" s="1" t="str">
        <f t="shared" si="40"/>
        <v>Blank</v>
      </c>
      <c r="AW261" s="1">
        <f t="shared" si="41"/>
        <v>0</v>
      </c>
      <c r="AX261" s="1">
        <f t="shared" si="42"/>
        <v>0</v>
      </c>
      <c r="AY261" s="1"/>
      <c r="AZ261" s="1">
        <f>IF(COUNTIFS('PID CHECK'!$B:$B,AR261)=1,0,IF(COUNTIFS(AR$1:AR260,AR261)=1,0,1))</f>
        <v>0</v>
      </c>
      <c r="BA261" s="1"/>
      <c r="BB261" s="1"/>
    </row>
    <row r="262" spans="1:54">
      <c r="A262">
        <v>261</v>
      </c>
      <c r="B262" t="s">
        <v>71</v>
      </c>
      <c r="C262" t="s">
        <v>159</v>
      </c>
      <c r="D262" t="s">
        <v>153</v>
      </c>
      <c r="E262" t="s">
        <v>47</v>
      </c>
      <c r="F262" t="s">
        <v>50</v>
      </c>
      <c r="H262" t="s">
        <v>1034</v>
      </c>
      <c r="J262" t="s">
        <v>49</v>
      </c>
      <c r="K262" t="s">
        <v>50</v>
      </c>
      <c r="L262" t="s">
        <v>762</v>
      </c>
      <c r="M262" t="s">
        <v>762</v>
      </c>
      <c r="N262">
        <v>0.38</v>
      </c>
      <c r="R262" t="s">
        <v>1035</v>
      </c>
      <c r="S262" t="s">
        <v>1035</v>
      </c>
      <c r="Z262" t="s">
        <v>122</v>
      </c>
      <c r="AA262" t="s">
        <v>154</v>
      </c>
      <c r="AC262" t="s">
        <v>883</v>
      </c>
      <c r="AD262" t="s">
        <v>50</v>
      </c>
      <c r="AH262">
        <v>1</v>
      </c>
      <c r="AM262">
        <v>43465</v>
      </c>
      <c r="AN262">
        <v>43469</v>
      </c>
      <c r="AO262" s="2">
        <f t="shared" si="35"/>
        <v>22</v>
      </c>
      <c r="AP262" s="2">
        <f t="shared" si="36"/>
        <v>22</v>
      </c>
      <c r="AQ262" s="3">
        <f t="shared" si="37"/>
        <v>1</v>
      </c>
      <c r="AR262" s="1" t="str">
        <f>INDEX(IOS!$B:$B,MATCH(D262,IOS!A:A,0))&amp;B262</f>
        <v>O.D.2</v>
      </c>
      <c r="AS262" s="1">
        <f t="shared" si="38"/>
        <v>0</v>
      </c>
      <c r="AT262" s="1" t="str">
        <f>IF(ISBLANK(W262),"",IF(ISERROR(MATCH(W262,HQLATABLE!$A:$A,0)),0,1))</f>
        <v/>
      </c>
      <c r="AU262" s="1" t="str">
        <f t="shared" si="39"/>
        <v>Blank</v>
      </c>
      <c r="AV262" s="1" t="str">
        <f t="shared" si="40"/>
        <v>Blank</v>
      </c>
      <c r="AW262" s="1">
        <f t="shared" si="41"/>
        <v>0</v>
      </c>
      <c r="AX262" s="1">
        <f t="shared" si="42"/>
        <v>0</v>
      </c>
      <c r="AY262" s="1"/>
      <c r="AZ262" s="1">
        <f>IF(COUNTIFS('PID CHECK'!$B:$B,AR262)=1,0,IF(COUNTIFS(AR$1:AR261,AR262)=1,0,1))</f>
        <v>0</v>
      </c>
      <c r="BA262" s="1"/>
      <c r="BB262" s="1"/>
    </row>
    <row r="263" spans="1:54">
      <c r="A263">
        <v>262</v>
      </c>
      <c r="B263" t="s">
        <v>71</v>
      </c>
      <c r="C263" t="s">
        <v>159</v>
      </c>
      <c r="D263" t="s">
        <v>153</v>
      </c>
      <c r="E263" t="s">
        <v>47</v>
      </c>
      <c r="F263" t="s">
        <v>50</v>
      </c>
      <c r="H263" t="s">
        <v>1054</v>
      </c>
      <c r="J263" t="s">
        <v>49</v>
      </c>
      <c r="K263" t="s">
        <v>50</v>
      </c>
      <c r="L263" t="s">
        <v>762</v>
      </c>
      <c r="M263" t="s">
        <v>762</v>
      </c>
      <c r="N263">
        <v>0.18</v>
      </c>
      <c r="R263" t="s">
        <v>1055</v>
      </c>
      <c r="S263" t="s">
        <v>1055</v>
      </c>
      <c r="Z263" t="s">
        <v>122</v>
      </c>
      <c r="AA263" t="s">
        <v>154</v>
      </c>
      <c r="AC263" t="s">
        <v>883</v>
      </c>
      <c r="AD263" t="s">
        <v>50</v>
      </c>
      <c r="AH263">
        <v>1</v>
      </c>
      <c r="AM263">
        <v>43465</v>
      </c>
      <c r="AN263">
        <v>43469</v>
      </c>
      <c r="AO263" s="2">
        <f t="shared" si="35"/>
        <v>23</v>
      </c>
      <c r="AP263" s="2">
        <f t="shared" si="36"/>
        <v>23</v>
      </c>
      <c r="AQ263" s="3">
        <f t="shared" si="37"/>
        <v>1</v>
      </c>
      <c r="AR263" s="1" t="str">
        <f>INDEX(IOS!$B:$B,MATCH(D263,IOS!A:A,0))&amp;B263</f>
        <v>O.D.2</v>
      </c>
      <c r="AS263" s="1">
        <f t="shared" si="38"/>
        <v>0</v>
      </c>
      <c r="AT263" s="1" t="str">
        <f>IF(ISBLANK(W263),"",IF(ISERROR(MATCH(W263,HQLATABLE!$A:$A,0)),0,1))</f>
        <v/>
      </c>
      <c r="AU263" s="1" t="str">
        <f t="shared" si="39"/>
        <v>Blank</v>
      </c>
      <c r="AV263" s="1" t="str">
        <f t="shared" si="40"/>
        <v>Blank</v>
      </c>
      <c r="AW263" s="1">
        <f t="shared" si="41"/>
        <v>0</v>
      </c>
      <c r="AX263" s="1">
        <f t="shared" si="42"/>
        <v>0</v>
      </c>
      <c r="AY263" s="1"/>
      <c r="AZ263" s="1">
        <f>IF(COUNTIFS('PID CHECK'!$B:$B,AR263)=1,0,IF(COUNTIFS(AR$1:AR262,AR263)=1,0,1))</f>
        <v>0</v>
      </c>
      <c r="BA263" s="1"/>
      <c r="BB263" s="1"/>
    </row>
    <row r="264" spans="1:54">
      <c r="A264">
        <v>263</v>
      </c>
      <c r="B264" t="s">
        <v>71</v>
      </c>
      <c r="C264" t="s">
        <v>159</v>
      </c>
      <c r="D264" t="s">
        <v>153</v>
      </c>
      <c r="E264" t="s">
        <v>47</v>
      </c>
      <c r="F264" t="s">
        <v>50</v>
      </c>
      <c r="H264" t="s">
        <v>1001</v>
      </c>
      <c r="J264" t="s">
        <v>49</v>
      </c>
      <c r="K264" t="s">
        <v>50</v>
      </c>
      <c r="L264" t="s">
        <v>762</v>
      </c>
      <c r="M264" t="s">
        <v>762</v>
      </c>
      <c r="N264">
        <v>0.25</v>
      </c>
      <c r="R264" t="s">
        <v>1002</v>
      </c>
      <c r="S264" t="s">
        <v>1002</v>
      </c>
      <c r="Z264" t="s">
        <v>122</v>
      </c>
      <c r="AA264" t="s">
        <v>154</v>
      </c>
      <c r="AC264" t="s">
        <v>883</v>
      </c>
      <c r="AD264" t="s">
        <v>50</v>
      </c>
      <c r="AH264">
        <v>1</v>
      </c>
      <c r="AM264">
        <v>43465</v>
      </c>
      <c r="AN264">
        <v>43469</v>
      </c>
      <c r="AO264" s="2">
        <f t="shared" si="35"/>
        <v>24</v>
      </c>
      <c r="AP264" s="2">
        <f t="shared" si="36"/>
        <v>24</v>
      </c>
      <c r="AQ264" s="3">
        <f t="shared" si="37"/>
        <v>1</v>
      </c>
      <c r="AR264" s="1" t="str">
        <f>INDEX(IOS!$B:$B,MATCH(D264,IOS!A:A,0))&amp;B264</f>
        <v>O.D.2</v>
      </c>
      <c r="AS264" s="1">
        <f t="shared" si="38"/>
        <v>0</v>
      </c>
      <c r="AT264" s="1" t="str">
        <f>IF(ISBLANK(W264),"",IF(ISERROR(MATCH(W264,HQLATABLE!$A:$A,0)),0,1))</f>
        <v/>
      </c>
      <c r="AU264" s="1" t="str">
        <f t="shared" si="39"/>
        <v>Blank</v>
      </c>
      <c r="AV264" s="1" t="str">
        <f t="shared" si="40"/>
        <v>Blank</v>
      </c>
      <c r="AW264" s="1">
        <f t="shared" si="41"/>
        <v>0</v>
      </c>
      <c r="AX264" s="1">
        <f t="shared" si="42"/>
        <v>0</v>
      </c>
      <c r="AY264" s="1"/>
      <c r="AZ264" s="1">
        <f>IF(COUNTIFS('PID CHECK'!$B:$B,AR264)=1,0,IF(COUNTIFS(AR$1:AR263,AR264)=1,0,1))</f>
        <v>0</v>
      </c>
      <c r="BA264" s="1"/>
      <c r="BB264" s="1"/>
    </row>
    <row r="265" spans="1:54">
      <c r="A265">
        <v>264</v>
      </c>
      <c r="B265" t="s">
        <v>71</v>
      </c>
      <c r="C265" t="s">
        <v>159</v>
      </c>
      <c r="D265" t="s">
        <v>153</v>
      </c>
      <c r="E265" t="s">
        <v>47</v>
      </c>
      <c r="F265" t="s">
        <v>50</v>
      </c>
      <c r="H265" t="s">
        <v>79</v>
      </c>
      <c r="J265" t="s">
        <v>49</v>
      </c>
      <c r="K265" t="s">
        <v>50</v>
      </c>
      <c r="L265" t="s">
        <v>762</v>
      </c>
      <c r="M265" t="s">
        <v>762</v>
      </c>
      <c r="N265">
        <v>2.48</v>
      </c>
      <c r="R265" t="s">
        <v>80</v>
      </c>
      <c r="S265" t="s">
        <v>81</v>
      </c>
      <c r="Z265" t="s">
        <v>122</v>
      </c>
      <c r="AA265" t="s">
        <v>154</v>
      </c>
      <c r="AC265" t="s">
        <v>883</v>
      </c>
      <c r="AD265" t="s">
        <v>50</v>
      </c>
      <c r="AH265">
        <v>1</v>
      </c>
      <c r="AM265">
        <v>43465</v>
      </c>
      <c r="AN265">
        <v>43469</v>
      </c>
      <c r="AO265" s="2">
        <f t="shared" si="35"/>
        <v>271</v>
      </c>
      <c r="AP265" s="2">
        <f t="shared" si="36"/>
        <v>365</v>
      </c>
      <c r="AQ265" s="3">
        <f t="shared" si="37"/>
        <v>0</v>
      </c>
      <c r="AR265" s="1" t="str">
        <f>INDEX(IOS!$B:$B,MATCH(D265,IOS!A:A,0))&amp;B265</f>
        <v>O.D.2</v>
      </c>
      <c r="AS265" s="1">
        <f t="shared" si="38"/>
        <v>0</v>
      </c>
      <c r="AT265" s="1" t="str">
        <f>IF(ISBLANK(W265),"",IF(ISERROR(MATCH(W265,HQLATABLE!$A:$A,0)),0,1))</f>
        <v/>
      </c>
      <c r="AU265" s="1" t="str">
        <f t="shared" si="39"/>
        <v>Blank</v>
      </c>
      <c r="AV265" s="1" t="str">
        <f t="shared" si="40"/>
        <v>Blank</v>
      </c>
      <c r="AW265" s="1">
        <f t="shared" si="41"/>
        <v>0</v>
      </c>
      <c r="AX265" s="1">
        <f t="shared" si="42"/>
        <v>0</v>
      </c>
      <c r="AY265" s="1"/>
      <c r="AZ265" s="1">
        <f>IF(COUNTIFS('PID CHECK'!$B:$B,AR265)=1,0,IF(COUNTIFS(AR$1:AR264,AR265)=1,0,1))</f>
        <v>0</v>
      </c>
      <c r="BA265" s="1"/>
      <c r="BB265" s="1"/>
    </row>
    <row r="266" spans="1:54">
      <c r="A266">
        <v>265</v>
      </c>
      <c r="B266" t="s">
        <v>71</v>
      </c>
      <c r="C266" t="s">
        <v>159</v>
      </c>
      <c r="D266" t="s">
        <v>153</v>
      </c>
      <c r="E266" t="s">
        <v>47</v>
      </c>
      <c r="F266" t="s">
        <v>50</v>
      </c>
      <c r="H266" t="s">
        <v>958</v>
      </c>
      <c r="J266" t="s">
        <v>49</v>
      </c>
      <c r="K266" t="s">
        <v>50</v>
      </c>
      <c r="L266" t="s">
        <v>762</v>
      </c>
      <c r="M266" t="s">
        <v>762</v>
      </c>
      <c r="N266">
        <v>0.12</v>
      </c>
      <c r="R266" t="s">
        <v>959</v>
      </c>
      <c r="S266" t="s">
        <v>959</v>
      </c>
      <c r="Z266" t="s">
        <v>122</v>
      </c>
      <c r="AA266" t="s">
        <v>154</v>
      </c>
      <c r="AC266" t="s">
        <v>883</v>
      </c>
      <c r="AD266" t="s">
        <v>50</v>
      </c>
      <c r="AH266">
        <v>1</v>
      </c>
      <c r="AM266">
        <v>43465</v>
      </c>
      <c r="AN266">
        <v>43469</v>
      </c>
      <c r="AO266" s="2">
        <f t="shared" si="35"/>
        <v>28</v>
      </c>
      <c r="AP266" s="2">
        <f t="shared" si="36"/>
        <v>28</v>
      </c>
      <c r="AQ266" s="3">
        <f t="shared" si="37"/>
        <v>1</v>
      </c>
      <c r="AR266" s="1" t="str">
        <f>INDEX(IOS!$B:$B,MATCH(D266,IOS!A:A,0))&amp;B266</f>
        <v>O.D.2</v>
      </c>
      <c r="AS266" s="1">
        <f t="shared" si="38"/>
        <v>0</v>
      </c>
      <c r="AT266" s="1" t="str">
        <f>IF(ISBLANK(W266),"",IF(ISERROR(MATCH(W266,HQLATABLE!$A:$A,0)),0,1))</f>
        <v/>
      </c>
      <c r="AU266" s="1" t="str">
        <f t="shared" si="39"/>
        <v>Blank</v>
      </c>
      <c r="AV266" s="1" t="str">
        <f t="shared" si="40"/>
        <v>Blank</v>
      </c>
      <c r="AW266" s="1">
        <f t="shared" si="41"/>
        <v>0</v>
      </c>
      <c r="AX266" s="1">
        <f t="shared" si="42"/>
        <v>0</v>
      </c>
      <c r="AY266" s="1"/>
      <c r="AZ266" s="1">
        <f>IF(COUNTIFS('PID CHECK'!$B:$B,AR266)=1,0,IF(COUNTIFS(AR$1:AR265,AR266)=1,0,1))</f>
        <v>0</v>
      </c>
      <c r="BA266" s="1"/>
      <c r="BB266" s="1"/>
    </row>
    <row r="267" spans="1:54">
      <c r="A267">
        <v>266</v>
      </c>
      <c r="B267" t="s">
        <v>71</v>
      </c>
      <c r="C267" t="s">
        <v>159</v>
      </c>
      <c r="D267" t="s">
        <v>153</v>
      </c>
      <c r="E267" t="s">
        <v>47</v>
      </c>
      <c r="F267" t="s">
        <v>50</v>
      </c>
      <c r="H267" t="s">
        <v>1046</v>
      </c>
      <c r="J267" t="s">
        <v>49</v>
      </c>
      <c r="K267" t="s">
        <v>50</v>
      </c>
      <c r="L267" t="s">
        <v>762</v>
      </c>
      <c r="M267" t="s">
        <v>762</v>
      </c>
      <c r="N267">
        <v>0</v>
      </c>
      <c r="R267" t="s">
        <v>1047</v>
      </c>
      <c r="S267" t="s">
        <v>1047</v>
      </c>
      <c r="Z267" t="s">
        <v>122</v>
      </c>
      <c r="AA267" t="s">
        <v>154</v>
      </c>
      <c r="AC267" t="s">
        <v>883</v>
      </c>
      <c r="AD267" t="s">
        <v>50</v>
      </c>
      <c r="AH267">
        <v>1</v>
      </c>
      <c r="AM267">
        <v>43465</v>
      </c>
      <c r="AN267">
        <v>43469</v>
      </c>
      <c r="AO267" s="2">
        <f t="shared" si="35"/>
        <v>29</v>
      </c>
      <c r="AP267" s="2">
        <f t="shared" si="36"/>
        <v>29</v>
      </c>
      <c r="AQ267" s="3">
        <f t="shared" si="37"/>
        <v>1</v>
      </c>
      <c r="AR267" s="1" t="str">
        <f>INDEX(IOS!$B:$B,MATCH(D267,IOS!A:A,0))&amp;B267</f>
        <v>O.D.2</v>
      </c>
      <c r="AS267" s="1">
        <f t="shared" si="38"/>
        <v>0</v>
      </c>
      <c r="AT267" s="1" t="str">
        <f>IF(ISBLANK(W267),"",IF(ISERROR(MATCH(W267,HQLATABLE!$A:$A,0)),0,1))</f>
        <v/>
      </c>
      <c r="AU267" s="1" t="str">
        <f t="shared" si="39"/>
        <v>Blank</v>
      </c>
      <c r="AV267" s="1" t="str">
        <f t="shared" si="40"/>
        <v>Blank</v>
      </c>
      <c r="AW267" s="1">
        <f t="shared" si="41"/>
        <v>0</v>
      </c>
      <c r="AX267" s="1">
        <f t="shared" si="42"/>
        <v>0</v>
      </c>
      <c r="AY267" s="1"/>
      <c r="AZ267" s="1">
        <f>IF(COUNTIFS('PID CHECK'!$B:$B,AR267)=1,0,IF(COUNTIFS(AR$1:AR266,AR267)=1,0,1))</f>
        <v>0</v>
      </c>
      <c r="BA267" s="1"/>
      <c r="BB267" s="1"/>
    </row>
    <row r="268" spans="1:54">
      <c r="A268">
        <v>267</v>
      </c>
      <c r="B268" t="s">
        <v>71</v>
      </c>
      <c r="C268" t="s">
        <v>159</v>
      </c>
      <c r="D268" t="s">
        <v>153</v>
      </c>
      <c r="E268" t="s">
        <v>47</v>
      </c>
      <c r="F268" t="s">
        <v>50</v>
      </c>
      <c r="H268" t="s">
        <v>1030</v>
      </c>
      <c r="J268" t="s">
        <v>49</v>
      </c>
      <c r="K268" t="s">
        <v>50</v>
      </c>
      <c r="L268" t="s">
        <v>762</v>
      </c>
      <c r="M268" t="s">
        <v>762</v>
      </c>
      <c r="N268">
        <v>0.15</v>
      </c>
      <c r="R268" t="s">
        <v>1031</v>
      </c>
      <c r="S268" t="s">
        <v>1031</v>
      </c>
      <c r="Z268" t="s">
        <v>122</v>
      </c>
      <c r="AA268" t="s">
        <v>154</v>
      </c>
      <c r="AC268" t="s">
        <v>883</v>
      </c>
      <c r="AD268" t="s">
        <v>50</v>
      </c>
      <c r="AH268">
        <v>1</v>
      </c>
      <c r="AM268">
        <v>43465</v>
      </c>
      <c r="AN268">
        <v>43469</v>
      </c>
      <c r="AO268" s="2">
        <f t="shared" si="35"/>
        <v>2</v>
      </c>
      <c r="AP268" s="2">
        <f t="shared" si="36"/>
        <v>2</v>
      </c>
      <c r="AQ268" s="3">
        <f t="shared" si="37"/>
        <v>1</v>
      </c>
      <c r="AR268" s="1" t="str">
        <f>INDEX(IOS!$B:$B,MATCH(D268,IOS!A:A,0))&amp;B268</f>
        <v>O.D.2</v>
      </c>
      <c r="AS268" s="1">
        <f t="shared" si="38"/>
        <v>0</v>
      </c>
      <c r="AT268" s="1" t="str">
        <f>IF(ISBLANK(W268),"",IF(ISERROR(MATCH(W268,HQLATABLE!$A:$A,0)),0,1))</f>
        <v/>
      </c>
      <c r="AU268" s="1" t="str">
        <f t="shared" si="39"/>
        <v>Blank</v>
      </c>
      <c r="AV268" s="1" t="str">
        <f t="shared" si="40"/>
        <v>Blank</v>
      </c>
      <c r="AW268" s="1">
        <f t="shared" si="41"/>
        <v>0</v>
      </c>
      <c r="AX268" s="1">
        <f t="shared" si="42"/>
        <v>0</v>
      </c>
      <c r="AY268" s="1"/>
      <c r="AZ268" s="1">
        <f>IF(COUNTIFS('PID CHECK'!$B:$B,AR268)=1,0,IF(COUNTIFS(AR$1:AR267,AR268)=1,0,1))</f>
        <v>0</v>
      </c>
      <c r="BA268" s="1"/>
      <c r="BB268" s="1"/>
    </row>
    <row r="269" spans="1:54">
      <c r="A269">
        <v>268</v>
      </c>
      <c r="B269" t="s">
        <v>71</v>
      </c>
      <c r="C269" t="s">
        <v>159</v>
      </c>
      <c r="D269" t="s">
        <v>153</v>
      </c>
      <c r="E269" t="s">
        <v>47</v>
      </c>
      <c r="F269" t="s">
        <v>50</v>
      </c>
      <c r="H269" t="s">
        <v>1026</v>
      </c>
      <c r="J269" t="s">
        <v>49</v>
      </c>
      <c r="K269" t="s">
        <v>50</v>
      </c>
      <c r="L269" t="s">
        <v>762</v>
      </c>
      <c r="M269" t="s">
        <v>762</v>
      </c>
      <c r="N269">
        <v>0.06</v>
      </c>
      <c r="R269" t="s">
        <v>1027</v>
      </c>
      <c r="S269" t="s">
        <v>1027</v>
      </c>
      <c r="Z269" t="s">
        <v>122</v>
      </c>
      <c r="AA269" t="s">
        <v>154</v>
      </c>
      <c r="AC269" t="s">
        <v>883</v>
      </c>
      <c r="AD269" t="s">
        <v>50</v>
      </c>
      <c r="AH269">
        <v>1</v>
      </c>
      <c r="AM269">
        <v>43465</v>
      </c>
      <c r="AN269">
        <v>43469</v>
      </c>
      <c r="AO269" s="2">
        <f t="shared" si="35"/>
        <v>30</v>
      </c>
      <c r="AP269" s="2">
        <f t="shared" si="36"/>
        <v>30</v>
      </c>
      <c r="AQ269" s="3">
        <f t="shared" si="37"/>
        <v>1</v>
      </c>
      <c r="AR269" s="1" t="str">
        <f>INDEX(IOS!$B:$B,MATCH(D269,IOS!A:A,0))&amp;B269</f>
        <v>O.D.2</v>
      </c>
      <c r="AS269" s="1">
        <f t="shared" si="38"/>
        <v>0</v>
      </c>
      <c r="AT269" s="1" t="str">
        <f>IF(ISBLANK(W269),"",IF(ISERROR(MATCH(W269,HQLATABLE!$A:$A,0)),0,1))</f>
        <v/>
      </c>
      <c r="AU269" s="1" t="str">
        <f t="shared" si="39"/>
        <v>Blank</v>
      </c>
      <c r="AV269" s="1" t="str">
        <f t="shared" si="40"/>
        <v>Blank</v>
      </c>
      <c r="AW269" s="1">
        <f t="shared" si="41"/>
        <v>0</v>
      </c>
      <c r="AX269" s="1">
        <f t="shared" si="42"/>
        <v>0</v>
      </c>
      <c r="AY269" s="1"/>
      <c r="AZ269" s="1">
        <f>IF(COUNTIFS('PID CHECK'!$B:$B,AR269)=1,0,IF(COUNTIFS(AR$1:AR268,AR269)=1,0,1))</f>
        <v>0</v>
      </c>
      <c r="BA269" s="1"/>
      <c r="BB269" s="1"/>
    </row>
    <row r="270" spans="1:54">
      <c r="A270">
        <v>269</v>
      </c>
      <c r="B270" t="s">
        <v>71</v>
      </c>
      <c r="C270" t="s">
        <v>159</v>
      </c>
      <c r="D270" t="s">
        <v>153</v>
      </c>
      <c r="E270" t="s">
        <v>47</v>
      </c>
      <c r="F270" t="s">
        <v>50</v>
      </c>
      <c r="H270" t="s">
        <v>1003</v>
      </c>
      <c r="J270" t="s">
        <v>49</v>
      </c>
      <c r="K270" t="s">
        <v>50</v>
      </c>
      <c r="L270" t="s">
        <v>762</v>
      </c>
      <c r="M270" t="s">
        <v>762</v>
      </c>
      <c r="N270">
        <v>0.47</v>
      </c>
      <c r="R270" t="s">
        <v>1004</v>
      </c>
      <c r="S270" t="s">
        <v>1004</v>
      </c>
      <c r="Z270" t="s">
        <v>122</v>
      </c>
      <c r="AA270" t="s">
        <v>154</v>
      </c>
      <c r="AC270" t="s">
        <v>883</v>
      </c>
      <c r="AD270" t="s">
        <v>50</v>
      </c>
      <c r="AH270">
        <v>1</v>
      </c>
      <c r="AM270">
        <v>43465</v>
      </c>
      <c r="AN270">
        <v>43469</v>
      </c>
      <c r="AO270" s="2">
        <f t="shared" si="35"/>
        <v>31</v>
      </c>
      <c r="AP270" s="2">
        <f t="shared" si="36"/>
        <v>31</v>
      </c>
      <c r="AQ270" s="3">
        <f t="shared" si="37"/>
        <v>0</v>
      </c>
      <c r="AR270" s="1" t="str">
        <f>INDEX(IOS!$B:$B,MATCH(D270,IOS!A:A,0))&amp;B270</f>
        <v>O.D.2</v>
      </c>
      <c r="AS270" s="1">
        <f t="shared" si="38"/>
        <v>0</v>
      </c>
      <c r="AT270" s="1" t="str">
        <f>IF(ISBLANK(W270),"",IF(ISERROR(MATCH(W270,HQLATABLE!$A:$A,0)),0,1))</f>
        <v/>
      </c>
      <c r="AU270" s="1" t="str">
        <f t="shared" si="39"/>
        <v>Blank</v>
      </c>
      <c r="AV270" s="1" t="str">
        <f t="shared" si="40"/>
        <v>Blank</v>
      </c>
      <c r="AW270" s="1">
        <f t="shared" si="41"/>
        <v>0</v>
      </c>
      <c r="AX270" s="1">
        <f t="shared" si="42"/>
        <v>0</v>
      </c>
      <c r="AY270" s="1"/>
      <c r="AZ270" s="1">
        <f>IF(COUNTIFS('PID CHECK'!$B:$B,AR270)=1,0,IF(COUNTIFS(AR$1:AR269,AR270)=1,0,1))</f>
        <v>0</v>
      </c>
      <c r="BA270" s="1"/>
      <c r="BB270" s="1"/>
    </row>
    <row r="271" spans="1:54">
      <c r="A271">
        <v>270</v>
      </c>
      <c r="B271" t="s">
        <v>71</v>
      </c>
      <c r="C271" t="s">
        <v>159</v>
      </c>
      <c r="D271" t="s">
        <v>153</v>
      </c>
      <c r="E271" t="s">
        <v>47</v>
      </c>
      <c r="F271" t="s">
        <v>50</v>
      </c>
      <c r="H271" t="s">
        <v>981</v>
      </c>
      <c r="J271" t="s">
        <v>49</v>
      </c>
      <c r="K271" t="s">
        <v>50</v>
      </c>
      <c r="L271" t="s">
        <v>762</v>
      </c>
      <c r="M271" t="s">
        <v>762</v>
      </c>
      <c r="N271">
        <v>0.06</v>
      </c>
      <c r="R271" t="s">
        <v>982</v>
      </c>
      <c r="S271" t="s">
        <v>982</v>
      </c>
      <c r="Z271" t="s">
        <v>122</v>
      </c>
      <c r="AA271" t="s">
        <v>154</v>
      </c>
      <c r="AC271" t="s">
        <v>883</v>
      </c>
      <c r="AD271" t="s">
        <v>50</v>
      </c>
      <c r="AH271">
        <v>1</v>
      </c>
      <c r="AM271">
        <v>43465</v>
      </c>
      <c r="AN271">
        <v>43469</v>
      </c>
      <c r="AO271" s="2">
        <f t="shared" si="35"/>
        <v>35</v>
      </c>
      <c r="AP271" s="2">
        <f t="shared" si="36"/>
        <v>35</v>
      </c>
      <c r="AQ271" s="3">
        <f t="shared" si="37"/>
        <v>0</v>
      </c>
      <c r="AR271" s="1" t="str">
        <f>INDEX(IOS!$B:$B,MATCH(D271,IOS!A:A,0))&amp;B271</f>
        <v>O.D.2</v>
      </c>
      <c r="AS271" s="1">
        <f t="shared" si="38"/>
        <v>0</v>
      </c>
      <c r="AT271" s="1" t="str">
        <f>IF(ISBLANK(W271),"",IF(ISERROR(MATCH(W271,HQLATABLE!$A:$A,0)),0,1))</f>
        <v/>
      </c>
      <c r="AU271" s="1" t="str">
        <f t="shared" si="39"/>
        <v>Blank</v>
      </c>
      <c r="AV271" s="1" t="str">
        <f t="shared" si="40"/>
        <v>Blank</v>
      </c>
      <c r="AW271" s="1">
        <f t="shared" si="41"/>
        <v>0</v>
      </c>
      <c r="AX271" s="1">
        <f t="shared" si="42"/>
        <v>0</v>
      </c>
      <c r="AY271" s="1"/>
      <c r="AZ271" s="1">
        <f>IF(COUNTIFS('PID CHECK'!$B:$B,AR271)=1,0,IF(COUNTIFS(AR$1:AR270,AR271)=1,0,1))</f>
        <v>0</v>
      </c>
      <c r="BA271" s="1"/>
      <c r="BB271" s="1"/>
    </row>
    <row r="272" spans="1:54">
      <c r="A272">
        <v>271</v>
      </c>
      <c r="B272" t="s">
        <v>71</v>
      </c>
      <c r="C272" t="s">
        <v>159</v>
      </c>
      <c r="D272" t="s">
        <v>153</v>
      </c>
      <c r="E272" t="s">
        <v>47</v>
      </c>
      <c r="F272" t="s">
        <v>50</v>
      </c>
      <c r="H272" t="s">
        <v>131</v>
      </c>
      <c r="J272" t="s">
        <v>49</v>
      </c>
      <c r="K272" t="s">
        <v>50</v>
      </c>
      <c r="L272" t="s">
        <v>762</v>
      </c>
      <c r="M272" t="s">
        <v>762</v>
      </c>
      <c r="N272">
        <v>6.19</v>
      </c>
      <c r="R272" t="s">
        <v>132</v>
      </c>
      <c r="S272" t="s">
        <v>133</v>
      </c>
      <c r="Z272" t="s">
        <v>122</v>
      </c>
      <c r="AA272" t="s">
        <v>154</v>
      </c>
      <c r="AC272" t="s">
        <v>883</v>
      </c>
      <c r="AD272" t="s">
        <v>50</v>
      </c>
      <c r="AH272">
        <v>1</v>
      </c>
      <c r="AM272">
        <v>43465</v>
      </c>
      <c r="AN272">
        <v>43469</v>
      </c>
      <c r="AO272" s="2">
        <f t="shared" si="35"/>
        <v>366</v>
      </c>
      <c r="AP272" s="2">
        <f t="shared" si="36"/>
        <v>730</v>
      </c>
      <c r="AQ272" s="3">
        <f t="shared" si="37"/>
        <v>0</v>
      </c>
      <c r="AR272" s="1" t="str">
        <f>INDEX(IOS!$B:$B,MATCH(D272,IOS!A:A,0))&amp;B272</f>
        <v>O.D.2</v>
      </c>
      <c r="AS272" s="1">
        <f t="shared" si="38"/>
        <v>0</v>
      </c>
      <c r="AT272" s="1" t="str">
        <f>IF(ISBLANK(W272),"",IF(ISERROR(MATCH(W272,HQLATABLE!$A:$A,0)),0,1))</f>
        <v/>
      </c>
      <c r="AU272" s="1" t="str">
        <f t="shared" si="39"/>
        <v>Blank</v>
      </c>
      <c r="AV272" s="1" t="str">
        <f t="shared" si="40"/>
        <v>Blank</v>
      </c>
      <c r="AW272" s="1">
        <f t="shared" si="41"/>
        <v>0</v>
      </c>
      <c r="AX272" s="1">
        <f t="shared" si="42"/>
        <v>0</v>
      </c>
      <c r="AY272" s="1"/>
      <c r="AZ272" s="1">
        <f>IF(COUNTIFS('PID CHECK'!$B:$B,AR272)=1,0,IF(COUNTIFS(AR$1:AR271,AR272)=1,0,1))</f>
        <v>0</v>
      </c>
      <c r="BA272" s="1"/>
      <c r="BB272" s="1"/>
    </row>
    <row r="273" spans="1:54">
      <c r="A273">
        <v>272</v>
      </c>
      <c r="B273" t="s">
        <v>71</v>
      </c>
      <c r="C273" t="s">
        <v>159</v>
      </c>
      <c r="D273" t="s">
        <v>153</v>
      </c>
      <c r="E273" t="s">
        <v>47</v>
      </c>
      <c r="F273" t="s">
        <v>50</v>
      </c>
      <c r="H273" t="s">
        <v>131</v>
      </c>
      <c r="J273" t="s">
        <v>49</v>
      </c>
      <c r="K273" t="s">
        <v>50</v>
      </c>
      <c r="L273" t="s">
        <v>762</v>
      </c>
      <c r="M273" t="s">
        <v>762</v>
      </c>
      <c r="N273">
        <v>2.99</v>
      </c>
      <c r="R273" t="s">
        <v>132</v>
      </c>
      <c r="S273" t="s">
        <v>133</v>
      </c>
      <c r="Z273" t="s">
        <v>122</v>
      </c>
      <c r="AA273" t="s">
        <v>156</v>
      </c>
      <c r="AC273" t="s">
        <v>883</v>
      </c>
      <c r="AD273" t="s">
        <v>50</v>
      </c>
      <c r="AH273">
        <v>1</v>
      </c>
      <c r="AM273">
        <v>43465</v>
      </c>
      <c r="AN273">
        <v>43469</v>
      </c>
      <c r="AO273" s="2">
        <f t="shared" si="35"/>
        <v>366</v>
      </c>
      <c r="AP273" s="2">
        <f t="shared" si="36"/>
        <v>730</v>
      </c>
      <c r="AQ273" s="3">
        <f t="shared" si="37"/>
        <v>0</v>
      </c>
      <c r="AR273" s="1" t="str">
        <f>INDEX(IOS!$B:$B,MATCH(D273,IOS!A:A,0))&amp;B273</f>
        <v>O.D.2</v>
      </c>
      <c r="AS273" s="1">
        <f t="shared" si="38"/>
        <v>0</v>
      </c>
      <c r="AT273" s="1" t="str">
        <f>IF(ISBLANK(W273),"",IF(ISERROR(MATCH(W273,HQLATABLE!$A:$A,0)),0,1))</f>
        <v/>
      </c>
      <c r="AU273" s="1" t="str">
        <f t="shared" si="39"/>
        <v>Blank</v>
      </c>
      <c r="AV273" s="1" t="str">
        <f t="shared" si="40"/>
        <v>Blank</v>
      </c>
      <c r="AW273" s="1">
        <f t="shared" si="41"/>
        <v>0</v>
      </c>
      <c r="AX273" s="1">
        <f t="shared" si="42"/>
        <v>0</v>
      </c>
      <c r="AY273" s="1"/>
      <c r="AZ273" s="1">
        <f>IF(COUNTIFS('PID CHECK'!$B:$B,AR273)=1,0,IF(COUNTIFS(AR$1:AR272,AR273)=1,0,1))</f>
        <v>0</v>
      </c>
      <c r="BA273" s="1"/>
      <c r="BB273" s="1"/>
    </row>
    <row r="274" spans="1:54">
      <c r="A274">
        <v>273</v>
      </c>
      <c r="B274" t="s">
        <v>71</v>
      </c>
      <c r="C274" t="s">
        <v>159</v>
      </c>
      <c r="D274" t="s">
        <v>153</v>
      </c>
      <c r="E274" t="s">
        <v>47</v>
      </c>
      <c r="F274" t="s">
        <v>50</v>
      </c>
      <c r="H274" t="s">
        <v>1056</v>
      </c>
      <c r="J274" t="s">
        <v>49</v>
      </c>
      <c r="K274" t="s">
        <v>50</v>
      </c>
      <c r="L274" t="s">
        <v>762</v>
      </c>
      <c r="M274" t="s">
        <v>762</v>
      </c>
      <c r="N274">
        <v>0.01</v>
      </c>
      <c r="R274" t="s">
        <v>1057</v>
      </c>
      <c r="S274" t="s">
        <v>1057</v>
      </c>
      <c r="Z274" t="s">
        <v>122</v>
      </c>
      <c r="AA274" t="s">
        <v>154</v>
      </c>
      <c r="AC274" t="s">
        <v>883</v>
      </c>
      <c r="AD274" t="s">
        <v>50</v>
      </c>
      <c r="AH274">
        <v>1</v>
      </c>
      <c r="AM274">
        <v>43465</v>
      </c>
      <c r="AN274">
        <v>43469</v>
      </c>
      <c r="AO274" s="2">
        <f t="shared" si="35"/>
        <v>36</v>
      </c>
      <c r="AP274" s="2">
        <f t="shared" si="36"/>
        <v>36</v>
      </c>
      <c r="AQ274" s="3">
        <f t="shared" si="37"/>
        <v>0</v>
      </c>
      <c r="AR274" s="1" t="str">
        <f>INDEX(IOS!$B:$B,MATCH(D274,IOS!A:A,0))&amp;B274</f>
        <v>O.D.2</v>
      </c>
      <c r="AS274" s="1">
        <f t="shared" si="38"/>
        <v>0</v>
      </c>
      <c r="AT274" s="1" t="str">
        <f>IF(ISBLANK(W274),"",IF(ISERROR(MATCH(W274,HQLATABLE!$A:$A,0)),0,1))</f>
        <v/>
      </c>
      <c r="AU274" s="1" t="str">
        <f t="shared" si="39"/>
        <v>Blank</v>
      </c>
      <c r="AV274" s="1" t="str">
        <f t="shared" si="40"/>
        <v>Blank</v>
      </c>
      <c r="AW274" s="1">
        <f t="shared" si="41"/>
        <v>0</v>
      </c>
      <c r="AX274" s="1">
        <f t="shared" si="42"/>
        <v>0</v>
      </c>
      <c r="AY274" s="1"/>
      <c r="AZ274" s="1">
        <f>IF(COUNTIFS('PID CHECK'!$B:$B,AR274)=1,0,IF(COUNTIFS(AR$1:AR273,AR274)=1,0,1))</f>
        <v>0</v>
      </c>
      <c r="BA274" s="1"/>
      <c r="BB274" s="1"/>
    </row>
    <row r="275" spans="1:54">
      <c r="A275">
        <v>274</v>
      </c>
      <c r="B275" t="s">
        <v>71</v>
      </c>
      <c r="C275" t="s">
        <v>159</v>
      </c>
      <c r="D275" t="s">
        <v>153</v>
      </c>
      <c r="E275" t="s">
        <v>47</v>
      </c>
      <c r="F275" t="s">
        <v>50</v>
      </c>
      <c r="H275" t="s">
        <v>1058</v>
      </c>
      <c r="J275" t="s">
        <v>49</v>
      </c>
      <c r="K275" t="s">
        <v>50</v>
      </c>
      <c r="L275" t="s">
        <v>762</v>
      </c>
      <c r="M275" t="s">
        <v>762</v>
      </c>
      <c r="N275">
        <v>0.03</v>
      </c>
      <c r="R275" t="s">
        <v>1059</v>
      </c>
      <c r="S275" t="s">
        <v>1059</v>
      </c>
      <c r="Z275" t="s">
        <v>122</v>
      </c>
      <c r="AA275" t="s">
        <v>154</v>
      </c>
      <c r="AC275" t="s">
        <v>883</v>
      </c>
      <c r="AD275" t="s">
        <v>50</v>
      </c>
      <c r="AH275">
        <v>1</v>
      </c>
      <c r="AM275">
        <v>43465</v>
      </c>
      <c r="AN275">
        <v>43469</v>
      </c>
      <c r="AO275" s="2">
        <f t="shared" si="35"/>
        <v>37</v>
      </c>
      <c r="AP275" s="2">
        <f t="shared" si="36"/>
        <v>37</v>
      </c>
      <c r="AQ275" s="3">
        <f t="shared" si="37"/>
        <v>0</v>
      </c>
      <c r="AR275" s="1" t="str">
        <f>INDEX(IOS!$B:$B,MATCH(D275,IOS!A:A,0))&amp;B275</f>
        <v>O.D.2</v>
      </c>
      <c r="AS275" s="1">
        <f t="shared" si="38"/>
        <v>0</v>
      </c>
      <c r="AT275" s="1" t="str">
        <f>IF(ISBLANK(W275),"",IF(ISERROR(MATCH(W275,HQLATABLE!$A:$A,0)),0,1))</f>
        <v/>
      </c>
      <c r="AU275" s="1" t="str">
        <f t="shared" si="39"/>
        <v>Blank</v>
      </c>
      <c r="AV275" s="1" t="str">
        <f t="shared" si="40"/>
        <v>Blank</v>
      </c>
      <c r="AW275" s="1">
        <f t="shared" si="41"/>
        <v>0</v>
      </c>
      <c r="AX275" s="1">
        <f t="shared" si="42"/>
        <v>0</v>
      </c>
      <c r="AY275" s="1"/>
      <c r="AZ275" s="1">
        <f>IF(COUNTIFS('PID CHECK'!$B:$B,AR275)=1,0,IF(COUNTIFS(AR$1:AR274,AR275)=1,0,1))</f>
        <v>0</v>
      </c>
      <c r="BA275" s="1"/>
      <c r="BB275" s="1"/>
    </row>
    <row r="276" spans="1:54">
      <c r="A276">
        <v>275</v>
      </c>
      <c r="B276" t="s">
        <v>71</v>
      </c>
      <c r="C276" t="s">
        <v>159</v>
      </c>
      <c r="D276" t="s">
        <v>153</v>
      </c>
      <c r="E276" t="s">
        <v>47</v>
      </c>
      <c r="F276" t="s">
        <v>50</v>
      </c>
      <c r="H276" t="s">
        <v>1005</v>
      </c>
      <c r="J276" t="s">
        <v>49</v>
      </c>
      <c r="K276" t="s">
        <v>50</v>
      </c>
      <c r="L276" t="s">
        <v>762</v>
      </c>
      <c r="M276" t="s">
        <v>762</v>
      </c>
      <c r="N276">
        <v>0.18</v>
      </c>
      <c r="R276" t="s">
        <v>1006</v>
      </c>
      <c r="S276" t="s">
        <v>1006</v>
      </c>
      <c r="Z276" t="s">
        <v>122</v>
      </c>
      <c r="AA276" t="s">
        <v>154</v>
      </c>
      <c r="AC276" t="s">
        <v>883</v>
      </c>
      <c r="AD276" t="s">
        <v>50</v>
      </c>
      <c r="AH276">
        <v>1</v>
      </c>
      <c r="AM276">
        <v>43465</v>
      </c>
      <c r="AN276">
        <v>43469</v>
      </c>
      <c r="AO276" s="2">
        <f t="shared" si="35"/>
        <v>38</v>
      </c>
      <c r="AP276" s="2">
        <f t="shared" si="36"/>
        <v>38</v>
      </c>
      <c r="AQ276" s="3">
        <f t="shared" si="37"/>
        <v>0</v>
      </c>
      <c r="AR276" s="1" t="str">
        <f>INDEX(IOS!$B:$B,MATCH(D276,IOS!A:A,0))&amp;B276</f>
        <v>O.D.2</v>
      </c>
      <c r="AS276" s="1">
        <f t="shared" si="38"/>
        <v>0</v>
      </c>
      <c r="AT276" s="1" t="str">
        <f>IF(ISBLANK(W276),"",IF(ISERROR(MATCH(W276,HQLATABLE!$A:$A,0)),0,1))</f>
        <v/>
      </c>
      <c r="AU276" s="1" t="str">
        <f t="shared" si="39"/>
        <v>Blank</v>
      </c>
      <c r="AV276" s="1" t="str">
        <f t="shared" si="40"/>
        <v>Blank</v>
      </c>
      <c r="AW276" s="1">
        <f t="shared" si="41"/>
        <v>0</v>
      </c>
      <c r="AX276" s="1">
        <f t="shared" si="42"/>
        <v>0</v>
      </c>
      <c r="AY276" s="1"/>
      <c r="AZ276" s="1">
        <f>IF(COUNTIFS('PID CHECK'!$B:$B,AR276)=1,0,IF(COUNTIFS(AR$1:AR275,AR276)=1,0,1))</f>
        <v>0</v>
      </c>
      <c r="BA276" s="1"/>
      <c r="BB276" s="1"/>
    </row>
    <row r="277" spans="1:54">
      <c r="A277">
        <v>276</v>
      </c>
      <c r="B277" t="s">
        <v>71</v>
      </c>
      <c r="C277" t="s">
        <v>159</v>
      </c>
      <c r="D277" t="s">
        <v>153</v>
      </c>
      <c r="E277" t="s">
        <v>47</v>
      </c>
      <c r="F277" t="s">
        <v>50</v>
      </c>
      <c r="H277" t="s">
        <v>1023</v>
      </c>
      <c r="J277" t="s">
        <v>49</v>
      </c>
      <c r="K277" t="s">
        <v>50</v>
      </c>
      <c r="L277" t="s">
        <v>762</v>
      </c>
      <c r="M277" t="s">
        <v>762</v>
      </c>
      <c r="N277">
        <v>0.02</v>
      </c>
      <c r="R277" t="s">
        <v>1024</v>
      </c>
      <c r="S277" t="s">
        <v>1024</v>
      </c>
      <c r="Z277" t="s">
        <v>122</v>
      </c>
      <c r="AA277" t="s">
        <v>154</v>
      </c>
      <c r="AC277" t="s">
        <v>883</v>
      </c>
      <c r="AD277" t="s">
        <v>50</v>
      </c>
      <c r="AH277">
        <v>1</v>
      </c>
      <c r="AM277">
        <v>43465</v>
      </c>
      <c r="AN277">
        <v>43469</v>
      </c>
      <c r="AO277" s="2">
        <f t="shared" si="35"/>
        <v>39</v>
      </c>
      <c r="AP277" s="2">
        <f t="shared" si="36"/>
        <v>39</v>
      </c>
      <c r="AQ277" s="3">
        <f t="shared" si="37"/>
        <v>0</v>
      </c>
      <c r="AR277" s="1" t="str">
        <f>INDEX(IOS!$B:$B,MATCH(D277,IOS!A:A,0))&amp;B277</f>
        <v>O.D.2</v>
      </c>
      <c r="AS277" s="1">
        <f t="shared" si="38"/>
        <v>0</v>
      </c>
      <c r="AT277" s="1" t="str">
        <f>IF(ISBLANK(W277),"",IF(ISERROR(MATCH(W277,HQLATABLE!$A:$A,0)),0,1))</f>
        <v/>
      </c>
      <c r="AU277" s="1" t="str">
        <f t="shared" si="39"/>
        <v>Blank</v>
      </c>
      <c r="AV277" s="1" t="str">
        <f t="shared" si="40"/>
        <v>Blank</v>
      </c>
      <c r="AW277" s="1">
        <f t="shared" si="41"/>
        <v>0</v>
      </c>
      <c r="AX277" s="1">
        <f t="shared" si="42"/>
        <v>0</v>
      </c>
      <c r="AY277" s="1"/>
      <c r="AZ277" s="1">
        <f>IF(COUNTIFS('PID CHECK'!$B:$B,AR277)=1,0,IF(COUNTIFS(AR$1:AR276,AR277)=1,0,1))</f>
        <v>0</v>
      </c>
      <c r="BA277" s="1"/>
      <c r="BB277" s="1"/>
    </row>
    <row r="278" spans="1:54">
      <c r="A278">
        <v>277</v>
      </c>
      <c r="B278" t="s">
        <v>71</v>
      </c>
      <c r="C278" t="s">
        <v>159</v>
      </c>
      <c r="D278" t="s">
        <v>153</v>
      </c>
      <c r="E278" t="s">
        <v>47</v>
      </c>
      <c r="F278" t="s">
        <v>50</v>
      </c>
      <c r="H278" t="s">
        <v>90</v>
      </c>
      <c r="J278" t="s">
        <v>49</v>
      </c>
      <c r="K278" t="s">
        <v>50</v>
      </c>
      <c r="L278" t="s">
        <v>762</v>
      </c>
      <c r="M278" t="s">
        <v>762</v>
      </c>
      <c r="N278">
        <v>0.14000000000000001</v>
      </c>
      <c r="R278" t="s">
        <v>91</v>
      </c>
      <c r="S278" t="s">
        <v>91</v>
      </c>
      <c r="Z278" t="s">
        <v>122</v>
      </c>
      <c r="AA278" t="s">
        <v>154</v>
      </c>
      <c r="AC278" t="s">
        <v>883</v>
      </c>
      <c r="AD278" t="s">
        <v>50</v>
      </c>
      <c r="AH278">
        <v>1</v>
      </c>
      <c r="AM278">
        <v>43465</v>
      </c>
      <c r="AN278">
        <v>43469</v>
      </c>
      <c r="AO278" s="2">
        <f t="shared" si="35"/>
        <v>42</v>
      </c>
      <c r="AP278" s="2">
        <f t="shared" si="36"/>
        <v>42</v>
      </c>
      <c r="AQ278" s="3">
        <f t="shared" si="37"/>
        <v>0</v>
      </c>
      <c r="AR278" s="1" t="str">
        <f>INDEX(IOS!$B:$B,MATCH(D278,IOS!A:A,0))&amp;B278</f>
        <v>O.D.2</v>
      </c>
      <c r="AS278" s="1">
        <f t="shared" si="38"/>
        <v>0</v>
      </c>
      <c r="AT278" s="1" t="str">
        <f>IF(ISBLANK(W278),"",IF(ISERROR(MATCH(W278,HQLATABLE!$A:$A,0)),0,1))</f>
        <v/>
      </c>
      <c r="AU278" s="1" t="str">
        <f t="shared" si="39"/>
        <v>Blank</v>
      </c>
      <c r="AV278" s="1" t="str">
        <f t="shared" si="40"/>
        <v>Blank</v>
      </c>
      <c r="AW278" s="1">
        <f t="shared" si="41"/>
        <v>0</v>
      </c>
      <c r="AX278" s="1">
        <f t="shared" si="42"/>
        <v>0</v>
      </c>
      <c r="AY278" s="1"/>
      <c r="AZ278" s="1">
        <f>IF(COUNTIFS('PID CHECK'!$B:$B,AR278)=1,0,IF(COUNTIFS(AR$1:AR277,AR278)=1,0,1))</f>
        <v>0</v>
      </c>
      <c r="BA278" s="1"/>
      <c r="BB278" s="1"/>
    </row>
    <row r="279" spans="1:54">
      <c r="A279">
        <v>278</v>
      </c>
      <c r="B279" t="s">
        <v>71</v>
      </c>
      <c r="C279" t="s">
        <v>159</v>
      </c>
      <c r="D279" t="s">
        <v>153</v>
      </c>
      <c r="E279" t="s">
        <v>47</v>
      </c>
      <c r="F279" t="s">
        <v>50</v>
      </c>
      <c r="H279" t="s">
        <v>1060</v>
      </c>
      <c r="J279" t="s">
        <v>49</v>
      </c>
      <c r="K279" t="s">
        <v>50</v>
      </c>
      <c r="L279" t="s">
        <v>762</v>
      </c>
      <c r="M279" t="s">
        <v>762</v>
      </c>
      <c r="N279">
        <v>0</v>
      </c>
      <c r="R279" t="s">
        <v>1061</v>
      </c>
      <c r="S279" t="s">
        <v>1061</v>
      </c>
      <c r="Z279" t="s">
        <v>122</v>
      </c>
      <c r="AA279" t="s">
        <v>154</v>
      </c>
      <c r="AC279" t="s">
        <v>883</v>
      </c>
      <c r="AD279" t="s">
        <v>50</v>
      </c>
      <c r="AH279">
        <v>1</v>
      </c>
      <c r="AM279">
        <v>43465</v>
      </c>
      <c r="AN279">
        <v>43469</v>
      </c>
      <c r="AO279" s="2">
        <f t="shared" si="35"/>
        <v>43</v>
      </c>
      <c r="AP279" s="2">
        <f t="shared" si="36"/>
        <v>43</v>
      </c>
      <c r="AQ279" s="3">
        <f t="shared" si="37"/>
        <v>0</v>
      </c>
      <c r="AR279" s="1" t="str">
        <f>INDEX(IOS!$B:$B,MATCH(D279,IOS!A:A,0))&amp;B279</f>
        <v>O.D.2</v>
      </c>
      <c r="AS279" s="1">
        <f t="shared" si="38"/>
        <v>0</v>
      </c>
      <c r="AT279" s="1" t="str">
        <f>IF(ISBLANK(W279),"",IF(ISERROR(MATCH(W279,HQLATABLE!$A:$A,0)),0,1))</f>
        <v/>
      </c>
      <c r="AU279" s="1" t="str">
        <f t="shared" si="39"/>
        <v>Blank</v>
      </c>
      <c r="AV279" s="1" t="str">
        <f t="shared" si="40"/>
        <v>Blank</v>
      </c>
      <c r="AW279" s="1">
        <f t="shared" si="41"/>
        <v>0</v>
      </c>
      <c r="AX279" s="1">
        <f t="shared" si="42"/>
        <v>0</v>
      </c>
      <c r="AY279" s="1"/>
      <c r="AZ279" s="1">
        <f>IF(COUNTIFS('PID CHECK'!$B:$B,AR279)=1,0,IF(COUNTIFS(AR$1:AR278,AR279)=1,0,1))</f>
        <v>0</v>
      </c>
      <c r="BA279" s="1"/>
      <c r="BB279" s="1"/>
    </row>
    <row r="280" spans="1:54">
      <c r="A280">
        <v>279</v>
      </c>
      <c r="B280" t="s">
        <v>71</v>
      </c>
      <c r="C280" t="s">
        <v>159</v>
      </c>
      <c r="D280" t="s">
        <v>153</v>
      </c>
      <c r="E280" t="s">
        <v>47</v>
      </c>
      <c r="F280" t="s">
        <v>50</v>
      </c>
      <c r="H280" t="s">
        <v>1038</v>
      </c>
      <c r="J280" t="s">
        <v>49</v>
      </c>
      <c r="K280" t="s">
        <v>50</v>
      </c>
      <c r="L280" t="s">
        <v>762</v>
      </c>
      <c r="M280" t="s">
        <v>762</v>
      </c>
      <c r="N280">
        <v>0.06</v>
      </c>
      <c r="R280" t="s">
        <v>1039</v>
      </c>
      <c r="S280" t="s">
        <v>1039</v>
      </c>
      <c r="Z280" t="s">
        <v>122</v>
      </c>
      <c r="AA280" t="s">
        <v>154</v>
      </c>
      <c r="AC280" t="s">
        <v>883</v>
      </c>
      <c r="AD280" t="s">
        <v>50</v>
      </c>
      <c r="AH280">
        <v>1</v>
      </c>
      <c r="AM280">
        <v>43465</v>
      </c>
      <c r="AN280">
        <v>43469</v>
      </c>
      <c r="AO280" s="2">
        <f t="shared" si="35"/>
        <v>44</v>
      </c>
      <c r="AP280" s="2">
        <f t="shared" si="36"/>
        <v>44</v>
      </c>
      <c r="AQ280" s="3">
        <f t="shared" si="37"/>
        <v>0</v>
      </c>
      <c r="AR280" s="1" t="str">
        <f>INDEX(IOS!$B:$B,MATCH(D280,IOS!A:A,0))&amp;B280</f>
        <v>O.D.2</v>
      </c>
      <c r="AS280" s="1">
        <f t="shared" si="38"/>
        <v>0</v>
      </c>
      <c r="AT280" s="1" t="str">
        <f>IF(ISBLANK(W280),"",IF(ISERROR(MATCH(W280,HQLATABLE!$A:$A,0)),0,1))</f>
        <v/>
      </c>
      <c r="AU280" s="1" t="str">
        <f t="shared" si="39"/>
        <v>Blank</v>
      </c>
      <c r="AV280" s="1" t="str">
        <f t="shared" si="40"/>
        <v>Blank</v>
      </c>
      <c r="AW280" s="1">
        <f t="shared" si="41"/>
        <v>0</v>
      </c>
      <c r="AX280" s="1">
        <f t="shared" si="42"/>
        <v>0</v>
      </c>
      <c r="AY280" s="1"/>
      <c r="AZ280" s="1">
        <f>IF(COUNTIFS('PID CHECK'!$B:$B,AR280)=1,0,IF(COUNTIFS(AR$1:AR279,AR280)=1,0,1))</f>
        <v>0</v>
      </c>
      <c r="BA280" s="1"/>
      <c r="BB280" s="1"/>
    </row>
    <row r="281" spans="1:54">
      <c r="A281">
        <v>280</v>
      </c>
      <c r="B281" t="s">
        <v>71</v>
      </c>
      <c r="C281" t="s">
        <v>159</v>
      </c>
      <c r="D281" t="s">
        <v>153</v>
      </c>
      <c r="E281" t="s">
        <v>47</v>
      </c>
      <c r="F281" t="s">
        <v>50</v>
      </c>
      <c r="H281" t="s">
        <v>1040</v>
      </c>
      <c r="J281" t="s">
        <v>49</v>
      </c>
      <c r="K281" t="s">
        <v>50</v>
      </c>
      <c r="L281" t="s">
        <v>762</v>
      </c>
      <c r="M281" t="s">
        <v>762</v>
      </c>
      <c r="N281">
        <v>0.08</v>
      </c>
      <c r="R281" t="s">
        <v>1041</v>
      </c>
      <c r="S281" t="s">
        <v>1041</v>
      </c>
      <c r="Z281" t="s">
        <v>122</v>
      </c>
      <c r="AA281" t="s">
        <v>154</v>
      </c>
      <c r="AC281" t="s">
        <v>883</v>
      </c>
      <c r="AD281" t="s">
        <v>50</v>
      </c>
      <c r="AH281">
        <v>1</v>
      </c>
      <c r="AM281">
        <v>43465</v>
      </c>
      <c r="AN281">
        <v>43469</v>
      </c>
      <c r="AO281" s="2">
        <f t="shared" si="35"/>
        <v>50</v>
      </c>
      <c r="AP281" s="2">
        <f t="shared" si="36"/>
        <v>50</v>
      </c>
      <c r="AQ281" s="3">
        <f t="shared" si="37"/>
        <v>0</v>
      </c>
      <c r="AR281" s="1" t="str">
        <f>INDEX(IOS!$B:$B,MATCH(D281,IOS!A:A,0))&amp;B281</f>
        <v>O.D.2</v>
      </c>
      <c r="AS281" s="1">
        <f t="shared" si="38"/>
        <v>0</v>
      </c>
      <c r="AT281" s="1" t="str">
        <f>IF(ISBLANK(W281),"",IF(ISERROR(MATCH(W281,HQLATABLE!$A:$A,0)),0,1))</f>
        <v/>
      </c>
      <c r="AU281" s="1" t="str">
        <f t="shared" si="39"/>
        <v>Blank</v>
      </c>
      <c r="AV281" s="1" t="str">
        <f t="shared" si="40"/>
        <v>Blank</v>
      </c>
      <c r="AW281" s="1">
        <f t="shared" si="41"/>
        <v>0</v>
      </c>
      <c r="AX281" s="1">
        <f t="shared" si="42"/>
        <v>0</v>
      </c>
      <c r="AY281" s="1"/>
      <c r="AZ281" s="1">
        <f>IF(COUNTIFS('PID CHECK'!$B:$B,AR281)=1,0,IF(COUNTIFS(AR$1:AR280,AR281)=1,0,1))</f>
        <v>0</v>
      </c>
      <c r="BA281" s="1"/>
      <c r="BB281" s="1"/>
    </row>
    <row r="282" spans="1:54">
      <c r="A282">
        <v>281</v>
      </c>
      <c r="B282" t="s">
        <v>71</v>
      </c>
      <c r="C282" t="s">
        <v>159</v>
      </c>
      <c r="D282" t="s">
        <v>153</v>
      </c>
      <c r="E282" t="s">
        <v>47</v>
      </c>
      <c r="F282" t="s">
        <v>50</v>
      </c>
      <c r="H282" t="s">
        <v>1052</v>
      </c>
      <c r="J282" t="s">
        <v>49</v>
      </c>
      <c r="K282" t="s">
        <v>50</v>
      </c>
      <c r="L282" t="s">
        <v>762</v>
      </c>
      <c r="M282" t="s">
        <v>762</v>
      </c>
      <c r="N282">
        <v>7.0000000000000007E-2</v>
      </c>
      <c r="R282" t="s">
        <v>1053</v>
      </c>
      <c r="S282" t="s">
        <v>1053</v>
      </c>
      <c r="Z282" t="s">
        <v>122</v>
      </c>
      <c r="AA282" t="s">
        <v>154</v>
      </c>
      <c r="AC282" t="s">
        <v>883</v>
      </c>
      <c r="AD282" t="s">
        <v>50</v>
      </c>
      <c r="AH282">
        <v>1</v>
      </c>
      <c r="AM282">
        <v>43465</v>
      </c>
      <c r="AN282">
        <v>43469</v>
      </c>
      <c r="AO282" s="2">
        <f t="shared" si="35"/>
        <v>51</v>
      </c>
      <c r="AP282" s="2">
        <f t="shared" si="36"/>
        <v>51</v>
      </c>
      <c r="AQ282" s="3">
        <f t="shared" si="37"/>
        <v>0</v>
      </c>
      <c r="AR282" s="1" t="str">
        <f>INDEX(IOS!$B:$B,MATCH(D282,IOS!A:A,0))&amp;B282</f>
        <v>O.D.2</v>
      </c>
      <c r="AS282" s="1">
        <f t="shared" si="38"/>
        <v>0</v>
      </c>
      <c r="AT282" s="1" t="str">
        <f>IF(ISBLANK(W282),"",IF(ISERROR(MATCH(W282,HQLATABLE!$A:$A,0)),0,1))</f>
        <v/>
      </c>
      <c r="AU282" s="1" t="str">
        <f t="shared" si="39"/>
        <v>Blank</v>
      </c>
      <c r="AV282" s="1" t="str">
        <f t="shared" si="40"/>
        <v>Blank</v>
      </c>
      <c r="AW282" s="1">
        <f t="shared" si="41"/>
        <v>0</v>
      </c>
      <c r="AX282" s="1">
        <f t="shared" si="42"/>
        <v>0</v>
      </c>
      <c r="AY282" s="1"/>
      <c r="AZ282" s="1">
        <f>IF(COUNTIFS('PID CHECK'!$B:$B,AR282)=1,0,IF(COUNTIFS(AR$1:AR281,AR282)=1,0,1))</f>
        <v>0</v>
      </c>
      <c r="BA282" s="1"/>
      <c r="BB282" s="1"/>
    </row>
    <row r="283" spans="1:54">
      <c r="A283">
        <v>282</v>
      </c>
      <c r="B283" t="s">
        <v>71</v>
      </c>
      <c r="C283" t="s">
        <v>159</v>
      </c>
      <c r="D283" t="s">
        <v>153</v>
      </c>
      <c r="E283" t="s">
        <v>47</v>
      </c>
      <c r="F283" t="s">
        <v>50</v>
      </c>
      <c r="H283" t="s">
        <v>1042</v>
      </c>
      <c r="J283" t="s">
        <v>49</v>
      </c>
      <c r="K283" t="s">
        <v>50</v>
      </c>
      <c r="L283" t="s">
        <v>762</v>
      </c>
      <c r="M283" t="s">
        <v>762</v>
      </c>
      <c r="N283">
        <v>0.08</v>
      </c>
      <c r="R283" t="s">
        <v>1043</v>
      </c>
      <c r="S283" t="s">
        <v>1043</v>
      </c>
      <c r="Z283" t="s">
        <v>122</v>
      </c>
      <c r="AA283" t="s">
        <v>154</v>
      </c>
      <c r="AC283" t="s">
        <v>883</v>
      </c>
      <c r="AD283" t="s">
        <v>50</v>
      </c>
      <c r="AH283">
        <v>1</v>
      </c>
      <c r="AM283">
        <v>43465</v>
      </c>
      <c r="AN283">
        <v>43469</v>
      </c>
      <c r="AO283" s="2">
        <f t="shared" si="35"/>
        <v>52</v>
      </c>
      <c r="AP283" s="2">
        <f t="shared" si="36"/>
        <v>52</v>
      </c>
      <c r="AQ283" s="3">
        <f t="shared" si="37"/>
        <v>0</v>
      </c>
      <c r="AR283" s="1" t="str">
        <f>INDEX(IOS!$B:$B,MATCH(D283,IOS!A:A,0))&amp;B283</f>
        <v>O.D.2</v>
      </c>
      <c r="AS283" s="1">
        <f t="shared" si="38"/>
        <v>0</v>
      </c>
      <c r="AT283" s="1" t="str">
        <f>IF(ISBLANK(W283),"",IF(ISERROR(MATCH(W283,HQLATABLE!$A:$A,0)),0,1))</f>
        <v/>
      </c>
      <c r="AU283" s="1" t="str">
        <f t="shared" si="39"/>
        <v>Blank</v>
      </c>
      <c r="AV283" s="1" t="str">
        <f t="shared" si="40"/>
        <v>Blank</v>
      </c>
      <c r="AW283" s="1">
        <f t="shared" si="41"/>
        <v>0</v>
      </c>
      <c r="AX283" s="1">
        <f t="shared" si="42"/>
        <v>0</v>
      </c>
      <c r="AY283" s="1"/>
      <c r="AZ283" s="1">
        <f>IF(COUNTIFS('PID CHECK'!$B:$B,AR283)=1,0,IF(COUNTIFS(AR$1:AR282,AR283)=1,0,1))</f>
        <v>0</v>
      </c>
      <c r="BA283" s="1"/>
      <c r="BB283" s="1"/>
    </row>
    <row r="284" spans="1:54">
      <c r="A284">
        <v>283</v>
      </c>
      <c r="B284" t="s">
        <v>71</v>
      </c>
      <c r="C284" t="s">
        <v>159</v>
      </c>
      <c r="D284" t="s">
        <v>153</v>
      </c>
      <c r="E284" t="s">
        <v>47</v>
      </c>
      <c r="F284" t="s">
        <v>50</v>
      </c>
      <c r="H284" t="s">
        <v>1015</v>
      </c>
      <c r="J284" t="s">
        <v>49</v>
      </c>
      <c r="K284" t="s">
        <v>50</v>
      </c>
      <c r="L284" t="s">
        <v>762</v>
      </c>
      <c r="M284" t="s">
        <v>762</v>
      </c>
      <c r="N284">
        <v>0.01</v>
      </c>
      <c r="R284" t="s">
        <v>1016</v>
      </c>
      <c r="S284" t="s">
        <v>1016</v>
      </c>
      <c r="Z284" t="s">
        <v>122</v>
      </c>
      <c r="AA284" t="s">
        <v>154</v>
      </c>
      <c r="AC284" t="s">
        <v>883</v>
      </c>
      <c r="AD284" t="s">
        <v>50</v>
      </c>
      <c r="AH284">
        <v>1</v>
      </c>
      <c r="AM284">
        <v>43465</v>
      </c>
      <c r="AN284">
        <v>43469</v>
      </c>
      <c r="AO284" s="2">
        <f t="shared" si="35"/>
        <v>53</v>
      </c>
      <c r="AP284" s="2">
        <f t="shared" si="36"/>
        <v>53</v>
      </c>
      <c r="AQ284" s="3">
        <f t="shared" si="37"/>
        <v>0</v>
      </c>
      <c r="AR284" s="1" t="str">
        <f>INDEX(IOS!$B:$B,MATCH(D284,IOS!A:A,0))&amp;B284</f>
        <v>O.D.2</v>
      </c>
      <c r="AS284" s="1">
        <f t="shared" si="38"/>
        <v>0</v>
      </c>
      <c r="AT284" s="1" t="str">
        <f>IF(ISBLANK(W284),"",IF(ISERROR(MATCH(W284,HQLATABLE!$A:$A,0)),0,1))</f>
        <v/>
      </c>
      <c r="AU284" s="1" t="str">
        <f t="shared" si="39"/>
        <v>Blank</v>
      </c>
      <c r="AV284" s="1" t="str">
        <f t="shared" si="40"/>
        <v>Blank</v>
      </c>
      <c r="AW284" s="1">
        <f t="shared" si="41"/>
        <v>0</v>
      </c>
      <c r="AX284" s="1">
        <f t="shared" si="42"/>
        <v>0</v>
      </c>
      <c r="AY284" s="1"/>
      <c r="AZ284" s="1">
        <f>IF(COUNTIFS('PID CHECK'!$B:$B,AR284)=1,0,IF(COUNTIFS(AR$1:AR283,AR284)=1,0,1))</f>
        <v>0</v>
      </c>
      <c r="BA284" s="1"/>
      <c r="BB284" s="1"/>
    </row>
    <row r="285" spans="1:54">
      <c r="A285">
        <v>284</v>
      </c>
      <c r="B285" t="s">
        <v>71</v>
      </c>
      <c r="C285" t="s">
        <v>159</v>
      </c>
      <c r="D285" t="s">
        <v>153</v>
      </c>
      <c r="E285" t="s">
        <v>47</v>
      </c>
      <c r="F285" t="s">
        <v>50</v>
      </c>
      <c r="H285" t="s">
        <v>92</v>
      </c>
      <c r="J285" t="s">
        <v>49</v>
      </c>
      <c r="K285" t="s">
        <v>50</v>
      </c>
      <c r="L285" t="s">
        <v>762</v>
      </c>
      <c r="M285" t="s">
        <v>762</v>
      </c>
      <c r="N285">
        <v>0.03</v>
      </c>
      <c r="R285" t="s">
        <v>93</v>
      </c>
      <c r="S285" t="s">
        <v>93</v>
      </c>
      <c r="Z285" t="s">
        <v>122</v>
      </c>
      <c r="AA285" t="s">
        <v>154</v>
      </c>
      <c r="AC285" t="s">
        <v>883</v>
      </c>
      <c r="AD285" t="s">
        <v>50</v>
      </c>
      <c r="AH285">
        <v>1</v>
      </c>
      <c r="AM285">
        <v>43465</v>
      </c>
      <c r="AN285">
        <v>43469</v>
      </c>
      <c r="AO285" s="2">
        <f t="shared" si="35"/>
        <v>56</v>
      </c>
      <c r="AP285" s="2">
        <f t="shared" si="36"/>
        <v>56</v>
      </c>
      <c r="AQ285" s="3">
        <f t="shared" si="37"/>
        <v>0</v>
      </c>
      <c r="AR285" s="1" t="str">
        <f>INDEX(IOS!$B:$B,MATCH(D285,IOS!A:A,0))&amp;B285</f>
        <v>O.D.2</v>
      </c>
      <c r="AS285" s="1">
        <f t="shared" si="38"/>
        <v>0</v>
      </c>
      <c r="AT285" s="1" t="str">
        <f>IF(ISBLANK(W285),"",IF(ISERROR(MATCH(W285,HQLATABLE!$A:$A,0)),0,1))</f>
        <v/>
      </c>
      <c r="AU285" s="1" t="str">
        <f t="shared" si="39"/>
        <v>Blank</v>
      </c>
      <c r="AV285" s="1" t="str">
        <f t="shared" si="40"/>
        <v>Blank</v>
      </c>
      <c r="AW285" s="1">
        <f t="shared" si="41"/>
        <v>0</v>
      </c>
      <c r="AX285" s="1">
        <f t="shared" si="42"/>
        <v>0</v>
      </c>
      <c r="AY285" s="1"/>
      <c r="AZ285" s="1">
        <f>IF(COUNTIFS('PID CHECK'!$B:$B,AR285)=1,0,IF(COUNTIFS(AR$1:AR284,AR285)=1,0,1))</f>
        <v>0</v>
      </c>
      <c r="BA285" s="1"/>
      <c r="BB285" s="1"/>
    </row>
    <row r="286" spans="1:54">
      <c r="A286">
        <v>285</v>
      </c>
      <c r="B286" t="s">
        <v>71</v>
      </c>
      <c r="C286" t="s">
        <v>159</v>
      </c>
      <c r="D286" t="s">
        <v>153</v>
      </c>
      <c r="E286" t="s">
        <v>47</v>
      </c>
      <c r="F286" t="s">
        <v>50</v>
      </c>
      <c r="H286" t="s">
        <v>1048</v>
      </c>
      <c r="J286" t="s">
        <v>49</v>
      </c>
      <c r="K286" t="s">
        <v>50</v>
      </c>
      <c r="L286" t="s">
        <v>762</v>
      </c>
      <c r="M286" t="s">
        <v>762</v>
      </c>
      <c r="N286">
        <v>0.03</v>
      </c>
      <c r="R286" t="s">
        <v>1049</v>
      </c>
      <c r="S286" t="s">
        <v>1049</v>
      </c>
      <c r="Z286" t="s">
        <v>122</v>
      </c>
      <c r="AA286" t="s">
        <v>154</v>
      </c>
      <c r="AC286" t="s">
        <v>883</v>
      </c>
      <c r="AD286" t="s">
        <v>50</v>
      </c>
      <c r="AH286">
        <v>1</v>
      </c>
      <c r="AM286">
        <v>43465</v>
      </c>
      <c r="AN286">
        <v>43469</v>
      </c>
      <c r="AO286" s="2">
        <f t="shared" si="35"/>
        <v>57</v>
      </c>
      <c r="AP286" s="2">
        <f t="shared" si="36"/>
        <v>57</v>
      </c>
      <c r="AQ286" s="3">
        <f t="shared" si="37"/>
        <v>0</v>
      </c>
      <c r="AR286" s="1" t="str">
        <f>INDEX(IOS!$B:$B,MATCH(D286,IOS!A:A,0))&amp;B286</f>
        <v>O.D.2</v>
      </c>
      <c r="AS286" s="1">
        <f t="shared" si="38"/>
        <v>0</v>
      </c>
      <c r="AT286" s="1" t="str">
        <f>IF(ISBLANK(W286),"",IF(ISERROR(MATCH(W286,HQLATABLE!$A:$A,0)),0,1))</f>
        <v/>
      </c>
      <c r="AU286" s="1" t="str">
        <f t="shared" si="39"/>
        <v>Blank</v>
      </c>
      <c r="AV286" s="1" t="str">
        <f t="shared" si="40"/>
        <v>Blank</v>
      </c>
      <c r="AW286" s="1">
        <f t="shared" si="41"/>
        <v>0</v>
      </c>
      <c r="AX286" s="1">
        <f t="shared" si="42"/>
        <v>0</v>
      </c>
      <c r="AY286" s="1"/>
      <c r="AZ286" s="1">
        <f>IF(COUNTIFS('PID CHECK'!$B:$B,AR286)=1,0,IF(COUNTIFS(AR$1:AR285,AR286)=1,0,1))</f>
        <v>0</v>
      </c>
      <c r="BA286" s="1"/>
      <c r="BB286" s="1"/>
    </row>
    <row r="287" spans="1:54">
      <c r="A287">
        <v>286</v>
      </c>
      <c r="B287" t="s">
        <v>71</v>
      </c>
      <c r="C287" t="s">
        <v>159</v>
      </c>
      <c r="D287" t="s">
        <v>153</v>
      </c>
      <c r="E287" t="s">
        <v>47</v>
      </c>
      <c r="F287" t="s">
        <v>50</v>
      </c>
      <c r="H287" t="s">
        <v>1062</v>
      </c>
      <c r="J287" t="s">
        <v>49</v>
      </c>
      <c r="K287" t="s">
        <v>50</v>
      </c>
      <c r="L287" t="s">
        <v>762</v>
      </c>
      <c r="M287" t="s">
        <v>762</v>
      </c>
      <c r="N287">
        <v>0.09</v>
      </c>
      <c r="R287" t="s">
        <v>1063</v>
      </c>
      <c r="S287" t="s">
        <v>1063</v>
      </c>
      <c r="Z287" t="s">
        <v>122</v>
      </c>
      <c r="AA287" t="s">
        <v>154</v>
      </c>
      <c r="AC287" t="s">
        <v>883</v>
      </c>
      <c r="AD287" t="s">
        <v>50</v>
      </c>
      <c r="AH287">
        <v>1</v>
      </c>
      <c r="AM287">
        <v>43465</v>
      </c>
      <c r="AN287">
        <v>43469</v>
      </c>
      <c r="AO287" s="2">
        <f t="shared" si="35"/>
        <v>58</v>
      </c>
      <c r="AP287" s="2">
        <f t="shared" si="36"/>
        <v>58</v>
      </c>
      <c r="AQ287" s="3">
        <f t="shared" si="37"/>
        <v>0</v>
      </c>
      <c r="AR287" s="1" t="str">
        <f>INDEX(IOS!$B:$B,MATCH(D287,IOS!A:A,0))&amp;B287</f>
        <v>O.D.2</v>
      </c>
      <c r="AS287" s="1">
        <f t="shared" si="38"/>
        <v>0</v>
      </c>
      <c r="AT287" s="1" t="str">
        <f>IF(ISBLANK(W287),"",IF(ISERROR(MATCH(W287,HQLATABLE!$A:$A,0)),0,1))</f>
        <v/>
      </c>
      <c r="AU287" s="1" t="str">
        <f t="shared" si="39"/>
        <v>Blank</v>
      </c>
      <c r="AV287" s="1" t="str">
        <f t="shared" si="40"/>
        <v>Blank</v>
      </c>
      <c r="AW287" s="1">
        <f t="shared" si="41"/>
        <v>0</v>
      </c>
      <c r="AX287" s="1">
        <f t="shared" si="42"/>
        <v>0</v>
      </c>
      <c r="AY287" s="1"/>
      <c r="AZ287" s="1">
        <f>IF(COUNTIFS('PID CHECK'!$B:$B,AR287)=1,0,IF(COUNTIFS(AR$1:AR286,AR287)=1,0,1))</f>
        <v>0</v>
      </c>
      <c r="BA287" s="1"/>
      <c r="BB287" s="1"/>
    </row>
    <row r="288" spans="1:54">
      <c r="A288">
        <v>287</v>
      </c>
      <c r="B288" t="s">
        <v>71</v>
      </c>
      <c r="C288" t="s">
        <v>159</v>
      </c>
      <c r="D288" t="s">
        <v>153</v>
      </c>
      <c r="E288" t="s">
        <v>47</v>
      </c>
      <c r="F288" t="s">
        <v>50</v>
      </c>
      <c r="H288" t="s">
        <v>1017</v>
      </c>
      <c r="J288" t="s">
        <v>49</v>
      </c>
      <c r="K288" t="s">
        <v>50</v>
      </c>
      <c r="L288" t="s">
        <v>762</v>
      </c>
      <c r="M288" t="s">
        <v>762</v>
      </c>
      <c r="N288">
        <v>0.14000000000000001</v>
      </c>
      <c r="R288" t="s">
        <v>1018</v>
      </c>
      <c r="S288" t="s">
        <v>1018</v>
      </c>
      <c r="Z288" t="s">
        <v>122</v>
      </c>
      <c r="AA288" t="s">
        <v>154</v>
      </c>
      <c r="AC288" t="s">
        <v>883</v>
      </c>
      <c r="AD288" t="s">
        <v>50</v>
      </c>
      <c r="AH288">
        <v>1</v>
      </c>
      <c r="AM288">
        <v>43465</v>
      </c>
      <c r="AN288">
        <v>43469</v>
      </c>
      <c r="AO288" s="2">
        <f t="shared" si="35"/>
        <v>59</v>
      </c>
      <c r="AP288" s="2">
        <f t="shared" si="36"/>
        <v>59</v>
      </c>
      <c r="AQ288" s="3">
        <f t="shared" si="37"/>
        <v>0</v>
      </c>
      <c r="AR288" s="1" t="str">
        <f>INDEX(IOS!$B:$B,MATCH(D288,IOS!A:A,0))&amp;B288</f>
        <v>O.D.2</v>
      </c>
      <c r="AS288" s="1">
        <f t="shared" si="38"/>
        <v>0</v>
      </c>
      <c r="AT288" s="1" t="str">
        <f>IF(ISBLANK(W288),"",IF(ISERROR(MATCH(W288,HQLATABLE!$A:$A,0)),0,1))</f>
        <v/>
      </c>
      <c r="AU288" s="1" t="str">
        <f t="shared" si="39"/>
        <v>Blank</v>
      </c>
      <c r="AV288" s="1" t="str">
        <f t="shared" si="40"/>
        <v>Blank</v>
      </c>
      <c r="AW288" s="1">
        <f t="shared" si="41"/>
        <v>0</v>
      </c>
      <c r="AX288" s="1">
        <f t="shared" si="42"/>
        <v>0</v>
      </c>
      <c r="AY288" s="1"/>
      <c r="AZ288" s="1">
        <f>IF(COUNTIFS('PID CHECK'!$B:$B,AR288)=1,0,IF(COUNTIFS(AR$1:AR287,AR288)=1,0,1))</f>
        <v>0</v>
      </c>
      <c r="BA288" s="1"/>
      <c r="BB288" s="1"/>
    </row>
    <row r="289" spans="1:54">
      <c r="A289">
        <v>288</v>
      </c>
      <c r="B289" t="s">
        <v>71</v>
      </c>
      <c r="C289" t="s">
        <v>159</v>
      </c>
      <c r="D289" t="s">
        <v>153</v>
      </c>
      <c r="E289" t="s">
        <v>47</v>
      </c>
      <c r="F289" t="s">
        <v>50</v>
      </c>
      <c r="H289" t="s">
        <v>1017</v>
      </c>
      <c r="J289" t="s">
        <v>49</v>
      </c>
      <c r="K289" t="s">
        <v>50</v>
      </c>
      <c r="L289" t="s">
        <v>762</v>
      </c>
      <c r="M289" t="s">
        <v>762</v>
      </c>
      <c r="N289">
        <v>0.15</v>
      </c>
      <c r="R289" t="s">
        <v>1018</v>
      </c>
      <c r="S289" t="s">
        <v>1018</v>
      </c>
      <c r="Z289" t="s">
        <v>122</v>
      </c>
      <c r="AA289" t="s">
        <v>156</v>
      </c>
      <c r="AC289" t="s">
        <v>883</v>
      </c>
      <c r="AD289" t="s">
        <v>50</v>
      </c>
      <c r="AH289">
        <v>1</v>
      </c>
      <c r="AM289">
        <v>43465</v>
      </c>
      <c r="AN289">
        <v>43469</v>
      </c>
      <c r="AO289" s="2">
        <f t="shared" si="35"/>
        <v>59</v>
      </c>
      <c r="AP289" s="2">
        <f t="shared" si="36"/>
        <v>59</v>
      </c>
      <c r="AQ289" s="3">
        <f t="shared" si="37"/>
        <v>0</v>
      </c>
      <c r="AR289" s="1" t="str">
        <f>INDEX(IOS!$B:$B,MATCH(D289,IOS!A:A,0))&amp;B289</f>
        <v>O.D.2</v>
      </c>
      <c r="AS289" s="1">
        <f t="shared" si="38"/>
        <v>0</v>
      </c>
      <c r="AT289" s="1" t="str">
        <f>IF(ISBLANK(W289),"",IF(ISERROR(MATCH(W289,HQLATABLE!$A:$A,0)),0,1))</f>
        <v/>
      </c>
      <c r="AU289" s="1" t="str">
        <f t="shared" si="39"/>
        <v>Blank</v>
      </c>
      <c r="AV289" s="1" t="str">
        <f t="shared" si="40"/>
        <v>Blank</v>
      </c>
      <c r="AW289" s="1">
        <f t="shared" si="41"/>
        <v>0</v>
      </c>
      <c r="AX289" s="1">
        <f t="shared" si="42"/>
        <v>0</v>
      </c>
      <c r="AY289" s="1"/>
      <c r="AZ289" s="1">
        <f>IF(COUNTIFS('PID CHECK'!$B:$B,AR289)=1,0,IF(COUNTIFS(AR$1:AR288,AR289)=1,0,1))</f>
        <v>0</v>
      </c>
      <c r="BA289" s="1"/>
      <c r="BB289" s="1"/>
    </row>
    <row r="290" spans="1:54">
      <c r="A290">
        <v>289</v>
      </c>
      <c r="B290" t="s">
        <v>71</v>
      </c>
      <c r="C290" t="s">
        <v>159</v>
      </c>
      <c r="D290" t="s">
        <v>153</v>
      </c>
      <c r="E290" t="s">
        <v>47</v>
      </c>
      <c r="F290" t="s">
        <v>50</v>
      </c>
      <c r="H290" t="s">
        <v>1021</v>
      </c>
      <c r="J290" t="s">
        <v>49</v>
      </c>
      <c r="K290" t="s">
        <v>50</v>
      </c>
      <c r="L290" t="s">
        <v>762</v>
      </c>
      <c r="M290" t="s">
        <v>762</v>
      </c>
      <c r="N290">
        <v>0.01</v>
      </c>
      <c r="R290" t="s">
        <v>1022</v>
      </c>
      <c r="S290" t="s">
        <v>1022</v>
      </c>
      <c r="Z290" t="s">
        <v>122</v>
      </c>
      <c r="AA290" t="s">
        <v>154</v>
      </c>
      <c r="AC290" t="s">
        <v>883</v>
      </c>
      <c r="AD290" t="s">
        <v>50</v>
      </c>
      <c r="AH290">
        <v>1</v>
      </c>
      <c r="AM290">
        <v>43465</v>
      </c>
      <c r="AN290">
        <v>43469</v>
      </c>
      <c r="AO290" s="2">
        <f t="shared" si="35"/>
        <v>60</v>
      </c>
      <c r="AP290" s="2">
        <f t="shared" si="36"/>
        <v>60</v>
      </c>
      <c r="AQ290" s="3">
        <f t="shared" si="37"/>
        <v>0</v>
      </c>
      <c r="AR290" s="1" t="str">
        <f>INDEX(IOS!$B:$B,MATCH(D290,IOS!A:A,0))&amp;B290</f>
        <v>O.D.2</v>
      </c>
      <c r="AS290" s="1">
        <f t="shared" si="38"/>
        <v>0</v>
      </c>
      <c r="AT290" s="1" t="str">
        <f>IF(ISBLANK(W290),"",IF(ISERROR(MATCH(W290,HQLATABLE!$A:$A,0)),0,1))</f>
        <v/>
      </c>
      <c r="AU290" s="1" t="str">
        <f t="shared" si="39"/>
        <v>Blank</v>
      </c>
      <c r="AV290" s="1" t="str">
        <f t="shared" si="40"/>
        <v>Blank</v>
      </c>
      <c r="AW290" s="1">
        <f t="shared" si="41"/>
        <v>0</v>
      </c>
      <c r="AX290" s="1">
        <f t="shared" si="42"/>
        <v>0</v>
      </c>
      <c r="AY290" s="1"/>
      <c r="AZ290" s="1">
        <f>IF(COUNTIFS('PID CHECK'!$B:$B,AR290)=1,0,IF(COUNTIFS(AR$1:AR289,AR290)=1,0,1))</f>
        <v>0</v>
      </c>
      <c r="BA290" s="1"/>
      <c r="BB290" s="1"/>
    </row>
    <row r="291" spans="1:54">
      <c r="A291">
        <v>290</v>
      </c>
      <c r="B291" t="s">
        <v>71</v>
      </c>
      <c r="C291" t="s">
        <v>159</v>
      </c>
      <c r="D291" t="s">
        <v>153</v>
      </c>
      <c r="E291" t="s">
        <v>47</v>
      </c>
      <c r="F291" t="s">
        <v>50</v>
      </c>
      <c r="H291" t="s">
        <v>94</v>
      </c>
      <c r="J291" t="s">
        <v>49</v>
      </c>
      <c r="K291" t="s">
        <v>50</v>
      </c>
      <c r="L291" t="s">
        <v>762</v>
      </c>
      <c r="M291" t="s">
        <v>762</v>
      </c>
      <c r="N291">
        <v>1.51</v>
      </c>
      <c r="R291" t="s">
        <v>95</v>
      </c>
      <c r="S291" t="s">
        <v>96</v>
      </c>
      <c r="Z291" t="s">
        <v>122</v>
      </c>
      <c r="AA291" t="s">
        <v>154</v>
      </c>
      <c r="AC291" t="s">
        <v>883</v>
      </c>
      <c r="AD291" t="s">
        <v>50</v>
      </c>
      <c r="AH291">
        <v>1</v>
      </c>
      <c r="AM291">
        <v>43465</v>
      </c>
      <c r="AN291">
        <v>43469</v>
      </c>
      <c r="AO291" s="2">
        <f t="shared" si="35"/>
        <v>61</v>
      </c>
      <c r="AP291" s="2">
        <f t="shared" si="36"/>
        <v>67</v>
      </c>
      <c r="AQ291" s="3">
        <f t="shared" si="37"/>
        <v>0</v>
      </c>
      <c r="AR291" s="1" t="str">
        <f>INDEX(IOS!$B:$B,MATCH(D291,IOS!A:A,0))&amp;B291</f>
        <v>O.D.2</v>
      </c>
      <c r="AS291" s="1">
        <f t="shared" si="38"/>
        <v>0</v>
      </c>
      <c r="AT291" s="1" t="str">
        <f>IF(ISBLANK(W291),"",IF(ISERROR(MATCH(W291,HQLATABLE!$A:$A,0)),0,1))</f>
        <v/>
      </c>
      <c r="AU291" s="1" t="str">
        <f t="shared" si="39"/>
        <v>Blank</v>
      </c>
      <c r="AV291" s="1" t="str">
        <f t="shared" si="40"/>
        <v>Blank</v>
      </c>
      <c r="AW291" s="1">
        <f t="shared" si="41"/>
        <v>0</v>
      </c>
      <c r="AX291" s="1">
        <f t="shared" si="42"/>
        <v>0</v>
      </c>
      <c r="AY291" s="1"/>
      <c r="AZ291" s="1">
        <f>IF(COUNTIFS('PID CHECK'!$B:$B,AR291)=1,0,IF(COUNTIFS(AR$1:AR290,AR291)=1,0,1))</f>
        <v>0</v>
      </c>
      <c r="BA291" s="1"/>
      <c r="BB291" s="1"/>
    </row>
    <row r="292" spans="1:54">
      <c r="A292">
        <v>291</v>
      </c>
      <c r="B292" t="s">
        <v>71</v>
      </c>
      <c r="C292" t="s">
        <v>159</v>
      </c>
      <c r="D292" t="s">
        <v>153</v>
      </c>
      <c r="E292" t="s">
        <v>47</v>
      </c>
      <c r="F292" t="s">
        <v>50</v>
      </c>
      <c r="H292" t="s">
        <v>94</v>
      </c>
      <c r="J292" t="s">
        <v>49</v>
      </c>
      <c r="K292" t="s">
        <v>50</v>
      </c>
      <c r="L292" t="s">
        <v>762</v>
      </c>
      <c r="M292" t="s">
        <v>762</v>
      </c>
      <c r="N292">
        <v>0.27</v>
      </c>
      <c r="R292" t="s">
        <v>95</v>
      </c>
      <c r="S292" t="s">
        <v>96</v>
      </c>
      <c r="Z292" t="s">
        <v>122</v>
      </c>
      <c r="AA292" t="s">
        <v>156</v>
      </c>
      <c r="AC292" t="s">
        <v>883</v>
      </c>
      <c r="AD292" t="s">
        <v>50</v>
      </c>
      <c r="AH292">
        <v>1</v>
      </c>
      <c r="AM292">
        <v>43465</v>
      </c>
      <c r="AN292">
        <v>43469</v>
      </c>
      <c r="AO292" s="2">
        <f t="shared" si="35"/>
        <v>61</v>
      </c>
      <c r="AP292" s="2">
        <f t="shared" si="36"/>
        <v>67</v>
      </c>
      <c r="AQ292" s="3">
        <f t="shared" si="37"/>
        <v>0</v>
      </c>
      <c r="AR292" s="1" t="str">
        <f>INDEX(IOS!$B:$B,MATCH(D292,IOS!A:A,0))&amp;B292</f>
        <v>O.D.2</v>
      </c>
      <c r="AS292" s="1">
        <f t="shared" si="38"/>
        <v>0</v>
      </c>
      <c r="AT292" s="1" t="str">
        <f>IF(ISBLANK(W292),"",IF(ISERROR(MATCH(W292,HQLATABLE!$A:$A,0)),0,1))</f>
        <v/>
      </c>
      <c r="AU292" s="1" t="str">
        <f t="shared" si="39"/>
        <v>Blank</v>
      </c>
      <c r="AV292" s="1" t="str">
        <f t="shared" si="40"/>
        <v>Blank</v>
      </c>
      <c r="AW292" s="1">
        <f t="shared" si="41"/>
        <v>0</v>
      </c>
      <c r="AX292" s="1">
        <f t="shared" si="42"/>
        <v>0</v>
      </c>
      <c r="AY292" s="1"/>
      <c r="AZ292" s="1">
        <f>IF(COUNTIFS('PID CHECK'!$B:$B,AR292)=1,0,IF(COUNTIFS(AR$1:AR291,AR292)=1,0,1))</f>
        <v>0</v>
      </c>
      <c r="BA292" s="1"/>
      <c r="BB292" s="1"/>
    </row>
    <row r="293" spans="1:54">
      <c r="A293">
        <v>292</v>
      </c>
      <c r="B293" t="s">
        <v>71</v>
      </c>
      <c r="C293" t="s">
        <v>159</v>
      </c>
      <c r="D293" t="s">
        <v>153</v>
      </c>
      <c r="E293" t="s">
        <v>47</v>
      </c>
      <c r="F293" t="s">
        <v>50</v>
      </c>
      <c r="H293" t="s">
        <v>97</v>
      </c>
      <c r="J293" t="s">
        <v>49</v>
      </c>
      <c r="K293" t="s">
        <v>50</v>
      </c>
      <c r="L293" t="s">
        <v>762</v>
      </c>
      <c r="M293" t="s">
        <v>762</v>
      </c>
      <c r="N293">
        <v>3.08</v>
      </c>
      <c r="R293" t="s">
        <v>98</v>
      </c>
      <c r="S293" t="s">
        <v>99</v>
      </c>
      <c r="Z293" t="s">
        <v>122</v>
      </c>
      <c r="AA293" t="s">
        <v>154</v>
      </c>
      <c r="AC293" t="s">
        <v>883</v>
      </c>
      <c r="AD293" t="s">
        <v>50</v>
      </c>
      <c r="AH293">
        <v>1</v>
      </c>
      <c r="AM293">
        <v>43465</v>
      </c>
      <c r="AN293">
        <v>43469</v>
      </c>
      <c r="AO293" s="2">
        <f t="shared" si="35"/>
        <v>68</v>
      </c>
      <c r="AP293" s="2">
        <f t="shared" si="36"/>
        <v>74</v>
      </c>
      <c r="AQ293" s="3">
        <f t="shared" si="37"/>
        <v>0</v>
      </c>
      <c r="AR293" s="1" t="str">
        <f>INDEX(IOS!$B:$B,MATCH(D293,IOS!A:A,0))&amp;B293</f>
        <v>O.D.2</v>
      </c>
      <c r="AS293" s="1">
        <f t="shared" si="38"/>
        <v>0</v>
      </c>
      <c r="AT293" s="1" t="str">
        <f>IF(ISBLANK(W293),"",IF(ISERROR(MATCH(W293,HQLATABLE!$A:$A,0)),0,1))</f>
        <v/>
      </c>
      <c r="AU293" s="1" t="str">
        <f t="shared" si="39"/>
        <v>Blank</v>
      </c>
      <c r="AV293" s="1" t="str">
        <f t="shared" si="40"/>
        <v>Blank</v>
      </c>
      <c r="AW293" s="1">
        <f t="shared" si="41"/>
        <v>0</v>
      </c>
      <c r="AX293" s="1">
        <f t="shared" si="42"/>
        <v>0</v>
      </c>
      <c r="AY293" s="1"/>
      <c r="AZ293" s="1">
        <f>IF(COUNTIFS('PID CHECK'!$B:$B,AR293)=1,0,IF(COUNTIFS(AR$1:AR292,AR293)=1,0,1))</f>
        <v>0</v>
      </c>
      <c r="BA293" s="1"/>
      <c r="BB293" s="1"/>
    </row>
    <row r="294" spans="1:54">
      <c r="A294">
        <v>293</v>
      </c>
      <c r="B294" t="s">
        <v>71</v>
      </c>
      <c r="C294" t="s">
        <v>159</v>
      </c>
      <c r="D294" t="s">
        <v>153</v>
      </c>
      <c r="E294" t="s">
        <v>47</v>
      </c>
      <c r="F294" t="s">
        <v>50</v>
      </c>
      <c r="H294" t="s">
        <v>97</v>
      </c>
      <c r="J294" t="s">
        <v>49</v>
      </c>
      <c r="K294" t="s">
        <v>50</v>
      </c>
      <c r="L294" t="s">
        <v>762</v>
      </c>
      <c r="M294" t="s">
        <v>762</v>
      </c>
      <c r="N294">
        <v>1</v>
      </c>
      <c r="R294" t="s">
        <v>98</v>
      </c>
      <c r="S294" t="s">
        <v>99</v>
      </c>
      <c r="Z294" t="s">
        <v>122</v>
      </c>
      <c r="AA294" t="s">
        <v>156</v>
      </c>
      <c r="AC294" t="s">
        <v>883</v>
      </c>
      <c r="AD294" t="s">
        <v>50</v>
      </c>
      <c r="AH294">
        <v>1</v>
      </c>
      <c r="AM294">
        <v>43465</v>
      </c>
      <c r="AN294">
        <v>43469</v>
      </c>
      <c r="AO294" s="2">
        <f t="shared" si="35"/>
        <v>68</v>
      </c>
      <c r="AP294" s="2">
        <f t="shared" si="36"/>
        <v>74</v>
      </c>
      <c r="AQ294" s="3">
        <f t="shared" si="37"/>
        <v>0</v>
      </c>
      <c r="AR294" s="1" t="str">
        <f>INDEX(IOS!$B:$B,MATCH(D294,IOS!A:A,0))&amp;B294</f>
        <v>O.D.2</v>
      </c>
      <c r="AS294" s="1">
        <f t="shared" si="38"/>
        <v>0</v>
      </c>
      <c r="AT294" s="1" t="str">
        <f>IF(ISBLANK(W294),"",IF(ISERROR(MATCH(W294,HQLATABLE!$A:$A,0)),0,1))</f>
        <v/>
      </c>
      <c r="AU294" s="1" t="str">
        <f t="shared" si="39"/>
        <v>Blank</v>
      </c>
      <c r="AV294" s="1" t="str">
        <f t="shared" si="40"/>
        <v>Blank</v>
      </c>
      <c r="AW294" s="1">
        <f t="shared" si="41"/>
        <v>0</v>
      </c>
      <c r="AX294" s="1">
        <f t="shared" si="42"/>
        <v>0</v>
      </c>
      <c r="AY294" s="1"/>
      <c r="AZ294" s="1">
        <f>IF(COUNTIFS('PID CHECK'!$B:$B,AR294)=1,0,IF(COUNTIFS(AR$1:AR293,AR294)=1,0,1))</f>
        <v>0</v>
      </c>
      <c r="BA294" s="1"/>
      <c r="BB294" s="1"/>
    </row>
    <row r="295" spans="1:54">
      <c r="A295">
        <v>294</v>
      </c>
      <c r="B295" t="s">
        <v>71</v>
      </c>
      <c r="C295" t="s">
        <v>159</v>
      </c>
      <c r="D295" t="s">
        <v>153</v>
      </c>
      <c r="E295" t="s">
        <v>47</v>
      </c>
      <c r="F295" t="s">
        <v>50</v>
      </c>
      <c r="H295" t="s">
        <v>100</v>
      </c>
      <c r="J295" t="s">
        <v>49</v>
      </c>
      <c r="K295" t="s">
        <v>50</v>
      </c>
      <c r="L295" t="s">
        <v>762</v>
      </c>
      <c r="M295" t="s">
        <v>762</v>
      </c>
      <c r="N295">
        <v>2.73</v>
      </c>
      <c r="R295" t="s">
        <v>101</v>
      </c>
      <c r="S295" t="s">
        <v>102</v>
      </c>
      <c r="Z295" t="s">
        <v>122</v>
      </c>
      <c r="AA295" t="s">
        <v>154</v>
      </c>
      <c r="AC295" t="s">
        <v>883</v>
      </c>
      <c r="AD295" t="s">
        <v>50</v>
      </c>
      <c r="AH295">
        <v>1</v>
      </c>
      <c r="AM295">
        <v>43465</v>
      </c>
      <c r="AN295">
        <v>43469</v>
      </c>
      <c r="AO295" s="2">
        <f t="shared" si="35"/>
        <v>75</v>
      </c>
      <c r="AP295" s="2">
        <f t="shared" si="36"/>
        <v>82</v>
      </c>
      <c r="AQ295" s="3">
        <f t="shared" si="37"/>
        <v>0</v>
      </c>
      <c r="AR295" s="1" t="str">
        <f>INDEX(IOS!$B:$B,MATCH(D295,IOS!A:A,0))&amp;B295</f>
        <v>O.D.2</v>
      </c>
      <c r="AS295" s="1">
        <f t="shared" si="38"/>
        <v>0</v>
      </c>
      <c r="AT295" s="1" t="str">
        <f>IF(ISBLANK(W295),"",IF(ISERROR(MATCH(W295,HQLATABLE!$A:$A,0)),0,1))</f>
        <v/>
      </c>
      <c r="AU295" s="1" t="str">
        <f t="shared" si="39"/>
        <v>Blank</v>
      </c>
      <c r="AV295" s="1" t="str">
        <f t="shared" si="40"/>
        <v>Blank</v>
      </c>
      <c r="AW295" s="1">
        <f t="shared" si="41"/>
        <v>0</v>
      </c>
      <c r="AX295" s="1">
        <f t="shared" si="42"/>
        <v>0</v>
      </c>
      <c r="AY295" s="1"/>
      <c r="AZ295" s="1">
        <f>IF(COUNTIFS('PID CHECK'!$B:$B,AR295)=1,0,IF(COUNTIFS(AR$1:AR294,AR295)=1,0,1))</f>
        <v>0</v>
      </c>
      <c r="BA295" s="1"/>
      <c r="BB295" s="1"/>
    </row>
    <row r="296" spans="1:54">
      <c r="A296">
        <v>295</v>
      </c>
      <c r="B296" t="s">
        <v>71</v>
      </c>
      <c r="C296" t="s">
        <v>159</v>
      </c>
      <c r="D296" t="s">
        <v>153</v>
      </c>
      <c r="E296" t="s">
        <v>47</v>
      </c>
      <c r="F296" t="s">
        <v>50</v>
      </c>
      <c r="H296" t="s">
        <v>100</v>
      </c>
      <c r="J296" t="s">
        <v>49</v>
      </c>
      <c r="K296" t="s">
        <v>50</v>
      </c>
      <c r="L296" t="s">
        <v>762</v>
      </c>
      <c r="M296" t="s">
        <v>762</v>
      </c>
      <c r="N296">
        <v>1.36</v>
      </c>
      <c r="R296" t="s">
        <v>101</v>
      </c>
      <c r="S296" t="s">
        <v>102</v>
      </c>
      <c r="Z296" t="s">
        <v>122</v>
      </c>
      <c r="AA296" t="s">
        <v>156</v>
      </c>
      <c r="AC296" t="s">
        <v>883</v>
      </c>
      <c r="AD296" t="s">
        <v>50</v>
      </c>
      <c r="AH296">
        <v>1</v>
      </c>
      <c r="AM296">
        <v>43465</v>
      </c>
      <c r="AN296">
        <v>43469</v>
      </c>
      <c r="AO296" s="2">
        <f t="shared" si="35"/>
        <v>75</v>
      </c>
      <c r="AP296" s="2">
        <f t="shared" si="36"/>
        <v>82</v>
      </c>
      <c r="AQ296" s="3">
        <f t="shared" si="37"/>
        <v>0</v>
      </c>
      <c r="AR296" s="1" t="str">
        <f>INDEX(IOS!$B:$B,MATCH(D296,IOS!A:A,0))&amp;B296</f>
        <v>O.D.2</v>
      </c>
      <c r="AS296" s="1">
        <f t="shared" si="38"/>
        <v>0</v>
      </c>
      <c r="AT296" s="1" t="str">
        <f>IF(ISBLANK(W296),"",IF(ISERROR(MATCH(W296,HQLATABLE!$A:$A,0)),0,1))</f>
        <v/>
      </c>
      <c r="AU296" s="1" t="str">
        <f t="shared" si="39"/>
        <v>Blank</v>
      </c>
      <c r="AV296" s="1" t="str">
        <f t="shared" si="40"/>
        <v>Blank</v>
      </c>
      <c r="AW296" s="1">
        <f t="shared" si="41"/>
        <v>0</v>
      </c>
      <c r="AX296" s="1">
        <f t="shared" si="42"/>
        <v>0</v>
      </c>
      <c r="AY296" s="1"/>
      <c r="AZ296" s="1">
        <f>IF(COUNTIFS('PID CHECK'!$B:$B,AR296)=1,0,IF(COUNTIFS(AR$1:AR295,AR296)=1,0,1))</f>
        <v>0</v>
      </c>
      <c r="BA296" s="1"/>
      <c r="BB296" s="1"/>
    </row>
    <row r="297" spans="1:54">
      <c r="A297">
        <v>296</v>
      </c>
      <c r="B297" t="s">
        <v>71</v>
      </c>
      <c r="C297" t="s">
        <v>159</v>
      </c>
      <c r="D297" t="s">
        <v>153</v>
      </c>
      <c r="E297" t="s">
        <v>47</v>
      </c>
      <c r="F297" t="s">
        <v>50</v>
      </c>
      <c r="H297" t="s">
        <v>103</v>
      </c>
      <c r="J297" t="s">
        <v>49</v>
      </c>
      <c r="K297" t="s">
        <v>50</v>
      </c>
      <c r="L297" t="s">
        <v>762</v>
      </c>
      <c r="M297" t="s">
        <v>762</v>
      </c>
      <c r="N297">
        <v>0.04</v>
      </c>
      <c r="R297" t="s">
        <v>104</v>
      </c>
      <c r="S297" t="s">
        <v>104</v>
      </c>
      <c r="Z297" t="s">
        <v>122</v>
      </c>
      <c r="AA297" t="s">
        <v>154</v>
      </c>
      <c r="AC297" t="s">
        <v>883</v>
      </c>
      <c r="AD297" t="s">
        <v>50</v>
      </c>
      <c r="AH297">
        <v>1</v>
      </c>
      <c r="AM297">
        <v>43465</v>
      </c>
      <c r="AN297">
        <v>43469</v>
      </c>
      <c r="AO297" s="2">
        <f t="shared" si="35"/>
        <v>7</v>
      </c>
      <c r="AP297" s="2">
        <f t="shared" si="36"/>
        <v>7</v>
      </c>
      <c r="AQ297" s="3">
        <f t="shared" si="37"/>
        <v>1</v>
      </c>
      <c r="AR297" s="1" t="str">
        <f>INDEX(IOS!$B:$B,MATCH(D297,IOS!A:A,0))&amp;B297</f>
        <v>O.D.2</v>
      </c>
      <c r="AS297" s="1">
        <f t="shared" si="38"/>
        <v>0</v>
      </c>
      <c r="AT297" s="1" t="str">
        <f>IF(ISBLANK(W297),"",IF(ISERROR(MATCH(W297,HQLATABLE!$A:$A,0)),0,1))</f>
        <v/>
      </c>
      <c r="AU297" s="1" t="str">
        <f t="shared" si="39"/>
        <v>Blank</v>
      </c>
      <c r="AV297" s="1" t="str">
        <f t="shared" si="40"/>
        <v>Blank</v>
      </c>
      <c r="AW297" s="1">
        <f t="shared" si="41"/>
        <v>0</v>
      </c>
      <c r="AX297" s="1">
        <f t="shared" si="42"/>
        <v>0</v>
      </c>
      <c r="AY297" s="1"/>
      <c r="AZ297" s="1">
        <f>IF(COUNTIFS('PID CHECK'!$B:$B,AR297)=1,0,IF(COUNTIFS(AR$1:AR296,AR297)=1,0,1))</f>
        <v>0</v>
      </c>
      <c r="BA297" s="1"/>
      <c r="BB297" s="1"/>
    </row>
    <row r="298" spans="1:54">
      <c r="A298">
        <v>297</v>
      </c>
      <c r="B298" t="s">
        <v>71</v>
      </c>
      <c r="C298" t="s">
        <v>159</v>
      </c>
      <c r="D298" t="s">
        <v>153</v>
      </c>
      <c r="E298" t="s">
        <v>47</v>
      </c>
      <c r="F298" t="s">
        <v>50</v>
      </c>
      <c r="H298" t="s">
        <v>105</v>
      </c>
      <c r="J298" t="s">
        <v>49</v>
      </c>
      <c r="K298" t="s">
        <v>50</v>
      </c>
      <c r="L298" t="s">
        <v>762</v>
      </c>
      <c r="M298" t="s">
        <v>762</v>
      </c>
      <c r="N298">
        <v>3.81</v>
      </c>
      <c r="R298" t="s">
        <v>106</v>
      </c>
      <c r="S298" t="s">
        <v>107</v>
      </c>
      <c r="Z298" t="s">
        <v>122</v>
      </c>
      <c r="AA298" t="s">
        <v>154</v>
      </c>
      <c r="AC298" t="s">
        <v>883</v>
      </c>
      <c r="AD298" t="s">
        <v>50</v>
      </c>
      <c r="AH298">
        <v>1</v>
      </c>
      <c r="AM298">
        <v>43465</v>
      </c>
      <c r="AN298">
        <v>43469</v>
      </c>
      <c r="AO298" s="2">
        <f t="shared" si="35"/>
        <v>83</v>
      </c>
      <c r="AP298" s="2">
        <f t="shared" si="36"/>
        <v>90</v>
      </c>
      <c r="AQ298" s="3">
        <f t="shared" si="37"/>
        <v>0</v>
      </c>
      <c r="AR298" s="1" t="str">
        <f>INDEX(IOS!$B:$B,MATCH(D298,IOS!A:A,0))&amp;B298</f>
        <v>O.D.2</v>
      </c>
      <c r="AS298" s="1">
        <f t="shared" si="38"/>
        <v>0</v>
      </c>
      <c r="AT298" s="1" t="str">
        <f>IF(ISBLANK(W298),"",IF(ISERROR(MATCH(W298,HQLATABLE!$A:$A,0)),0,1))</f>
        <v/>
      </c>
      <c r="AU298" s="1" t="str">
        <f t="shared" si="39"/>
        <v>Blank</v>
      </c>
      <c r="AV298" s="1" t="str">
        <f t="shared" si="40"/>
        <v>Blank</v>
      </c>
      <c r="AW298" s="1">
        <f t="shared" si="41"/>
        <v>0</v>
      </c>
      <c r="AX298" s="1">
        <f t="shared" si="42"/>
        <v>0</v>
      </c>
      <c r="AY298" s="1"/>
      <c r="AZ298" s="1">
        <f>IF(COUNTIFS('PID CHECK'!$B:$B,AR298)=1,0,IF(COUNTIFS(AR$1:AR297,AR298)=1,0,1))</f>
        <v>0</v>
      </c>
      <c r="BA298" s="1"/>
      <c r="BB298" s="1"/>
    </row>
    <row r="299" spans="1:54">
      <c r="A299">
        <v>298</v>
      </c>
      <c r="B299" t="s">
        <v>71</v>
      </c>
      <c r="C299" t="s">
        <v>159</v>
      </c>
      <c r="D299" t="s">
        <v>153</v>
      </c>
      <c r="E299" t="s">
        <v>47</v>
      </c>
      <c r="F299" t="s">
        <v>50</v>
      </c>
      <c r="H299" t="s">
        <v>105</v>
      </c>
      <c r="J299" t="s">
        <v>49</v>
      </c>
      <c r="K299" t="s">
        <v>50</v>
      </c>
      <c r="L299" t="s">
        <v>762</v>
      </c>
      <c r="M299" t="s">
        <v>762</v>
      </c>
      <c r="N299">
        <v>1.45</v>
      </c>
      <c r="R299" t="s">
        <v>106</v>
      </c>
      <c r="S299" t="s">
        <v>107</v>
      </c>
      <c r="Z299" t="s">
        <v>122</v>
      </c>
      <c r="AA299" t="s">
        <v>156</v>
      </c>
      <c r="AC299" t="s">
        <v>883</v>
      </c>
      <c r="AD299" t="s">
        <v>50</v>
      </c>
      <c r="AH299">
        <v>1</v>
      </c>
      <c r="AM299">
        <v>43465</v>
      </c>
      <c r="AN299">
        <v>43469</v>
      </c>
      <c r="AO299" s="2">
        <f t="shared" si="35"/>
        <v>83</v>
      </c>
      <c r="AP299" s="2">
        <f t="shared" si="36"/>
        <v>90</v>
      </c>
      <c r="AQ299" s="3">
        <f t="shared" si="37"/>
        <v>0</v>
      </c>
      <c r="AR299" s="1" t="str">
        <f>INDEX(IOS!$B:$B,MATCH(D299,IOS!A:A,0))&amp;B299</f>
        <v>O.D.2</v>
      </c>
      <c r="AS299" s="1">
        <f t="shared" si="38"/>
        <v>0</v>
      </c>
      <c r="AT299" s="1" t="str">
        <f>IF(ISBLANK(W299),"",IF(ISERROR(MATCH(W299,HQLATABLE!$A:$A,0)),0,1))</f>
        <v/>
      </c>
      <c r="AU299" s="1" t="str">
        <f t="shared" si="39"/>
        <v>Blank</v>
      </c>
      <c r="AV299" s="1" t="str">
        <f t="shared" si="40"/>
        <v>Blank</v>
      </c>
      <c r="AW299" s="1">
        <f t="shared" si="41"/>
        <v>0</v>
      </c>
      <c r="AX299" s="1">
        <f t="shared" si="42"/>
        <v>0</v>
      </c>
      <c r="AY299" s="1"/>
      <c r="AZ299" s="1">
        <f>IF(COUNTIFS('PID CHECK'!$B:$B,AR299)=1,0,IF(COUNTIFS(AR$1:AR298,AR299)=1,0,1))</f>
        <v>0</v>
      </c>
      <c r="BA299" s="1"/>
      <c r="BB299" s="1"/>
    </row>
    <row r="300" spans="1:54">
      <c r="A300">
        <v>299</v>
      </c>
      <c r="B300" t="s">
        <v>71</v>
      </c>
      <c r="C300" t="s">
        <v>159</v>
      </c>
      <c r="D300" t="s">
        <v>153</v>
      </c>
      <c r="E300" t="s">
        <v>47</v>
      </c>
      <c r="F300" t="s">
        <v>50</v>
      </c>
      <c r="H300" t="s">
        <v>1064</v>
      </c>
      <c r="J300" t="s">
        <v>49</v>
      </c>
      <c r="K300" t="s">
        <v>50</v>
      </c>
      <c r="L300" t="s">
        <v>762</v>
      </c>
      <c r="M300" t="s">
        <v>762</v>
      </c>
      <c r="N300">
        <v>0.02</v>
      </c>
      <c r="R300" t="s">
        <v>1065</v>
      </c>
      <c r="S300" t="s">
        <v>1065</v>
      </c>
      <c r="Z300" t="s">
        <v>122</v>
      </c>
      <c r="AA300" t="s">
        <v>154</v>
      </c>
      <c r="AC300" t="s">
        <v>883</v>
      </c>
      <c r="AD300" t="s">
        <v>50</v>
      </c>
      <c r="AH300">
        <v>1</v>
      </c>
      <c r="AM300">
        <v>43465</v>
      </c>
      <c r="AN300">
        <v>43469</v>
      </c>
      <c r="AO300" s="2">
        <f t="shared" si="35"/>
        <v>8</v>
      </c>
      <c r="AP300" s="2">
        <f t="shared" si="36"/>
        <v>8</v>
      </c>
      <c r="AQ300" s="3">
        <f t="shared" si="37"/>
        <v>1</v>
      </c>
      <c r="AR300" s="1" t="str">
        <f>INDEX(IOS!$B:$B,MATCH(D300,IOS!A:A,0))&amp;B300</f>
        <v>O.D.2</v>
      </c>
      <c r="AS300" s="1">
        <f t="shared" si="38"/>
        <v>0</v>
      </c>
      <c r="AT300" s="1" t="str">
        <f>IF(ISBLANK(W300),"",IF(ISERROR(MATCH(W300,HQLATABLE!$A:$A,0)),0,1))</f>
        <v/>
      </c>
      <c r="AU300" s="1" t="str">
        <f t="shared" si="39"/>
        <v>Blank</v>
      </c>
      <c r="AV300" s="1" t="str">
        <f t="shared" si="40"/>
        <v>Blank</v>
      </c>
      <c r="AW300" s="1">
        <f t="shared" si="41"/>
        <v>0</v>
      </c>
      <c r="AX300" s="1">
        <f t="shared" si="42"/>
        <v>0</v>
      </c>
      <c r="AY300" s="1"/>
      <c r="AZ300" s="1">
        <f>IF(COUNTIFS('PID CHECK'!$B:$B,AR300)=1,0,IF(COUNTIFS(AR$1:AR299,AR300)=1,0,1))</f>
        <v>0</v>
      </c>
      <c r="BA300" s="1"/>
      <c r="BB300" s="1"/>
    </row>
    <row r="301" spans="1:54">
      <c r="A301">
        <v>300</v>
      </c>
      <c r="B301" t="s">
        <v>71</v>
      </c>
      <c r="C301" t="s">
        <v>159</v>
      </c>
      <c r="D301" t="s">
        <v>153</v>
      </c>
      <c r="E301" t="s">
        <v>47</v>
      </c>
      <c r="F301" t="s">
        <v>50</v>
      </c>
      <c r="H301" t="s">
        <v>108</v>
      </c>
      <c r="J301" t="s">
        <v>49</v>
      </c>
      <c r="K301" t="s">
        <v>50</v>
      </c>
      <c r="L301" t="s">
        <v>762</v>
      </c>
      <c r="M301" t="s">
        <v>762</v>
      </c>
      <c r="N301">
        <v>17.309999999999999</v>
      </c>
      <c r="R301" t="s">
        <v>109</v>
      </c>
      <c r="S301" t="s">
        <v>110</v>
      </c>
      <c r="Z301" t="s">
        <v>122</v>
      </c>
      <c r="AA301" t="s">
        <v>154</v>
      </c>
      <c r="AC301" t="s">
        <v>883</v>
      </c>
      <c r="AD301" t="s">
        <v>50</v>
      </c>
      <c r="AH301">
        <v>1</v>
      </c>
      <c r="AM301">
        <v>43465</v>
      </c>
      <c r="AN301">
        <v>43469</v>
      </c>
      <c r="AO301" s="2">
        <f t="shared" si="35"/>
        <v>91</v>
      </c>
      <c r="AP301" s="2">
        <f t="shared" si="36"/>
        <v>120</v>
      </c>
      <c r="AQ301" s="3">
        <f t="shared" si="37"/>
        <v>0</v>
      </c>
      <c r="AR301" s="1" t="str">
        <f>INDEX(IOS!$B:$B,MATCH(D301,IOS!A:A,0))&amp;B301</f>
        <v>O.D.2</v>
      </c>
      <c r="AS301" s="1">
        <f t="shared" si="38"/>
        <v>0</v>
      </c>
      <c r="AT301" s="1" t="str">
        <f>IF(ISBLANK(W301),"",IF(ISERROR(MATCH(W301,HQLATABLE!$A:$A,0)),0,1))</f>
        <v/>
      </c>
      <c r="AU301" s="1" t="str">
        <f t="shared" si="39"/>
        <v>Blank</v>
      </c>
      <c r="AV301" s="1" t="str">
        <f t="shared" si="40"/>
        <v>Blank</v>
      </c>
      <c r="AW301" s="1">
        <f t="shared" si="41"/>
        <v>0</v>
      </c>
      <c r="AX301" s="1">
        <f t="shared" si="42"/>
        <v>0</v>
      </c>
      <c r="AY301" s="1"/>
      <c r="AZ301" s="1">
        <f>IF(COUNTIFS('PID CHECK'!$B:$B,AR301)=1,0,IF(COUNTIFS(AR$1:AR300,AR301)=1,0,1))</f>
        <v>0</v>
      </c>
      <c r="BA301" s="1"/>
      <c r="BB301" s="1"/>
    </row>
    <row r="302" spans="1:54">
      <c r="A302">
        <v>301</v>
      </c>
      <c r="B302" t="s">
        <v>71</v>
      </c>
      <c r="C302" t="s">
        <v>159</v>
      </c>
      <c r="D302" t="s">
        <v>153</v>
      </c>
      <c r="E302" t="s">
        <v>47</v>
      </c>
      <c r="F302" t="s">
        <v>50</v>
      </c>
      <c r="H302" t="s">
        <v>108</v>
      </c>
      <c r="J302" t="s">
        <v>49</v>
      </c>
      <c r="K302" t="s">
        <v>50</v>
      </c>
      <c r="L302" t="s">
        <v>762</v>
      </c>
      <c r="M302" t="s">
        <v>762</v>
      </c>
      <c r="N302">
        <v>31.24</v>
      </c>
      <c r="R302" t="s">
        <v>109</v>
      </c>
      <c r="S302" t="s">
        <v>110</v>
      </c>
      <c r="Z302" t="s">
        <v>122</v>
      </c>
      <c r="AA302" t="s">
        <v>156</v>
      </c>
      <c r="AC302" t="s">
        <v>883</v>
      </c>
      <c r="AD302" t="s">
        <v>50</v>
      </c>
      <c r="AH302">
        <v>1</v>
      </c>
      <c r="AM302">
        <v>43465</v>
      </c>
      <c r="AN302">
        <v>43469</v>
      </c>
      <c r="AO302" s="2">
        <f t="shared" si="35"/>
        <v>91</v>
      </c>
      <c r="AP302" s="2">
        <f t="shared" si="36"/>
        <v>120</v>
      </c>
      <c r="AQ302" s="3">
        <f t="shared" si="37"/>
        <v>0</v>
      </c>
      <c r="AR302" s="1" t="str">
        <f>INDEX(IOS!$B:$B,MATCH(D302,IOS!A:A,0))&amp;B302</f>
        <v>O.D.2</v>
      </c>
      <c r="AS302" s="1">
        <f t="shared" si="38"/>
        <v>0</v>
      </c>
      <c r="AT302" s="1" t="str">
        <f>IF(ISBLANK(W302),"",IF(ISERROR(MATCH(W302,HQLATABLE!$A:$A,0)),0,1))</f>
        <v/>
      </c>
      <c r="AU302" s="1" t="str">
        <f t="shared" si="39"/>
        <v>Blank</v>
      </c>
      <c r="AV302" s="1" t="str">
        <f t="shared" si="40"/>
        <v>Blank</v>
      </c>
      <c r="AW302" s="1">
        <f t="shared" si="41"/>
        <v>0</v>
      </c>
      <c r="AX302" s="1">
        <f t="shared" si="42"/>
        <v>0</v>
      </c>
      <c r="AY302" s="1"/>
      <c r="AZ302" s="1">
        <f>IF(COUNTIFS('PID CHECK'!$B:$B,AR302)=1,0,IF(COUNTIFS(AR$1:AR301,AR302)=1,0,1))</f>
        <v>0</v>
      </c>
      <c r="BA302" s="1"/>
      <c r="BB302" s="1"/>
    </row>
    <row r="303" spans="1:54">
      <c r="A303">
        <v>302</v>
      </c>
      <c r="B303" t="s">
        <v>71</v>
      </c>
      <c r="C303" t="s">
        <v>159</v>
      </c>
      <c r="D303" t="s">
        <v>153</v>
      </c>
      <c r="E303" t="s">
        <v>47</v>
      </c>
      <c r="F303" t="s">
        <v>50</v>
      </c>
      <c r="H303" t="s">
        <v>1044</v>
      </c>
      <c r="J303" t="s">
        <v>49</v>
      </c>
      <c r="K303" t="s">
        <v>50</v>
      </c>
      <c r="L303" t="s">
        <v>762</v>
      </c>
      <c r="M303" t="s">
        <v>762</v>
      </c>
      <c r="N303">
        <v>0.11</v>
      </c>
      <c r="R303" t="s">
        <v>1045</v>
      </c>
      <c r="S303" t="s">
        <v>1045</v>
      </c>
      <c r="Z303" t="s">
        <v>122</v>
      </c>
      <c r="AA303" t="s">
        <v>154</v>
      </c>
      <c r="AC303" t="s">
        <v>883</v>
      </c>
      <c r="AD303" t="s">
        <v>50</v>
      </c>
      <c r="AH303">
        <v>1</v>
      </c>
      <c r="AM303">
        <v>43465</v>
      </c>
      <c r="AN303">
        <v>43469</v>
      </c>
      <c r="AO303" s="2">
        <f t="shared" si="35"/>
        <v>9</v>
      </c>
      <c r="AP303" s="2">
        <f t="shared" si="36"/>
        <v>9</v>
      </c>
      <c r="AQ303" s="3">
        <f t="shared" si="37"/>
        <v>1</v>
      </c>
      <c r="AR303" s="1" t="str">
        <f>INDEX(IOS!$B:$B,MATCH(D303,IOS!A:A,0))&amp;B303</f>
        <v>O.D.2</v>
      </c>
      <c r="AS303" s="1">
        <f t="shared" si="38"/>
        <v>0</v>
      </c>
      <c r="AT303" s="1" t="str">
        <f>IF(ISBLANK(W303),"",IF(ISERROR(MATCH(W303,HQLATABLE!$A:$A,0)),0,1))</f>
        <v/>
      </c>
      <c r="AU303" s="1" t="str">
        <f t="shared" si="39"/>
        <v>Blank</v>
      </c>
      <c r="AV303" s="1" t="str">
        <f t="shared" si="40"/>
        <v>Blank</v>
      </c>
      <c r="AW303" s="1">
        <f t="shared" si="41"/>
        <v>0</v>
      </c>
      <c r="AX303" s="1">
        <f t="shared" si="42"/>
        <v>0</v>
      </c>
      <c r="AY303" s="1"/>
      <c r="AZ303" s="1">
        <f>IF(COUNTIFS('PID CHECK'!$B:$B,AR303)=1,0,IF(COUNTIFS(AR$1:AR302,AR303)=1,0,1))</f>
        <v>0</v>
      </c>
      <c r="BA303" s="1"/>
      <c r="BB303" s="1"/>
    </row>
    <row r="304" spans="1:54">
      <c r="A304">
        <v>303</v>
      </c>
      <c r="B304" t="s">
        <v>56</v>
      </c>
      <c r="C304" t="s">
        <v>160</v>
      </c>
      <c r="D304" t="s">
        <v>153</v>
      </c>
      <c r="E304" t="s">
        <v>47</v>
      </c>
      <c r="F304" t="s">
        <v>50</v>
      </c>
      <c r="H304" t="s">
        <v>48</v>
      </c>
      <c r="J304" t="s">
        <v>49</v>
      </c>
      <c r="K304" t="s">
        <v>50</v>
      </c>
      <c r="L304" t="s">
        <v>762</v>
      </c>
      <c r="M304" t="s">
        <v>762</v>
      </c>
      <c r="N304">
        <v>24.11</v>
      </c>
      <c r="R304" t="s">
        <v>51</v>
      </c>
      <c r="S304" t="s">
        <v>52</v>
      </c>
      <c r="Z304" t="s">
        <v>122</v>
      </c>
      <c r="AA304" t="s">
        <v>154</v>
      </c>
      <c r="AC304" t="s">
        <v>883</v>
      </c>
      <c r="AD304" t="s">
        <v>50</v>
      </c>
      <c r="AH304">
        <v>1</v>
      </c>
      <c r="AM304">
        <v>43465</v>
      </c>
      <c r="AN304">
        <v>43469</v>
      </c>
      <c r="AO304" s="2">
        <f t="shared" si="35"/>
        <v>0</v>
      </c>
      <c r="AP304" s="2">
        <f t="shared" si="36"/>
        <v>0</v>
      </c>
      <c r="AQ304" s="3">
        <f t="shared" si="37"/>
        <v>1</v>
      </c>
      <c r="AR304" s="1" t="str">
        <f>INDEX(IOS!$B:$B,MATCH(D304,IOS!A:A,0))&amp;B304</f>
        <v>O.D.3</v>
      </c>
      <c r="AS304" s="1">
        <f t="shared" si="38"/>
        <v>0</v>
      </c>
      <c r="AT304" s="1" t="str">
        <f>IF(ISBLANK(W304),"",IF(ISERROR(MATCH(W304,HQLATABLE!$A:$A,0)),0,1))</f>
        <v/>
      </c>
      <c r="AU304" s="1" t="str">
        <f t="shared" si="39"/>
        <v>Blank</v>
      </c>
      <c r="AV304" s="1" t="str">
        <f t="shared" si="40"/>
        <v>Blank</v>
      </c>
      <c r="AW304" s="1">
        <f t="shared" si="41"/>
        <v>0</v>
      </c>
      <c r="AX304" s="1">
        <f t="shared" si="42"/>
        <v>0</v>
      </c>
      <c r="AY304" s="1"/>
      <c r="AZ304" s="1">
        <f>IF(COUNTIFS('PID CHECK'!$B:$B,AR304)=1,0,IF(COUNTIFS(AR$1:AR303,AR304)=1,0,1))</f>
        <v>0</v>
      </c>
      <c r="BA304" s="1"/>
      <c r="BB304" s="1"/>
    </row>
    <row r="305" spans="1:54">
      <c r="A305">
        <v>304</v>
      </c>
      <c r="B305" t="s">
        <v>56</v>
      </c>
      <c r="C305" t="s">
        <v>160</v>
      </c>
      <c r="D305" t="s">
        <v>153</v>
      </c>
      <c r="E305" t="s">
        <v>47</v>
      </c>
      <c r="F305" t="s">
        <v>50</v>
      </c>
      <c r="H305" t="s">
        <v>48</v>
      </c>
      <c r="J305" t="s">
        <v>49</v>
      </c>
      <c r="K305" t="s">
        <v>50</v>
      </c>
      <c r="L305" t="s">
        <v>762</v>
      </c>
      <c r="M305" t="s">
        <v>762</v>
      </c>
      <c r="N305">
        <v>0.06</v>
      </c>
      <c r="R305" t="s">
        <v>51</v>
      </c>
      <c r="S305" t="s">
        <v>52</v>
      </c>
      <c r="Z305" t="s">
        <v>155</v>
      </c>
      <c r="AA305" t="s">
        <v>154</v>
      </c>
      <c r="AC305" t="s">
        <v>883</v>
      </c>
      <c r="AD305" t="s">
        <v>50</v>
      </c>
      <c r="AH305">
        <v>2</v>
      </c>
      <c r="AM305">
        <v>43465</v>
      </c>
      <c r="AN305">
        <v>43469</v>
      </c>
      <c r="AO305" s="2">
        <f t="shared" si="35"/>
        <v>0</v>
      </c>
      <c r="AP305" s="2">
        <f t="shared" si="36"/>
        <v>0</v>
      </c>
      <c r="AQ305" s="3">
        <f t="shared" si="37"/>
        <v>1</v>
      </c>
      <c r="AR305" s="1" t="str">
        <f>INDEX(IOS!$B:$B,MATCH(D305,IOS!A:A,0))&amp;B305</f>
        <v>O.D.3</v>
      </c>
      <c r="AS305" s="1">
        <f t="shared" si="38"/>
        <v>0</v>
      </c>
      <c r="AT305" s="1" t="str">
        <f>IF(ISBLANK(W305),"",IF(ISERROR(MATCH(W305,HQLATABLE!$A:$A,0)),0,1))</f>
        <v/>
      </c>
      <c r="AU305" s="1" t="str">
        <f t="shared" si="39"/>
        <v>Blank</v>
      </c>
      <c r="AV305" s="1" t="str">
        <f t="shared" si="40"/>
        <v>Blank</v>
      </c>
      <c r="AW305" s="1">
        <f t="shared" si="41"/>
        <v>0</v>
      </c>
      <c r="AX305" s="1">
        <f t="shared" si="42"/>
        <v>0</v>
      </c>
      <c r="AY305" s="1"/>
      <c r="AZ305" s="1">
        <f>IF(COUNTIFS('PID CHECK'!$B:$B,AR305)=1,0,IF(COUNTIFS(AR$1:AR304,AR305)=1,0,1))</f>
        <v>0</v>
      </c>
      <c r="BA305" s="1"/>
      <c r="BB305" s="1"/>
    </row>
    <row r="306" spans="1:54">
      <c r="A306">
        <v>305</v>
      </c>
      <c r="B306" t="s">
        <v>56</v>
      </c>
      <c r="C306" t="s">
        <v>160</v>
      </c>
      <c r="D306" t="s">
        <v>153</v>
      </c>
      <c r="E306" t="s">
        <v>47</v>
      </c>
      <c r="F306" t="s">
        <v>50</v>
      </c>
      <c r="H306" t="s">
        <v>48</v>
      </c>
      <c r="J306" t="s">
        <v>49</v>
      </c>
      <c r="K306" t="s">
        <v>50</v>
      </c>
      <c r="L306" t="s">
        <v>762</v>
      </c>
      <c r="M306" t="s">
        <v>762</v>
      </c>
      <c r="N306">
        <v>3.77</v>
      </c>
      <c r="R306" t="s">
        <v>51</v>
      </c>
      <c r="S306" t="s">
        <v>52</v>
      </c>
      <c r="Z306" t="s">
        <v>122</v>
      </c>
      <c r="AA306" t="s">
        <v>156</v>
      </c>
      <c r="AC306" t="s">
        <v>883</v>
      </c>
      <c r="AD306" t="s">
        <v>50</v>
      </c>
      <c r="AH306">
        <v>1</v>
      </c>
      <c r="AM306">
        <v>43465</v>
      </c>
      <c r="AN306">
        <v>43469</v>
      </c>
      <c r="AO306" s="2">
        <f t="shared" si="35"/>
        <v>0</v>
      </c>
      <c r="AP306" s="2">
        <f t="shared" si="36"/>
        <v>0</v>
      </c>
      <c r="AQ306" s="3">
        <f t="shared" si="37"/>
        <v>1</v>
      </c>
      <c r="AR306" s="1" t="str">
        <f>INDEX(IOS!$B:$B,MATCH(D306,IOS!A:A,0))&amp;B306</f>
        <v>O.D.3</v>
      </c>
      <c r="AS306" s="1">
        <f t="shared" si="38"/>
        <v>0</v>
      </c>
      <c r="AT306" s="1" t="str">
        <f>IF(ISBLANK(W306),"",IF(ISERROR(MATCH(W306,HQLATABLE!$A:$A,0)),0,1))</f>
        <v/>
      </c>
      <c r="AU306" s="1" t="str">
        <f t="shared" si="39"/>
        <v>Blank</v>
      </c>
      <c r="AV306" s="1" t="str">
        <f t="shared" si="40"/>
        <v>Blank</v>
      </c>
      <c r="AW306" s="1">
        <f t="shared" si="41"/>
        <v>0</v>
      </c>
      <c r="AX306" s="1">
        <f t="shared" si="42"/>
        <v>0</v>
      </c>
      <c r="AY306" s="1"/>
      <c r="AZ306" s="1">
        <f>IF(COUNTIFS('PID CHECK'!$B:$B,AR306)=1,0,IF(COUNTIFS(AR$1:AR305,AR306)=1,0,1))</f>
        <v>0</v>
      </c>
      <c r="BA306" s="1"/>
      <c r="BB306" s="1"/>
    </row>
    <row r="307" spans="1:54">
      <c r="A307">
        <v>306</v>
      </c>
      <c r="B307" t="s">
        <v>56</v>
      </c>
      <c r="C307" t="s">
        <v>160</v>
      </c>
      <c r="D307" t="s">
        <v>153</v>
      </c>
      <c r="E307" t="s">
        <v>47</v>
      </c>
      <c r="F307" t="s">
        <v>50</v>
      </c>
      <c r="H307" t="s">
        <v>1019</v>
      </c>
      <c r="J307" t="s">
        <v>49</v>
      </c>
      <c r="K307" t="s">
        <v>50</v>
      </c>
      <c r="L307" t="s">
        <v>762</v>
      </c>
      <c r="M307" t="s">
        <v>762</v>
      </c>
      <c r="N307">
        <v>0.02</v>
      </c>
      <c r="R307" t="s">
        <v>1020</v>
      </c>
      <c r="S307" t="s">
        <v>1020</v>
      </c>
      <c r="Z307" t="s">
        <v>122</v>
      </c>
      <c r="AA307" t="s">
        <v>154</v>
      </c>
      <c r="AC307" t="s">
        <v>883</v>
      </c>
      <c r="AD307" t="s">
        <v>50</v>
      </c>
      <c r="AH307">
        <v>1</v>
      </c>
      <c r="AM307">
        <v>43465</v>
      </c>
      <c r="AN307">
        <v>43469</v>
      </c>
      <c r="AO307" s="2">
        <f t="shared" si="35"/>
        <v>11</v>
      </c>
      <c r="AP307" s="2">
        <f t="shared" si="36"/>
        <v>11</v>
      </c>
      <c r="AQ307" s="3">
        <f t="shared" si="37"/>
        <v>1</v>
      </c>
      <c r="AR307" s="1" t="str">
        <f>INDEX(IOS!$B:$B,MATCH(D307,IOS!A:A,0))&amp;B307</f>
        <v>O.D.3</v>
      </c>
      <c r="AS307" s="1">
        <f t="shared" si="38"/>
        <v>0</v>
      </c>
      <c r="AT307" s="1" t="str">
        <f>IF(ISBLANK(W307),"",IF(ISERROR(MATCH(W307,HQLATABLE!$A:$A,0)),0,1))</f>
        <v/>
      </c>
      <c r="AU307" s="1" t="str">
        <f t="shared" si="39"/>
        <v>Blank</v>
      </c>
      <c r="AV307" s="1" t="str">
        <f t="shared" si="40"/>
        <v>Blank</v>
      </c>
      <c r="AW307" s="1">
        <f t="shared" si="41"/>
        <v>0</v>
      </c>
      <c r="AX307" s="1">
        <f t="shared" si="42"/>
        <v>0</v>
      </c>
      <c r="AY307" s="1"/>
      <c r="AZ307" s="1">
        <f>IF(COUNTIFS('PID CHECK'!$B:$B,AR307)=1,0,IF(COUNTIFS(AR$1:AR306,AR307)=1,0,1))</f>
        <v>0</v>
      </c>
      <c r="BA307" s="1"/>
      <c r="BB307" s="1"/>
    </row>
    <row r="308" spans="1:54">
      <c r="A308">
        <v>307</v>
      </c>
      <c r="B308" t="s">
        <v>56</v>
      </c>
      <c r="C308" t="s">
        <v>160</v>
      </c>
      <c r="D308" t="s">
        <v>153</v>
      </c>
      <c r="E308" t="s">
        <v>47</v>
      </c>
      <c r="F308" t="s">
        <v>50</v>
      </c>
      <c r="H308" t="s">
        <v>67</v>
      </c>
      <c r="J308" t="s">
        <v>49</v>
      </c>
      <c r="K308" t="s">
        <v>50</v>
      </c>
      <c r="L308" t="s">
        <v>762</v>
      </c>
      <c r="M308" t="s">
        <v>762</v>
      </c>
      <c r="N308">
        <v>0.47</v>
      </c>
      <c r="R308" t="s">
        <v>68</v>
      </c>
      <c r="S308" t="s">
        <v>69</v>
      </c>
      <c r="Z308" t="s">
        <v>122</v>
      </c>
      <c r="AA308" t="s">
        <v>154</v>
      </c>
      <c r="AC308" t="s">
        <v>883</v>
      </c>
      <c r="AD308" t="s">
        <v>50</v>
      </c>
      <c r="AH308">
        <v>1</v>
      </c>
      <c r="AM308">
        <v>43465</v>
      </c>
      <c r="AN308">
        <v>43469</v>
      </c>
      <c r="AO308" s="2">
        <f t="shared" si="35"/>
        <v>121</v>
      </c>
      <c r="AP308" s="2">
        <f t="shared" si="36"/>
        <v>150</v>
      </c>
      <c r="AQ308" s="3">
        <f t="shared" si="37"/>
        <v>0</v>
      </c>
      <c r="AR308" s="1" t="str">
        <f>INDEX(IOS!$B:$B,MATCH(D308,IOS!A:A,0))&amp;B308</f>
        <v>O.D.3</v>
      </c>
      <c r="AS308" s="1">
        <f t="shared" si="38"/>
        <v>0</v>
      </c>
      <c r="AT308" s="1" t="str">
        <f>IF(ISBLANK(W308),"",IF(ISERROR(MATCH(W308,HQLATABLE!$A:$A,0)),0,1))</f>
        <v/>
      </c>
      <c r="AU308" s="1" t="str">
        <f t="shared" si="39"/>
        <v>Blank</v>
      </c>
      <c r="AV308" s="1" t="str">
        <f t="shared" si="40"/>
        <v>Blank</v>
      </c>
      <c r="AW308" s="1">
        <f t="shared" si="41"/>
        <v>0</v>
      </c>
      <c r="AX308" s="1">
        <f t="shared" si="42"/>
        <v>0</v>
      </c>
      <c r="AY308" s="1"/>
      <c r="AZ308" s="1">
        <f>IF(COUNTIFS('PID CHECK'!$B:$B,AR308)=1,0,IF(COUNTIFS(AR$1:AR307,AR308)=1,0,1))</f>
        <v>0</v>
      </c>
      <c r="BA308" s="1"/>
      <c r="BB308" s="1"/>
    </row>
    <row r="309" spans="1:54">
      <c r="A309">
        <v>308</v>
      </c>
      <c r="B309" t="s">
        <v>56</v>
      </c>
      <c r="C309" t="s">
        <v>160</v>
      </c>
      <c r="D309" t="s">
        <v>153</v>
      </c>
      <c r="E309" t="s">
        <v>47</v>
      </c>
      <c r="F309" t="s">
        <v>50</v>
      </c>
      <c r="H309" t="s">
        <v>67</v>
      </c>
      <c r="J309" t="s">
        <v>49</v>
      </c>
      <c r="K309" t="s">
        <v>50</v>
      </c>
      <c r="L309" t="s">
        <v>762</v>
      </c>
      <c r="M309" t="s">
        <v>762</v>
      </c>
      <c r="N309">
        <v>0.55000000000000004</v>
      </c>
      <c r="R309" t="s">
        <v>68</v>
      </c>
      <c r="S309" t="s">
        <v>69</v>
      </c>
      <c r="Z309" t="s">
        <v>122</v>
      </c>
      <c r="AA309" t="s">
        <v>156</v>
      </c>
      <c r="AC309" t="s">
        <v>883</v>
      </c>
      <c r="AD309" t="s">
        <v>50</v>
      </c>
      <c r="AH309">
        <v>1</v>
      </c>
      <c r="AM309">
        <v>43465</v>
      </c>
      <c r="AN309">
        <v>43469</v>
      </c>
      <c r="AO309" s="2">
        <f t="shared" si="35"/>
        <v>121</v>
      </c>
      <c r="AP309" s="2">
        <f t="shared" si="36"/>
        <v>150</v>
      </c>
      <c r="AQ309" s="3">
        <f t="shared" si="37"/>
        <v>0</v>
      </c>
      <c r="AR309" s="1" t="str">
        <f>INDEX(IOS!$B:$B,MATCH(D309,IOS!A:A,0))&amp;B309</f>
        <v>O.D.3</v>
      </c>
      <c r="AS309" s="1">
        <f t="shared" si="38"/>
        <v>0</v>
      </c>
      <c r="AT309" s="1" t="str">
        <f>IF(ISBLANK(W309),"",IF(ISERROR(MATCH(W309,HQLATABLE!$A:$A,0)),0,1))</f>
        <v/>
      </c>
      <c r="AU309" s="1" t="str">
        <f t="shared" si="39"/>
        <v>Blank</v>
      </c>
      <c r="AV309" s="1" t="str">
        <f t="shared" si="40"/>
        <v>Blank</v>
      </c>
      <c r="AW309" s="1">
        <f t="shared" si="41"/>
        <v>0</v>
      </c>
      <c r="AX309" s="1">
        <f t="shared" si="42"/>
        <v>0</v>
      </c>
      <c r="AY309" s="1"/>
      <c r="AZ309" s="1">
        <f>IF(COUNTIFS('PID CHECK'!$B:$B,AR309)=1,0,IF(COUNTIFS(AR$1:AR308,AR309)=1,0,1))</f>
        <v>0</v>
      </c>
      <c r="BA309" s="1"/>
      <c r="BB309" s="1"/>
    </row>
    <row r="310" spans="1:54">
      <c r="A310">
        <v>309</v>
      </c>
      <c r="B310" t="s">
        <v>56</v>
      </c>
      <c r="C310" t="s">
        <v>160</v>
      </c>
      <c r="D310" t="s">
        <v>153</v>
      </c>
      <c r="E310" t="s">
        <v>47</v>
      </c>
      <c r="F310" t="s">
        <v>50</v>
      </c>
      <c r="H310" t="s">
        <v>85</v>
      </c>
      <c r="J310" t="s">
        <v>49</v>
      </c>
      <c r="K310" t="s">
        <v>50</v>
      </c>
      <c r="L310" t="s">
        <v>762</v>
      </c>
      <c r="M310" t="s">
        <v>762</v>
      </c>
      <c r="N310">
        <v>0.01</v>
      </c>
      <c r="R310" t="s">
        <v>86</v>
      </c>
      <c r="S310" t="s">
        <v>86</v>
      </c>
      <c r="Z310" t="s">
        <v>122</v>
      </c>
      <c r="AA310" t="s">
        <v>154</v>
      </c>
      <c r="AC310" t="s">
        <v>883</v>
      </c>
      <c r="AD310" t="s">
        <v>50</v>
      </c>
      <c r="AH310">
        <v>1</v>
      </c>
      <c r="AM310">
        <v>43465</v>
      </c>
      <c r="AN310">
        <v>43469</v>
      </c>
      <c r="AO310" s="2">
        <f t="shared" si="35"/>
        <v>14</v>
      </c>
      <c r="AP310" s="2">
        <f t="shared" si="36"/>
        <v>14</v>
      </c>
      <c r="AQ310" s="3">
        <f t="shared" si="37"/>
        <v>1</v>
      </c>
      <c r="AR310" s="1" t="str">
        <f>INDEX(IOS!$B:$B,MATCH(D310,IOS!A:A,0))&amp;B310</f>
        <v>O.D.3</v>
      </c>
      <c r="AS310" s="1">
        <f t="shared" si="38"/>
        <v>0</v>
      </c>
      <c r="AT310" s="1" t="str">
        <f>IF(ISBLANK(W310),"",IF(ISERROR(MATCH(W310,HQLATABLE!$A:$A,0)),0,1))</f>
        <v/>
      </c>
      <c r="AU310" s="1" t="str">
        <f t="shared" si="39"/>
        <v>Blank</v>
      </c>
      <c r="AV310" s="1" t="str">
        <f t="shared" si="40"/>
        <v>Blank</v>
      </c>
      <c r="AW310" s="1">
        <f t="shared" si="41"/>
        <v>0</v>
      </c>
      <c r="AX310" s="1">
        <f t="shared" si="42"/>
        <v>0</v>
      </c>
      <c r="AY310" s="1"/>
      <c r="AZ310" s="1">
        <f>IF(COUNTIFS('PID CHECK'!$B:$B,AR310)=1,0,IF(COUNTIFS(AR$1:AR309,AR310)=1,0,1))</f>
        <v>0</v>
      </c>
      <c r="BA310" s="1"/>
      <c r="BB310" s="1"/>
    </row>
    <row r="311" spans="1:54">
      <c r="A311">
        <v>310</v>
      </c>
      <c r="B311" t="s">
        <v>56</v>
      </c>
      <c r="C311" t="s">
        <v>160</v>
      </c>
      <c r="D311" t="s">
        <v>153</v>
      </c>
      <c r="E311" t="s">
        <v>47</v>
      </c>
      <c r="F311" t="s">
        <v>50</v>
      </c>
      <c r="H311" t="s">
        <v>73</v>
      </c>
      <c r="J311" t="s">
        <v>49</v>
      </c>
      <c r="K311" t="s">
        <v>50</v>
      </c>
      <c r="L311" t="s">
        <v>762</v>
      </c>
      <c r="M311" t="s">
        <v>762</v>
      </c>
      <c r="N311">
        <v>0.46</v>
      </c>
      <c r="R311" t="s">
        <v>74</v>
      </c>
      <c r="S311" t="s">
        <v>75</v>
      </c>
      <c r="Z311" t="s">
        <v>122</v>
      </c>
      <c r="AA311" t="s">
        <v>154</v>
      </c>
      <c r="AC311" t="s">
        <v>883</v>
      </c>
      <c r="AD311" t="s">
        <v>50</v>
      </c>
      <c r="AH311">
        <v>1</v>
      </c>
      <c r="AM311">
        <v>43465</v>
      </c>
      <c r="AN311">
        <v>43469</v>
      </c>
      <c r="AO311" s="2">
        <f t="shared" si="35"/>
        <v>151</v>
      </c>
      <c r="AP311" s="2">
        <f t="shared" si="36"/>
        <v>180</v>
      </c>
      <c r="AQ311" s="3">
        <f t="shared" si="37"/>
        <v>0</v>
      </c>
      <c r="AR311" s="1" t="str">
        <f>INDEX(IOS!$B:$B,MATCH(D311,IOS!A:A,0))&amp;B311</f>
        <v>O.D.3</v>
      </c>
      <c r="AS311" s="1">
        <f t="shared" si="38"/>
        <v>0</v>
      </c>
      <c r="AT311" s="1" t="str">
        <f>IF(ISBLANK(W311),"",IF(ISERROR(MATCH(W311,HQLATABLE!$A:$A,0)),0,1))</f>
        <v/>
      </c>
      <c r="AU311" s="1" t="str">
        <f t="shared" si="39"/>
        <v>Blank</v>
      </c>
      <c r="AV311" s="1" t="str">
        <f t="shared" si="40"/>
        <v>Blank</v>
      </c>
      <c r="AW311" s="1">
        <f t="shared" si="41"/>
        <v>0</v>
      </c>
      <c r="AX311" s="1">
        <f t="shared" si="42"/>
        <v>0</v>
      </c>
      <c r="AY311" s="1"/>
      <c r="AZ311" s="1">
        <f>IF(COUNTIFS('PID CHECK'!$B:$B,AR311)=1,0,IF(COUNTIFS(AR$1:AR310,AR311)=1,0,1))</f>
        <v>0</v>
      </c>
      <c r="BA311" s="1"/>
      <c r="BB311" s="1"/>
    </row>
    <row r="312" spans="1:54">
      <c r="A312">
        <v>311</v>
      </c>
      <c r="B312" t="s">
        <v>56</v>
      </c>
      <c r="C312" t="s">
        <v>160</v>
      </c>
      <c r="D312" t="s">
        <v>153</v>
      </c>
      <c r="E312" t="s">
        <v>47</v>
      </c>
      <c r="F312" t="s">
        <v>50</v>
      </c>
      <c r="H312" t="s">
        <v>73</v>
      </c>
      <c r="J312" t="s">
        <v>49</v>
      </c>
      <c r="K312" t="s">
        <v>50</v>
      </c>
      <c r="L312" t="s">
        <v>762</v>
      </c>
      <c r="M312" t="s">
        <v>762</v>
      </c>
      <c r="N312">
        <v>0.28999999999999998</v>
      </c>
      <c r="R312" t="s">
        <v>74</v>
      </c>
      <c r="S312" t="s">
        <v>75</v>
      </c>
      <c r="Z312" t="s">
        <v>122</v>
      </c>
      <c r="AA312" t="s">
        <v>156</v>
      </c>
      <c r="AC312" t="s">
        <v>883</v>
      </c>
      <c r="AD312" t="s">
        <v>50</v>
      </c>
      <c r="AH312">
        <v>1</v>
      </c>
      <c r="AM312">
        <v>43465</v>
      </c>
      <c r="AN312">
        <v>43469</v>
      </c>
      <c r="AO312" s="2">
        <f t="shared" si="35"/>
        <v>151</v>
      </c>
      <c r="AP312" s="2">
        <f t="shared" si="36"/>
        <v>180</v>
      </c>
      <c r="AQ312" s="3">
        <f t="shared" si="37"/>
        <v>0</v>
      </c>
      <c r="AR312" s="1" t="str">
        <f>INDEX(IOS!$B:$B,MATCH(D312,IOS!A:A,0))&amp;B312</f>
        <v>O.D.3</v>
      </c>
      <c r="AS312" s="1">
        <f t="shared" si="38"/>
        <v>0</v>
      </c>
      <c r="AT312" s="1" t="str">
        <f>IF(ISBLANK(W312),"",IF(ISERROR(MATCH(W312,HQLATABLE!$A:$A,0)),0,1))</f>
        <v/>
      </c>
      <c r="AU312" s="1" t="str">
        <f t="shared" si="39"/>
        <v>Blank</v>
      </c>
      <c r="AV312" s="1" t="str">
        <f t="shared" si="40"/>
        <v>Blank</v>
      </c>
      <c r="AW312" s="1">
        <f t="shared" si="41"/>
        <v>0</v>
      </c>
      <c r="AX312" s="1">
        <f t="shared" si="42"/>
        <v>0</v>
      </c>
      <c r="AY312" s="1"/>
      <c r="AZ312" s="1">
        <f>IF(COUNTIFS('PID CHECK'!$B:$B,AR312)=1,0,IF(COUNTIFS(AR$1:AR311,AR312)=1,0,1))</f>
        <v>0</v>
      </c>
      <c r="BA312" s="1"/>
      <c r="BB312" s="1"/>
    </row>
    <row r="313" spans="1:54">
      <c r="A313">
        <v>312</v>
      </c>
      <c r="B313" t="s">
        <v>56</v>
      </c>
      <c r="C313" t="s">
        <v>160</v>
      </c>
      <c r="D313" t="s">
        <v>153</v>
      </c>
      <c r="E313" t="s">
        <v>47</v>
      </c>
      <c r="F313" t="s">
        <v>50</v>
      </c>
      <c r="H313" t="s">
        <v>997</v>
      </c>
      <c r="J313" t="s">
        <v>49</v>
      </c>
      <c r="K313" t="s">
        <v>50</v>
      </c>
      <c r="L313" t="s">
        <v>762</v>
      </c>
      <c r="M313" t="s">
        <v>762</v>
      </c>
      <c r="N313">
        <v>0.02</v>
      </c>
      <c r="R313" t="s">
        <v>998</v>
      </c>
      <c r="S313" t="s">
        <v>998</v>
      </c>
      <c r="Z313" t="s">
        <v>122</v>
      </c>
      <c r="AA313" t="s">
        <v>154</v>
      </c>
      <c r="AC313" t="s">
        <v>883</v>
      </c>
      <c r="AD313" t="s">
        <v>50</v>
      </c>
      <c r="AH313">
        <v>1</v>
      </c>
      <c r="AM313">
        <v>43465</v>
      </c>
      <c r="AN313">
        <v>43469</v>
      </c>
      <c r="AO313" s="2">
        <f t="shared" si="35"/>
        <v>17</v>
      </c>
      <c r="AP313" s="2">
        <f t="shared" si="36"/>
        <v>17</v>
      </c>
      <c r="AQ313" s="3">
        <f t="shared" si="37"/>
        <v>1</v>
      </c>
      <c r="AR313" s="1" t="str">
        <f>INDEX(IOS!$B:$B,MATCH(D313,IOS!A:A,0))&amp;B313</f>
        <v>O.D.3</v>
      </c>
      <c r="AS313" s="1">
        <f t="shared" si="38"/>
        <v>0</v>
      </c>
      <c r="AT313" s="1" t="str">
        <f>IF(ISBLANK(W313),"",IF(ISERROR(MATCH(W313,HQLATABLE!$A:$A,0)),0,1))</f>
        <v/>
      </c>
      <c r="AU313" s="1" t="str">
        <f t="shared" si="39"/>
        <v>Blank</v>
      </c>
      <c r="AV313" s="1" t="str">
        <f t="shared" si="40"/>
        <v>Blank</v>
      </c>
      <c r="AW313" s="1">
        <f t="shared" si="41"/>
        <v>0</v>
      </c>
      <c r="AX313" s="1">
        <f t="shared" si="42"/>
        <v>0</v>
      </c>
      <c r="AY313" s="1"/>
      <c r="AZ313" s="1">
        <f>IF(COUNTIFS('PID CHECK'!$B:$B,AR313)=1,0,IF(COUNTIFS(AR$1:AR312,AR313)=1,0,1))</f>
        <v>0</v>
      </c>
      <c r="BA313" s="1"/>
      <c r="BB313" s="1"/>
    </row>
    <row r="314" spans="1:54">
      <c r="A314">
        <v>313</v>
      </c>
      <c r="B314" t="s">
        <v>56</v>
      </c>
      <c r="C314" t="s">
        <v>160</v>
      </c>
      <c r="D314" t="s">
        <v>153</v>
      </c>
      <c r="E314" t="s">
        <v>47</v>
      </c>
      <c r="F314" t="s">
        <v>50</v>
      </c>
      <c r="H314" t="s">
        <v>87</v>
      </c>
      <c r="J314" t="s">
        <v>49</v>
      </c>
      <c r="K314" t="s">
        <v>50</v>
      </c>
      <c r="L314" t="s">
        <v>762</v>
      </c>
      <c r="M314" t="s">
        <v>762</v>
      </c>
      <c r="N314">
        <v>0.46</v>
      </c>
      <c r="R314" t="s">
        <v>88</v>
      </c>
      <c r="S314" t="s">
        <v>89</v>
      </c>
      <c r="Z314" t="s">
        <v>122</v>
      </c>
      <c r="AA314" t="s">
        <v>154</v>
      </c>
      <c r="AC314" t="s">
        <v>883</v>
      </c>
      <c r="AD314" t="s">
        <v>50</v>
      </c>
      <c r="AH314">
        <v>1</v>
      </c>
      <c r="AM314">
        <v>43465</v>
      </c>
      <c r="AN314">
        <v>43469</v>
      </c>
      <c r="AO314" s="2">
        <f t="shared" si="35"/>
        <v>181</v>
      </c>
      <c r="AP314" s="2">
        <f t="shared" si="36"/>
        <v>270</v>
      </c>
      <c r="AQ314" s="3">
        <f t="shared" si="37"/>
        <v>0</v>
      </c>
      <c r="AR314" s="1" t="str">
        <f>INDEX(IOS!$B:$B,MATCH(D314,IOS!A:A,0))&amp;B314</f>
        <v>O.D.3</v>
      </c>
      <c r="AS314" s="1">
        <f t="shared" si="38"/>
        <v>0</v>
      </c>
      <c r="AT314" s="1" t="str">
        <f>IF(ISBLANK(W314),"",IF(ISERROR(MATCH(W314,HQLATABLE!$A:$A,0)),0,1))</f>
        <v/>
      </c>
      <c r="AU314" s="1" t="str">
        <f t="shared" si="39"/>
        <v>Blank</v>
      </c>
      <c r="AV314" s="1" t="str">
        <f t="shared" si="40"/>
        <v>Blank</v>
      </c>
      <c r="AW314" s="1">
        <f t="shared" si="41"/>
        <v>0</v>
      </c>
      <c r="AX314" s="1">
        <f t="shared" si="42"/>
        <v>0</v>
      </c>
      <c r="AY314" s="1"/>
      <c r="AZ314" s="1">
        <f>IF(COUNTIFS('PID CHECK'!$B:$B,AR314)=1,0,IF(COUNTIFS(AR$1:AR313,AR314)=1,0,1))</f>
        <v>0</v>
      </c>
      <c r="BA314" s="1"/>
      <c r="BB314" s="1"/>
    </row>
    <row r="315" spans="1:54">
      <c r="A315">
        <v>314</v>
      </c>
      <c r="B315" t="s">
        <v>56</v>
      </c>
      <c r="C315" t="s">
        <v>160</v>
      </c>
      <c r="D315" t="s">
        <v>153</v>
      </c>
      <c r="E315" t="s">
        <v>47</v>
      </c>
      <c r="F315" t="s">
        <v>50</v>
      </c>
      <c r="H315" t="s">
        <v>999</v>
      </c>
      <c r="J315" t="s">
        <v>49</v>
      </c>
      <c r="K315" t="s">
        <v>50</v>
      </c>
      <c r="L315" t="s">
        <v>762</v>
      </c>
      <c r="M315" t="s">
        <v>762</v>
      </c>
      <c r="N315">
        <v>0.01</v>
      </c>
      <c r="R315" t="s">
        <v>1000</v>
      </c>
      <c r="S315" t="s">
        <v>1000</v>
      </c>
      <c r="Z315" t="s">
        <v>122</v>
      </c>
      <c r="AA315" t="s">
        <v>154</v>
      </c>
      <c r="AC315" t="s">
        <v>883</v>
      </c>
      <c r="AD315" t="s">
        <v>50</v>
      </c>
      <c r="AH315">
        <v>1</v>
      </c>
      <c r="AM315">
        <v>43465</v>
      </c>
      <c r="AN315">
        <v>43469</v>
      </c>
      <c r="AO315" s="2">
        <f t="shared" si="35"/>
        <v>18</v>
      </c>
      <c r="AP315" s="2">
        <f t="shared" si="36"/>
        <v>18</v>
      </c>
      <c r="AQ315" s="3">
        <f t="shared" si="37"/>
        <v>1</v>
      </c>
      <c r="AR315" s="1" t="str">
        <f>INDEX(IOS!$B:$B,MATCH(D315,IOS!A:A,0))&amp;B315</f>
        <v>O.D.3</v>
      </c>
      <c r="AS315" s="1">
        <f t="shared" si="38"/>
        <v>0</v>
      </c>
      <c r="AT315" s="1" t="str">
        <f>IF(ISBLANK(W315),"",IF(ISERROR(MATCH(W315,HQLATABLE!$A:$A,0)),0,1))</f>
        <v/>
      </c>
      <c r="AU315" s="1" t="str">
        <f t="shared" si="39"/>
        <v>Blank</v>
      </c>
      <c r="AV315" s="1" t="str">
        <f t="shared" si="40"/>
        <v>Blank</v>
      </c>
      <c r="AW315" s="1">
        <f t="shared" si="41"/>
        <v>0</v>
      </c>
      <c r="AX315" s="1">
        <f t="shared" si="42"/>
        <v>0</v>
      </c>
      <c r="AY315" s="1"/>
      <c r="AZ315" s="1">
        <f>IF(COUNTIFS('PID CHECK'!$B:$B,AR315)=1,0,IF(COUNTIFS(AR$1:AR314,AR315)=1,0,1))</f>
        <v>0</v>
      </c>
      <c r="BA315" s="1"/>
      <c r="BB315" s="1"/>
    </row>
    <row r="316" spans="1:54">
      <c r="A316">
        <v>315</v>
      </c>
      <c r="B316" t="s">
        <v>56</v>
      </c>
      <c r="C316" t="s">
        <v>160</v>
      </c>
      <c r="D316" t="s">
        <v>153</v>
      </c>
      <c r="E316" t="s">
        <v>47</v>
      </c>
      <c r="F316" t="s">
        <v>50</v>
      </c>
      <c r="H316" t="s">
        <v>1034</v>
      </c>
      <c r="J316" t="s">
        <v>49</v>
      </c>
      <c r="K316" t="s">
        <v>50</v>
      </c>
      <c r="L316" t="s">
        <v>762</v>
      </c>
      <c r="M316" t="s">
        <v>762</v>
      </c>
      <c r="N316">
        <v>0.01</v>
      </c>
      <c r="R316" t="s">
        <v>1035</v>
      </c>
      <c r="S316" t="s">
        <v>1035</v>
      </c>
      <c r="Z316" t="s">
        <v>122</v>
      </c>
      <c r="AA316" t="s">
        <v>154</v>
      </c>
      <c r="AC316" t="s">
        <v>883</v>
      </c>
      <c r="AD316" t="s">
        <v>50</v>
      </c>
      <c r="AH316">
        <v>1</v>
      </c>
      <c r="AM316">
        <v>43465</v>
      </c>
      <c r="AN316">
        <v>43469</v>
      </c>
      <c r="AO316" s="2">
        <f t="shared" si="35"/>
        <v>22</v>
      </c>
      <c r="AP316" s="2">
        <f t="shared" si="36"/>
        <v>22</v>
      </c>
      <c r="AQ316" s="3">
        <f t="shared" si="37"/>
        <v>1</v>
      </c>
      <c r="AR316" s="1" t="str">
        <f>INDEX(IOS!$B:$B,MATCH(D316,IOS!A:A,0))&amp;B316</f>
        <v>O.D.3</v>
      </c>
      <c r="AS316" s="1">
        <f t="shared" si="38"/>
        <v>0</v>
      </c>
      <c r="AT316" s="1" t="str">
        <f>IF(ISBLANK(W316),"",IF(ISERROR(MATCH(W316,HQLATABLE!$A:$A,0)),0,1))</f>
        <v/>
      </c>
      <c r="AU316" s="1" t="str">
        <f t="shared" si="39"/>
        <v>Blank</v>
      </c>
      <c r="AV316" s="1" t="str">
        <f t="shared" si="40"/>
        <v>Blank</v>
      </c>
      <c r="AW316" s="1">
        <f t="shared" si="41"/>
        <v>0</v>
      </c>
      <c r="AX316" s="1">
        <f t="shared" si="42"/>
        <v>0</v>
      </c>
      <c r="AY316" s="1"/>
      <c r="AZ316" s="1">
        <f>IF(COUNTIFS('PID CHECK'!$B:$B,AR316)=1,0,IF(COUNTIFS(AR$1:AR315,AR316)=1,0,1))</f>
        <v>0</v>
      </c>
      <c r="BA316" s="1"/>
      <c r="BB316" s="1"/>
    </row>
    <row r="317" spans="1:54">
      <c r="A317">
        <v>316</v>
      </c>
      <c r="B317" t="s">
        <v>56</v>
      </c>
      <c r="C317" t="s">
        <v>160</v>
      </c>
      <c r="D317" t="s">
        <v>153</v>
      </c>
      <c r="E317" t="s">
        <v>47</v>
      </c>
      <c r="F317" t="s">
        <v>50</v>
      </c>
      <c r="H317" t="s">
        <v>1054</v>
      </c>
      <c r="J317" t="s">
        <v>49</v>
      </c>
      <c r="K317" t="s">
        <v>50</v>
      </c>
      <c r="L317" t="s">
        <v>762</v>
      </c>
      <c r="M317" t="s">
        <v>762</v>
      </c>
      <c r="N317">
        <v>0</v>
      </c>
      <c r="R317" t="s">
        <v>1055</v>
      </c>
      <c r="S317" t="s">
        <v>1055</v>
      </c>
      <c r="Z317" t="s">
        <v>122</v>
      </c>
      <c r="AA317" t="s">
        <v>154</v>
      </c>
      <c r="AC317" t="s">
        <v>883</v>
      </c>
      <c r="AD317" t="s">
        <v>50</v>
      </c>
      <c r="AH317">
        <v>1</v>
      </c>
      <c r="AM317">
        <v>43465</v>
      </c>
      <c r="AN317">
        <v>43469</v>
      </c>
      <c r="AO317" s="2">
        <f t="shared" si="35"/>
        <v>23</v>
      </c>
      <c r="AP317" s="2">
        <f t="shared" si="36"/>
        <v>23</v>
      </c>
      <c r="AQ317" s="3">
        <f t="shared" si="37"/>
        <v>1</v>
      </c>
      <c r="AR317" s="1" t="str">
        <f>INDEX(IOS!$B:$B,MATCH(D317,IOS!A:A,0))&amp;B317</f>
        <v>O.D.3</v>
      </c>
      <c r="AS317" s="1">
        <f t="shared" si="38"/>
        <v>0</v>
      </c>
      <c r="AT317" s="1" t="str">
        <f>IF(ISBLANK(W317),"",IF(ISERROR(MATCH(W317,HQLATABLE!$A:$A,0)),0,1))</f>
        <v/>
      </c>
      <c r="AU317" s="1" t="str">
        <f t="shared" si="39"/>
        <v>Blank</v>
      </c>
      <c r="AV317" s="1" t="str">
        <f t="shared" si="40"/>
        <v>Blank</v>
      </c>
      <c r="AW317" s="1">
        <f t="shared" si="41"/>
        <v>0</v>
      </c>
      <c r="AX317" s="1">
        <f t="shared" si="42"/>
        <v>0</v>
      </c>
      <c r="AY317" s="1"/>
      <c r="AZ317" s="1">
        <f>IF(COUNTIFS('PID CHECK'!$B:$B,AR317)=1,0,IF(COUNTIFS(AR$1:AR316,AR317)=1,0,1))</f>
        <v>0</v>
      </c>
      <c r="BA317" s="1"/>
      <c r="BB317" s="1"/>
    </row>
    <row r="318" spans="1:54">
      <c r="A318">
        <v>317</v>
      </c>
      <c r="B318" t="s">
        <v>56</v>
      </c>
      <c r="C318" t="s">
        <v>160</v>
      </c>
      <c r="D318" t="s">
        <v>153</v>
      </c>
      <c r="E318" t="s">
        <v>47</v>
      </c>
      <c r="F318" t="s">
        <v>50</v>
      </c>
      <c r="H318" t="s">
        <v>79</v>
      </c>
      <c r="J318" t="s">
        <v>49</v>
      </c>
      <c r="K318" t="s">
        <v>50</v>
      </c>
      <c r="L318" t="s">
        <v>762</v>
      </c>
      <c r="M318" t="s">
        <v>762</v>
      </c>
      <c r="N318">
        <v>0.48</v>
      </c>
      <c r="R318" t="s">
        <v>80</v>
      </c>
      <c r="S318" t="s">
        <v>81</v>
      </c>
      <c r="Z318" t="s">
        <v>122</v>
      </c>
      <c r="AA318" t="s">
        <v>154</v>
      </c>
      <c r="AC318" t="s">
        <v>883</v>
      </c>
      <c r="AD318" t="s">
        <v>50</v>
      </c>
      <c r="AH318">
        <v>1</v>
      </c>
      <c r="AM318">
        <v>43465</v>
      </c>
      <c r="AN318">
        <v>43469</v>
      </c>
      <c r="AO318" s="2">
        <f t="shared" si="35"/>
        <v>271</v>
      </c>
      <c r="AP318" s="2">
        <f t="shared" si="36"/>
        <v>365</v>
      </c>
      <c r="AQ318" s="3">
        <f t="shared" si="37"/>
        <v>0</v>
      </c>
      <c r="AR318" s="1" t="str">
        <f>INDEX(IOS!$B:$B,MATCH(D318,IOS!A:A,0))&amp;B318</f>
        <v>O.D.3</v>
      </c>
      <c r="AS318" s="1">
        <f t="shared" si="38"/>
        <v>0</v>
      </c>
      <c r="AT318" s="1" t="str">
        <f>IF(ISBLANK(W318),"",IF(ISERROR(MATCH(W318,HQLATABLE!$A:$A,0)),0,1))</f>
        <v/>
      </c>
      <c r="AU318" s="1" t="str">
        <f t="shared" si="39"/>
        <v>Blank</v>
      </c>
      <c r="AV318" s="1" t="str">
        <f t="shared" si="40"/>
        <v>Blank</v>
      </c>
      <c r="AW318" s="1">
        <f t="shared" si="41"/>
        <v>0</v>
      </c>
      <c r="AX318" s="1">
        <f t="shared" si="42"/>
        <v>0</v>
      </c>
      <c r="AY318" s="1"/>
      <c r="AZ318" s="1">
        <f>IF(COUNTIFS('PID CHECK'!$B:$B,AR318)=1,0,IF(COUNTIFS(AR$1:AR317,AR318)=1,0,1))</f>
        <v>0</v>
      </c>
      <c r="BA318" s="1"/>
      <c r="BB318" s="1"/>
    </row>
    <row r="319" spans="1:54">
      <c r="A319">
        <v>318</v>
      </c>
      <c r="B319" t="s">
        <v>56</v>
      </c>
      <c r="C319" t="s">
        <v>160</v>
      </c>
      <c r="D319" t="s">
        <v>153</v>
      </c>
      <c r="E319" t="s">
        <v>47</v>
      </c>
      <c r="F319" t="s">
        <v>50</v>
      </c>
      <c r="H319" t="s">
        <v>1026</v>
      </c>
      <c r="J319" t="s">
        <v>49</v>
      </c>
      <c r="K319" t="s">
        <v>50</v>
      </c>
      <c r="L319" t="s">
        <v>762</v>
      </c>
      <c r="M319" t="s">
        <v>762</v>
      </c>
      <c r="N319">
        <v>0.04</v>
      </c>
      <c r="R319" t="s">
        <v>1027</v>
      </c>
      <c r="S319" t="s">
        <v>1027</v>
      </c>
      <c r="Z319" t="s">
        <v>122</v>
      </c>
      <c r="AA319" t="s">
        <v>154</v>
      </c>
      <c r="AC319" t="s">
        <v>883</v>
      </c>
      <c r="AD319" t="s">
        <v>50</v>
      </c>
      <c r="AH319">
        <v>1</v>
      </c>
      <c r="AM319">
        <v>43465</v>
      </c>
      <c r="AN319">
        <v>43469</v>
      </c>
      <c r="AO319" s="2">
        <f t="shared" si="35"/>
        <v>30</v>
      </c>
      <c r="AP319" s="2">
        <f t="shared" si="36"/>
        <v>30</v>
      </c>
      <c r="AQ319" s="3">
        <f t="shared" si="37"/>
        <v>1</v>
      </c>
      <c r="AR319" s="1" t="str">
        <f>INDEX(IOS!$B:$B,MATCH(D319,IOS!A:A,0))&amp;B319</f>
        <v>O.D.3</v>
      </c>
      <c r="AS319" s="1">
        <f t="shared" si="38"/>
        <v>0</v>
      </c>
      <c r="AT319" s="1" t="str">
        <f>IF(ISBLANK(W319),"",IF(ISERROR(MATCH(W319,HQLATABLE!$A:$A,0)),0,1))</f>
        <v/>
      </c>
      <c r="AU319" s="1" t="str">
        <f t="shared" si="39"/>
        <v>Blank</v>
      </c>
      <c r="AV319" s="1" t="str">
        <f t="shared" si="40"/>
        <v>Blank</v>
      </c>
      <c r="AW319" s="1">
        <f t="shared" si="41"/>
        <v>0</v>
      </c>
      <c r="AX319" s="1">
        <f t="shared" si="42"/>
        <v>0</v>
      </c>
      <c r="AY319" s="1"/>
      <c r="AZ319" s="1">
        <f>IF(COUNTIFS('PID CHECK'!$B:$B,AR319)=1,0,IF(COUNTIFS(AR$1:AR318,AR319)=1,0,1))</f>
        <v>0</v>
      </c>
      <c r="BA319" s="1"/>
      <c r="BB319" s="1"/>
    </row>
    <row r="320" spans="1:54">
      <c r="A320">
        <v>319</v>
      </c>
      <c r="B320" t="s">
        <v>56</v>
      </c>
      <c r="C320" t="s">
        <v>160</v>
      </c>
      <c r="D320" t="s">
        <v>153</v>
      </c>
      <c r="E320" t="s">
        <v>47</v>
      </c>
      <c r="F320" t="s">
        <v>50</v>
      </c>
      <c r="H320" t="s">
        <v>1003</v>
      </c>
      <c r="J320" t="s">
        <v>49</v>
      </c>
      <c r="K320" t="s">
        <v>50</v>
      </c>
      <c r="L320" t="s">
        <v>762</v>
      </c>
      <c r="M320" t="s">
        <v>762</v>
      </c>
      <c r="N320">
        <v>0.12</v>
      </c>
      <c r="R320" t="s">
        <v>1004</v>
      </c>
      <c r="S320" t="s">
        <v>1004</v>
      </c>
      <c r="Z320" t="s">
        <v>122</v>
      </c>
      <c r="AA320" t="s">
        <v>154</v>
      </c>
      <c r="AC320" t="s">
        <v>883</v>
      </c>
      <c r="AD320" t="s">
        <v>50</v>
      </c>
      <c r="AH320">
        <v>1</v>
      </c>
      <c r="AM320">
        <v>43465</v>
      </c>
      <c r="AN320">
        <v>43469</v>
      </c>
      <c r="AO320" s="2">
        <f t="shared" si="35"/>
        <v>31</v>
      </c>
      <c r="AP320" s="2">
        <f t="shared" si="36"/>
        <v>31</v>
      </c>
      <c r="AQ320" s="3">
        <f t="shared" si="37"/>
        <v>0</v>
      </c>
      <c r="AR320" s="1" t="str">
        <f>INDEX(IOS!$B:$B,MATCH(D320,IOS!A:A,0))&amp;B320</f>
        <v>O.D.3</v>
      </c>
      <c r="AS320" s="1">
        <f t="shared" si="38"/>
        <v>0</v>
      </c>
      <c r="AT320" s="1" t="str">
        <f>IF(ISBLANK(W320),"",IF(ISERROR(MATCH(W320,HQLATABLE!$A:$A,0)),0,1))</f>
        <v/>
      </c>
      <c r="AU320" s="1" t="str">
        <f t="shared" si="39"/>
        <v>Blank</v>
      </c>
      <c r="AV320" s="1" t="str">
        <f t="shared" si="40"/>
        <v>Blank</v>
      </c>
      <c r="AW320" s="1">
        <f t="shared" si="41"/>
        <v>0</v>
      </c>
      <c r="AX320" s="1">
        <f t="shared" si="42"/>
        <v>0</v>
      </c>
      <c r="AY320" s="1"/>
      <c r="AZ320" s="1">
        <f>IF(COUNTIFS('PID CHECK'!$B:$B,AR320)=1,0,IF(COUNTIFS(AR$1:AR319,AR320)=1,0,1))</f>
        <v>0</v>
      </c>
      <c r="BA320" s="1"/>
      <c r="BB320" s="1"/>
    </row>
    <row r="321" spans="1:54">
      <c r="A321">
        <v>320</v>
      </c>
      <c r="B321" t="s">
        <v>56</v>
      </c>
      <c r="C321" t="s">
        <v>160</v>
      </c>
      <c r="D321" t="s">
        <v>153</v>
      </c>
      <c r="E321" t="s">
        <v>47</v>
      </c>
      <c r="F321" t="s">
        <v>50</v>
      </c>
      <c r="H321" t="s">
        <v>1036</v>
      </c>
      <c r="J321" t="s">
        <v>49</v>
      </c>
      <c r="K321" t="s">
        <v>50</v>
      </c>
      <c r="L321" t="s">
        <v>762</v>
      </c>
      <c r="M321" t="s">
        <v>762</v>
      </c>
      <c r="N321">
        <v>0</v>
      </c>
      <c r="R321" t="s">
        <v>1037</v>
      </c>
      <c r="S321" t="s">
        <v>1037</v>
      </c>
      <c r="Z321" t="s">
        <v>122</v>
      </c>
      <c r="AA321" t="s">
        <v>154</v>
      </c>
      <c r="AC321" t="s">
        <v>883</v>
      </c>
      <c r="AD321" t="s">
        <v>50</v>
      </c>
      <c r="AH321">
        <v>1</v>
      </c>
      <c r="AM321">
        <v>43465</v>
      </c>
      <c r="AN321">
        <v>43469</v>
      </c>
      <c r="AO321" s="2">
        <f t="shared" si="35"/>
        <v>32</v>
      </c>
      <c r="AP321" s="2">
        <f t="shared" si="36"/>
        <v>32</v>
      </c>
      <c r="AQ321" s="3">
        <f t="shared" si="37"/>
        <v>0</v>
      </c>
      <c r="AR321" s="1" t="str">
        <f>INDEX(IOS!$B:$B,MATCH(D321,IOS!A:A,0))&amp;B321</f>
        <v>O.D.3</v>
      </c>
      <c r="AS321" s="1">
        <f t="shared" si="38"/>
        <v>0</v>
      </c>
      <c r="AT321" s="1" t="str">
        <f>IF(ISBLANK(W321),"",IF(ISERROR(MATCH(W321,HQLATABLE!$A:$A,0)),0,1))</f>
        <v/>
      </c>
      <c r="AU321" s="1" t="str">
        <f t="shared" si="39"/>
        <v>Blank</v>
      </c>
      <c r="AV321" s="1" t="str">
        <f t="shared" si="40"/>
        <v>Blank</v>
      </c>
      <c r="AW321" s="1">
        <f t="shared" si="41"/>
        <v>0</v>
      </c>
      <c r="AX321" s="1">
        <f t="shared" si="42"/>
        <v>0</v>
      </c>
      <c r="AY321" s="1"/>
      <c r="AZ321" s="1">
        <f>IF(COUNTIFS('PID CHECK'!$B:$B,AR321)=1,0,IF(COUNTIFS(AR$1:AR320,AR321)=1,0,1))</f>
        <v>0</v>
      </c>
      <c r="BA321" s="1"/>
      <c r="BB321" s="1"/>
    </row>
    <row r="322" spans="1:54">
      <c r="A322">
        <v>321</v>
      </c>
      <c r="B322" t="s">
        <v>56</v>
      </c>
      <c r="C322" t="s">
        <v>160</v>
      </c>
      <c r="D322" t="s">
        <v>153</v>
      </c>
      <c r="E322" t="s">
        <v>47</v>
      </c>
      <c r="F322" t="s">
        <v>50</v>
      </c>
      <c r="H322" t="s">
        <v>131</v>
      </c>
      <c r="J322" t="s">
        <v>49</v>
      </c>
      <c r="K322" t="s">
        <v>50</v>
      </c>
      <c r="L322" t="s">
        <v>762</v>
      </c>
      <c r="M322" t="s">
        <v>762</v>
      </c>
      <c r="N322">
        <v>0.44</v>
      </c>
      <c r="R322" t="s">
        <v>132</v>
      </c>
      <c r="S322" t="s">
        <v>133</v>
      </c>
      <c r="Z322" t="s">
        <v>122</v>
      </c>
      <c r="AA322" t="s">
        <v>154</v>
      </c>
      <c r="AC322" t="s">
        <v>883</v>
      </c>
      <c r="AD322" t="s">
        <v>50</v>
      </c>
      <c r="AH322">
        <v>1</v>
      </c>
      <c r="AM322">
        <v>43465</v>
      </c>
      <c r="AN322">
        <v>43469</v>
      </c>
      <c r="AO322" s="2">
        <f t="shared" si="35"/>
        <v>366</v>
      </c>
      <c r="AP322" s="2">
        <f t="shared" si="36"/>
        <v>730</v>
      </c>
      <c r="AQ322" s="3">
        <f t="shared" si="37"/>
        <v>0</v>
      </c>
      <c r="AR322" s="1" t="str">
        <f>INDEX(IOS!$B:$B,MATCH(D322,IOS!A:A,0))&amp;B322</f>
        <v>O.D.3</v>
      </c>
      <c r="AS322" s="1">
        <f t="shared" si="38"/>
        <v>0</v>
      </c>
      <c r="AT322" s="1" t="str">
        <f>IF(ISBLANK(W322),"",IF(ISERROR(MATCH(W322,HQLATABLE!$A:$A,0)),0,1))</f>
        <v/>
      </c>
      <c r="AU322" s="1" t="str">
        <f t="shared" si="39"/>
        <v>Blank</v>
      </c>
      <c r="AV322" s="1" t="str">
        <f t="shared" si="40"/>
        <v>Blank</v>
      </c>
      <c r="AW322" s="1">
        <f t="shared" si="41"/>
        <v>0</v>
      </c>
      <c r="AX322" s="1">
        <f t="shared" si="42"/>
        <v>0</v>
      </c>
      <c r="AY322" s="1"/>
      <c r="AZ322" s="1">
        <f>IF(COUNTIFS('PID CHECK'!$B:$B,AR322)=1,0,IF(COUNTIFS(AR$1:AR321,AR322)=1,0,1))</f>
        <v>0</v>
      </c>
      <c r="BA322" s="1"/>
      <c r="BB322" s="1"/>
    </row>
    <row r="323" spans="1:54">
      <c r="A323">
        <v>322</v>
      </c>
      <c r="B323" t="s">
        <v>56</v>
      </c>
      <c r="C323" t="s">
        <v>160</v>
      </c>
      <c r="D323" t="s">
        <v>153</v>
      </c>
      <c r="E323" t="s">
        <v>47</v>
      </c>
      <c r="F323" t="s">
        <v>50</v>
      </c>
      <c r="H323" t="s">
        <v>131</v>
      </c>
      <c r="J323" t="s">
        <v>49</v>
      </c>
      <c r="K323" t="s">
        <v>50</v>
      </c>
      <c r="L323" t="s">
        <v>762</v>
      </c>
      <c r="M323" t="s">
        <v>762</v>
      </c>
      <c r="N323">
        <v>0.4</v>
      </c>
      <c r="R323" t="s">
        <v>132</v>
      </c>
      <c r="S323" t="s">
        <v>133</v>
      </c>
      <c r="Z323" t="s">
        <v>122</v>
      </c>
      <c r="AA323" t="s">
        <v>156</v>
      </c>
      <c r="AC323" t="s">
        <v>883</v>
      </c>
      <c r="AD323" t="s">
        <v>50</v>
      </c>
      <c r="AH323">
        <v>1</v>
      </c>
      <c r="AM323">
        <v>43465</v>
      </c>
      <c r="AN323">
        <v>43469</v>
      </c>
      <c r="AO323" s="2">
        <f t="shared" ref="AO323:AO386" si="43">VALUE(MID(R323,FIND("P",R323)+1,FIND("D",R323)-1-FIND("P",R323)))</f>
        <v>366</v>
      </c>
      <c r="AP323" s="2">
        <f t="shared" ref="AP323:AP386" si="44">IFERROR(VALUE(MID(S323,FIND("P",S323)+1,FIND("D",S323)-1-FIND("P",S323))),99999)</f>
        <v>730</v>
      </c>
      <c r="AQ323" s="3">
        <f t="shared" ref="AQ323:AQ386" si="45">IF(AO323&lt;=30,1,0)</f>
        <v>0</v>
      </c>
      <c r="AR323" s="1" t="str">
        <f>INDEX(IOS!$B:$B,MATCH(D323,IOS!A:A,0))&amp;B323</f>
        <v>O.D.3</v>
      </c>
      <c r="AS323" s="1">
        <f t="shared" ref="AS323:AS386" si="46">IF(F323="","Blank",IF(F323="True",1,0))</f>
        <v>0</v>
      </c>
      <c r="AT323" s="1" t="str">
        <f>IF(ISBLANK(W323),"",IF(ISERROR(MATCH(W323,HQLATABLE!$A:$A,0)),0,1))</f>
        <v/>
      </c>
      <c r="AU323" s="1" t="str">
        <f t="shared" ref="AU323:AU386" si="47">IF(V323="","Blank",IF(V323="True",1,0))</f>
        <v>Blank</v>
      </c>
      <c r="AV323" s="1" t="str">
        <f t="shared" ref="AV323:AV386" si="48">IF(AG323="","Blank",IF(AG323="True",1,0))</f>
        <v>Blank</v>
      </c>
      <c r="AW323" s="1">
        <f t="shared" ref="AW323:AW386" si="49">IF(X323="",0,IF(OR(X323&gt;=N323),-1,1))</f>
        <v>0</v>
      </c>
      <c r="AX323" s="1">
        <f t="shared" ref="AX323:AX386" si="50">IF(AC323="","Blank",IF(AC323="True",1,0))</f>
        <v>0</v>
      </c>
      <c r="AY323" s="1"/>
      <c r="AZ323" s="1">
        <f>IF(COUNTIFS('PID CHECK'!$B:$B,AR323)=1,0,IF(COUNTIFS(AR$1:AR322,AR323)=1,0,1))</f>
        <v>0</v>
      </c>
      <c r="BA323" s="1"/>
      <c r="BB323" s="1"/>
    </row>
    <row r="324" spans="1:54">
      <c r="A324">
        <v>323</v>
      </c>
      <c r="B324" t="s">
        <v>56</v>
      </c>
      <c r="C324" t="s">
        <v>160</v>
      </c>
      <c r="D324" t="s">
        <v>153</v>
      </c>
      <c r="E324" t="s">
        <v>47</v>
      </c>
      <c r="F324" t="s">
        <v>50</v>
      </c>
      <c r="H324" t="s">
        <v>1058</v>
      </c>
      <c r="J324" t="s">
        <v>49</v>
      </c>
      <c r="K324" t="s">
        <v>50</v>
      </c>
      <c r="L324" t="s">
        <v>762</v>
      </c>
      <c r="M324" t="s">
        <v>762</v>
      </c>
      <c r="N324">
        <v>0.28000000000000003</v>
      </c>
      <c r="R324" t="s">
        <v>1059</v>
      </c>
      <c r="S324" t="s">
        <v>1059</v>
      </c>
      <c r="Z324" t="s">
        <v>122</v>
      </c>
      <c r="AA324" t="s">
        <v>154</v>
      </c>
      <c r="AC324" t="s">
        <v>883</v>
      </c>
      <c r="AD324" t="s">
        <v>50</v>
      </c>
      <c r="AH324">
        <v>1</v>
      </c>
      <c r="AM324">
        <v>43465</v>
      </c>
      <c r="AN324">
        <v>43469</v>
      </c>
      <c r="AO324" s="2">
        <f t="shared" si="43"/>
        <v>37</v>
      </c>
      <c r="AP324" s="2">
        <f t="shared" si="44"/>
        <v>37</v>
      </c>
      <c r="AQ324" s="3">
        <f t="shared" si="45"/>
        <v>0</v>
      </c>
      <c r="AR324" s="1" t="str">
        <f>INDEX(IOS!$B:$B,MATCH(D324,IOS!A:A,0))&amp;B324</f>
        <v>O.D.3</v>
      </c>
      <c r="AS324" s="1">
        <f t="shared" si="46"/>
        <v>0</v>
      </c>
      <c r="AT324" s="1" t="str">
        <f>IF(ISBLANK(W324),"",IF(ISERROR(MATCH(W324,HQLATABLE!$A:$A,0)),0,1))</f>
        <v/>
      </c>
      <c r="AU324" s="1" t="str">
        <f t="shared" si="47"/>
        <v>Blank</v>
      </c>
      <c r="AV324" s="1" t="str">
        <f t="shared" si="48"/>
        <v>Blank</v>
      </c>
      <c r="AW324" s="1">
        <f t="shared" si="49"/>
        <v>0</v>
      </c>
      <c r="AX324" s="1">
        <f t="shared" si="50"/>
        <v>0</v>
      </c>
      <c r="AY324" s="1"/>
      <c r="AZ324" s="1">
        <f>IF(COUNTIFS('PID CHECK'!$B:$B,AR324)=1,0,IF(COUNTIFS(AR$1:AR323,AR324)=1,0,1))</f>
        <v>0</v>
      </c>
      <c r="BA324" s="1"/>
      <c r="BB324" s="1"/>
    </row>
    <row r="325" spans="1:54">
      <c r="A325">
        <v>324</v>
      </c>
      <c r="B325" t="s">
        <v>56</v>
      </c>
      <c r="C325" t="s">
        <v>160</v>
      </c>
      <c r="D325" t="s">
        <v>153</v>
      </c>
      <c r="E325" t="s">
        <v>47</v>
      </c>
      <c r="F325" t="s">
        <v>50</v>
      </c>
      <c r="H325" t="s">
        <v>1023</v>
      </c>
      <c r="J325" t="s">
        <v>49</v>
      </c>
      <c r="K325" t="s">
        <v>50</v>
      </c>
      <c r="L325" t="s">
        <v>762</v>
      </c>
      <c r="M325" t="s">
        <v>762</v>
      </c>
      <c r="N325">
        <v>0.03</v>
      </c>
      <c r="R325" t="s">
        <v>1024</v>
      </c>
      <c r="S325" t="s">
        <v>1024</v>
      </c>
      <c r="Z325" t="s">
        <v>122</v>
      </c>
      <c r="AA325" t="s">
        <v>154</v>
      </c>
      <c r="AC325" t="s">
        <v>883</v>
      </c>
      <c r="AD325" t="s">
        <v>50</v>
      </c>
      <c r="AH325">
        <v>1</v>
      </c>
      <c r="AM325">
        <v>43465</v>
      </c>
      <c r="AN325">
        <v>43469</v>
      </c>
      <c r="AO325" s="2">
        <f t="shared" si="43"/>
        <v>39</v>
      </c>
      <c r="AP325" s="2">
        <f t="shared" si="44"/>
        <v>39</v>
      </c>
      <c r="AQ325" s="3">
        <f t="shared" si="45"/>
        <v>0</v>
      </c>
      <c r="AR325" s="1" t="str">
        <f>INDEX(IOS!$B:$B,MATCH(D325,IOS!A:A,0))&amp;B325</f>
        <v>O.D.3</v>
      </c>
      <c r="AS325" s="1">
        <f t="shared" si="46"/>
        <v>0</v>
      </c>
      <c r="AT325" s="1" t="str">
        <f>IF(ISBLANK(W325),"",IF(ISERROR(MATCH(W325,HQLATABLE!$A:$A,0)),0,1))</f>
        <v/>
      </c>
      <c r="AU325" s="1" t="str">
        <f t="shared" si="47"/>
        <v>Blank</v>
      </c>
      <c r="AV325" s="1" t="str">
        <f t="shared" si="48"/>
        <v>Blank</v>
      </c>
      <c r="AW325" s="1">
        <f t="shared" si="49"/>
        <v>0</v>
      </c>
      <c r="AX325" s="1">
        <f t="shared" si="50"/>
        <v>0</v>
      </c>
      <c r="AY325" s="1"/>
      <c r="AZ325" s="1">
        <f>IF(COUNTIFS('PID CHECK'!$B:$B,AR325)=1,0,IF(COUNTIFS(AR$1:AR324,AR325)=1,0,1))</f>
        <v>0</v>
      </c>
      <c r="BA325" s="1"/>
      <c r="BB325" s="1"/>
    </row>
    <row r="326" spans="1:54">
      <c r="A326">
        <v>325</v>
      </c>
      <c r="B326" t="s">
        <v>56</v>
      </c>
      <c r="C326" t="s">
        <v>160</v>
      </c>
      <c r="D326" t="s">
        <v>153</v>
      </c>
      <c r="E326" t="s">
        <v>47</v>
      </c>
      <c r="F326" t="s">
        <v>50</v>
      </c>
      <c r="H326" t="s">
        <v>1040</v>
      </c>
      <c r="J326" t="s">
        <v>49</v>
      </c>
      <c r="K326" t="s">
        <v>50</v>
      </c>
      <c r="L326" t="s">
        <v>762</v>
      </c>
      <c r="M326" t="s">
        <v>762</v>
      </c>
      <c r="N326">
        <v>0</v>
      </c>
      <c r="R326" t="s">
        <v>1041</v>
      </c>
      <c r="S326" t="s">
        <v>1041</v>
      </c>
      <c r="Z326" t="s">
        <v>122</v>
      </c>
      <c r="AA326" t="s">
        <v>154</v>
      </c>
      <c r="AC326" t="s">
        <v>883</v>
      </c>
      <c r="AD326" t="s">
        <v>50</v>
      </c>
      <c r="AH326">
        <v>1</v>
      </c>
      <c r="AM326">
        <v>43465</v>
      </c>
      <c r="AN326">
        <v>43469</v>
      </c>
      <c r="AO326" s="2">
        <f t="shared" si="43"/>
        <v>50</v>
      </c>
      <c r="AP326" s="2">
        <f t="shared" si="44"/>
        <v>50</v>
      </c>
      <c r="AQ326" s="3">
        <f t="shared" si="45"/>
        <v>0</v>
      </c>
      <c r="AR326" s="1" t="str">
        <f>INDEX(IOS!$B:$B,MATCH(D326,IOS!A:A,0))&amp;B326</f>
        <v>O.D.3</v>
      </c>
      <c r="AS326" s="1">
        <f t="shared" si="46"/>
        <v>0</v>
      </c>
      <c r="AT326" s="1" t="str">
        <f>IF(ISBLANK(W326),"",IF(ISERROR(MATCH(W326,HQLATABLE!$A:$A,0)),0,1))</f>
        <v/>
      </c>
      <c r="AU326" s="1" t="str">
        <f t="shared" si="47"/>
        <v>Blank</v>
      </c>
      <c r="AV326" s="1" t="str">
        <f t="shared" si="48"/>
        <v>Blank</v>
      </c>
      <c r="AW326" s="1">
        <f t="shared" si="49"/>
        <v>0</v>
      </c>
      <c r="AX326" s="1">
        <f t="shared" si="50"/>
        <v>0</v>
      </c>
      <c r="AY326" s="1"/>
      <c r="AZ326" s="1">
        <f>IF(COUNTIFS('PID CHECK'!$B:$B,AR326)=1,0,IF(COUNTIFS(AR$1:AR325,AR326)=1,0,1))</f>
        <v>0</v>
      </c>
      <c r="BA326" s="1"/>
      <c r="BB326" s="1"/>
    </row>
    <row r="327" spans="1:54">
      <c r="A327">
        <v>326</v>
      </c>
      <c r="B327" t="s">
        <v>56</v>
      </c>
      <c r="C327" t="s">
        <v>160</v>
      </c>
      <c r="D327" t="s">
        <v>153</v>
      </c>
      <c r="E327" t="s">
        <v>47</v>
      </c>
      <c r="F327" t="s">
        <v>50</v>
      </c>
      <c r="H327" t="s">
        <v>1042</v>
      </c>
      <c r="J327" t="s">
        <v>49</v>
      </c>
      <c r="K327" t="s">
        <v>50</v>
      </c>
      <c r="L327" t="s">
        <v>762</v>
      </c>
      <c r="M327" t="s">
        <v>762</v>
      </c>
      <c r="N327">
        <v>0.01</v>
      </c>
      <c r="R327" t="s">
        <v>1043</v>
      </c>
      <c r="S327" t="s">
        <v>1043</v>
      </c>
      <c r="Z327" t="s">
        <v>122</v>
      </c>
      <c r="AA327" t="s">
        <v>154</v>
      </c>
      <c r="AC327" t="s">
        <v>883</v>
      </c>
      <c r="AD327" t="s">
        <v>50</v>
      </c>
      <c r="AH327">
        <v>1</v>
      </c>
      <c r="AM327">
        <v>43465</v>
      </c>
      <c r="AN327">
        <v>43469</v>
      </c>
      <c r="AO327" s="2">
        <f t="shared" si="43"/>
        <v>52</v>
      </c>
      <c r="AP327" s="2">
        <f t="shared" si="44"/>
        <v>52</v>
      </c>
      <c r="AQ327" s="3">
        <f t="shared" si="45"/>
        <v>0</v>
      </c>
      <c r="AR327" s="1" t="str">
        <f>INDEX(IOS!$B:$B,MATCH(D327,IOS!A:A,0))&amp;B327</f>
        <v>O.D.3</v>
      </c>
      <c r="AS327" s="1">
        <f t="shared" si="46"/>
        <v>0</v>
      </c>
      <c r="AT327" s="1" t="str">
        <f>IF(ISBLANK(W327),"",IF(ISERROR(MATCH(W327,HQLATABLE!$A:$A,0)),0,1))</f>
        <v/>
      </c>
      <c r="AU327" s="1" t="str">
        <f t="shared" si="47"/>
        <v>Blank</v>
      </c>
      <c r="AV327" s="1" t="str">
        <f t="shared" si="48"/>
        <v>Blank</v>
      </c>
      <c r="AW327" s="1">
        <f t="shared" si="49"/>
        <v>0</v>
      </c>
      <c r="AX327" s="1">
        <f t="shared" si="50"/>
        <v>0</v>
      </c>
      <c r="AY327" s="1"/>
      <c r="AZ327" s="1">
        <f>IF(COUNTIFS('PID CHECK'!$B:$B,AR327)=1,0,IF(COUNTIFS(AR$1:AR326,AR327)=1,0,1))</f>
        <v>0</v>
      </c>
      <c r="BA327" s="1"/>
      <c r="BB327" s="1"/>
    </row>
    <row r="328" spans="1:54">
      <c r="A328">
        <v>327</v>
      </c>
      <c r="B328" t="s">
        <v>56</v>
      </c>
      <c r="C328" t="s">
        <v>160</v>
      </c>
      <c r="D328" t="s">
        <v>153</v>
      </c>
      <c r="E328" t="s">
        <v>47</v>
      </c>
      <c r="F328" t="s">
        <v>50</v>
      </c>
      <c r="H328" t="s">
        <v>1017</v>
      </c>
      <c r="J328" t="s">
        <v>49</v>
      </c>
      <c r="K328" t="s">
        <v>50</v>
      </c>
      <c r="L328" t="s">
        <v>762</v>
      </c>
      <c r="M328" t="s">
        <v>762</v>
      </c>
      <c r="N328">
        <v>0.02</v>
      </c>
      <c r="R328" t="s">
        <v>1018</v>
      </c>
      <c r="S328" t="s">
        <v>1018</v>
      </c>
      <c r="Z328" t="s">
        <v>122</v>
      </c>
      <c r="AA328" t="s">
        <v>154</v>
      </c>
      <c r="AC328" t="s">
        <v>883</v>
      </c>
      <c r="AD328" t="s">
        <v>50</v>
      </c>
      <c r="AH328">
        <v>1</v>
      </c>
      <c r="AM328">
        <v>43465</v>
      </c>
      <c r="AN328">
        <v>43469</v>
      </c>
      <c r="AO328" s="2">
        <f t="shared" si="43"/>
        <v>59</v>
      </c>
      <c r="AP328" s="2">
        <f t="shared" si="44"/>
        <v>59</v>
      </c>
      <c r="AQ328" s="3">
        <f t="shared" si="45"/>
        <v>0</v>
      </c>
      <c r="AR328" s="1" t="str">
        <f>INDEX(IOS!$B:$B,MATCH(D328,IOS!A:A,0))&amp;B328</f>
        <v>O.D.3</v>
      </c>
      <c r="AS328" s="1">
        <f t="shared" si="46"/>
        <v>0</v>
      </c>
      <c r="AT328" s="1" t="str">
        <f>IF(ISBLANK(W328),"",IF(ISERROR(MATCH(W328,HQLATABLE!$A:$A,0)),0,1))</f>
        <v/>
      </c>
      <c r="AU328" s="1" t="str">
        <f t="shared" si="47"/>
        <v>Blank</v>
      </c>
      <c r="AV328" s="1" t="str">
        <f t="shared" si="48"/>
        <v>Blank</v>
      </c>
      <c r="AW328" s="1">
        <f t="shared" si="49"/>
        <v>0</v>
      </c>
      <c r="AX328" s="1">
        <f t="shared" si="50"/>
        <v>0</v>
      </c>
      <c r="AY328" s="1"/>
      <c r="AZ328" s="1">
        <f>IF(COUNTIFS('PID CHECK'!$B:$B,AR328)=1,0,IF(COUNTIFS(AR$1:AR327,AR328)=1,0,1))</f>
        <v>0</v>
      </c>
      <c r="BA328" s="1"/>
      <c r="BB328" s="1"/>
    </row>
    <row r="329" spans="1:54">
      <c r="A329">
        <v>328</v>
      </c>
      <c r="B329" t="s">
        <v>56</v>
      </c>
      <c r="C329" t="s">
        <v>160</v>
      </c>
      <c r="D329" t="s">
        <v>153</v>
      </c>
      <c r="E329" t="s">
        <v>47</v>
      </c>
      <c r="F329" t="s">
        <v>50</v>
      </c>
      <c r="H329" t="s">
        <v>1021</v>
      </c>
      <c r="J329" t="s">
        <v>49</v>
      </c>
      <c r="K329" t="s">
        <v>50</v>
      </c>
      <c r="L329" t="s">
        <v>762</v>
      </c>
      <c r="M329" t="s">
        <v>762</v>
      </c>
      <c r="N329">
        <v>0.01</v>
      </c>
      <c r="R329" t="s">
        <v>1022</v>
      </c>
      <c r="S329" t="s">
        <v>1022</v>
      </c>
      <c r="Z329" t="s">
        <v>122</v>
      </c>
      <c r="AA329" t="s">
        <v>154</v>
      </c>
      <c r="AC329" t="s">
        <v>883</v>
      </c>
      <c r="AD329" t="s">
        <v>50</v>
      </c>
      <c r="AH329">
        <v>1</v>
      </c>
      <c r="AM329">
        <v>43465</v>
      </c>
      <c r="AN329">
        <v>43469</v>
      </c>
      <c r="AO329" s="2">
        <f t="shared" si="43"/>
        <v>60</v>
      </c>
      <c r="AP329" s="2">
        <f t="shared" si="44"/>
        <v>60</v>
      </c>
      <c r="AQ329" s="3">
        <f t="shared" si="45"/>
        <v>0</v>
      </c>
      <c r="AR329" s="1" t="str">
        <f>INDEX(IOS!$B:$B,MATCH(D329,IOS!A:A,0))&amp;B329</f>
        <v>O.D.3</v>
      </c>
      <c r="AS329" s="1">
        <f t="shared" si="46"/>
        <v>0</v>
      </c>
      <c r="AT329" s="1" t="str">
        <f>IF(ISBLANK(W329),"",IF(ISERROR(MATCH(W329,HQLATABLE!$A:$A,0)),0,1))</f>
        <v/>
      </c>
      <c r="AU329" s="1" t="str">
        <f t="shared" si="47"/>
        <v>Blank</v>
      </c>
      <c r="AV329" s="1" t="str">
        <f t="shared" si="48"/>
        <v>Blank</v>
      </c>
      <c r="AW329" s="1">
        <f t="shared" si="49"/>
        <v>0</v>
      </c>
      <c r="AX329" s="1">
        <f t="shared" si="50"/>
        <v>0</v>
      </c>
      <c r="AY329" s="1"/>
      <c r="AZ329" s="1">
        <f>IF(COUNTIFS('PID CHECK'!$B:$B,AR329)=1,0,IF(COUNTIFS(AR$1:AR328,AR329)=1,0,1))</f>
        <v>0</v>
      </c>
      <c r="BA329" s="1"/>
      <c r="BB329" s="1"/>
    </row>
    <row r="330" spans="1:54">
      <c r="A330">
        <v>329</v>
      </c>
      <c r="B330" t="s">
        <v>56</v>
      </c>
      <c r="C330" t="s">
        <v>160</v>
      </c>
      <c r="D330" t="s">
        <v>153</v>
      </c>
      <c r="E330" t="s">
        <v>47</v>
      </c>
      <c r="F330" t="s">
        <v>50</v>
      </c>
      <c r="H330" t="s">
        <v>94</v>
      </c>
      <c r="J330" t="s">
        <v>49</v>
      </c>
      <c r="K330" t="s">
        <v>50</v>
      </c>
      <c r="L330" t="s">
        <v>762</v>
      </c>
      <c r="M330" t="s">
        <v>762</v>
      </c>
      <c r="N330">
        <v>0.3</v>
      </c>
      <c r="R330" t="s">
        <v>95</v>
      </c>
      <c r="S330" t="s">
        <v>96</v>
      </c>
      <c r="Z330" t="s">
        <v>122</v>
      </c>
      <c r="AA330" t="s">
        <v>154</v>
      </c>
      <c r="AC330" t="s">
        <v>883</v>
      </c>
      <c r="AD330" t="s">
        <v>50</v>
      </c>
      <c r="AH330">
        <v>1</v>
      </c>
      <c r="AM330">
        <v>43465</v>
      </c>
      <c r="AN330">
        <v>43469</v>
      </c>
      <c r="AO330" s="2">
        <f t="shared" si="43"/>
        <v>61</v>
      </c>
      <c r="AP330" s="2">
        <f t="shared" si="44"/>
        <v>67</v>
      </c>
      <c r="AQ330" s="3">
        <f t="shared" si="45"/>
        <v>0</v>
      </c>
      <c r="AR330" s="1" t="str">
        <f>INDEX(IOS!$B:$B,MATCH(D330,IOS!A:A,0))&amp;B330</f>
        <v>O.D.3</v>
      </c>
      <c r="AS330" s="1">
        <f t="shared" si="46"/>
        <v>0</v>
      </c>
      <c r="AT330" s="1" t="str">
        <f>IF(ISBLANK(W330),"",IF(ISERROR(MATCH(W330,HQLATABLE!$A:$A,0)),0,1))</f>
        <v/>
      </c>
      <c r="AU330" s="1" t="str">
        <f t="shared" si="47"/>
        <v>Blank</v>
      </c>
      <c r="AV330" s="1" t="str">
        <f t="shared" si="48"/>
        <v>Blank</v>
      </c>
      <c r="AW330" s="1">
        <f t="shared" si="49"/>
        <v>0</v>
      </c>
      <c r="AX330" s="1">
        <f t="shared" si="50"/>
        <v>0</v>
      </c>
      <c r="AY330" s="1"/>
      <c r="AZ330" s="1">
        <f>IF(COUNTIFS('PID CHECK'!$B:$B,AR330)=1,0,IF(COUNTIFS(AR$1:AR329,AR330)=1,0,1))</f>
        <v>0</v>
      </c>
      <c r="BA330" s="1"/>
      <c r="BB330" s="1"/>
    </row>
    <row r="331" spans="1:54">
      <c r="A331">
        <v>330</v>
      </c>
      <c r="B331" t="s">
        <v>56</v>
      </c>
      <c r="C331" t="s">
        <v>160</v>
      </c>
      <c r="D331" t="s">
        <v>153</v>
      </c>
      <c r="E331" t="s">
        <v>47</v>
      </c>
      <c r="F331" t="s">
        <v>50</v>
      </c>
      <c r="H331" t="s">
        <v>94</v>
      </c>
      <c r="J331" t="s">
        <v>49</v>
      </c>
      <c r="K331" t="s">
        <v>50</v>
      </c>
      <c r="L331" t="s">
        <v>762</v>
      </c>
      <c r="M331" t="s">
        <v>762</v>
      </c>
      <c r="N331">
        <v>0.96</v>
      </c>
      <c r="R331" t="s">
        <v>95</v>
      </c>
      <c r="S331" t="s">
        <v>96</v>
      </c>
      <c r="Z331" t="s">
        <v>122</v>
      </c>
      <c r="AA331" t="s">
        <v>156</v>
      </c>
      <c r="AC331" t="s">
        <v>883</v>
      </c>
      <c r="AD331" t="s">
        <v>50</v>
      </c>
      <c r="AH331">
        <v>1</v>
      </c>
      <c r="AM331">
        <v>43465</v>
      </c>
      <c r="AN331">
        <v>43469</v>
      </c>
      <c r="AO331" s="2">
        <f t="shared" si="43"/>
        <v>61</v>
      </c>
      <c r="AP331" s="2">
        <f t="shared" si="44"/>
        <v>67</v>
      </c>
      <c r="AQ331" s="3">
        <f t="shared" si="45"/>
        <v>0</v>
      </c>
      <c r="AR331" s="1" t="str">
        <f>INDEX(IOS!$B:$B,MATCH(D331,IOS!A:A,0))&amp;B331</f>
        <v>O.D.3</v>
      </c>
      <c r="AS331" s="1">
        <f t="shared" si="46"/>
        <v>0</v>
      </c>
      <c r="AT331" s="1" t="str">
        <f>IF(ISBLANK(W331),"",IF(ISERROR(MATCH(W331,HQLATABLE!$A:$A,0)),0,1))</f>
        <v/>
      </c>
      <c r="AU331" s="1" t="str">
        <f t="shared" si="47"/>
        <v>Blank</v>
      </c>
      <c r="AV331" s="1" t="str">
        <f t="shared" si="48"/>
        <v>Blank</v>
      </c>
      <c r="AW331" s="1">
        <f t="shared" si="49"/>
        <v>0</v>
      </c>
      <c r="AX331" s="1">
        <f t="shared" si="50"/>
        <v>0</v>
      </c>
      <c r="AY331" s="1"/>
      <c r="AZ331" s="1">
        <f>IF(COUNTIFS('PID CHECK'!$B:$B,AR331)=1,0,IF(COUNTIFS(AR$1:AR330,AR331)=1,0,1))</f>
        <v>0</v>
      </c>
      <c r="BA331" s="1"/>
      <c r="BB331" s="1"/>
    </row>
    <row r="332" spans="1:54">
      <c r="A332">
        <v>331</v>
      </c>
      <c r="B332" t="s">
        <v>56</v>
      </c>
      <c r="C332" t="s">
        <v>160</v>
      </c>
      <c r="D332" t="s">
        <v>153</v>
      </c>
      <c r="E332" t="s">
        <v>47</v>
      </c>
      <c r="F332" t="s">
        <v>50</v>
      </c>
      <c r="H332" t="s">
        <v>97</v>
      </c>
      <c r="J332" t="s">
        <v>49</v>
      </c>
      <c r="K332" t="s">
        <v>50</v>
      </c>
      <c r="L332" t="s">
        <v>762</v>
      </c>
      <c r="M332" t="s">
        <v>762</v>
      </c>
      <c r="N332">
        <v>0.1</v>
      </c>
      <c r="R332" t="s">
        <v>98</v>
      </c>
      <c r="S332" t="s">
        <v>99</v>
      </c>
      <c r="Z332" t="s">
        <v>122</v>
      </c>
      <c r="AA332" t="s">
        <v>154</v>
      </c>
      <c r="AC332" t="s">
        <v>883</v>
      </c>
      <c r="AD332" t="s">
        <v>50</v>
      </c>
      <c r="AH332">
        <v>1</v>
      </c>
      <c r="AM332">
        <v>43465</v>
      </c>
      <c r="AN332">
        <v>43469</v>
      </c>
      <c r="AO332" s="2">
        <f t="shared" si="43"/>
        <v>68</v>
      </c>
      <c r="AP332" s="2">
        <f t="shared" si="44"/>
        <v>74</v>
      </c>
      <c r="AQ332" s="3">
        <f t="shared" si="45"/>
        <v>0</v>
      </c>
      <c r="AR332" s="1" t="str">
        <f>INDEX(IOS!$B:$B,MATCH(D332,IOS!A:A,0))&amp;B332</f>
        <v>O.D.3</v>
      </c>
      <c r="AS332" s="1">
        <f t="shared" si="46"/>
        <v>0</v>
      </c>
      <c r="AT332" s="1" t="str">
        <f>IF(ISBLANK(W332),"",IF(ISERROR(MATCH(W332,HQLATABLE!$A:$A,0)),0,1))</f>
        <v/>
      </c>
      <c r="AU332" s="1" t="str">
        <f t="shared" si="47"/>
        <v>Blank</v>
      </c>
      <c r="AV332" s="1" t="str">
        <f t="shared" si="48"/>
        <v>Blank</v>
      </c>
      <c r="AW332" s="1">
        <f t="shared" si="49"/>
        <v>0</v>
      </c>
      <c r="AX332" s="1">
        <f t="shared" si="50"/>
        <v>0</v>
      </c>
      <c r="AY332" s="1"/>
      <c r="AZ332" s="1">
        <f>IF(COUNTIFS('PID CHECK'!$B:$B,AR332)=1,0,IF(COUNTIFS(AR$1:AR331,AR332)=1,0,1))</f>
        <v>0</v>
      </c>
      <c r="BA332" s="1"/>
      <c r="BB332" s="1"/>
    </row>
    <row r="333" spans="1:54">
      <c r="A333">
        <v>332</v>
      </c>
      <c r="B333" t="s">
        <v>56</v>
      </c>
      <c r="C333" t="s">
        <v>160</v>
      </c>
      <c r="D333" t="s">
        <v>153</v>
      </c>
      <c r="E333" t="s">
        <v>47</v>
      </c>
      <c r="F333" t="s">
        <v>50</v>
      </c>
      <c r="H333" t="s">
        <v>97</v>
      </c>
      <c r="J333" t="s">
        <v>49</v>
      </c>
      <c r="K333" t="s">
        <v>50</v>
      </c>
      <c r="L333" t="s">
        <v>762</v>
      </c>
      <c r="M333" t="s">
        <v>762</v>
      </c>
      <c r="N333">
        <v>0.3</v>
      </c>
      <c r="R333" t="s">
        <v>98</v>
      </c>
      <c r="S333" t="s">
        <v>99</v>
      </c>
      <c r="Z333" t="s">
        <v>122</v>
      </c>
      <c r="AA333" t="s">
        <v>156</v>
      </c>
      <c r="AC333" t="s">
        <v>883</v>
      </c>
      <c r="AD333" t="s">
        <v>50</v>
      </c>
      <c r="AH333">
        <v>1</v>
      </c>
      <c r="AM333">
        <v>43465</v>
      </c>
      <c r="AN333">
        <v>43469</v>
      </c>
      <c r="AO333" s="2">
        <f t="shared" si="43"/>
        <v>68</v>
      </c>
      <c r="AP333" s="2">
        <f t="shared" si="44"/>
        <v>74</v>
      </c>
      <c r="AQ333" s="3">
        <f t="shared" si="45"/>
        <v>0</v>
      </c>
      <c r="AR333" s="1" t="str">
        <f>INDEX(IOS!$B:$B,MATCH(D333,IOS!A:A,0))&amp;B333</f>
        <v>O.D.3</v>
      </c>
      <c r="AS333" s="1">
        <f t="shared" si="46"/>
        <v>0</v>
      </c>
      <c r="AT333" s="1" t="str">
        <f>IF(ISBLANK(W333),"",IF(ISERROR(MATCH(W333,HQLATABLE!$A:$A,0)),0,1))</f>
        <v/>
      </c>
      <c r="AU333" s="1" t="str">
        <f t="shared" si="47"/>
        <v>Blank</v>
      </c>
      <c r="AV333" s="1" t="str">
        <f t="shared" si="48"/>
        <v>Blank</v>
      </c>
      <c r="AW333" s="1">
        <f t="shared" si="49"/>
        <v>0</v>
      </c>
      <c r="AX333" s="1">
        <f t="shared" si="50"/>
        <v>0</v>
      </c>
      <c r="AY333" s="1"/>
      <c r="AZ333" s="1">
        <f>IF(COUNTIFS('PID CHECK'!$B:$B,AR333)=1,0,IF(COUNTIFS(AR$1:AR332,AR333)=1,0,1))</f>
        <v>0</v>
      </c>
      <c r="BA333" s="1"/>
      <c r="BB333" s="1"/>
    </row>
    <row r="334" spans="1:54">
      <c r="A334">
        <v>333</v>
      </c>
      <c r="B334" t="s">
        <v>56</v>
      </c>
      <c r="C334" t="s">
        <v>160</v>
      </c>
      <c r="D334" t="s">
        <v>153</v>
      </c>
      <c r="E334" t="s">
        <v>47</v>
      </c>
      <c r="F334" t="s">
        <v>50</v>
      </c>
      <c r="H334" t="s">
        <v>100</v>
      </c>
      <c r="J334" t="s">
        <v>49</v>
      </c>
      <c r="K334" t="s">
        <v>50</v>
      </c>
      <c r="L334" t="s">
        <v>762</v>
      </c>
      <c r="M334" t="s">
        <v>762</v>
      </c>
      <c r="N334">
        <v>0.4</v>
      </c>
      <c r="R334" t="s">
        <v>101</v>
      </c>
      <c r="S334" t="s">
        <v>102</v>
      </c>
      <c r="Z334" t="s">
        <v>122</v>
      </c>
      <c r="AA334" t="s">
        <v>154</v>
      </c>
      <c r="AC334" t="s">
        <v>883</v>
      </c>
      <c r="AD334" t="s">
        <v>50</v>
      </c>
      <c r="AH334">
        <v>1</v>
      </c>
      <c r="AM334">
        <v>43465</v>
      </c>
      <c r="AN334">
        <v>43469</v>
      </c>
      <c r="AO334" s="2">
        <f t="shared" si="43"/>
        <v>75</v>
      </c>
      <c r="AP334" s="2">
        <f t="shared" si="44"/>
        <v>82</v>
      </c>
      <c r="AQ334" s="3">
        <f t="shared" si="45"/>
        <v>0</v>
      </c>
      <c r="AR334" s="1" t="str">
        <f>INDEX(IOS!$B:$B,MATCH(D334,IOS!A:A,0))&amp;B334</f>
        <v>O.D.3</v>
      </c>
      <c r="AS334" s="1">
        <f t="shared" si="46"/>
        <v>0</v>
      </c>
      <c r="AT334" s="1" t="str">
        <f>IF(ISBLANK(W334),"",IF(ISERROR(MATCH(W334,HQLATABLE!$A:$A,0)),0,1))</f>
        <v/>
      </c>
      <c r="AU334" s="1" t="str">
        <f t="shared" si="47"/>
        <v>Blank</v>
      </c>
      <c r="AV334" s="1" t="str">
        <f t="shared" si="48"/>
        <v>Blank</v>
      </c>
      <c r="AW334" s="1">
        <f t="shared" si="49"/>
        <v>0</v>
      </c>
      <c r="AX334" s="1">
        <f t="shared" si="50"/>
        <v>0</v>
      </c>
      <c r="AY334" s="1"/>
      <c r="AZ334" s="1">
        <f>IF(COUNTIFS('PID CHECK'!$B:$B,AR334)=1,0,IF(COUNTIFS(AR$1:AR333,AR334)=1,0,1))</f>
        <v>0</v>
      </c>
      <c r="BA334" s="1"/>
      <c r="BB334" s="1"/>
    </row>
    <row r="335" spans="1:54">
      <c r="A335">
        <v>334</v>
      </c>
      <c r="B335" t="s">
        <v>56</v>
      </c>
      <c r="C335" t="s">
        <v>160</v>
      </c>
      <c r="D335" t="s">
        <v>153</v>
      </c>
      <c r="E335" t="s">
        <v>47</v>
      </c>
      <c r="F335" t="s">
        <v>50</v>
      </c>
      <c r="H335" t="s">
        <v>105</v>
      </c>
      <c r="J335" t="s">
        <v>49</v>
      </c>
      <c r="K335" t="s">
        <v>50</v>
      </c>
      <c r="L335" t="s">
        <v>762</v>
      </c>
      <c r="M335" t="s">
        <v>762</v>
      </c>
      <c r="N335">
        <v>0.55000000000000004</v>
      </c>
      <c r="R335" t="s">
        <v>106</v>
      </c>
      <c r="S335" t="s">
        <v>107</v>
      </c>
      <c r="Z335" t="s">
        <v>122</v>
      </c>
      <c r="AA335" t="s">
        <v>154</v>
      </c>
      <c r="AC335" t="s">
        <v>883</v>
      </c>
      <c r="AD335" t="s">
        <v>50</v>
      </c>
      <c r="AH335">
        <v>1</v>
      </c>
      <c r="AM335">
        <v>43465</v>
      </c>
      <c r="AN335">
        <v>43469</v>
      </c>
      <c r="AO335" s="2">
        <f t="shared" si="43"/>
        <v>83</v>
      </c>
      <c r="AP335" s="2">
        <f t="shared" si="44"/>
        <v>90</v>
      </c>
      <c r="AQ335" s="3">
        <f t="shared" si="45"/>
        <v>0</v>
      </c>
      <c r="AR335" s="1" t="str">
        <f>INDEX(IOS!$B:$B,MATCH(D335,IOS!A:A,0))&amp;B335</f>
        <v>O.D.3</v>
      </c>
      <c r="AS335" s="1">
        <f t="shared" si="46"/>
        <v>0</v>
      </c>
      <c r="AT335" s="1" t="str">
        <f>IF(ISBLANK(W335),"",IF(ISERROR(MATCH(W335,HQLATABLE!$A:$A,0)),0,1))</f>
        <v/>
      </c>
      <c r="AU335" s="1" t="str">
        <f t="shared" si="47"/>
        <v>Blank</v>
      </c>
      <c r="AV335" s="1" t="str">
        <f t="shared" si="48"/>
        <v>Blank</v>
      </c>
      <c r="AW335" s="1">
        <f t="shared" si="49"/>
        <v>0</v>
      </c>
      <c r="AX335" s="1">
        <f t="shared" si="50"/>
        <v>0</v>
      </c>
      <c r="AY335" s="1"/>
      <c r="AZ335" s="1">
        <f>IF(COUNTIFS('PID CHECK'!$B:$B,AR335)=1,0,IF(COUNTIFS(AR$1:AR334,AR335)=1,0,1))</f>
        <v>0</v>
      </c>
      <c r="BA335" s="1"/>
      <c r="BB335" s="1"/>
    </row>
    <row r="336" spans="1:54">
      <c r="A336">
        <v>335</v>
      </c>
      <c r="B336" t="s">
        <v>56</v>
      </c>
      <c r="C336" t="s">
        <v>160</v>
      </c>
      <c r="D336" t="s">
        <v>153</v>
      </c>
      <c r="E336" t="s">
        <v>47</v>
      </c>
      <c r="F336" t="s">
        <v>50</v>
      </c>
      <c r="H336" t="s">
        <v>105</v>
      </c>
      <c r="J336" t="s">
        <v>49</v>
      </c>
      <c r="K336" t="s">
        <v>50</v>
      </c>
      <c r="L336" t="s">
        <v>762</v>
      </c>
      <c r="M336" t="s">
        <v>762</v>
      </c>
      <c r="N336">
        <v>0.51</v>
      </c>
      <c r="R336" t="s">
        <v>106</v>
      </c>
      <c r="S336" t="s">
        <v>107</v>
      </c>
      <c r="Z336" t="s">
        <v>122</v>
      </c>
      <c r="AA336" t="s">
        <v>156</v>
      </c>
      <c r="AC336" t="s">
        <v>883</v>
      </c>
      <c r="AD336" t="s">
        <v>50</v>
      </c>
      <c r="AH336">
        <v>1</v>
      </c>
      <c r="AM336">
        <v>43465</v>
      </c>
      <c r="AN336">
        <v>43469</v>
      </c>
      <c r="AO336" s="2">
        <f t="shared" si="43"/>
        <v>83</v>
      </c>
      <c r="AP336" s="2">
        <f t="shared" si="44"/>
        <v>90</v>
      </c>
      <c r="AQ336" s="3">
        <f t="shared" si="45"/>
        <v>0</v>
      </c>
      <c r="AR336" s="1" t="str">
        <f>INDEX(IOS!$B:$B,MATCH(D336,IOS!A:A,0))&amp;B336</f>
        <v>O.D.3</v>
      </c>
      <c r="AS336" s="1">
        <f t="shared" si="46"/>
        <v>0</v>
      </c>
      <c r="AT336" s="1" t="str">
        <f>IF(ISBLANK(W336),"",IF(ISERROR(MATCH(W336,HQLATABLE!$A:$A,0)),0,1))</f>
        <v/>
      </c>
      <c r="AU336" s="1" t="str">
        <f t="shared" si="47"/>
        <v>Blank</v>
      </c>
      <c r="AV336" s="1" t="str">
        <f t="shared" si="48"/>
        <v>Blank</v>
      </c>
      <c r="AW336" s="1">
        <f t="shared" si="49"/>
        <v>0</v>
      </c>
      <c r="AX336" s="1">
        <f t="shared" si="50"/>
        <v>0</v>
      </c>
      <c r="AY336" s="1"/>
      <c r="AZ336" s="1">
        <f>IF(COUNTIFS('PID CHECK'!$B:$B,AR336)=1,0,IF(COUNTIFS(AR$1:AR335,AR336)=1,0,1))</f>
        <v>0</v>
      </c>
      <c r="BA336" s="1"/>
      <c r="BB336" s="1"/>
    </row>
    <row r="337" spans="1:54">
      <c r="A337">
        <v>336</v>
      </c>
      <c r="B337" t="s">
        <v>56</v>
      </c>
      <c r="C337" t="s">
        <v>160</v>
      </c>
      <c r="D337" t="s">
        <v>153</v>
      </c>
      <c r="E337" t="s">
        <v>47</v>
      </c>
      <c r="F337" t="s">
        <v>50</v>
      </c>
      <c r="H337" t="s">
        <v>108</v>
      </c>
      <c r="J337" t="s">
        <v>49</v>
      </c>
      <c r="K337" t="s">
        <v>50</v>
      </c>
      <c r="L337" t="s">
        <v>762</v>
      </c>
      <c r="M337" t="s">
        <v>762</v>
      </c>
      <c r="N337">
        <v>5.77</v>
      </c>
      <c r="R337" t="s">
        <v>109</v>
      </c>
      <c r="S337" t="s">
        <v>110</v>
      </c>
      <c r="Z337" t="s">
        <v>122</v>
      </c>
      <c r="AA337" t="s">
        <v>154</v>
      </c>
      <c r="AC337" t="s">
        <v>883</v>
      </c>
      <c r="AD337" t="s">
        <v>50</v>
      </c>
      <c r="AH337">
        <v>1</v>
      </c>
      <c r="AM337">
        <v>43465</v>
      </c>
      <c r="AN337">
        <v>43469</v>
      </c>
      <c r="AO337" s="2">
        <f t="shared" si="43"/>
        <v>91</v>
      </c>
      <c r="AP337" s="2">
        <f t="shared" si="44"/>
        <v>120</v>
      </c>
      <c r="AQ337" s="3">
        <f t="shared" si="45"/>
        <v>0</v>
      </c>
      <c r="AR337" s="1" t="str">
        <f>INDEX(IOS!$B:$B,MATCH(D337,IOS!A:A,0))&amp;B337</f>
        <v>O.D.3</v>
      </c>
      <c r="AS337" s="1">
        <f t="shared" si="46"/>
        <v>0</v>
      </c>
      <c r="AT337" s="1" t="str">
        <f>IF(ISBLANK(W337),"",IF(ISERROR(MATCH(W337,HQLATABLE!$A:$A,0)),0,1))</f>
        <v/>
      </c>
      <c r="AU337" s="1" t="str">
        <f t="shared" si="47"/>
        <v>Blank</v>
      </c>
      <c r="AV337" s="1" t="str">
        <f t="shared" si="48"/>
        <v>Blank</v>
      </c>
      <c r="AW337" s="1">
        <f t="shared" si="49"/>
        <v>0</v>
      </c>
      <c r="AX337" s="1">
        <f t="shared" si="50"/>
        <v>0</v>
      </c>
      <c r="AY337" s="1"/>
      <c r="AZ337" s="1">
        <f>IF(COUNTIFS('PID CHECK'!$B:$B,AR337)=1,0,IF(COUNTIFS(AR$1:AR336,AR337)=1,0,1))</f>
        <v>0</v>
      </c>
      <c r="BA337" s="1"/>
      <c r="BB337" s="1"/>
    </row>
    <row r="338" spans="1:54">
      <c r="A338">
        <v>337</v>
      </c>
      <c r="B338" t="s">
        <v>56</v>
      </c>
      <c r="C338" t="s">
        <v>160</v>
      </c>
      <c r="D338" t="s">
        <v>153</v>
      </c>
      <c r="E338" t="s">
        <v>47</v>
      </c>
      <c r="F338" t="s">
        <v>50</v>
      </c>
      <c r="H338" t="s">
        <v>108</v>
      </c>
      <c r="J338" t="s">
        <v>49</v>
      </c>
      <c r="K338" t="s">
        <v>50</v>
      </c>
      <c r="L338" t="s">
        <v>762</v>
      </c>
      <c r="M338" t="s">
        <v>762</v>
      </c>
      <c r="N338">
        <v>3.37</v>
      </c>
      <c r="R338" t="s">
        <v>109</v>
      </c>
      <c r="S338" t="s">
        <v>110</v>
      </c>
      <c r="Z338" t="s">
        <v>122</v>
      </c>
      <c r="AA338" t="s">
        <v>156</v>
      </c>
      <c r="AC338" t="s">
        <v>883</v>
      </c>
      <c r="AD338" t="s">
        <v>50</v>
      </c>
      <c r="AH338">
        <v>1</v>
      </c>
      <c r="AM338">
        <v>43465</v>
      </c>
      <c r="AN338">
        <v>43469</v>
      </c>
      <c r="AO338" s="2">
        <f t="shared" si="43"/>
        <v>91</v>
      </c>
      <c r="AP338" s="2">
        <f t="shared" si="44"/>
        <v>120</v>
      </c>
      <c r="AQ338" s="3">
        <f t="shared" si="45"/>
        <v>0</v>
      </c>
      <c r="AR338" s="1" t="str">
        <f>INDEX(IOS!$B:$B,MATCH(D338,IOS!A:A,0))&amp;B338</f>
        <v>O.D.3</v>
      </c>
      <c r="AS338" s="1">
        <f t="shared" si="46"/>
        <v>0</v>
      </c>
      <c r="AT338" s="1" t="str">
        <f>IF(ISBLANK(W338),"",IF(ISERROR(MATCH(W338,HQLATABLE!$A:$A,0)),0,1))</f>
        <v/>
      </c>
      <c r="AU338" s="1" t="str">
        <f t="shared" si="47"/>
        <v>Blank</v>
      </c>
      <c r="AV338" s="1" t="str">
        <f t="shared" si="48"/>
        <v>Blank</v>
      </c>
      <c r="AW338" s="1">
        <f t="shared" si="49"/>
        <v>0</v>
      </c>
      <c r="AX338" s="1">
        <f t="shared" si="50"/>
        <v>0</v>
      </c>
      <c r="AY338" s="1"/>
      <c r="AZ338" s="1">
        <f>IF(COUNTIFS('PID CHECK'!$B:$B,AR338)=1,0,IF(COUNTIFS(AR$1:AR337,AR338)=1,0,1))</f>
        <v>0</v>
      </c>
      <c r="BA338" s="1"/>
      <c r="BB338" s="1"/>
    </row>
    <row r="339" spans="1:54">
      <c r="A339">
        <v>338</v>
      </c>
      <c r="B339" t="s">
        <v>44</v>
      </c>
      <c r="C339" t="s">
        <v>161</v>
      </c>
      <c r="D339" t="s">
        <v>153</v>
      </c>
      <c r="E339" t="s">
        <v>47</v>
      </c>
      <c r="F339" t="s">
        <v>50</v>
      </c>
      <c r="H339" t="s">
        <v>48</v>
      </c>
      <c r="J339" t="s">
        <v>49</v>
      </c>
      <c r="K339" t="s">
        <v>50</v>
      </c>
      <c r="L339" t="s">
        <v>762</v>
      </c>
      <c r="M339" t="s">
        <v>762</v>
      </c>
      <c r="N339">
        <v>23.53</v>
      </c>
      <c r="R339" t="s">
        <v>51</v>
      </c>
      <c r="S339" t="s">
        <v>52</v>
      </c>
      <c r="Z339" t="s">
        <v>84</v>
      </c>
      <c r="AA339" t="s">
        <v>154</v>
      </c>
      <c r="AC339" t="s">
        <v>883</v>
      </c>
      <c r="AD339" t="s">
        <v>50</v>
      </c>
      <c r="AH339">
        <v>3</v>
      </c>
      <c r="AM339">
        <v>43465</v>
      </c>
      <c r="AN339">
        <v>43469</v>
      </c>
      <c r="AO339" s="2">
        <f t="shared" si="43"/>
        <v>0</v>
      </c>
      <c r="AP339" s="2">
        <f t="shared" si="44"/>
        <v>0</v>
      </c>
      <c r="AQ339" s="3">
        <f t="shared" si="45"/>
        <v>1</v>
      </c>
      <c r="AR339" s="1" t="str">
        <f>INDEX(IOS!$B:$B,MATCH(D339,IOS!A:A,0))&amp;B339</f>
        <v>O.D.4</v>
      </c>
      <c r="AS339" s="1">
        <f t="shared" si="46"/>
        <v>0</v>
      </c>
      <c r="AT339" s="1" t="str">
        <f>IF(ISBLANK(W339),"",IF(ISERROR(MATCH(W339,HQLATABLE!$A:$A,0)),0,1))</f>
        <v/>
      </c>
      <c r="AU339" s="1" t="str">
        <f t="shared" si="47"/>
        <v>Blank</v>
      </c>
      <c r="AV339" s="1" t="str">
        <f t="shared" si="48"/>
        <v>Blank</v>
      </c>
      <c r="AW339" s="1">
        <f t="shared" si="49"/>
        <v>0</v>
      </c>
      <c r="AX339" s="1">
        <f t="shared" si="50"/>
        <v>0</v>
      </c>
      <c r="AY339" s="1"/>
      <c r="AZ339" s="1">
        <f>IF(COUNTIFS('PID CHECK'!$B:$B,AR339)=1,0,IF(COUNTIFS(AR$1:AR338,AR339)=1,0,1))</f>
        <v>0</v>
      </c>
      <c r="BA339" s="1"/>
      <c r="BB339" s="1"/>
    </row>
    <row r="340" spans="1:54">
      <c r="A340">
        <v>339</v>
      </c>
      <c r="B340" t="s">
        <v>44</v>
      </c>
      <c r="C340" t="s">
        <v>161</v>
      </c>
      <c r="D340" t="s">
        <v>153</v>
      </c>
      <c r="E340" t="s">
        <v>47</v>
      </c>
      <c r="F340" t="s">
        <v>50</v>
      </c>
      <c r="H340" t="s">
        <v>48</v>
      </c>
      <c r="J340" t="s">
        <v>49</v>
      </c>
      <c r="K340" t="s">
        <v>50</v>
      </c>
      <c r="L340" t="s">
        <v>762</v>
      </c>
      <c r="M340" t="s">
        <v>762</v>
      </c>
      <c r="N340">
        <v>2.2799999999999998</v>
      </c>
      <c r="R340" t="s">
        <v>51</v>
      </c>
      <c r="S340" t="s">
        <v>52</v>
      </c>
      <c r="Z340" t="s">
        <v>162</v>
      </c>
      <c r="AA340" t="s">
        <v>154</v>
      </c>
      <c r="AC340" t="s">
        <v>883</v>
      </c>
      <c r="AD340" t="s">
        <v>50</v>
      </c>
      <c r="AH340">
        <v>4</v>
      </c>
      <c r="AM340">
        <v>43465</v>
      </c>
      <c r="AN340">
        <v>43469</v>
      </c>
      <c r="AO340" s="2">
        <f t="shared" si="43"/>
        <v>0</v>
      </c>
      <c r="AP340" s="2">
        <f t="shared" si="44"/>
        <v>0</v>
      </c>
      <c r="AQ340" s="3">
        <f t="shared" si="45"/>
        <v>1</v>
      </c>
      <c r="AR340" s="1" t="str">
        <f>INDEX(IOS!$B:$B,MATCH(D340,IOS!A:A,0))&amp;B340</f>
        <v>O.D.4</v>
      </c>
      <c r="AS340" s="1">
        <f t="shared" si="46"/>
        <v>0</v>
      </c>
      <c r="AT340" s="1" t="str">
        <f>IF(ISBLANK(W340),"",IF(ISERROR(MATCH(W340,HQLATABLE!$A:$A,0)),0,1))</f>
        <v/>
      </c>
      <c r="AU340" s="1" t="str">
        <f t="shared" si="47"/>
        <v>Blank</v>
      </c>
      <c r="AV340" s="1" t="str">
        <f t="shared" si="48"/>
        <v>Blank</v>
      </c>
      <c r="AW340" s="1">
        <f t="shared" si="49"/>
        <v>0</v>
      </c>
      <c r="AX340" s="1">
        <f t="shared" si="50"/>
        <v>0</v>
      </c>
      <c r="AY340" s="1"/>
      <c r="AZ340" s="1">
        <f>IF(COUNTIFS('PID CHECK'!$B:$B,AR340)=1,0,IF(COUNTIFS(AR$1:AR339,AR340)=1,0,1))</f>
        <v>0</v>
      </c>
      <c r="BA340" s="1"/>
      <c r="BB340" s="1"/>
    </row>
    <row r="341" spans="1:54">
      <c r="A341">
        <v>340</v>
      </c>
      <c r="B341" t="s">
        <v>44</v>
      </c>
      <c r="C341" t="s">
        <v>161</v>
      </c>
      <c r="D341" t="s">
        <v>153</v>
      </c>
      <c r="E341" t="s">
        <v>47</v>
      </c>
      <c r="F341" t="s">
        <v>50</v>
      </c>
      <c r="H341" t="s">
        <v>48</v>
      </c>
      <c r="J341" t="s">
        <v>49</v>
      </c>
      <c r="K341" t="s">
        <v>50</v>
      </c>
      <c r="L341" t="s">
        <v>762</v>
      </c>
      <c r="M341" t="s">
        <v>762</v>
      </c>
      <c r="N341">
        <v>1.68</v>
      </c>
      <c r="R341" t="s">
        <v>51</v>
      </c>
      <c r="S341" t="s">
        <v>52</v>
      </c>
      <c r="Z341" t="s">
        <v>759</v>
      </c>
      <c r="AA341" t="s">
        <v>154</v>
      </c>
      <c r="AC341" t="s">
        <v>883</v>
      </c>
      <c r="AD341" t="s">
        <v>50</v>
      </c>
      <c r="AH341">
        <v>10</v>
      </c>
      <c r="AM341">
        <v>43465</v>
      </c>
      <c r="AN341">
        <v>43469</v>
      </c>
      <c r="AO341" s="2">
        <f t="shared" si="43"/>
        <v>0</v>
      </c>
      <c r="AP341" s="2">
        <f t="shared" si="44"/>
        <v>0</v>
      </c>
      <c r="AQ341" s="3">
        <f t="shared" si="45"/>
        <v>1</v>
      </c>
      <c r="AR341" s="1" t="str">
        <f>INDEX(IOS!$B:$B,MATCH(D341,IOS!A:A,0))&amp;B341</f>
        <v>O.D.4</v>
      </c>
      <c r="AS341" s="1">
        <f t="shared" si="46"/>
        <v>0</v>
      </c>
      <c r="AT341" s="1" t="str">
        <f>IF(ISBLANK(W341),"",IF(ISERROR(MATCH(W341,HQLATABLE!$A:$A,0)),0,1))</f>
        <v/>
      </c>
      <c r="AU341" s="1" t="str">
        <f t="shared" si="47"/>
        <v>Blank</v>
      </c>
      <c r="AV341" s="1" t="str">
        <f t="shared" si="48"/>
        <v>Blank</v>
      </c>
      <c r="AW341" s="1">
        <f t="shared" si="49"/>
        <v>0</v>
      </c>
      <c r="AX341" s="1">
        <f t="shared" si="50"/>
        <v>0</v>
      </c>
      <c r="AY341" s="1"/>
      <c r="AZ341" s="1">
        <f>IF(COUNTIFS('PID CHECK'!$B:$B,AR341)=1,0,IF(COUNTIFS(AR$1:AR340,AR341)=1,0,1))</f>
        <v>0</v>
      </c>
      <c r="BA341" s="1"/>
      <c r="BB341" s="1"/>
    </row>
    <row r="342" spans="1:54">
      <c r="A342">
        <v>341</v>
      </c>
      <c r="B342" t="s">
        <v>44</v>
      </c>
      <c r="C342" t="s">
        <v>161</v>
      </c>
      <c r="D342" t="s">
        <v>153</v>
      </c>
      <c r="E342" t="s">
        <v>47</v>
      </c>
      <c r="F342" t="s">
        <v>50</v>
      </c>
      <c r="H342" t="s">
        <v>48</v>
      </c>
      <c r="J342" t="s">
        <v>49</v>
      </c>
      <c r="K342" t="s">
        <v>50</v>
      </c>
      <c r="L342" t="s">
        <v>762</v>
      </c>
      <c r="M342" t="s">
        <v>762</v>
      </c>
      <c r="N342">
        <v>2.2400000000000002</v>
      </c>
      <c r="R342" t="s">
        <v>51</v>
      </c>
      <c r="S342" t="s">
        <v>52</v>
      </c>
      <c r="Z342" t="s">
        <v>116</v>
      </c>
      <c r="AA342" t="s">
        <v>154</v>
      </c>
      <c r="AC342" t="s">
        <v>883</v>
      </c>
      <c r="AD342" t="s">
        <v>50</v>
      </c>
      <c r="AH342">
        <v>11</v>
      </c>
      <c r="AM342">
        <v>43465</v>
      </c>
      <c r="AN342">
        <v>43469</v>
      </c>
      <c r="AO342" s="2">
        <f t="shared" si="43"/>
        <v>0</v>
      </c>
      <c r="AP342" s="2">
        <f t="shared" si="44"/>
        <v>0</v>
      </c>
      <c r="AQ342" s="3">
        <f t="shared" si="45"/>
        <v>1</v>
      </c>
      <c r="AR342" s="1" t="str">
        <f>INDEX(IOS!$B:$B,MATCH(D342,IOS!A:A,0))&amp;B342</f>
        <v>O.D.4</v>
      </c>
      <c r="AS342" s="1">
        <f t="shared" si="46"/>
        <v>0</v>
      </c>
      <c r="AT342" s="1" t="str">
        <f>IF(ISBLANK(W342),"",IF(ISERROR(MATCH(W342,HQLATABLE!$A:$A,0)),0,1))</f>
        <v/>
      </c>
      <c r="AU342" s="1" t="str">
        <f t="shared" si="47"/>
        <v>Blank</v>
      </c>
      <c r="AV342" s="1" t="str">
        <f t="shared" si="48"/>
        <v>Blank</v>
      </c>
      <c r="AW342" s="1">
        <f t="shared" si="49"/>
        <v>0</v>
      </c>
      <c r="AX342" s="1">
        <f t="shared" si="50"/>
        <v>0</v>
      </c>
      <c r="AY342" s="1"/>
      <c r="AZ342" s="1">
        <f>IF(COUNTIFS('PID CHECK'!$B:$B,AR342)=1,0,IF(COUNTIFS(AR$1:AR341,AR342)=1,0,1))</f>
        <v>0</v>
      </c>
      <c r="BA342" s="1"/>
      <c r="BB342" s="1"/>
    </row>
    <row r="343" spans="1:54">
      <c r="A343">
        <v>342</v>
      </c>
      <c r="B343" t="s">
        <v>44</v>
      </c>
      <c r="C343" t="s">
        <v>161</v>
      </c>
      <c r="D343" t="s">
        <v>153</v>
      </c>
      <c r="E343" t="s">
        <v>47</v>
      </c>
      <c r="F343" t="s">
        <v>53</v>
      </c>
      <c r="H343" t="s">
        <v>48</v>
      </c>
      <c r="J343" t="s">
        <v>49</v>
      </c>
      <c r="K343" t="s">
        <v>50</v>
      </c>
      <c r="L343" t="s">
        <v>762</v>
      </c>
      <c r="M343" t="s">
        <v>762</v>
      </c>
      <c r="N343">
        <v>0.06</v>
      </c>
      <c r="R343" t="s">
        <v>51</v>
      </c>
      <c r="S343" t="s">
        <v>52</v>
      </c>
      <c r="Z343" t="s">
        <v>84</v>
      </c>
      <c r="AA343" t="s">
        <v>154</v>
      </c>
      <c r="AB343" t="s">
        <v>163</v>
      </c>
      <c r="AC343" t="s">
        <v>883</v>
      </c>
      <c r="AD343" t="s">
        <v>50</v>
      </c>
      <c r="AH343">
        <v>3</v>
      </c>
      <c r="AM343">
        <v>43465</v>
      </c>
      <c r="AN343">
        <v>43469</v>
      </c>
      <c r="AO343" s="2">
        <f t="shared" si="43"/>
        <v>0</v>
      </c>
      <c r="AP343" s="2">
        <f t="shared" si="44"/>
        <v>0</v>
      </c>
      <c r="AQ343" s="3">
        <f t="shared" si="45"/>
        <v>1</v>
      </c>
      <c r="AR343" s="1" t="str">
        <f>INDEX(IOS!$B:$B,MATCH(D343,IOS!A:A,0))&amp;B343</f>
        <v>O.D.4</v>
      </c>
      <c r="AS343" s="1">
        <f t="shared" si="46"/>
        <v>1</v>
      </c>
      <c r="AT343" s="1" t="str">
        <f>IF(ISBLANK(W343),"",IF(ISERROR(MATCH(W343,HQLATABLE!$A:$A,0)),0,1))</f>
        <v/>
      </c>
      <c r="AU343" s="1" t="str">
        <f t="shared" si="47"/>
        <v>Blank</v>
      </c>
      <c r="AV343" s="1" t="str">
        <f t="shared" si="48"/>
        <v>Blank</v>
      </c>
      <c r="AW343" s="1">
        <f t="shared" si="49"/>
        <v>0</v>
      </c>
      <c r="AX343" s="1">
        <f t="shared" si="50"/>
        <v>0</v>
      </c>
      <c r="AY343" s="1"/>
      <c r="AZ343" s="1">
        <f>IF(COUNTIFS('PID CHECK'!$B:$B,AR343)=1,0,IF(COUNTIFS(AR$1:AR342,AR343)=1,0,1))</f>
        <v>0</v>
      </c>
      <c r="BA343" s="1"/>
      <c r="BB343" s="1"/>
    </row>
    <row r="344" spans="1:54">
      <c r="A344">
        <v>343</v>
      </c>
      <c r="B344" t="s">
        <v>44</v>
      </c>
      <c r="C344" t="s">
        <v>161</v>
      </c>
      <c r="D344" t="s">
        <v>153</v>
      </c>
      <c r="E344" t="s">
        <v>47</v>
      </c>
      <c r="F344" t="s">
        <v>53</v>
      </c>
      <c r="H344" t="s">
        <v>48</v>
      </c>
      <c r="J344" t="s">
        <v>49</v>
      </c>
      <c r="K344" t="s">
        <v>50</v>
      </c>
      <c r="L344" t="s">
        <v>762</v>
      </c>
      <c r="M344" t="s">
        <v>762</v>
      </c>
      <c r="N344">
        <v>0</v>
      </c>
      <c r="R344" t="s">
        <v>51</v>
      </c>
      <c r="S344" t="s">
        <v>52</v>
      </c>
      <c r="Z344" t="s">
        <v>759</v>
      </c>
      <c r="AA344" t="s">
        <v>154</v>
      </c>
      <c r="AB344" t="s">
        <v>78</v>
      </c>
      <c r="AC344" t="s">
        <v>883</v>
      </c>
      <c r="AD344" t="s">
        <v>50</v>
      </c>
      <c r="AH344">
        <v>10</v>
      </c>
      <c r="AM344">
        <v>43465</v>
      </c>
      <c r="AN344">
        <v>43469</v>
      </c>
      <c r="AO344" s="2">
        <f t="shared" si="43"/>
        <v>0</v>
      </c>
      <c r="AP344" s="2">
        <f t="shared" si="44"/>
        <v>0</v>
      </c>
      <c r="AQ344" s="3">
        <f t="shared" si="45"/>
        <v>1</v>
      </c>
      <c r="AR344" s="1" t="str">
        <f>INDEX(IOS!$B:$B,MATCH(D344,IOS!A:A,0))&amp;B344</f>
        <v>O.D.4</v>
      </c>
      <c r="AS344" s="1">
        <f t="shared" si="46"/>
        <v>1</v>
      </c>
      <c r="AT344" s="1" t="str">
        <f>IF(ISBLANK(W344),"",IF(ISERROR(MATCH(W344,HQLATABLE!$A:$A,0)),0,1))</f>
        <v/>
      </c>
      <c r="AU344" s="1" t="str">
        <f t="shared" si="47"/>
        <v>Blank</v>
      </c>
      <c r="AV344" s="1" t="str">
        <f t="shared" si="48"/>
        <v>Blank</v>
      </c>
      <c r="AW344" s="1">
        <f t="shared" si="49"/>
        <v>0</v>
      </c>
      <c r="AX344" s="1">
        <f t="shared" si="50"/>
        <v>0</v>
      </c>
      <c r="AY344" s="1"/>
      <c r="AZ344" s="1">
        <f>IF(COUNTIFS('PID CHECK'!$B:$B,AR344)=1,0,IF(COUNTIFS(AR$1:AR343,AR344)=1,0,1))</f>
        <v>0</v>
      </c>
      <c r="BA344" s="1"/>
      <c r="BB344" s="1"/>
    </row>
    <row r="345" spans="1:54">
      <c r="A345">
        <v>344</v>
      </c>
      <c r="B345" t="s">
        <v>44</v>
      </c>
      <c r="C345" t="s">
        <v>161</v>
      </c>
      <c r="D345" t="s">
        <v>153</v>
      </c>
      <c r="E345" t="s">
        <v>47</v>
      </c>
      <c r="F345" t="s">
        <v>50</v>
      </c>
      <c r="H345" t="s">
        <v>48</v>
      </c>
      <c r="J345" t="s">
        <v>49</v>
      </c>
      <c r="K345" t="s">
        <v>50</v>
      </c>
      <c r="L345" t="s">
        <v>762</v>
      </c>
      <c r="M345" t="s">
        <v>762</v>
      </c>
      <c r="N345">
        <v>2144.31</v>
      </c>
      <c r="R345" t="s">
        <v>51</v>
      </c>
      <c r="S345" t="s">
        <v>52</v>
      </c>
      <c r="Z345" t="s">
        <v>84</v>
      </c>
      <c r="AA345" t="s">
        <v>156</v>
      </c>
      <c r="AC345" t="s">
        <v>883</v>
      </c>
      <c r="AD345" t="s">
        <v>50</v>
      </c>
      <c r="AH345">
        <v>3</v>
      </c>
      <c r="AM345">
        <v>43465</v>
      </c>
      <c r="AN345">
        <v>43469</v>
      </c>
      <c r="AO345" s="2">
        <f t="shared" si="43"/>
        <v>0</v>
      </c>
      <c r="AP345" s="2">
        <f t="shared" si="44"/>
        <v>0</v>
      </c>
      <c r="AQ345" s="3">
        <f t="shared" si="45"/>
        <v>1</v>
      </c>
      <c r="AR345" s="1" t="str">
        <f>INDEX(IOS!$B:$B,MATCH(D345,IOS!A:A,0))&amp;B345</f>
        <v>O.D.4</v>
      </c>
      <c r="AS345" s="1">
        <f t="shared" si="46"/>
        <v>0</v>
      </c>
      <c r="AT345" s="1" t="str">
        <f>IF(ISBLANK(W345),"",IF(ISERROR(MATCH(W345,HQLATABLE!$A:$A,0)),0,1))</f>
        <v/>
      </c>
      <c r="AU345" s="1" t="str">
        <f t="shared" si="47"/>
        <v>Blank</v>
      </c>
      <c r="AV345" s="1" t="str">
        <f t="shared" si="48"/>
        <v>Blank</v>
      </c>
      <c r="AW345" s="1">
        <f t="shared" si="49"/>
        <v>0</v>
      </c>
      <c r="AX345" s="1">
        <f t="shared" si="50"/>
        <v>0</v>
      </c>
      <c r="AY345" s="1"/>
      <c r="AZ345" s="1">
        <f>IF(COUNTIFS('PID CHECK'!$B:$B,AR345)=1,0,IF(COUNTIFS(AR$1:AR344,AR345)=1,0,1))</f>
        <v>0</v>
      </c>
      <c r="BA345" s="1"/>
      <c r="BB345" s="1"/>
    </row>
    <row r="346" spans="1:54">
      <c r="A346">
        <v>345</v>
      </c>
      <c r="B346" t="s">
        <v>44</v>
      </c>
      <c r="C346" t="s">
        <v>161</v>
      </c>
      <c r="D346" t="s">
        <v>153</v>
      </c>
      <c r="E346" t="s">
        <v>47</v>
      </c>
      <c r="F346" t="s">
        <v>50</v>
      </c>
      <c r="H346" t="s">
        <v>48</v>
      </c>
      <c r="J346" t="s">
        <v>49</v>
      </c>
      <c r="K346" t="s">
        <v>50</v>
      </c>
      <c r="L346" t="s">
        <v>762</v>
      </c>
      <c r="M346" t="s">
        <v>762</v>
      </c>
      <c r="N346">
        <v>367.56</v>
      </c>
      <c r="R346" t="s">
        <v>51</v>
      </c>
      <c r="S346" t="s">
        <v>52</v>
      </c>
      <c r="Z346" t="s">
        <v>162</v>
      </c>
      <c r="AA346" t="s">
        <v>156</v>
      </c>
      <c r="AC346" t="s">
        <v>883</v>
      </c>
      <c r="AD346" t="s">
        <v>50</v>
      </c>
      <c r="AH346">
        <v>4</v>
      </c>
      <c r="AM346">
        <v>43465</v>
      </c>
      <c r="AN346">
        <v>43469</v>
      </c>
      <c r="AO346" s="2">
        <f t="shared" si="43"/>
        <v>0</v>
      </c>
      <c r="AP346" s="2">
        <f t="shared" si="44"/>
        <v>0</v>
      </c>
      <c r="AQ346" s="3">
        <f t="shared" si="45"/>
        <v>1</v>
      </c>
      <c r="AR346" s="1" t="str">
        <f>INDEX(IOS!$B:$B,MATCH(D346,IOS!A:A,0))&amp;B346</f>
        <v>O.D.4</v>
      </c>
      <c r="AS346" s="1">
        <f t="shared" si="46"/>
        <v>0</v>
      </c>
      <c r="AT346" s="1" t="str">
        <f>IF(ISBLANK(W346),"",IF(ISERROR(MATCH(W346,HQLATABLE!$A:$A,0)),0,1))</f>
        <v/>
      </c>
      <c r="AU346" s="1" t="str">
        <f t="shared" si="47"/>
        <v>Blank</v>
      </c>
      <c r="AV346" s="1" t="str">
        <f t="shared" si="48"/>
        <v>Blank</v>
      </c>
      <c r="AW346" s="1">
        <f t="shared" si="49"/>
        <v>0</v>
      </c>
      <c r="AX346" s="1">
        <f t="shared" si="50"/>
        <v>0</v>
      </c>
      <c r="AY346" s="1"/>
      <c r="AZ346" s="1">
        <f>IF(COUNTIFS('PID CHECK'!$B:$B,AR346)=1,0,IF(COUNTIFS(AR$1:AR345,AR346)=1,0,1))</f>
        <v>0</v>
      </c>
      <c r="BA346" s="1"/>
      <c r="BB346" s="1"/>
    </row>
    <row r="347" spans="1:54">
      <c r="A347">
        <v>346</v>
      </c>
      <c r="B347" t="s">
        <v>44</v>
      </c>
      <c r="C347" t="s">
        <v>161</v>
      </c>
      <c r="D347" t="s">
        <v>153</v>
      </c>
      <c r="E347" t="s">
        <v>47</v>
      </c>
      <c r="F347" t="s">
        <v>50</v>
      </c>
      <c r="H347" t="s">
        <v>48</v>
      </c>
      <c r="J347" t="s">
        <v>49</v>
      </c>
      <c r="K347" t="s">
        <v>50</v>
      </c>
      <c r="L347" t="s">
        <v>762</v>
      </c>
      <c r="M347" t="s">
        <v>762</v>
      </c>
      <c r="N347">
        <v>5145.4799999999996</v>
      </c>
      <c r="R347" t="s">
        <v>51</v>
      </c>
      <c r="S347" t="s">
        <v>52</v>
      </c>
      <c r="Z347" t="s">
        <v>158</v>
      </c>
      <c r="AA347" t="s">
        <v>156</v>
      </c>
      <c r="AC347" t="s">
        <v>883</v>
      </c>
      <c r="AD347" t="s">
        <v>50</v>
      </c>
      <c r="AH347">
        <v>5</v>
      </c>
      <c r="AM347">
        <v>43465</v>
      </c>
      <c r="AN347">
        <v>43469</v>
      </c>
      <c r="AO347" s="2">
        <f t="shared" si="43"/>
        <v>0</v>
      </c>
      <c r="AP347" s="2">
        <f t="shared" si="44"/>
        <v>0</v>
      </c>
      <c r="AQ347" s="3">
        <f t="shared" si="45"/>
        <v>1</v>
      </c>
      <c r="AR347" s="1" t="str">
        <f>INDEX(IOS!$B:$B,MATCH(D347,IOS!A:A,0))&amp;B347</f>
        <v>O.D.4</v>
      </c>
      <c r="AS347" s="1">
        <f t="shared" si="46"/>
        <v>0</v>
      </c>
      <c r="AT347" s="1" t="str">
        <f>IF(ISBLANK(W347),"",IF(ISERROR(MATCH(W347,HQLATABLE!$A:$A,0)),0,1))</f>
        <v/>
      </c>
      <c r="AU347" s="1" t="str">
        <f t="shared" si="47"/>
        <v>Blank</v>
      </c>
      <c r="AV347" s="1" t="str">
        <f t="shared" si="48"/>
        <v>Blank</v>
      </c>
      <c r="AW347" s="1">
        <f t="shared" si="49"/>
        <v>0</v>
      </c>
      <c r="AX347" s="1">
        <f t="shared" si="50"/>
        <v>0</v>
      </c>
      <c r="AY347" s="1"/>
      <c r="AZ347" s="1">
        <f>IF(COUNTIFS('PID CHECK'!$B:$B,AR347)=1,0,IF(COUNTIFS(AR$1:AR346,AR347)=1,0,1))</f>
        <v>0</v>
      </c>
      <c r="BA347" s="1"/>
      <c r="BB347" s="1"/>
    </row>
    <row r="348" spans="1:54">
      <c r="A348">
        <v>347</v>
      </c>
      <c r="B348" t="s">
        <v>44</v>
      </c>
      <c r="C348" t="s">
        <v>161</v>
      </c>
      <c r="D348" t="s">
        <v>153</v>
      </c>
      <c r="E348" t="s">
        <v>47</v>
      </c>
      <c r="F348" t="s">
        <v>50</v>
      </c>
      <c r="H348" t="s">
        <v>48</v>
      </c>
      <c r="J348" t="s">
        <v>49</v>
      </c>
      <c r="K348" t="s">
        <v>50</v>
      </c>
      <c r="L348" t="s">
        <v>762</v>
      </c>
      <c r="M348" t="s">
        <v>762</v>
      </c>
      <c r="N348">
        <v>6700.75</v>
      </c>
      <c r="R348" t="s">
        <v>51</v>
      </c>
      <c r="S348" t="s">
        <v>52</v>
      </c>
      <c r="Z348" t="s">
        <v>759</v>
      </c>
      <c r="AA348" t="s">
        <v>156</v>
      </c>
      <c r="AC348" t="s">
        <v>883</v>
      </c>
      <c r="AD348" t="s">
        <v>50</v>
      </c>
      <c r="AH348">
        <v>10</v>
      </c>
      <c r="AM348">
        <v>43465</v>
      </c>
      <c r="AN348">
        <v>43469</v>
      </c>
      <c r="AO348" s="2">
        <f t="shared" si="43"/>
        <v>0</v>
      </c>
      <c r="AP348" s="2">
        <f t="shared" si="44"/>
        <v>0</v>
      </c>
      <c r="AQ348" s="3">
        <f t="shared" si="45"/>
        <v>1</v>
      </c>
      <c r="AR348" s="1" t="str">
        <f>INDEX(IOS!$B:$B,MATCH(D348,IOS!A:A,0))&amp;B348</f>
        <v>O.D.4</v>
      </c>
      <c r="AS348" s="1">
        <f t="shared" si="46"/>
        <v>0</v>
      </c>
      <c r="AT348" s="1" t="str">
        <f>IF(ISBLANK(W348),"",IF(ISERROR(MATCH(W348,HQLATABLE!$A:$A,0)),0,1))</f>
        <v/>
      </c>
      <c r="AU348" s="1" t="str">
        <f t="shared" si="47"/>
        <v>Blank</v>
      </c>
      <c r="AV348" s="1" t="str">
        <f t="shared" si="48"/>
        <v>Blank</v>
      </c>
      <c r="AW348" s="1">
        <f t="shared" si="49"/>
        <v>0</v>
      </c>
      <c r="AX348" s="1">
        <f t="shared" si="50"/>
        <v>0</v>
      </c>
      <c r="AY348" s="1"/>
      <c r="AZ348" s="1">
        <f>IF(COUNTIFS('PID CHECK'!$B:$B,AR348)=1,0,IF(COUNTIFS(AR$1:AR347,AR348)=1,0,1))</f>
        <v>0</v>
      </c>
      <c r="BA348" s="1"/>
      <c r="BB348" s="1"/>
    </row>
    <row r="349" spans="1:54">
      <c r="A349">
        <v>348</v>
      </c>
      <c r="B349" t="s">
        <v>44</v>
      </c>
      <c r="C349" t="s">
        <v>161</v>
      </c>
      <c r="D349" t="s">
        <v>153</v>
      </c>
      <c r="E349" t="s">
        <v>47</v>
      </c>
      <c r="F349" t="s">
        <v>50</v>
      </c>
      <c r="H349" t="s">
        <v>48</v>
      </c>
      <c r="J349" t="s">
        <v>49</v>
      </c>
      <c r="K349" t="s">
        <v>50</v>
      </c>
      <c r="L349" t="s">
        <v>762</v>
      </c>
      <c r="M349" t="s">
        <v>762</v>
      </c>
      <c r="N349">
        <v>1324.76</v>
      </c>
      <c r="R349" t="s">
        <v>51</v>
      </c>
      <c r="S349" t="s">
        <v>52</v>
      </c>
      <c r="Z349" t="s">
        <v>116</v>
      </c>
      <c r="AA349" t="s">
        <v>156</v>
      </c>
      <c r="AC349" t="s">
        <v>883</v>
      </c>
      <c r="AD349" t="s">
        <v>50</v>
      </c>
      <c r="AH349">
        <v>11</v>
      </c>
      <c r="AM349">
        <v>43465</v>
      </c>
      <c r="AN349">
        <v>43469</v>
      </c>
      <c r="AO349" s="2">
        <f t="shared" si="43"/>
        <v>0</v>
      </c>
      <c r="AP349" s="2">
        <f t="shared" si="44"/>
        <v>0</v>
      </c>
      <c r="AQ349" s="3">
        <f t="shared" si="45"/>
        <v>1</v>
      </c>
      <c r="AR349" s="1" t="str">
        <f>INDEX(IOS!$B:$B,MATCH(D349,IOS!A:A,0))&amp;B349</f>
        <v>O.D.4</v>
      </c>
      <c r="AS349" s="1">
        <f t="shared" si="46"/>
        <v>0</v>
      </c>
      <c r="AT349" s="1" t="str">
        <f>IF(ISBLANK(W349),"",IF(ISERROR(MATCH(W349,HQLATABLE!$A:$A,0)),0,1))</f>
        <v/>
      </c>
      <c r="AU349" s="1" t="str">
        <f t="shared" si="47"/>
        <v>Blank</v>
      </c>
      <c r="AV349" s="1" t="str">
        <f t="shared" si="48"/>
        <v>Blank</v>
      </c>
      <c r="AW349" s="1">
        <f t="shared" si="49"/>
        <v>0</v>
      </c>
      <c r="AX349" s="1">
        <f t="shared" si="50"/>
        <v>0</v>
      </c>
      <c r="AY349" s="1"/>
      <c r="AZ349" s="1">
        <f>IF(COUNTIFS('PID CHECK'!$B:$B,AR349)=1,0,IF(COUNTIFS(AR$1:AR348,AR349)=1,0,1))</f>
        <v>0</v>
      </c>
      <c r="BA349" s="1"/>
      <c r="BB349" s="1"/>
    </row>
    <row r="350" spans="1:54">
      <c r="A350">
        <v>349</v>
      </c>
      <c r="B350" t="s">
        <v>44</v>
      </c>
      <c r="C350" t="s">
        <v>161</v>
      </c>
      <c r="D350" t="s">
        <v>153</v>
      </c>
      <c r="E350" t="s">
        <v>47</v>
      </c>
      <c r="F350" t="s">
        <v>53</v>
      </c>
      <c r="H350" t="s">
        <v>48</v>
      </c>
      <c r="J350" t="s">
        <v>49</v>
      </c>
      <c r="K350" t="s">
        <v>50</v>
      </c>
      <c r="L350" t="s">
        <v>762</v>
      </c>
      <c r="M350" t="s">
        <v>762</v>
      </c>
      <c r="N350">
        <v>14.98</v>
      </c>
      <c r="R350" t="s">
        <v>51</v>
      </c>
      <c r="S350" t="s">
        <v>52</v>
      </c>
      <c r="Z350" t="s">
        <v>84</v>
      </c>
      <c r="AA350" t="s">
        <v>156</v>
      </c>
      <c r="AB350" t="s">
        <v>163</v>
      </c>
      <c r="AC350" t="s">
        <v>883</v>
      </c>
      <c r="AD350" t="s">
        <v>50</v>
      </c>
      <c r="AH350">
        <v>3</v>
      </c>
      <c r="AM350">
        <v>43465</v>
      </c>
      <c r="AN350">
        <v>43469</v>
      </c>
      <c r="AO350" s="2">
        <f t="shared" si="43"/>
        <v>0</v>
      </c>
      <c r="AP350" s="2">
        <f t="shared" si="44"/>
        <v>0</v>
      </c>
      <c r="AQ350" s="3">
        <f t="shared" si="45"/>
        <v>1</v>
      </c>
      <c r="AR350" s="1" t="str">
        <f>INDEX(IOS!$B:$B,MATCH(D350,IOS!A:A,0))&amp;B350</f>
        <v>O.D.4</v>
      </c>
      <c r="AS350" s="1">
        <f t="shared" si="46"/>
        <v>1</v>
      </c>
      <c r="AT350" s="1" t="str">
        <f>IF(ISBLANK(W350),"",IF(ISERROR(MATCH(W350,HQLATABLE!$A:$A,0)),0,1))</f>
        <v/>
      </c>
      <c r="AU350" s="1" t="str">
        <f t="shared" si="47"/>
        <v>Blank</v>
      </c>
      <c r="AV350" s="1" t="str">
        <f t="shared" si="48"/>
        <v>Blank</v>
      </c>
      <c r="AW350" s="1">
        <f t="shared" si="49"/>
        <v>0</v>
      </c>
      <c r="AX350" s="1">
        <f t="shared" si="50"/>
        <v>0</v>
      </c>
      <c r="AY350" s="1"/>
      <c r="AZ350" s="1">
        <f>IF(COUNTIFS('PID CHECK'!$B:$B,AR350)=1,0,IF(COUNTIFS(AR$1:AR349,AR350)=1,0,1))</f>
        <v>0</v>
      </c>
      <c r="BA350" s="1"/>
      <c r="BB350" s="1"/>
    </row>
    <row r="351" spans="1:54">
      <c r="A351">
        <v>350</v>
      </c>
      <c r="B351" t="s">
        <v>44</v>
      </c>
      <c r="C351" t="s">
        <v>161</v>
      </c>
      <c r="D351" t="s">
        <v>153</v>
      </c>
      <c r="E351" t="s">
        <v>47</v>
      </c>
      <c r="F351" t="s">
        <v>53</v>
      </c>
      <c r="H351" t="s">
        <v>48</v>
      </c>
      <c r="J351" t="s">
        <v>49</v>
      </c>
      <c r="K351" t="s">
        <v>50</v>
      </c>
      <c r="L351" t="s">
        <v>762</v>
      </c>
      <c r="M351" t="s">
        <v>762</v>
      </c>
      <c r="N351">
        <v>1263.49</v>
      </c>
      <c r="R351" t="s">
        <v>51</v>
      </c>
      <c r="S351" t="s">
        <v>52</v>
      </c>
      <c r="Z351" t="s">
        <v>759</v>
      </c>
      <c r="AA351" t="s">
        <v>156</v>
      </c>
      <c r="AB351" t="s">
        <v>114</v>
      </c>
      <c r="AC351" t="s">
        <v>883</v>
      </c>
      <c r="AD351" t="s">
        <v>50</v>
      </c>
      <c r="AH351">
        <v>10</v>
      </c>
      <c r="AM351">
        <v>43465</v>
      </c>
      <c r="AN351">
        <v>43469</v>
      </c>
      <c r="AO351" s="2">
        <f t="shared" si="43"/>
        <v>0</v>
      </c>
      <c r="AP351" s="2">
        <f t="shared" si="44"/>
        <v>0</v>
      </c>
      <c r="AQ351" s="3">
        <f t="shared" si="45"/>
        <v>1</v>
      </c>
      <c r="AR351" s="1" t="str">
        <f>INDEX(IOS!$B:$B,MATCH(D351,IOS!A:A,0))&amp;B351</f>
        <v>O.D.4</v>
      </c>
      <c r="AS351" s="1">
        <f t="shared" si="46"/>
        <v>1</v>
      </c>
      <c r="AT351" s="1" t="str">
        <f>IF(ISBLANK(W351),"",IF(ISERROR(MATCH(W351,HQLATABLE!$A:$A,0)),0,1))</f>
        <v/>
      </c>
      <c r="AU351" s="1" t="str">
        <f t="shared" si="47"/>
        <v>Blank</v>
      </c>
      <c r="AV351" s="1" t="str">
        <f t="shared" si="48"/>
        <v>Blank</v>
      </c>
      <c r="AW351" s="1">
        <f t="shared" si="49"/>
        <v>0</v>
      </c>
      <c r="AX351" s="1">
        <f t="shared" si="50"/>
        <v>0</v>
      </c>
      <c r="AY351" s="1"/>
      <c r="AZ351" s="1">
        <f>IF(COUNTIFS('PID CHECK'!$B:$B,AR351)=1,0,IF(COUNTIFS(AR$1:AR350,AR351)=1,0,1))</f>
        <v>0</v>
      </c>
      <c r="BA351" s="1"/>
      <c r="BB351" s="1"/>
    </row>
    <row r="352" spans="1:54">
      <c r="A352">
        <v>351</v>
      </c>
      <c r="B352" t="s">
        <v>44</v>
      </c>
      <c r="C352" t="s">
        <v>161</v>
      </c>
      <c r="D352" t="s">
        <v>153</v>
      </c>
      <c r="E352" t="s">
        <v>47</v>
      </c>
      <c r="F352" t="s">
        <v>53</v>
      </c>
      <c r="H352" t="s">
        <v>48</v>
      </c>
      <c r="J352" t="s">
        <v>49</v>
      </c>
      <c r="K352" t="s">
        <v>50</v>
      </c>
      <c r="L352" t="s">
        <v>762</v>
      </c>
      <c r="M352" t="s">
        <v>762</v>
      </c>
      <c r="N352">
        <v>2072.66</v>
      </c>
      <c r="R352" t="s">
        <v>51</v>
      </c>
      <c r="S352" t="s">
        <v>52</v>
      </c>
      <c r="Z352" t="s">
        <v>759</v>
      </c>
      <c r="AA352" t="s">
        <v>156</v>
      </c>
      <c r="AB352" t="s">
        <v>78</v>
      </c>
      <c r="AC352" t="s">
        <v>883</v>
      </c>
      <c r="AD352" t="s">
        <v>50</v>
      </c>
      <c r="AH352">
        <v>10</v>
      </c>
      <c r="AM352">
        <v>43465</v>
      </c>
      <c r="AN352">
        <v>43469</v>
      </c>
      <c r="AO352" s="2">
        <f t="shared" si="43"/>
        <v>0</v>
      </c>
      <c r="AP352" s="2">
        <f t="shared" si="44"/>
        <v>0</v>
      </c>
      <c r="AQ352" s="3">
        <f t="shared" si="45"/>
        <v>1</v>
      </c>
      <c r="AR352" s="1" t="str">
        <f>INDEX(IOS!$B:$B,MATCH(D352,IOS!A:A,0))&amp;B352</f>
        <v>O.D.4</v>
      </c>
      <c r="AS352" s="1">
        <f t="shared" si="46"/>
        <v>1</v>
      </c>
      <c r="AT352" s="1" t="str">
        <f>IF(ISBLANK(W352),"",IF(ISERROR(MATCH(W352,HQLATABLE!$A:$A,0)),0,1))</f>
        <v/>
      </c>
      <c r="AU352" s="1" t="str">
        <f t="shared" si="47"/>
        <v>Blank</v>
      </c>
      <c r="AV352" s="1" t="str">
        <f t="shared" si="48"/>
        <v>Blank</v>
      </c>
      <c r="AW352" s="1">
        <f t="shared" si="49"/>
        <v>0</v>
      </c>
      <c r="AX352" s="1">
        <f t="shared" si="50"/>
        <v>0</v>
      </c>
      <c r="AY352" s="1"/>
      <c r="AZ352" s="1">
        <f>IF(COUNTIFS('PID CHECK'!$B:$B,AR352)=1,0,IF(COUNTIFS(AR$1:AR351,AR352)=1,0,1))</f>
        <v>0</v>
      </c>
      <c r="BA352" s="1"/>
      <c r="BB352" s="1"/>
    </row>
    <row r="353" spans="1:54">
      <c r="A353">
        <v>352</v>
      </c>
      <c r="B353" t="s">
        <v>44</v>
      </c>
      <c r="C353" t="s">
        <v>161</v>
      </c>
      <c r="D353" t="s">
        <v>153</v>
      </c>
      <c r="E353" t="s">
        <v>47</v>
      </c>
      <c r="F353" t="s">
        <v>53</v>
      </c>
      <c r="H353" t="s">
        <v>48</v>
      </c>
      <c r="J353" t="s">
        <v>49</v>
      </c>
      <c r="K353" t="s">
        <v>50</v>
      </c>
      <c r="L353" t="s">
        <v>762</v>
      </c>
      <c r="M353" t="s">
        <v>762</v>
      </c>
      <c r="N353">
        <v>1278.71</v>
      </c>
      <c r="R353" t="s">
        <v>51</v>
      </c>
      <c r="S353" t="s">
        <v>52</v>
      </c>
      <c r="Z353" t="s">
        <v>759</v>
      </c>
      <c r="AA353" t="s">
        <v>156</v>
      </c>
      <c r="AB353" t="s">
        <v>115</v>
      </c>
      <c r="AC353" t="s">
        <v>883</v>
      </c>
      <c r="AD353" t="s">
        <v>50</v>
      </c>
      <c r="AH353">
        <v>10</v>
      </c>
      <c r="AM353">
        <v>43465</v>
      </c>
      <c r="AN353">
        <v>43469</v>
      </c>
      <c r="AO353" s="2">
        <f t="shared" si="43"/>
        <v>0</v>
      </c>
      <c r="AP353" s="2">
        <f t="shared" si="44"/>
        <v>0</v>
      </c>
      <c r="AQ353" s="3">
        <f t="shared" si="45"/>
        <v>1</v>
      </c>
      <c r="AR353" s="1" t="str">
        <f>INDEX(IOS!$B:$B,MATCH(D353,IOS!A:A,0))&amp;B353</f>
        <v>O.D.4</v>
      </c>
      <c r="AS353" s="1">
        <f t="shared" si="46"/>
        <v>1</v>
      </c>
      <c r="AT353" s="1" t="str">
        <f>IF(ISBLANK(W353),"",IF(ISERROR(MATCH(W353,HQLATABLE!$A:$A,0)),0,1))</f>
        <v/>
      </c>
      <c r="AU353" s="1" t="str">
        <f t="shared" si="47"/>
        <v>Blank</v>
      </c>
      <c r="AV353" s="1" t="str">
        <f t="shared" si="48"/>
        <v>Blank</v>
      </c>
      <c r="AW353" s="1">
        <f t="shared" si="49"/>
        <v>0</v>
      </c>
      <c r="AX353" s="1">
        <f t="shared" si="50"/>
        <v>0</v>
      </c>
      <c r="AY353" s="1"/>
      <c r="AZ353" s="1">
        <f>IF(COUNTIFS('PID CHECK'!$B:$B,AR353)=1,0,IF(COUNTIFS(AR$1:AR352,AR353)=1,0,1))</f>
        <v>0</v>
      </c>
      <c r="BA353" s="1"/>
      <c r="BB353" s="1"/>
    </row>
    <row r="354" spans="1:54">
      <c r="A354">
        <v>353</v>
      </c>
      <c r="B354" t="s">
        <v>44</v>
      </c>
      <c r="C354" t="s">
        <v>161</v>
      </c>
      <c r="D354" t="s">
        <v>153</v>
      </c>
      <c r="E354" t="s">
        <v>47</v>
      </c>
      <c r="F354" t="s">
        <v>53</v>
      </c>
      <c r="H354" t="s">
        <v>48</v>
      </c>
      <c r="J354" t="s">
        <v>49</v>
      </c>
      <c r="K354" t="s">
        <v>50</v>
      </c>
      <c r="L354" t="s">
        <v>762</v>
      </c>
      <c r="M354" t="s">
        <v>762</v>
      </c>
      <c r="N354">
        <v>530.78</v>
      </c>
      <c r="R354" t="s">
        <v>51</v>
      </c>
      <c r="S354" t="s">
        <v>52</v>
      </c>
      <c r="Z354" t="s">
        <v>759</v>
      </c>
      <c r="AA354" t="s">
        <v>156</v>
      </c>
      <c r="AB354" t="s">
        <v>76</v>
      </c>
      <c r="AC354" t="s">
        <v>883</v>
      </c>
      <c r="AD354" t="s">
        <v>50</v>
      </c>
      <c r="AH354">
        <v>10</v>
      </c>
      <c r="AM354">
        <v>43465</v>
      </c>
      <c r="AN354">
        <v>43469</v>
      </c>
      <c r="AO354" s="2">
        <f t="shared" si="43"/>
        <v>0</v>
      </c>
      <c r="AP354" s="2">
        <f t="shared" si="44"/>
        <v>0</v>
      </c>
      <c r="AQ354" s="3">
        <f t="shared" si="45"/>
        <v>1</v>
      </c>
      <c r="AR354" s="1" t="str">
        <f>INDEX(IOS!$B:$B,MATCH(D354,IOS!A:A,0))&amp;B354</f>
        <v>O.D.4</v>
      </c>
      <c r="AS354" s="1">
        <f t="shared" si="46"/>
        <v>1</v>
      </c>
      <c r="AT354" s="1" t="str">
        <f>IF(ISBLANK(W354),"",IF(ISERROR(MATCH(W354,HQLATABLE!$A:$A,0)),0,1))</f>
        <v/>
      </c>
      <c r="AU354" s="1" t="str">
        <f t="shared" si="47"/>
        <v>Blank</v>
      </c>
      <c r="AV354" s="1" t="str">
        <f t="shared" si="48"/>
        <v>Blank</v>
      </c>
      <c r="AW354" s="1">
        <f t="shared" si="49"/>
        <v>0</v>
      </c>
      <c r="AX354" s="1">
        <f t="shared" si="50"/>
        <v>0</v>
      </c>
      <c r="AY354" s="1"/>
      <c r="AZ354" s="1">
        <f>IF(COUNTIFS('PID CHECK'!$B:$B,AR354)=1,0,IF(COUNTIFS(AR$1:AR353,AR354)=1,0,1))</f>
        <v>0</v>
      </c>
      <c r="BA354" s="1"/>
      <c r="BB354" s="1"/>
    </row>
    <row r="355" spans="1:54">
      <c r="A355">
        <v>354</v>
      </c>
      <c r="B355" t="s">
        <v>44</v>
      </c>
      <c r="C355" t="s">
        <v>161</v>
      </c>
      <c r="D355" t="s">
        <v>153</v>
      </c>
      <c r="E355" t="s">
        <v>47</v>
      </c>
      <c r="F355" t="s">
        <v>53</v>
      </c>
      <c r="H355" t="s">
        <v>48</v>
      </c>
      <c r="J355" t="s">
        <v>49</v>
      </c>
      <c r="K355" t="s">
        <v>50</v>
      </c>
      <c r="L355" t="s">
        <v>762</v>
      </c>
      <c r="M355" t="s">
        <v>762</v>
      </c>
      <c r="N355">
        <v>9.75</v>
      </c>
      <c r="R355" t="s">
        <v>51</v>
      </c>
      <c r="S355" t="s">
        <v>52</v>
      </c>
      <c r="Z355" t="s">
        <v>116</v>
      </c>
      <c r="AA355" t="s">
        <v>156</v>
      </c>
      <c r="AB355" t="s">
        <v>163</v>
      </c>
      <c r="AC355" t="s">
        <v>883</v>
      </c>
      <c r="AD355" t="s">
        <v>50</v>
      </c>
      <c r="AH355">
        <v>11</v>
      </c>
      <c r="AM355">
        <v>43465</v>
      </c>
      <c r="AN355">
        <v>43469</v>
      </c>
      <c r="AO355" s="2">
        <f t="shared" si="43"/>
        <v>0</v>
      </c>
      <c r="AP355" s="2">
        <f t="shared" si="44"/>
        <v>0</v>
      </c>
      <c r="AQ355" s="3">
        <f t="shared" si="45"/>
        <v>1</v>
      </c>
      <c r="AR355" s="1" t="str">
        <f>INDEX(IOS!$B:$B,MATCH(D355,IOS!A:A,0))&amp;B355</f>
        <v>O.D.4</v>
      </c>
      <c r="AS355" s="1">
        <f t="shared" si="46"/>
        <v>1</v>
      </c>
      <c r="AT355" s="1" t="str">
        <f>IF(ISBLANK(W355),"",IF(ISERROR(MATCH(W355,HQLATABLE!$A:$A,0)),0,1))</f>
        <v/>
      </c>
      <c r="AU355" s="1" t="str">
        <f t="shared" si="47"/>
        <v>Blank</v>
      </c>
      <c r="AV355" s="1" t="str">
        <f t="shared" si="48"/>
        <v>Blank</v>
      </c>
      <c r="AW355" s="1">
        <f t="shared" si="49"/>
        <v>0</v>
      </c>
      <c r="AX355" s="1">
        <f t="shared" si="50"/>
        <v>0</v>
      </c>
      <c r="AY355" s="1"/>
      <c r="AZ355" s="1">
        <f>IF(COUNTIFS('PID CHECK'!$B:$B,AR355)=1,0,IF(COUNTIFS(AR$1:AR354,AR355)=1,0,1))</f>
        <v>0</v>
      </c>
      <c r="BA355" s="1"/>
      <c r="BB355" s="1"/>
    </row>
    <row r="356" spans="1:54">
      <c r="A356">
        <v>355</v>
      </c>
      <c r="B356" t="s">
        <v>44</v>
      </c>
      <c r="C356" t="s">
        <v>161</v>
      </c>
      <c r="D356" t="s">
        <v>153</v>
      </c>
      <c r="E356" t="s">
        <v>47</v>
      </c>
      <c r="F356" t="s">
        <v>53</v>
      </c>
      <c r="H356" t="s">
        <v>48</v>
      </c>
      <c r="J356" t="s">
        <v>49</v>
      </c>
      <c r="K356" t="s">
        <v>50</v>
      </c>
      <c r="L356" t="s">
        <v>762</v>
      </c>
      <c r="M356" t="s">
        <v>762</v>
      </c>
      <c r="N356">
        <v>13.48</v>
      </c>
      <c r="R356" t="s">
        <v>51</v>
      </c>
      <c r="S356" t="s">
        <v>52</v>
      </c>
      <c r="Z356" t="s">
        <v>116</v>
      </c>
      <c r="AA356" t="s">
        <v>156</v>
      </c>
      <c r="AB356" t="s">
        <v>78</v>
      </c>
      <c r="AC356" t="s">
        <v>883</v>
      </c>
      <c r="AD356" t="s">
        <v>50</v>
      </c>
      <c r="AH356">
        <v>11</v>
      </c>
      <c r="AM356">
        <v>43465</v>
      </c>
      <c r="AN356">
        <v>43469</v>
      </c>
      <c r="AO356" s="2">
        <f t="shared" si="43"/>
        <v>0</v>
      </c>
      <c r="AP356" s="2">
        <f t="shared" si="44"/>
        <v>0</v>
      </c>
      <c r="AQ356" s="3">
        <f t="shared" si="45"/>
        <v>1</v>
      </c>
      <c r="AR356" s="1" t="str">
        <f>INDEX(IOS!$B:$B,MATCH(D356,IOS!A:A,0))&amp;B356</f>
        <v>O.D.4</v>
      </c>
      <c r="AS356" s="1">
        <f t="shared" si="46"/>
        <v>1</v>
      </c>
      <c r="AT356" s="1" t="str">
        <f>IF(ISBLANK(W356),"",IF(ISERROR(MATCH(W356,HQLATABLE!$A:$A,0)),0,1))</f>
        <v/>
      </c>
      <c r="AU356" s="1" t="str">
        <f t="shared" si="47"/>
        <v>Blank</v>
      </c>
      <c r="AV356" s="1" t="str">
        <f t="shared" si="48"/>
        <v>Blank</v>
      </c>
      <c r="AW356" s="1">
        <f t="shared" si="49"/>
        <v>0</v>
      </c>
      <c r="AX356" s="1">
        <f t="shared" si="50"/>
        <v>0</v>
      </c>
      <c r="AY356" s="1"/>
      <c r="AZ356" s="1">
        <f>IF(COUNTIFS('PID CHECK'!$B:$B,AR356)=1,0,IF(COUNTIFS(AR$1:AR355,AR356)=1,0,1))</f>
        <v>0</v>
      </c>
      <c r="BA356" s="1"/>
      <c r="BB356" s="1"/>
    </row>
    <row r="357" spans="1:54">
      <c r="A357">
        <v>356</v>
      </c>
      <c r="B357" t="s">
        <v>44</v>
      </c>
      <c r="C357" t="s">
        <v>161</v>
      </c>
      <c r="D357" t="s">
        <v>153</v>
      </c>
      <c r="E357" t="s">
        <v>47</v>
      </c>
      <c r="F357" t="s">
        <v>53</v>
      </c>
      <c r="H357" t="s">
        <v>48</v>
      </c>
      <c r="J357" t="s">
        <v>49</v>
      </c>
      <c r="K357" t="s">
        <v>50</v>
      </c>
      <c r="L357" t="s">
        <v>762</v>
      </c>
      <c r="M357" t="s">
        <v>762</v>
      </c>
      <c r="N357">
        <v>0.09</v>
      </c>
      <c r="R357" t="s">
        <v>51</v>
      </c>
      <c r="S357" t="s">
        <v>52</v>
      </c>
      <c r="Z357" t="s">
        <v>116</v>
      </c>
      <c r="AA357" t="s">
        <v>156</v>
      </c>
      <c r="AB357" t="s">
        <v>115</v>
      </c>
      <c r="AC357" t="s">
        <v>883</v>
      </c>
      <c r="AD357" t="s">
        <v>50</v>
      </c>
      <c r="AH357">
        <v>11</v>
      </c>
      <c r="AM357">
        <v>43465</v>
      </c>
      <c r="AN357">
        <v>43469</v>
      </c>
      <c r="AO357" s="2">
        <f t="shared" si="43"/>
        <v>0</v>
      </c>
      <c r="AP357" s="2">
        <f t="shared" si="44"/>
        <v>0</v>
      </c>
      <c r="AQ357" s="3">
        <f t="shared" si="45"/>
        <v>1</v>
      </c>
      <c r="AR357" s="1" t="str">
        <f>INDEX(IOS!$B:$B,MATCH(D357,IOS!A:A,0))&amp;B357</f>
        <v>O.D.4</v>
      </c>
      <c r="AS357" s="1">
        <f t="shared" si="46"/>
        <v>1</v>
      </c>
      <c r="AT357" s="1" t="str">
        <f>IF(ISBLANK(W357),"",IF(ISERROR(MATCH(W357,HQLATABLE!$A:$A,0)),0,1))</f>
        <v/>
      </c>
      <c r="AU357" s="1" t="str">
        <f t="shared" si="47"/>
        <v>Blank</v>
      </c>
      <c r="AV357" s="1" t="str">
        <f t="shared" si="48"/>
        <v>Blank</v>
      </c>
      <c r="AW357" s="1">
        <f t="shared" si="49"/>
        <v>0</v>
      </c>
      <c r="AX357" s="1">
        <f t="shared" si="50"/>
        <v>0</v>
      </c>
      <c r="AY357" s="1"/>
      <c r="AZ357" s="1">
        <f>IF(COUNTIFS('PID CHECK'!$B:$B,AR357)=1,0,IF(COUNTIFS(AR$1:AR356,AR357)=1,0,1))</f>
        <v>0</v>
      </c>
      <c r="BA357" s="1"/>
      <c r="BB357" s="1"/>
    </row>
    <row r="358" spans="1:54">
      <c r="A358">
        <v>357</v>
      </c>
      <c r="B358" t="s">
        <v>44</v>
      </c>
      <c r="C358" t="s">
        <v>161</v>
      </c>
      <c r="D358" t="s">
        <v>153</v>
      </c>
      <c r="E358" t="s">
        <v>47</v>
      </c>
      <c r="F358" t="s">
        <v>50</v>
      </c>
      <c r="H358" t="s">
        <v>995</v>
      </c>
      <c r="J358" t="s">
        <v>49</v>
      </c>
      <c r="K358" t="s">
        <v>50</v>
      </c>
      <c r="L358" t="s">
        <v>762</v>
      </c>
      <c r="M358" t="s">
        <v>762</v>
      </c>
      <c r="N358">
        <v>0</v>
      </c>
      <c r="R358" t="s">
        <v>996</v>
      </c>
      <c r="S358" t="s">
        <v>996</v>
      </c>
      <c r="Z358" t="s">
        <v>84</v>
      </c>
      <c r="AA358" t="s">
        <v>154</v>
      </c>
      <c r="AC358" t="s">
        <v>883</v>
      </c>
      <c r="AD358" t="s">
        <v>50</v>
      </c>
      <c r="AH358">
        <v>3</v>
      </c>
      <c r="AM358">
        <v>43465</v>
      </c>
      <c r="AN358">
        <v>43469</v>
      </c>
      <c r="AO358" s="2">
        <f t="shared" si="43"/>
        <v>10</v>
      </c>
      <c r="AP358" s="2">
        <f t="shared" si="44"/>
        <v>10</v>
      </c>
      <c r="AQ358" s="3">
        <f t="shared" si="45"/>
        <v>1</v>
      </c>
      <c r="AR358" s="1" t="str">
        <f>INDEX(IOS!$B:$B,MATCH(D358,IOS!A:A,0))&amp;B358</f>
        <v>O.D.4</v>
      </c>
      <c r="AS358" s="1">
        <f t="shared" si="46"/>
        <v>0</v>
      </c>
      <c r="AT358" s="1" t="str">
        <f>IF(ISBLANK(W358),"",IF(ISERROR(MATCH(W358,HQLATABLE!$A:$A,0)),0,1))</f>
        <v/>
      </c>
      <c r="AU358" s="1" t="str">
        <f t="shared" si="47"/>
        <v>Blank</v>
      </c>
      <c r="AV358" s="1" t="str">
        <f t="shared" si="48"/>
        <v>Blank</v>
      </c>
      <c r="AW358" s="1">
        <f t="shared" si="49"/>
        <v>0</v>
      </c>
      <c r="AX358" s="1">
        <f t="shared" si="50"/>
        <v>0</v>
      </c>
      <c r="AY358" s="1"/>
      <c r="AZ358" s="1">
        <f>IF(COUNTIFS('PID CHECK'!$B:$B,AR358)=1,0,IF(COUNTIFS(AR$1:AR357,AR358)=1,0,1))</f>
        <v>0</v>
      </c>
      <c r="BA358" s="1"/>
      <c r="BB358" s="1"/>
    </row>
    <row r="359" spans="1:54">
      <c r="A359">
        <v>358</v>
      </c>
      <c r="B359" t="s">
        <v>44</v>
      </c>
      <c r="C359" t="s">
        <v>161</v>
      </c>
      <c r="D359" t="s">
        <v>153</v>
      </c>
      <c r="E359" t="s">
        <v>47</v>
      </c>
      <c r="F359" t="s">
        <v>50</v>
      </c>
      <c r="H359" t="s">
        <v>995</v>
      </c>
      <c r="J359" t="s">
        <v>49</v>
      </c>
      <c r="K359" t="s">
        <v>50</v>
      </c>
      <c r="L359" t="s">
        <v>762</v>
      </c>
      <c r="M359" t="s">
        <v>762</v>
      </c>
      <c r="N359">
        <v>150</v>
      </c>
      <c r="R359" t="s">
        <v>996</v>
      </c>
      <c r="S359" t="s">
        <v>996</v>
      </c>
      <c r="Z359" t="s">
        <v>84</v>
      </c>
      <c r="AA359" t="s">
        <v>156</v>
      </c>
      <c r="AC359" t="s">
        <v>883</v>
      </c>
      <c r="AD359" t="s">
        <v>50</v>
      </c>
      <c r="AH359">
        <v>3</v>
      </c>
      <c r="AM359">
        <v>43465</v>
      </c>
      <c r="AN359">
        <v>43469</v>
      </c>
      <c r="AO359" s="2">
        <f t="shared" si="43"/>
        <v>10</v>
      </c>
      <c r="AP359" s="2">
        <f t="shared" si="44"/>
        <v>10</v>
      </c>
      <c r="AQ359" s="3">
        <f t="shared" si="45"/>
        <v>1</v>
      </c>
      <c r="AR359" s="1" t="str">
        <f>INDEX(IOS!$B:$B,MATCH(D359,IOS!A:A,0))&amp;B359</f>
        <v>O.D.4</v>
      </c>
      <c r="AS359" s="1">
        <f t="shared" si="46"/>
        <v>0</v>
      </c>
      <c r="AT359" s="1" t="str">
        <f>IF(ISBLANK(W359),"",IF(ISERROR(MATCH(W359,HQLATABLE!$A:$A,0)),0,1))</f>
        <v/>
      </c>
      <c r="AU359" s="1" t="str">
        <f t="shared" si="47"/>
        <v>Blank</v>
      </c>
      <c r="AV359" s="1" t="str">
        <f t="shared" si="48"/>
        <v>Blank</v>
      </c>
      <c r="AW359" s="1">
        <f t="shared" si="49"/>
        <v>0</v>
      </c>
      <c r="AX359" s="1">
        <f t="shared" si="50"/>
        <v>0</v>
      </c>
      <c r="AY359" s="1"/>
      <c r="AZ359" s="1">
        <f>IF(COUNTIFS('PID CHECK'!$B:$B,AR359)=1,0,IF(COUNTIFS(AR$1:AR358,AR359)=1,0,1))</f>
        <v>0</v>
      </c>
      <c r="BA359" s="1"/>
      <c r="BB359" s="1"/>
    </row>
    <row r="360" spans="1:54">
      <c r="A360">
        <v>359</v>
      </c>
      <c r="B360" t="s">
        <v>44</v>
      </c>
      <c r="C360" t="s">
        <v>161</v>
      </c>
      <c r="D360" t="s">
        <v>153</v>
      </c>
      <c r="E360" t="s">
        <v>47</v>
      </c>
      <c r="F360" t="s">
        <v>50</v>
      </c>
      <c r="H360" t="s">
        <v>1019</v>
      </c>
      <c r="J360" t="s">
        <v>49</v>
      </c>
      <c r="K360" t="s">
        <v>50</v>
      </c>
      <c r="L360" t="s">
        <v>762</v>
      </c>
      <c r="M360" t="s">
        <v>762</v>
      </c>
      <c r="N360">
        <v>0</v>
      </c>
      <c r="R360" t="s">
        <v>1020</v>
      </c>
      <c r="S360" t="s">
        <v>1020</v>
      </c>
      <c r="Z360" t="s">
        <v>84</v>
      </c>
      <c r="AA360" t="s">
        <v>154</v>
      </c>
      <c r="AC360" t="s">
        <v>883</v>
      </c>
      <c r="AD360" t="s">
        <v>50</v>
      </c>
      <c r="AH360">
        <v>3</v>
      </c>
      <c r="AM360">
        <v>43465</v>
      </c>
      <c r="AN360">
        <v>43469</v>
      </c>
      <c r="AO360" s="2">
        <f t="shared" si="43"/>
        <v>11</v>
      </c>
      <c r="AP360" s="2">
        <f t="shared" si="44"/>
        <v>11</v>
      </c>
      <c r="AQ360" s="3">
        <f t="shared" si="45"/>
        <v>1</v>
      </c>
      <c r="AR360" s="1" t="str">
        <f>INDEX(IOS!$B:$B,MATCH(D360,IOS!A:A,0))&amp;B360</f>
        <v>O.D.4</v>
      </c>
      <c r="AS360" s="1">
        <f t="shared" si="46"/>
        <v>0</v>
      </c>
      <c r="AT360" s="1" t="str">
        <f>IF(ISBLANK(W360),"",IF(ISERROR(MATCH(W360,HQLATABLE!$A:$A,0)),0,1))</f>
        <v/>
      </c>
      <c r="AU360" s="1" t="str">
        <f t="shared" si="47"/>
        <v>Blank</v>
      </c>
      <c r="AV360" s="1" t="str">
        <f t="shared" si="48"/>
        <v>Blank</v>
      </c>
      <c r="AW360" s="1">
        <f t="shared" si="49"/>
        <v>0</v>
      </c>
      <c r="AX360" s="1">
        <f t="shared" si="50"/>
        <v>0</v>
      </c>
      <c r="AY360" s="1"/>
      <c r="AZ360" s="1">
        <f>IF(COUNTIFS('PID CHECK'!$B:$B,AR360)=1,0,IF(COUNTIFS(AR$1:AR359,AR360)=1,0,1))</f>
        <v>0</v>
      </c>
      <c r="BA360" s="1"/>
      <c r="BB360" s="1"/>
    </row>
    <row r="361" spans="1:54">
      <c r="A361">
        <v>360</v>
      </c>
      <c r="B361" t="s">
        <v>44</v>
      </c>
      <c r="C361" t="s">
        <v>161</v>
      </c>
      <c r="D361" t="s">
        <v>153</v>
      </c>
      <c r="E361" t="s">
        <v>47</v>
      </c>
      <c r="F361" t="s">
        <v>50</v>
      </c>
      <c r="H361" t="s">
        <v>67</v>
      </c>
      <c r="J361" t="s">
        <v>49</v>
      </c>
      <c r="K361" t="s">
        <v>50</v>
      </c>
      <c r="L361" t="s">
        <v>762</v>
      </c>
      <c r="M361" t="s">
        <v>762</v>
      </c>
      <c r="N361">
        <v>0</v>
      </c>
      <c r="R361" t="s">
        <v>68</v>
      </c>
      <c r="S361" t="s">
        <v>69</v>
      </c>
      <c r="Z361" t="s">
        <v>84</v>
      </c>
      <c r="AA361" t="s">
        <v>154</v>
      </c>
      <c r="AC361" t="s">
        <v>883</v>
      </c>
      <c r="AD361" t="s">
        <v>50</v>
      </c>
      <c r="AH361">
        <v>3</v>
      </c>
      <c r="AM361">
        <v>43465</v>
      </c>
      <c r="AN361">
        <v>43469</v>
      </c>
      <c r="AO361" s="2">
        <f t="shared" si="43"/>
        <v>121</v>
      </c>
      <c r="AP361" s="2">
        <f t="shared" si="44"/>
        <v>150</v>
      </c>
      <c r="AQ361" s="3">
        <f t="shared" si="45"/>
        <v>0</v>
      </c>
      <c r="AR361" s="1" t="str">
        <f>INDEX(IOS!$B:$B,MATCH(D361,IOS!A:A,0))&amp;B361</f>
        <v>O.D.4</v>
      </c>
      <c r="AS361" s="1">
        <f t="shared" si="46"/>
        <v>0</v>
      </c>
      <c r="AT361" s="1" t="str">
        <f>IF(ISBLANK(W361),"",IF(ISERROR(MATCH(W361,HQLATABLE!$A:$A,0)),0,1))</f>
        <v/>
      </c>
      <c r="AU361" s="1" t="str">
        <f t="shared" si="47"/>
        <v>Blank</v>
      </c>
      <c r="AV361" s="1" t="str">
        <f t="shared" si="48"/>
        <v>Blank</v>
      </c>
      <c r="AW361" s="1">
        <f t="shared" si="49"/>
        <v>0</v>
      </c>
      <c r="AX361" s="1">
        <f t="shared" si="50"/>
        <v>0</v>
      </c>
      <c r="AY361" s="1"/>
      <c r="AZ361" s="1">
        <f>IF(COUNTIFS('PID CHECK'!$B:$B,AR361)=1,0,IF(COUNTIFS(AR$1:AR360,AR361)=1,0,1))</f>
        <v>0</v>
      </c>
      <c r="BA361" s="1"/>
      <c r="BB361" s="1"/>
    </row>
    <row r="362" spans="1:54">
      <c r="A362">
        <v>361</v>
      </c>
      <c r="B362" t="s">
        <v>44</v>
      </c>
      <c r="C362" t="s">
        <v>161</v>
      </c>
      <c r="D362" t="s">
        <v>153</v>
      </c>
      <c r="E362" t="s">
        <v>47</v>
      </c>
      <c r="F362" t="s">
        <v>53</v>
      </c>
      <c r="H362" t="s">
        <v>67</v>
      </c>
      <c r="J362" t="s">
        <v>49</v>
      </c>
      <c r="K362" t="s">
        <v>50</v>
      </c>
      <c r="L362" t="s">
        <v>762</v>
      </c>
      <c r="M362" t="s">
        <v>762</v>
      </c>
      <c r="N362">
        <v>0</v>
      </c>
      <c r="R362" t="s">
        <v>68</v>
      </c>
      <c r="S362" t="s">
        <v>69</v>
      </c>
      <c r="Z362" t="s">
        <v>84</v>
      </c>
      <c r="AA362" t="s">
        <v>154</v>
      </c>
      <c r="AB362" t="s">
        <v>163</v>
      </c>
      <c r="AC362" t="s">
        <v>883</v>
      </c>
      <c r="AD362" t="s">
        <v>50</v>
      </c>
      <c r="AH362">
        <v>3</v>
      </c>
      <c r="AM362">
        <v>43465</v>
      </c>
      <c r="AN362">
        <v>43469</v>
      </c>
      <c r="AO362" s="2">
        <f t="shared" si="43"/>
        <v>121</v>
      </c>
      <c r="AP362" s="2">
        <f t="shared" si="44"/>
        <v>150</v>
      </c>
      <c r="AQ362" s="3">
        <f t="shared" si="45"/>
        <v>0</v>
      </c>
      <c r="AR362" s="1" t="str">
        <f>INDEX(IOS!$B:$B,MATCH(D362,IOS!A:A,0))&amp;B362</f>
        <v>O.D.4</v>
      </c>
      <c r="AS362" s="1">
        <f t="shared" si="46"/>
        <v>1</v>
      </c>
      <c r="AT362" s="1" t="str">
        <f>IF(ISBLANK(W362),"",IF(ISERROR(MATCH(W362,HQLATABLE!$A:$A,0)),0,1))</f>
        <v/>
      </c>
      <c r="AU362" s="1" t="str">
        <f t="shared" si="47"/>
        <v>Blank</v>
      </c>
      <c r="AV362" s="1" t="str">
        <f t="shared" si="48"/>
        <v>Blank</v>
      </c>
      <c r="AW362" s="1">
        <f t="shared" si="49"/>
        <v>0</v>
      </c>
      <c r="AX362" s="1">
        <f t="shared" si="50"/>
        <v>0</v>
      </c>
      <c r="AY362" s="1"/>
      <c r="AZ362" s="1">
        <f>IF(COUNTIFS('PID CHECK'!$B:$B,AR362)=1,0,IF(COUNTIFS(AR$1:AR361,AR362)=1,0,1))</f>
        <v>0</v>
      </c>
      <c r="BA362" s="1"/>
      <c r="BB362" s="1"/>
    </row>
    <row r="363" spans="1:54">
      <c r="A363">
        <v>362</v>
      </c>
      <c r="B363" t="s">
        <v>44</v>
      </c>
      <c r="C363" t="s">
        <v>161</v>
      </c>
      <c r="D363" t="s">
        <v>153</v>
      </c>
      <c r="E363" t="s">
        <v>47</v>
      </c>
      <c r="F363" t="s">
        <v>50</v>
      </c>
      <c r="H363" t="s">
        <v>67</v>
      </c>
      <c r="J363" t="s">
        <v>49</v>
      </c>
      <c r="K363" t="s">
        <v>50</v>
      </c>
      <c r="L363" t="s">
        <v>762</v>
      </c>
      <c r="M363" t="s">
        <v>762</v>
      </c>
      <c r="N363">
        <v>0</v>
      </c>
      <c r="R363" t="s">
        <v>68</v>
      </c>
      <c r="S363" t="s">
        <v>69</v>
      </c>
      <c r="Z363" t="s">
        <v>84</v>
      </c>
      <c r="AA363" t="s">
        <v>156</v>
      </c>
      <c r="AC363" t="s">
        <v>883</v>
      </c>
      <c r="AD363" t="s">
        <v>50</v>
      </c>
      <c r="AH363">
        <v>3</v>
      </c>
      <c r="AM363">
        <v>43465</v>
      </c>
      <c r="AN363">
        <v>43469</v>
      </c>
      <c r="AO363" s="2">
        <f t="shared" si="43"/>
        <v>121</v>
      </c>
      <c r="AP363" s="2">
        <f t="shared" si="44"/>
        <v>150</v>
      </c>
      <c r="AQ363" s="3">
        <f t="shared" si="45"/>
        <v>0</v>
      </c>
      <c r="AR363" s="1" t="str">
        <f>INDEX(IOS!$B:$B,MATCH(D363,IOS!A:A,0))&amp;B363</f>
        <v>O.D.4</v>
      </c>
      <c r="AS363" s="1">
        <f t="shared" si="46"/>
        <v>0</v>
      </c>
      <c r="AT363" s="1" t="str">
        <f>IF(ISBLANK(W363),"",IF(ISERROR(MATCH(W363,HQLATABLE!$A:$A,0)),0,1))</f>
        <v/>
      </c>
      <c r="AU363" s="1" t="str">
        <f t="shared" si="47"/>
        <v>Blank</v>
      </c>
      <c r="AV363" s="1" t="str">
        <f t="shared" si="48"/>
        <v>Blank</v>
      </c>
      <c r="AW363" s="1">
        <f t="shared" si="49"/>
        <v>0</v>
      </c>
      <c r="AX363" s="1">
        <f t="shared" si="50"/>
        <v>0</v>
      </c>
      <c r="AY363" s="1"/>
      <c r="AZ363" s="1">
        <f>IF(COUNTIFS('PID CHECK'!$B:$B,AR363)=1,0,IF(COUNTIFS(AR$1:AR362,AR363)=1,0,1))</f>
        <v>0</v>
      </c>
      <c r="BA363" s="1"/>
      <c r="BB363" s="1"/>
    </row>
    <row r="364" spans="1:54">
      <c r="A364">
        <v>363</v>
      </c>
      <c r="B364" t="s">
        <v>44</v>
      </c>
      <c r="C364" t="s">
        <v>161</v>
      </c>
      <c r="D364" t="s">
        <v>153</v>
      </c>
      <c r="E364" t="s">
        <v>47</v>
      </c>
      <c r="F364" t="s">
        <v>50</v>
      </c>
      <c r="H364" t="s">
        <v>85</v>
      </c>
      <c r="J364" t="s">
        <v>49</v>
      </c>
      <c r="K364" t="s">
        <v>50</v>
      </c>
      <c r="L364" t="s">
        <v>762</v>
      </c>
      <c r="M364" t="s">
        <v>762</v>
      </c>
      <c r="N364">
        <v>0</v>
      </c>
      <c r="R364" t="s">
        <v>86</v>
      </c>
      <c r="S364" t="s">
        <v>86</v>
      </c>
      <c r="Z364" t="s">
        <v>84</v>
      </c>
      <c r="AA364" t="s">
        <v>154</v>
      </c>
      <c r="AC364" t="s">
        <v>883</v>
      </c>
      <c r="AD364" t="s">
        <v>50</v>
      </c>
      <c r="AH364">
        <v>3</v>
      </c>
      <c r="AM364">
        <v>43465</v>
      </c>
      <c r="AN364">
        <v>43469</v>
      </c>
      <c r="AO364" s="2">
        <f t="shared" si="43"/>
        <v>14</v>
      </c>
      <c r="AP364" s="2">
        <f t="shared" si="44"/>
        <v>14</v>
      </c>
      <c r="AQ364" s="3">
        <f t="shared" si="45"/>
        <v>1</v>
      </c>
      <c r="AR364" s="1" t="str">
        <f>INDEX(IOS!$B:$B,MATCH(D364,IOS!A:A,0))&amp;B364</f>
        <v>O.D.4</v>
      </c>
      <c r="AS364" s="1">
        <f t="shared" si="46"/>
        <v>0</v>
      </c>
      <c r="AT364" s="1" t="str">
        <f>IF(ISBLANK(W364),"",IF(ISERROR(MATCH(W364,HQLATABLE!$A:$A,0)),0,1))</f>
        <v/>
      </c>
      <c r="AU364" s="1" t="str">
        <f t="shared" si="47"/>
        <v>Blank</v>
      </c>
      <c r="AV364" s="1" t="str">
        <f t="shared" si="48"/>
        <v>Blank</v>
      </c>
      <c r="AW364" s="1">
        <f t="shared" si="49"/>
        <v>0</v>
      </c>
      <c r="AX364" s="1">
        <f t="shared" si="50"/>
        <v>0</v>
      </c>
      <c r="AY364" s="1"/>
      <c r="AZ364" s="1">
        <f>IF(COUNTIFS('PID CHECK'!$B:$B,AR364)=1,0,IF(COUNTIFS(AR$1:AR363,AR364)=1,0,1))</f>
        <v>0</v>
      </c>
      <c r="BA364" s="1"/>
      <c r="BB364" s="1"/>
    </row>
    <row r="365" spans="1:54">
      <c r="A365">
        <v>364</v>
      </c>
      <c r="B365" t="s">
        <v>44</v>
      </c>
      <c r="C365" t="s">
        <v>161</v>
      </c>
      <c r="D365" t="s">
        <v>153</v>
      </c>
      <c r="E365" t="s">
        <v>47</v>
      </c>
      <c r="F365" t="s">
        <v>50</v>
      </c>
      <c r="H365" t="s">
        <v>85</v>
      </c>
      <c r="J365" t="s">
        <v>49</v>
      </c>
      <c r="K365" t="s">
        <v>50</v>
      </c>
      <c r="L365" t="s">
        <v>762</v>
      </c>
      <c r="M365" t="s">
        <v>762</v>
      </c>
      <c r="N365">
        <v>0</v>
      </c>
      <c r="R365" t="s">
        <v>86</v>
      </c>
      <c r="S365" t="s">
        <v>86</v>
      </c>
      <c r="Z365" t="s">
        <v>84</v>
      </c>
      <c r="AA365" t="s">
        <v>156</v>
      </c>
      <c r="AC365" t="s">
        <v>883</v>
      </c>
      <c r="AD365" t="s">
        <v>50</v>
      </c>
      <c r="AH365">
        <v>3</v>
      </c>
      <c r="AM365">
        <v>43465</v>
      </c>
      <c r="AN365">
        <v>43469</v>
      </c>
      <c r="AO365" s="2">
        <f t="shared" si="43"/>
        <v>14</v>
      </c>
      <c r="AP365" s="2">
        <f t="shared" si="44"/>
        <v>14</v>
      </c>
      <c r="AQ365" s="3">
        <f t="shared" si="45"/>
        <v>1</v>
      </c>
      <c r="AR365" s="1" t="str">
        <f>INDEX(IOS!$B:$B,MATCH(D365,IOS!A:A,0))&amp;B365</f>
        <v>O.D.4</v>
      </c>
      <c r="AS365" s="1">
        <f t="shared" si="46"/>
        <v>0</v>
      </c>
      <c r="AT365" s="1" t="str">
        <f>IF(ISBLANK(W365),"",IF(ISERROR(MATCH(W365,HQLATABLE!$A:$A,0)),0,1))</f>
        <v/>
      </c>
      <c r="AU365" s="1" t="str">
        <f t="shared" si="47"/>
        <v>Blank</v>
      </c>
      <c r="AV365" s="1" t="str">
        <f t="shared" si="48"/>
        <v>Blank</v>
      </c>
      <c r="AW365" s="1">
        <f t="shared" si="49"/>
        <v>0</v>
      </c>
      <c r="AX365" s="1">
        <f t="shared" si="50"/>
        <v>0</v>
      </c>
      <c r="AY365" s="1"/>
      <c r="AZ365" s="1">
        <f>IF(COUNTIFS('PID CHECK'!$B:$B,AR365)=1,0,IF(COUNTIFS(AR$1:AR364,AR365)=1,0,1))</f>
        <v>0</v>
      </c>
      <c r="BA365" s="1"/>
      <c r="BB365" s="1"/>
    </row>
    <row r="366" spans="1:54">
      <c r="A366">
        <v>365</v>
      </c>
      <c r="B366" t="s">
        <v>44</v>
      </c>
      <c r="C366" t="s">
        <v>161</v>
      </c>
      <c r="D366" t="s">
        <v>153</v>
      </c>
      <c r="E366" t="s">
        <v>47</v>
      </c>
      <c r="F366" t="s">
        <v>50</v>
      </c>
      <c r="H366" t="s">
        <v>73</v>
      </c>
      <c r="J366" t="s">
        <v>49</v>
      </c>
      <c r="K366" t="s">
        <v>50</v>
      </c>
      <c r="L366" t="s">
        <v>762</v>
      </c>
      <c r="M366" t="s">
        <v>762</v>
      </c>
      <c r="N366">
        <v>0</v>
      </c>
      <c r="R366" t="s">
        <v>74</v>
      </c>
      <c r="S366" t="s">
        <v>75</v>
      </c>
      <c r="Z366" t="s">
        <v>84</v>
      </c>
      <c r="AA366" t="s">
        <v>154</v>
      </c>
      <c r="AC366" t="s">
        <v>883</v>
      </c>
      <c r="AD366" t="s">
        <v>50</v>
      </c>
      <c r="AH366">
        <v>3</v>
      </c>
      <c r="AM366">
        <v>43465</v>
      </c>
      <c r="AN366">
        <v>43469</v>
      </c>
      <c r="AO366" s="2">
        <f t="shared" si="43"/>
        <v>151</v>
      </c>
      <c r="AP366" s="2">
        <f t="shared" si="44"/>
        <v>180</v>
      </c>
      <c r="AQ366" s="3">
        <f t="shared" si="45"/>
        <v>0</v>
      </c>
      <c r="AR366" s="1" t="str">
        <f>INDEX(IOS!$B:$B,MATCH(D366,IOS!A:A,0))&amp;B366</f>
        <v>O.D.4</v>
      </c>
      <c r="AS366" s="1">
        <f t="shared" si="46"/>
        <v>0</v>
      </c>
      <c r="AT366" s="1" t="str">
        <f>IF(ISBLANK(W366),"",IF(ISERROR(MATCH(W366,HQLATABLE!$A:$A,0)),0,1))</f>
        <v/>
      </c>
      <c r="AU366" s="1" t="str">
        <f t="shared" si="47"/>
        <v>Blank</v>
      </c>
      <c r="AV366" s="1" t="str">
        <f t="shared" si="48"/>
        <v>Blank</v>
      </c>
      <c r="AW366" s="1">
        <f t="shared" si="49"/>
        <v>0</v>
      </c>
      <c r="AX366" s="1">
        <f t="shared" si="50"/>
        <v>0</v>
      </c>
      <c r="AY366" s="1"/>
      <c r="AZ366" s="1">
        <f>IF(COUNTIFS('PID CHECK'!$B:$B,AR366)=1,0,IF(COUNTIFS(AR$1:AR365,AR366)=1,0,1))</f>
        <v>0</v>
      </c>
      <c r="BA366" s="1"/>
      <c r="BB366" s="1"/>
    </row>
    <row r="367" spans="1:54">
      <c r="A367">
        <v>366</v>
      </c>
      <c r="B367" t="s">
        <v>44</v>
      </c>
      <c r="C367" t="s">
        <v>161</v>
      </c>
      <c r="D367" t="s">
        <v>153</v>
      </c>
      <c r="E367" t="s">
        <v>47</v>
      </c>
      <c r="F367" t="s">
        <v>50</v>
      </c>
      <c r="H367" t="s">
        <v>73</v>
      </c>
      <c r="J367" t="s">
        <v>49</v>
      </c>
      <c r="K367" t="s">
        <v>50</v>
      </c>
      <c r="L367" t="s">
        <v>762</v>
      </c>
      <c r="M367" t="s">
        <v>762</v>
      </c>
      <c r="N367">
        <v>0</v>
      </c>
      <c r="R367" t="s">
        <v>74</v>
      </c>
      <c r="S367" t="s">
        <v>75</v>
      </c>
      <c r="Z367" t="s">
        <v>162</v>
      </c>
      <c r="AA367" t="s">
        <v>154</v>
      </c>
      <c r="AC367" t="s">
        <v>883</v>
      </c>
      <c r="AD367" t="s">
        <v>50</v>
      </c>
      <c r="AH367">
        <v>4</v>
      </c>
      <c r="AM367">
        <v>43465</v>
      </c>
      <c r="AN367">
        <v>43469</v>
      </c>
      <c r="AO367" s="2">
        <f t="shared" si="43"/>
        <v>151</v>
      </c>
      <c r="AP367" s="2">
        <f t="shared" si="44"/>
        <v>180</v>
      </c>
      <c r="AQ367" s="3">
        <f t="shared" si="45"/>
        <v>0</v>
      </c>
      <c r="AR367" s="1" t="str">
        <f>INDEX(IOS!$B:$B,MATCH(D367,IOS!A:A,0))&amp;B367</f>
        <v>O.D.4</v>
      </c>
      <c r="AS367" s="1">
        <f t="shared" si="46"/>
        <v>0</v>
      </c>
      <c r="AT367" s="1" t="str">
        <f>IF(ISBLANK(W367),"",IF(ISERROR(MATCH(W367,HQLATABLE!$A:$A,0)),0,1))</f>
        <v/>
      </c>
      <c r="AU367" s="1" t="str">
        <f t="shared" si="47"/>
        <v>Blank</v>
      </c>
      <c r="AV367" s="1" t="str">
        <f t="shared" si="48"/>
        <v>Blank</v>
      </c>
      <c r="AW367" s="1">
        <f t="shared" si="49"/>
        <v>0</v>
      </c>
      <c r="AX367" s="1">
        <f t="shared" si="50"/>
        <v>0</v>
      </c>
      <c r="AY367" s="1"/>
      <c r="AZ367" s="1">
        <f>IF(COUNTIFS('PID CHECK'!$B:$B,AR367)=1,0,IF(COUNTIFS(AR$1:AR366,AR367)=1,0,1))</f>
        <v>0</v>
      </c>
      <c r="BA367" s="1"/>
      <c r="BB367" s="1"/>
    </row>
    <row r="368" spans="1:54">
      <c r="A368">
        <v>367</v>
      </c>
      <c r="B368" t="s">
        <v>44</v>
      </c>
      <c r="C368" t="s">
        <v>161</v>
      </c>
      <c r="D368" t="s">
        <v>153</v>
      </c>
      <c r="E368" t="s">
        <v>47</v>
      </c>
      <c r="F368" t="s">
        <v>50</v>
      </c>
      <c r="H368" t="s">
        <v>73</v>
      </c>
      <c r="J368" t="s">
        <v>49</v>
      </c>
      <c r="K368" t="s">
        <v>50</v>
      </c>
      <c r="L368" t="s">
        <v>762</v>
      </c>
      <c r="M368" t="s">
        <v>762</v>
      </c>
      <c r="N368">
        <v>0</v>
      </c>
      <c r="R368" t="s">
        <v>74</v>
      </c>
      <c r="S368" t="s">
        <v>75</v>
      </c>
      <c r="Z368" t="s">
        <v>84</v>
      </c>
      <c r="AA368" t="s">
        <v>156</v>
      </c>
      <c r="AC368" t="s">
        <v>883</v>
      </c>
      <c r="AD368" t="s">
        <v>50</v>
      </c>
      <c r="AH368">
        <v>3</v>
      </c>
      <c r="AM368">
        <v>43465</v>
      </c>
      <c r="AN368">
        <v>43469</v>
      </c>
      <c r="AO368" s="2">
        <f t="shared" si="43"/>
        <v>151</v>
      </c>
      <c r="AP368" s="2">
        <f t="shared" si="44"/>
        <v>180</v>
      </c>
      <c r="AQ368" s="3">
        <f t="shared" si="45"/>
        <v>0</v>
      </c>
      <c r="AR368" s="1" t="str">
        <f>INDEX(IOS!$B:$B,MATCH(D368,IOS!A:A,0))&amp;B368</f>
        <v>O.D.4</v>
      </c>
      <c r="AS368" s="1">
        <f t="shared" si="46"/>
        <v>0</v>
      </c>
      <c r="AT368" s="1" t="str">
        <f>IF(ISBLANK(W368),"",IF(ISERROR(MATCH(W368,HQLATABLE!$A:$A,0)),0,1))</f>
        <v/>
      </c>
      <c r="AU368" s="1" t="str">
        <f t="shared" si="47"/>
        <v>Blank</v>
      </c>
      <c r="AV368" s="1" t="str">
        <f t="shared" si="48"/>
        <v>Blank</v>
      </c>
      <c r="AW368" s="1">
        <f t="shared" si="49"/>
        <v>0</v>
      </c>
      <c r="AX368" s="1">
        <f t="shared" si="50"/>
        <v>0</v>
      </c>
      <c r="AY368" s="1"/>
      <c r="AZ368" s="1">
        <f>IF(COUNTIFS('PID CHECK'!$B:$B,AR368)=1,0,IF(COUNTIFS(AR$1:AR367,AR368)=1,0,1))</f>
        <v>0</v>
      </c>
      <c r="BA368" s="1"/>
      <c r="BB368" s="1"/>
    </row>
    <row r="369" spans="1:54">
      <c r="A369">
        <v>368</v>
      </c>
      <c r="B369" t="s">
        <v>44</v>
      </c>
      <c r="C369" t="s">
        <v>161</v>
      </c>
      <c r="D369" t="s">
        <v>153</v>
      </c>
      <c r="E369" t="s">
        <v>47</v>
      </c>
      <c r="F369" t="s">
        <v>50</v>
      </c>
      <c r="H369" t="s">
        <v>1050</v>
      </c>
      <c r="J369" t="s">
        <v>49</v>
      </c>
      <c r="K369" t="s">
        <v>50</v>
      </c>
      <c r="L369" t="s">
        <v>762</v>
      </c>
      <c r="M369" t="s">
        <v>762</v>
      </c>
      <c r="N369">
        <v>0</v>
      </c>
      <c r="R369" t="s">
        <v>1051</v>
      </c>
      <c r="S369" t="s">
        <v>1051</v>
      </c>
      <c r="Z369" t="s">
        <v>84</v>
      </c>
      <c r="AA369" t="s">
        <v>154</v>
      </c>
      <c r="AC369" t="s">
        <v>883</v>
      </c>
      <c r="AD369" t="s">
        <v>50</v>
      </c>
      <c r="AH369">
        <v>3</v>
      </c>
      <c r="AM369">
        <v>43465</v>
      </c>
      <c r="AN369">
        <v>43469</v>
      </c>
      <c r="AO369" s="2">
        <f t="shared" si="43"/>
        <v>15</v>
      </c>
      <c r="AP369" s="2">
        <f t="shared" si="44"/>
        <v>15</v>
      </c>
      <c r="AQ369" s="3">
        <f t="shared" si="45"/>
        <v>1</v>
      </c>
      <c r="AR369" s="1" t="str">
        <f>INDEX(IOS!$B:$B,MATCH(D369,IOS!A:A,0))&amp;B369</f>
        <v>O.D.4</v>
      </c>
      <c r="AS369" s="1">
        <f t="shared" si="46"/>
        <v>0</v>
      </c>
      <c r="AT369" s="1" t="str">
        <f>IF(ISBLANK(W369),"",IF(ISERROR(MATCH(W369,HQLATABLE!$A:$A,0)),0,1))</f>
        <v/>
      </c>
      <c r="AU369" s="1" t="str">
        <f t="shared" si="47"/>
        <v>Blank</v>
      </c>
      <c r="AV369" s="1" t="str">
        <f t="shared" si="48"/>
        <v>Blank</v>
      </c>
      <c r="AW369" s="1">
        <f t="shared" si="49"/>
        <v>0</v>
      </c>
      <c r="AX369" s="1">
        <f t="shared" si="50"/>
        <v>0</v>
      </c>
      <c r="AY369" s="1"/>
      <c r="AZ369" s="1">
        <f>IF(COUNTIFS('PID CHECK'!$B:$B,AR369)=1,0,IF(COUNTIFS(AR$1:AR368,AR369)=1,0,1))</f>
        <v>0</v>
      </c>
      <c r="BA369" s="1"/>
      <c r="BB369" s="1"/>
    </row>
    <row r="370" spans="1:54">
      <c r="A370">
        <v>369</v>
      </c>
      <c r="B370" t="s">
        <v>44</v>
      </c>
      <c r="C370" t="s">
        <v>161</v>
      </c>
      <c r="D370" t="s">
        <v>153</v>
      </c>
      <c r="E370" t="s">
        <v>47</v>
      </c>
      <c r="F370" t="s">
        <v>50</v>
      </c>
      <c r="H370" t="s">
        <v>1032</v>
      </c>
      <c r="J370" t="s">
        <v>49</v>
      </c>
      <c r="K370" t="s">
        <v>50</v>
      </c>
      <c r="L370" t="s">
        <v>762</v>
      </c>
      <c r="M370" t="s">
        <v>762</v>
      </c>
      <c r="N370">
        <v>0</v>
      </c>
      <c r="R370" t="s">
        <v>1033</v>
      </c>
      <c r="S370" t="s">
        <v>1033</v>
      </c>
      <c r="Z370" t="s">
        <v>84</v>
      </c>
      <c r="AA370" t="s">
        <v>154</v>
      </c>
      <c r="AC370" t="s">
        <v>883</v>
      </c>
      <c r="AD370" t="s">
        <v>50</v>
      </c>
      <c r="AH370">
        <v>3</v>
      </c>
      <c r="AM370">
        <v>43465</v>
      </c>
      <c r="AN370">
        <v>43469</v>
      </c>
      <c r="AO370" s="2">
        <f t="shared" si="43"/>
        <v>16</v>
      </c>
      <c r="AP370" s="2">
        <f t="shared" si="44"/>
        <v>16</v>
      </c>
      <c r="AQ370" s="3">
        <f t="shared" si="45"/>
        <v>1</v>
      </c>
      <c r="AR370" s="1" t="str">
        <f>INDEX(IOS!$B:$B,MATCH(D370,IOS!A:A,0))&amp;B370</f>
        <v>O.D.4</v>
      </c>
      <c r="AS370" s="1">
        <f t="shared" si="46"/>
        <v>0</v>
      </c>
      <c r="AT370" s="1" t="str">
        <f>IF(ISBLANK(W370),"",IF(ISERROR(MATCH(W370,HQLATABLE!$A:$A,0)),0,1))</f>
        <v/>
      </c>
      <c r="AU370" s="1" t="str">
        <f t="shared" si="47"/>
        <v>Blank</v>
      </c>
      <c r="AV370" s="1" t="str">
        <f t="shared" si="48"/>
        <v>Blank</v>
      </c>
      <c r="AW370" s="1">
        <f t="shared" si="49"/>
        <v>0</v>
      </c>
      <c r="AX370" s="1">
        <f t="shared" si="50"/>
        <v>0</v>
      </c>
      <c r="AY370" s="1"/>
      <c r="AZ370" s="1">
        <f>IF(COUNTIFS('PID CHECK'!$B:$B,AR370)=1,0,IF(COUNTIFS(AR$1:AR369,AR370)=1,0,1))</f>
        <v>0</v>
      </c>
      <c r="BA370" s="1"/>
      <c r="BB370" s="1"/>
    </row>
    <row r="371" spans="1:54">
      <c r="A371">
        <v>370</v>
      </c>
      <c r="B371" t="s">
        <v>44</v>
      </c>
      <c r="C371" t="s">
        <v>161</v>
      </c>
      <c r="D371" t="s">
        <v>153</v>
      </c>
      <c r="E371" t="s">
        <v>47</v>
      </c>
      <c r="F371" t="s">
        <v>50</v>
      </c>
      <c r="H371" t="s">
        <v>997</v>
      </c>
      <c r="J371" t="s">
        <v>49</v>
      </c>
      <c r="K371" t="s">
        <v>50</v>
      </c>
      <c r="L371" t="s">
        <v>762</v>
      </c>
      <c r="M371" t="s">
        <v>762</v>
      </c>
      <c r="N371">
        <v>0</v>
      </c>
      <c r="R371" t="s">
        <v>998</v>
      </c>
      <c r="S371" t="s">
        <v>998</v>
      </c>
      <c r="Z371" t="s">
        <v>84</v>
      </c>
      <c r="AA371" t="s">
        <v>154</v>
      </c>
      <c r="AC371" t="s">
        <v>883</v>
      </c>
      <c r="AD371" t="s">
        <v>50</v>
      </c>
      <c r="AH371">
        <v>3</v>
      </c>
      <c r="AM371">
        <v>43465</v>
      </c>
      <c r="AN371">
        <v>43469</v>
      </c>
      <c r="AO371" s="2">
        <f t="shared" si="43"/>
        <v>17</v>
      </c>
      <c r="AP371" s="2">
        <f t="shared" si="44"/>
        <v>17</v>
      </c>
      <c r="AQ371" s="3">
        <f t="shared" si="45"/>
        <v>1</v>
      </c>
      <c r="AR371" s="1" t="str">
        <f>INDEX(IOS!$B:$B,MATCH(D371,IOS!A:A,0))&amp;B371</f>
        <v>O.D.4</v>
      </c>
      <c r="AS371" s="1">
        <f t="shared" si="46"/>
        <v>0</v>
      </c>
      <c r="AT371" s="1" t="str">
        <f>IF(ISBLANK(W371),"",IF(ISERROR(MATCH(W371,HQLATABLE!$A:$A,0)),0,1))</f>
        <v/>
      </c>
      <c r="AU371" s="1" t="str">
        <f t="shared" si="47"/>
        <v>Blank</v>
      </c>
      <c r="AV371" s="1" t="str">
        <f t="shared" si="48"/>
        <v>Blank</v>
      </c>
      <c r="AW371" s="1">
        <f t="shared" si="49"/>
        <v>0</v>
      </c>
      <c r="AX371" s="1">
        <f t="shared" si="50"/>
        <v>0</v>
      </c>
      <c r="AY371" s="1"/>
      <c r="AZ371" s="1">
        <f>IF(COUNTIFS('PID CHECK'!$B:$B,AR371)=1,0,IF(COUNTIFS(AR$1:AR370,AR371)=1,0,1))</f>
        <v>0</v>
      </c>
      <c r="BA371" s="1"/>
      <c r="BB371" s="1"/>
    </row>
    <row r="372" spans="1:54">
      <c r="A372">
        <v>371</v>
      </c>
      <c r="B372" t="s">
        <v>44</v>
      </c>
      <c r="C372" t="s">
        <v>161</v>
      </c>
      <c r="D372" t="s">
        <v>153</v>
      </c>
      <c r="E372" t="s">
        <v>47</v>
      </c>
      <c r="F372" t="s">
        <v>50</v>
      </c>
      <c r="H372" t="s">
        <v>997</v>
      </c>
      <c r="J372" t="s">
        <v>49</v>
      </c>
      <c r="K372" t="s">
        <v>50</v>
      </c>
      <c r="L372" t="s">
        <v>762</v>
      </c>
      <c r="M372" t="s">
        <v>762</v>
      </c>
      <c r="N372">
        <v>0</v>
      </c>
      <c r="R372" t="s">
        <v>998</v>
      </c>
      <c r="S372" t="s">
        <v>998</v>
      </c>
      <c r="Z372" t="s">
        <v>162</v>
      </c>
      <c r="AA372" t="s">
        <v>154</v>
      </c>
      <c r="AC372" t="s">
        <v>883</v>
      </c>
      <c r="AD372" t="s">
        <v>50</v>
      </c>
      <c r="AH372">
        <v>4</v>
      </c>
      <c r="AM372">
        <v>43465</v>
      </c>
      <c r="AN372">
        <v>43469</v>
      </c>
      <c r="AO372" s="2">
        <f t="shared" si="43"/>
        <v>17</v>
      </c>
      <c r="AP372" s="2">
        <f t="shared" si="44"/>
        <v>17</v>
      </c>
      <c r="AQ372" s="3">
        <f t="shared" si="45"/>
        <v>1</v>
      </c>
      <c r="AR372" s="1" t="str">
        <f>INDEX(IOS!$B:$B,MATCH(D372,IOS!A:A,0))&amp;B372</f>
        <v>O.D.4</v>
      </c>
      <c r="AS372" s="1">
        <f t="shared" si="46"/>
        <v>0</v>
      </c>
      <c r="AT372" s="1" t="str">
        <f>IF(ISBLANK(W372),"",IF(ISERROR(MATCH(W372,HQLATABLE!$A:$A,0)),0,1))</f>
        <v/>
      </c>
      <c r="AU372" s="1" t="str">
        <f t="shared" si="47"/>
        <v>Blank</v>
      </c>
      <c r="AV372" s="1" t="str">
        <f t="shared" si="48"/>
        <v>Blank</v>
      </c>
      <c r="AW372" s="1">
        <f t="shared" si="49"/>
        <v>0</v>
      </c>
      <c r="AX372" s="1">
        <f t="shared" si="50"/>
        <v>0</v>
      </c>
      <c r="AY372" s="1"/>
      <c r="AZ372" s="1">
        <f>IF(COUNTIFS('PID CHECK'!$B:$B,AR372)=1,0,IF(COUNTIFS(AR$1:AR371,AR372)=1,0,1))</f>
        <v>0</v>
      </c>
      <c r="BA372" s="1"/>
      <c r="BB372" s="1"/>
    </row>
    <row r="373" spans="1:54">
      <c r="A373">
        <v>372</v>
      </c>
      <c r="B373" t="s">
        <v>44</v>
      </c>
      <c r="C373" t="s">
        <v>161</v>
      </c>
      <c r="D373" t="s">
        <v>153</v>
      </c>
      <c r="E373" t="s">
        <v>47</v>
      </c>
      <c r="F373" t="s">
        <v>50</v>
      </c>
      <c r="H373" t="s">
        <v>87</v>
      </c>
      <c r="J373" t="s">
        <v>49</v>
      </c>
      <c r="K373" t="s">
        <v>50</v>
      </c>
      <c r="L373" t="s">
        <v>762</v>
      </c>
      <c r="M373" t="s">
        <v>762</v>
      </c>
      <c r="N373">
        <v>0</v>
      </c>
      <c r="R373" t="s">
        <v>88</v>
      </c>
      <c r="S373" t="s">
        <v>89</v>
      </c>
      <c r="Z373" t="s">
        <v>84</v>
      </c>
      <c r="AA373" t="s">
        <v>154</v>
      </c>
      <c r="AC373" t="s">
        <v>883</v>
      </c>
      <c r="AD373" t="s">
        <v>50</v>
      </c>
      <c r="AH373">
        <v>3</v>
      </c>
      <c r="AM373">
        <v>43465</v>
      </c>
      <c r="AN373">
        <v>43469</v>
      </c>
      <c r="AO373" s="2">
        <f t="shared" si="43"/>
        <v>181</v>
      </c>
      <c r="AP373" s="2">
        <f t="shared" si="44"/>
        <v>270</v>
      </c>
      <c r="AQ373" s="3">
        <f t="shared" si="45"/>
        <v>0</v>
      </c>
      <c r="AR373" s="1" t="str">
        <f>INDEX(IOS!$B:$B,MATCH(D373,IOS!A:A,0))&amp;B373</f>
        <v>O.D.4</v>
      </c>
      <c r="AS373" s="1">
        <f t="shared" si="46"/>
        <v>0</v>
      </c>
      <c r="AT373" s="1" t="str">
        <f>IF(ISBLANK(W373),"",IF(ISERROR(MATCH(W373,HQLATABLE!$A:$A,0)),0,1))</f>
        <v/>
      </c>
      <c r="AU373" s="1" t="str">
        <f t="shared" si="47"/>
        <v>Blank</v>
      </c>
      <c r="AV373" s="1" t="str">
        <f t="shared" si="48"/>
        <v>Blank</v>
      </c>
      <c r="AW373" s="1">
        <f t="shared" si="49"/>
        <v>0</v>
      </c>
      <c r="AX373" s="1">
        <f t="shared" si="50"/>
        <v>0</v>
      </c>
      <c r="AY373" s="1"/>
      <c r="AZ373" s="1">
        <f>IF(COUNTIFS('PID CHECK'!$B:$B,AR373)=1,0,IF(COUNTIFS(AR$1:AR372,AR373)=1,0,1))</f>
        <v>0</v>
      </c>
      <c r="BA373" s="1"/>
      <c r="BB373" s="1"/>
    </row>
    <row r="374" spans="1:54">
      <c r="A374">
        <v>373</v>
      </c>
      <c r="B374" t="s">
        <v>44</v>
      </c>
      <c r="C374" t="s">
        <v>161</v>
      </c>
      <c r="D374" t="s">
        <v>153</v>
      </c>
      <c r="E374" t="s">
        <v>47</v>
      </c>
      <c r="F374" t="s">
        <v>50</v>
      </c>
      <c r="H374" t="s">
        <v>87</v>
      </c>
      <c r="J374" t="s">
        <v>49</v>
      </c>
      <c r="K374" t="s">
        <v>50</v>
      </c>
      <c r="L374" t="s">
        <v>762</v>
      </c>
      <c r="M374" t="s">
        <v>762</v>
      </c>
      <c r="N374">
        <v>0</v>
      </c>
      <c r="R374" t="s">
        <v>88</v>
      </c>
      <c r="S374" t="s">
        <v>89</v>
      </c>
      <c r="Z374" t="s">
        <v>84</v>
      </c>
      <c r="AA374" t="s">
        <v>156</v>
      </c>
      <c r="AC374" t="s">
        <v>883</v>
      </c>
      <c r="AD374" t="s">
        <v>50</v>
      </c>
      <c r="AH374">
        <v>3</v>
      </c>
      <c r="AM374">
        <v>43465</v>
      </c>
      <c r="AN374">
        <v>43469</v>
      </c>
      <c r="AO374" s="2">
        <f t="shared" si="43"/>
        <v>181</v>
      </c>
      <c r="AP374" s="2">
        <f t="shared" si="44"/>
        <v>270</v>
      </c>
      <c r="AQ374" s="3">
        <f t="shared" si="45"/>
        <v>0</v>
      </c>
      <c r="AR374" s="1" t="str">
        <f>INDEX(IOS!$B:$B,MATCH(D374,IOS!A:A,0))&amp;B374</f>
        <v>O.D.4</v>
      </c>
      <c r="AS374" s="1">
        <f t="shared" si="46"/>
        <v>0</v>
      </c>
      <c r="AT374" s="1" t="str">
        <f>IF(ISBLANK(W374),"",IF(ISERROR(MATCH(W374,HQLATABLE!$A:$A,0)),0,1))</f>
        <v/>
      </c>
      <c r="AU374" s="1" t="str">
        <f t="shared" si="47"/>
        <v>Blank</v>
      </c>
      <c r="AV374" s="1" t="str">
        <f t="shared" si="48"/>
        <v>Blank</v>
      </c>
      <c r="AW374" s="1">
        <f t="shared" si="49"/>
        <v>0</v>
      </c>
      <c r="AX374" s="1">
        <f t="shared" si="50"/>
        <v>0</v>
      </c>
      <c r="AY374" s="1"/>
      <c r="AZ374" s="1">
        <f>IF(COUNTIFS('PID CHECK'!$B:$B,AR374)=1,0,IF(COUNTIFS(AR$1:AR373,AR374)=1,0,1))</f>
        <v>0</v>
      </c>
      <c r="BA374" s="1"/>
      <c r="BB374" s="1"/>
    </row>
    <row r="375" spans="1:54">
      <c r="A375">
        <v>374</v>
      </c>
      <c r="B375" t="s">
        <v>44</v>
      </c>
      <c r="C375" t="s">
        <v>161</v>
      </c>
      <c r="D375" t="s">
        <v>153</v>
      </c>
      <c r="E375" t="s">
        <v>47</v>
      </c>
      <c r="F375" t="s">
        <v>50</v>
      </c>
      <c r="H375" t="s">
        <v>999</v>
      </c>
      <c r="J375" t="s">
        <v>49</v>
      </c>
      <c r="K375" t="s">
        <v>50</v>
      </c>
      <c r="L375" t="s">
        <v>762</v>
      </c>
      <c r="M375" t="s">
        <v>762</v>
      </c>
      <c r="N375">
        <v>0</v>
      </c>
      <c r="R375" t="s">
        <v>1000</v>
      </c>
      <c r="S375" t="s">
        <v>1000</v>
      </c>
      <c r="Z375" t="s">
        <v>84</v>
      </c>
      <c r="AA375" t="s">
        <v>154</v>
      </c>
      <c r="AC375" t="s">
        <v>883</v>
      </c>
      <c r="AD375" t="s">
        <v>50</v>
      </c>
      <c r="AH375">
        <v>3</v>
      </c>
      <c r="AM375">
        <v>43465</v>
      </c>
      <c r="AN375">
        <v>43469</v>
      </c>
      <c r="AO375" s="2">
        <f t="shared" si="43"/>
        <v>18</v>
      </c>
      <c r="AP375" s="2">
        <f t="shared" si="44"/>
        <v>18</v>
      </c>
      <c r="AQ375" s="3">
        <f t="shared" si="45"/>
        <v>1</v>
      </c>
      <c r="AR375" s="1" t="str">
        <f>INDEX(IOS!$B:$B,MATCH(D375,IOS!A:A,0))&amp;B375</f>
        <v>O.D.4</v>
      </c>
      <c r="AS375" s="1">
        <f t="shared" si="46"/>
        <v>0</v>
      </c>
      <c r="AT375" s="1" t="str">
        <f>IF(ISBLANK(W375),"",IF(ISERROR(MATCH(W375,HQLATABLE!$A:$A,0)),0,1))</f>
        <v/>
      </c>
      <c r="AU375" s="1" t="str">
        <f t="shared" si="47"/>
        <v>Blank</v>
      </c>
      <c r="AV375" s="1" t="str">
        <f t="shared" si="48"/>
        <v>Blank</v>
      </c>
      <c r="AW375" s="1">
        <f t="shared" si="49"/>
        <v>0</v>
      </c>
      <c r="AX375" s="1">
        <f t="shared" si="50"/>
        <v>0</v>
      </c>
      <c r="AY375" s="1"/>
      <c r="AZ375" s="1">
        <f>IF(COUNTIFS('PID CHECK'!$B:$B,AR375)=1,0,IF(COUNTIFS(AR$1:AR374,AR375)=1,0,1))</f>
        <v>0</v>
      </c>
      <c r="BA375" s="1"/>
      <c r="BB375" s="1"/>
    </row>
    <row r="376" spans="1:54">
      <c r="A376">
        <v>375</v>
      </c>
      <c r="B376" t="s">
        <v>44</v>
      </c>
      <c r="C376" t="s">
        <v>161</v>
      </c>
      <c r="D376" t="s">
        <v>153</v>
      </c>
      <c r="E376" t="s">
        <v>47</v>
      </c>
      <c r="F376" t="s">
        <v>50</v>
      </c>
      <c r="H376" t="s">
        <v>1034</v>
      </c>
      <c r="J376" t="s">
        <v>49</v>
      </c>
      <c r="K376" t="s">
        <v>50</v>
      </c>
      <c r="L376" t="s">
        <v>762</v>
      </c>
      <c r="M376" t="s">
        <v>762</v>
      </c>
      <c r="N376">
        <v>0</v>
      </c>
      <c r="R376" t="s">
        <v>1035</v>
      </c>
      <c r="S376" t="s">
        <v>1035</v>
      </c>
      <c r="Z376" t="s">
        <v>84</v>
      </c>
      <c r="AA376" t="s">
        <v>154</v>
      </c>
      <c r="AC376" t="s">
        <v>883</v>
      </c>
      <c r="AD376" t="s">
        <v>50</v>
      </c>
      <c r="AH376">
        <v>3</v>
      </c>
      <c r="AM376">
        <v>43465</v>
      </c>
      <c r="AN376">
        <v>43469</v>
      </c>
      <c r="AO376" s="2">
        <f t="shared" si="43"/>
        <v>22</v>
      </c>
      <c r="AP376" s="2">
        <f t="shared" si="44"/>
        <v>22</v>
      </c>
      <c r="AQ376" s="3">
        <f t="shared" si="45"/>
        <v>1</v>
      </c>
      <c r="AR376" s="1" t="str">
        <f>INDEX(IOS!$B:$B,MATCH(D376,IOS!A:A,0))&amp;B376</f>
        <v>O.D.4</v>
      </c>
      <c r="AS376" s="1">
        <f t="shared" si="46"/>
        <v>0</v>
      </c>
      <c r="AT376" s="1" t="str">
        <f>IF(ISBLANK(W376),"",IF(ISERROR(MATCH(W376,HQLATABLE!$A:$A,0)),0,1))</f>
        <v/>
      </c>
      <c r="AU376" s="1" t="str">
        <f t="shared" si="47"/>
        <v>Blank</v>
      </c>
      <c r="AV376" s="1" t="str">
        <f t="shared" si="48"/>
        <v>Blank</v>
      </c>
      <c r="AW376" s="1">
        <f t="shared" si="49"/>
        <v>0</v>
      </c>
      <c r="AX376" s="1">
        <f t="shared" si="50"/>
        <v>0</v>
      </c>
      <c r="AY376" s="1"/>
      <c r="AZ376" s="1">
        <f>IF(COUNTIFS('PID CHECK'!$B:$B,AR376)=1,0,IF(COUNTIFS(AR$1:AR375,AR376)=1,0,1))</f>
        <v>0</v>
      </c>
      <c r="BA376" s="1"/>
      <c r="BB376" s="1"/>
    </row>
    <row r="377" spans="1:54">
      <c r="A377">
        <v>376</v>
      </c>
      <c r="B377" t="s">
        <v>44</v>
      </c>
      <c r="C377" t="s">
        <v>161</v>
      </c>
      <c r="D377" t="s">
        <v>153</v>
      </c>
      <c r="E377" t="s">
        <v>47</v>
      </c>
      <c r="F377" t="s">
        <v>50</v>
      </c>
      <c r="H377" t="s">
        <v>1054</v>
      </c>
      <c r="J377" t="s">
        <v>49</v>
      </c>
      <c r="K377" t="s">
        <v>50</v>
      </c>
      <c r="L377" t="s">
        <v>762</v>
      </c>
      <c r="M377" t="s">
        <v>762</v>
      </c>
      <c r="N377">
        <v>0</v>
      </c>
      <c r="R377" t="s">
        <v>1055</v>
      </c>
      <c r="S377" t="s">
        <v>1055</v>
      </c>
      <c r="Z377" t="s">
        <v>84</v>
      </c>
      <c r="AA377" t="s">
        <v>154</v>
      </c>
      <c r="AC377" t="s">
        <v>883</v>
      </c>
      <c r="AD377" t="s">
        <v>50</v>
      </c>
      <c r="AH377">
        <v>3</v>
      </c>
      <c r="AM377">
        <v>43465</v>
      </c>
      <c r="AN377">
        <v>43469</v>
      </c>
      <c r="AO377" s="2">
        <f t="shared" si="43"/>
        <v>23</v>
      </c>
      <c r="AP377" s="2">
        <f t="shared" si="44"/>
        <v>23</v>
      </c>
      <c r="AQ377" s="3">
        <f t="shared" si="45"/>
        <v>1</v>
      </c>
      <c r="AR377" s="1" t="str">
        <f>INDEX(IOS!$B:$B,MATCH(D377,IOS!A:A,0))&amp;B377</f>
        <v>O.D.4</v>
      </c>
      <c r="AS377" s="1">
        <f t="shared" si="46"/>
        <v>0</v>
      </c>
      <c r="AT377" s="1" t="str">
        <f>IF(ISBLANK(W377),"",IF(ISERROR(MATCH(W377,HQLATABLE!$A:$A,0)),0,1))</f>
        <v/>
      </c>
      <c r="AU377" s="1" t="str">
        <f t="shared" si="47"/>
        <v>Blank</v>
      </c>
      <c r="AV377" s="1" t="str">
        <f t="shared" si="48"/>
        <v>Blank</v>
      </c>
      <c r="AW377" s="1">
        <f t="shared" si="49"/>
        <v>0</v>
      </c>
      <c r="AX377" s="1">
        <f t="shared" si="50"/>
        <v>0</v>
      </c>
      <c r="AY377" s="1"/>
      <c r="AZ377" s="1">
        <f>IF(COUNTIFS('PID CHECK'!$B:$B,AR377)=1,0,IF(COUNTIFS(AR$1:AR376,AR377)=1,0,1))</f>
        <v>0</v>
      </c>
      <c r="BA377" s="1"/>
      <c r="BB377" s="1"/>
    </row>
    <row r="378" spans="1:54">
      <c r="A378">
        <v>377</v>
      </c>
      <c r="B378" t="s">
        <v>44</v>
      </c>
      <c r="C378" t="s">
        <v>161</v>
      </c>
      <c r="D378" t="s">
        <v>153</v>
      </c>
      <c r="E378" t="s">
        <v>47</v>
      </c>
      <c r="F378" t="s">
        <v>50</v>
      </c>
      <c r="H378" t="s">
        <v>1001</v>
      </c>
      <c r="J378" t="s">
        <v>49</v>
      </c>
      <c r="K378" t="s">
        <v>50</v>
      </c>
      <c r="L378" t="s">
        <v>762</v>
      </c>
      <c r="M378" t="s">
        <v>762</v>
      </c>
      <c r="N378">
        <v>0</v>
      </c>
      <c r="R378" t="s">
        <v>1002</v>
      </c>
      <c r="S378" t="s">
        <v>1002</v>
      </c>
      <c r="Z378" t="s">
        <v>84</v>
      </c>
      <c r="AA378" t="s">
        <v>154</v>
      </c>
      <c r="AC378" t="s">
        <v>883</v>
      </c>
      <c r="AD378" t="s">
        <v>50</v>
      </c>
      <c r="AH378">
        <v>3</v>
      </c>
      <c r="AM378">
        <v>43465</v>
      </c>
      <c r="AN378">
        <v>43469</v>
      </c>
      <c r="AO378" s="2">
        <f t="shared" si="43"/>
        <v>24</v>
      </c>
      <c r="AP378" s="2">
        <f t="shared" si="44"/>
        <v>24</v>
      </c>
      <c r="AQ378" s="3">
        <f t="shared" si="45"/>
        <v>1</v>
      </c>
      <c r="AR378" s="1" t="str">
        <f>INDEX(IOS!$B:$B,MATCH(D378,IOS!A:A,0))&amp;B378</f>
        <v>O.D.4</v>
      </c>
      <c r="AS378" s="1">
        <f t="shared" si="46"/>
        <v>0</v>
      </c>
      <c r="AT378" s="1" t="str">
        <f>IF(ISBLANK(W378),"",IF(ISERROR(MATCH(W378,HQLATABLE!$A:$A,0)),0,1))</f>
        <v/>
      </c>
      <c r="AU378" s="1" t="str">
        <f t="shared" si="47"/>
        <v>Blank</v>
      </c>
      <c r="AV378" s="1" t="str">
        <f t="shared" si="48"/>
        <v>Blank</v>
      </c>
      <c r="AW378" s="1">
        <f t="shared" si="49"/>
        <v>0</v>
      </c>
      <c r="AX378" s="1">
        <f t="shared" si="50"/>
        <v>0</v>
      </c>
      <c r="AY378" s="1"/>
      <c r="AZ378" s="1">
        <f>IF(COUNTIFS('PID CHECK'!$B:$B,AR378)=1,0,IF(COUNTIFS(AR$1:AR377,AR378)=1,0,1))</f>
        <v>0</v>
      </c>
      <c r="BA378" s="1"/>
      <c r="BB378" s="1"/>
    </row>
    <row r="379" spans="1:54">
      <c r="A379">
        <v>378</v>
      </c>
      <c r="B379" t="s">
        <v>44</v>
      </c>
      <c r="C379" t="s">
        <v>161</v>
      </c>
      <c r="D379" t="s">
        <v>153</v>
      </c>
      <c r="E379" t="s">
        <v>47</v>
      </c>
      <c r="F379" t="s">
        <v>50</v>
      </c>
      <c r="H379" t="s">
        <v>1001</v>
      </c>
      <c r="J379" t="s">
        <v>49</v>
      </c>
      <c r="K379" t="s">
        <v>50</v>
      </c>
      <c r="L379" t="s">
        <v>762</v>
      </c>
      <c r="M379" t="s">
        <v>762</v>
      </c>
      <c r="N379">
        <v>0</v>
      </c>
      <c r="R379" t="s">
        <v>1002</v>
      </c>
      <c r="S379" t="s">
        <v>1002</v>
      </c>
      <c r="Z379" t="s">
        <v>84</v>
      </c>
      <c r="AA379" t="s">
        <v>156</v>
      </c>
      <c r="AC379" t="s">
        <v>883</v>
      </c>
      <c r="AD379" t="s">
        <v>50</v>
      </c>
      <c r="AH379">
        <v>3</v>
      </c>
      <c r="AM379">
        <v>43465</v>
      </c>
      <c r="AN379">
        <v>43469</v>
      </c>
      <c r="AO379" s="2">
        <f t="shared" si="43"/>
        <v>24</v>
      </c>
      <c r="AP379" s="2">
        <f t="shared" si="44"/>
        <v>24</v>
      </c>
      <c r="AQ379" s="3">
        <f t="shared" si="45"/>
        <v>1</v>
      </c>
      <c r="AR379" s="1" t="str">
        <f>INDEX(IOS!$B:$B,MATCH(D379,IOS!A:A,0))&amp;B379</f>
        <v>O.D.4</v>
      </c>
      <c r="AS379" s="1">
        <f t="shared" si="46"/>
        <v>0</v>
      </c>
      <c r="AT379" s="1" t="str">
        <f>IF(ISBLANK(W379),"",IF(ISERROR(MATCH(W379,HQLATABLE!$A:$A,0)),0,1))</f>
        <v/>
      </c>
      <c r="AU379" s="1" t="str">
        <f t="shared" si="47"/>
        <v>Blank</v>
      </c>
      <c r="AV379" s="1" t="str">
        <f t="shared" si="48"/>
        <v>Blank</v>
      </c>
      <c r="AW379" s="1">
        <f t="shared" si="49"/>
        <v>0</v>
      </c>
      <c r="AX379" s="1">
        <f t="shared" si="50"/>
        <v>0</v>
      </c>
      <c r="AY379" s="1"/>
      <c r="AZ379" s="1">
        <f>IF(COUNTIFS('PID CHECK'!$B:$B,AR379)=1,0,IF(COUNTIFS(AR$1:AR378,AR379)=1,0,1))</f>
        <v>0</v>
      </c>
      <c r="BA379" s="1"/>
      <c r="BB379" s="1"/>
    </row>
    <row r="380" spans="1:54">
      <c r="A380">
        <v>379</v>
      </c>
      <c r="B380" t="s">
        <v>44</v>
      </c>
      <c r="C380" t="s">
        <v>161</v>
      </c>
      <c r="D380" t="s">
        <v>153</v>
      </c>
      <c r="E380" t="s">
        <v>47</v>
      </c>
      <c r="F380" t="s">
        <v>50</v>
      </c>
      <c r="H380" t="s">
        <v>1028</v>
      </c>
      <c r="J380" t="s">
        <v>49</v>
      </c>
      <c r="K380" t="s">
        <v>50</v>
      </c>
      <c r="L380" t="s">
        <v>762</v>
      </c>
      <c r="M380" t="s">
        <v>762</v>
      </c>
      <c r="N380">
        <v>0</v>
      </c>
      <c r="R380" t="s">
        <v>1029</v>
      </c>
      <c r="S380" t="s">
        <v>1029</v>
      </c>
      <c r="Z380" t="s">
        <v>84</v>
      </c>
      <c r="AA380" t="s">
        <v>154</v>
      </c>
      <c r="AC380" t="s">
        <v>883</v>
      </c>
      <c r="AD380" t="s">
        <v>50</v>
      </c>
      <c r="AH380">
        <v>3</v>
      </c>
      <c r="AM380">
        <v>43465</v>
      </c>
      <c r="AN380">
        <v>43469</v>
      </c>
      <c r="AO380" s="2">
        <f t="shared" si="43"/>
        <v>25</v>
      </c>
      <c r="AP380" s="2">
        <f t="shared" si="44"/>
        <v>25</v>
      </c>
      <c r="AQ380" s="3">
        <f t="shared" si="45"/>
        <v>1</v>
      </c>
      <c r="AR380" s="1" t="str">
        <f>INDEX(IOS!$B:$B,MATCH(D380,IOS!A:A,0))&amp;B380</f>
        <v>O.D.4</v>
      </c>
      <c r="AS380" s="1">
        <f t="shared" si="46"/>
        <v>0</v>
      </c>
      <c r="AT380" s="1" t="str">
        <f>IF(ISBLANK(W380),"",IF(ISERROR(MATCH(W380,HQLATABLE!$A:$A,0)),0,1))</f>
        <v/>
      </c>
      <c r="AU380" s="1" t="str">
        <f t="shared" si="47"/>
        <v>Blank</v>
      </c>
      <c r="AV380" s="1" t="str">
        <f t="shared" si="48"/>
        <v>Blank</v>
      </c>
      <c r="AW380" s="1">
        <f t="shared" si="49"/>
        <v>0</v>
      </c>
      <c r="AX380" s="1">
        <f t="shared" si="50"/>
        <v>0</v>
      </c>
      <c r="AY380" s="1"/>
      <c r="AZ380" s="1">
        <f>IF(COUNTIFS('PID CHECK'!$B:$B,AR380)=1,0,IF(COUNTIFS(AR$1:AR379,AR380)=1,0,1))</f>
        <v>0</v>
      </c>
      <c r="BA380" s="1"/>
      <c r="BB380" s="1"/>
    </row>
    <row r="381" spans="1:54">
      <c r="A381">
        <v>380</v>
      </c>
      <c r="B381" t="s">
        <v>44</v>
      </c>
      <c r="C381" t="s">
        <v>161</v>
      </c>
      <c r="D381" t="s">
        <v>153</v>
      </c>
      <c r="E381" t="s">
        <v>47</v>
      </c>
      <c r="F381" t="s">
        <v>50</v>
      </c>
      <c r="H381" t="s">
        <v>79</v>
      </c>
      <c r="J381" t="s">
        <v>49</v>
      </c>
      <c r="K381" t="s">
        <v>50</v>
      </c>
      <c r="L381" t="s">
        <v>762</v>
      </c>
      <c r="M381" t="s">
        <v>762</v>
      </c>
      <c r="N381">
        <v>0</v>
      </c>
      <c r="R381" t="s">
        <v>80</v>
      </c>
      <c r="S381" t="s">
        <v>81</v>
      </c>
      <c r="Z381" t="s">
        <v>84</v>
      </c>
      <c r="AA381" t="s">
        <v>154</v>
      </c>
      <c r="AC381" t="s">
        <v>883</v>
      </c>
      <c r="AD381" t="s">
        <v>50</v>
      </c>
      <c r="AH381">
        <v>3</v>
      </c>
      <c r="AM381">
        <v>43465</v>
      </c>
      <c r="AN381">
        <v>43469</v>
      </c>
      <c r="AO381" s="2">
        <f t="shared" si="43"/>
        <v>271</v>
      </c>
      <c r="AP381" s="2">
        <f t="shared" si="44"/>
        <v>365</v>
      </c>
      <c r="AQ381" s="3">
        <f t="shared" si="45"/>
        <v>0</v>
      </c>
      <c r="AR381" s="1" t="str">
        <f>INDEX(IOS!$B:$B,MATCH(D381,IOS!A:A,0))&amp;B381</f>
        <v>O.D.4</v>
      </c>
      <c r="AS381" s="1">
        <f t="shared" si="46"/>
        <v>0</v>
      </c>
      <c r="AT381" s="1" t="str">
        <f>IF(ISBLANK(W381),"",IF(ISERROR(MATCH(W381,HQLATABLE!$A:$A,0)),0,1))</f>
        <v/>
      </c>
      <c r="AU381" s="1" t="str">
        <f t="shared" si="47"/>
        <v>Blank</v>
      </c>
      <c r="AV381" s="1" t="str">
        <f t="shared" si="48"/>
        <v>Blank</v>
      </c>
      <c r="AW381" s="1">
        <f t="shared" si="49"/>
        <v>0</v>
      </c>
      <c r="AX381" s="1">
        <f t="shared" si="50"/>
        <v>0</v>
      </c>
      <c r="AY381" s="1"/>
      <c r="AZ381" s="1">
        <f>IF(COUNTIFS('PID CHECK'!$B:$B,AR381)=1,0,IF(COUNTIFS(AR$1:AR380,AR381)=1,0,1))</f>
        <v>0</v>
      </c>
      <c r="BA381" s="1"/>
      <c r="BB381" s="1"/>
    </row>
    <row r="382" spans="1:54">
      <c r="A382">
        <v>381</v>
      </c>
      <c r="B382" t="s">
        <v>44</v>
      </c>
      <c r="C382" t="s">
        <v>161</v>
      </c>
      <c r="D382" t="s">
        <v>153</v>
      </c>
      <c r="E382" t="s">
        <v>47</v>
      </c>
      <c r="F382" t="s">
        <v>50</v>
      </c>
      <c r="H382" t="s">
        <v>79</v>
      </c>
      <c r="J382" t="s">
        <v>49</v>
      </c>
      <c r="K382" t="s">
        <v>50</v>
      </c>
      <c r="L382" t="s">
        <v>762</v>
      </c>
      <c r="M382" t="s">
        <v>762</v>
      </c>
      <c r="N382">
        <v>0</v>
      </c>
      <c r="R382" t="s">
        <v>80</v>
      </c>
      <c r="S382" t="s">
        <v>81</v>
      </c>
      <c r="Z382" t="s">
        <v>162</v>
      </c>
      <c r="AA382" t="s">
        <v>154</v>
      </c>
      <c r="AC382" t="s">
        <v>883</v>
      </c>
      <c r="AD382" t="s">
        <v>50</v>
      </c>
      <c r="AH382">
        <v>4</v>
      </c>
      <c r="AM382">
        <v>43465</v>
      </c>
      <c r="AN382">
        <v>43469</v>
      </c>
      <c r="AO382" s="2">
        <f t="shared" si="43"/>
        <v>271</v>
      </c>
      <c r="AP382" s="2">
        <f t="shared" si="44"/>
        <v>365</v>
      </c>
      <c r="AQ382" s="3">
        <f t="shared" si="45"/>
        <v>0</v>
      </c>
      <c r="AR382" s="1" t="str">
        <f>INDEX(IOS!$B:$B,MATCH(D382,IOS!A:A,0))&amp;B382</f>
        <v>O.D.4</v>
      </c>
      <c r="AS382" s="1">
        <f t="shared" si="46"/>
        <v>0</v>
      </c>
      <c r="AT382" s="1" t="str">
        <f>IF(ISBLANK(W382),"",IF(ISERROR(MATCH(W382,HQLATABLE!$A:$A,0)),0,1))</f>
        <v/>
      </c>
      <c r="AU382" s="1" t="str">
        <f t="shared" si="47"/>
        <v>Blank</v>
      </c>
      <c r="AV382" s="1" t="str">
        <f t="shared" si="48"/>
        <v>Blank</v>
      </c>
      <c r="AW382" s="1">
        <f t="shared" si="49"/>
        <v>0</v>
      </c>
      <c r="AX382" s="1">
        <f t="shared" si="50"/>
        <v>0</v>
      </c>
      <c r="AY382" s="1"/>
      <c r="AZ382" s="1">
        <f>IF(COUNTIFS('PID CHECK'!$B:$B,AR382)=1,0,IF(COUNTIFS(AR$1:AR381,AR382)=1,0,1))</f>
        <v>0</v>
      </c>
      <c r="BA382" s="1"/>
      <c r="BB382" s="1"/>
    </row>
    <row r="383" spans="1:54">
      <c r="A383">
        <v>382</v>
      </c>
      <c r="B383" t="s">
        <v>44</v>
      </c>
      <c r="C383" t="s">
        <v>161</v>
      </c>
      <c r="D383" t="s">
        <v>153</v>
      </c>
      <c r="E383" t="s">
        <v>47</v>
      </c>
      <c r="F383" t="s">
        <v>50</v>
      </c>
      <c r="H383" t="s">
        <v>79</v>
      </c>
      <c r="J383" t="s">
        <v>49</v>
      </c>
      <c r="K383" t="s">
        <v>50</v>
      </c>
      <c r="L383" t="s">
        <v>762</v>
      </c>
      <c r="M383" t="s">
        <v>762</v>
      </c>
      <c r="N383">
        <v>0</v>
      </c>
      <c r="R383" t="s">
        <v>80</v>
      </c>
      <c r="S383" t="s">
        <v>81</v>
      </c>
      <c r="Z383" t="s">
        <v>84</v>
      </c>
      <c r="AA383" t="s">
        <v>156</v>
      </c>
      <c r="AC383" t="s">
        <v>883</v>
      </c>
      <c r="AD383" t="s">
        <v>50</v>
      </c>
      <c r="AH383">
        <v>3</v>
      </c>
      <c r="AM383">
        <v>43465</v>
      </c>
      <c r="AN383">
        <v>43469</v>
      </c>
      <c r="AO383" s="2">
        <f t="shared" si="43"/>
        <v>271</v>
      </c>
      <c r="AP383" s="2">
        <f t="shared" si="44"/>
        <v>365</v>
      </c>
      <c r="AQ383" s="3">
        <f t="shared" si="45"/>
        <v>0</v>
      </c>
      <c r="AR383" s="1" t="str">
        <f>INDEX(IOS!$B:$B,MATCH(D383,IOS!A:A,0))&amp;B383</f>
        <v>O.D.4</v>
      </c>
      <c r="AS383" s="1">
        <f t="shared" si="46"/>
        <v>0</v>
      </c>
      <c r="AT383" s="1" t="str">
        <f>IF(ISBLANK(W383),"",IF(ISERROR(MATCH(W383,HQLATABLE!$A:$A,0)),0,1))</f>
        <v/>
      </c>
      <c r="AU383" s="1" t="str">
        <f t="shared" si="47"/>
        <v>Blank</v>
      </c>
      <c r="AV383" s="1" t="str">
        <f t="shared" si="48"/>
        <v>Blank</v>
      </c>
      <c r="AW383" s="1">
        <f t="shared" si="49"/>
        <v>0</v>
      </c>
      <c r="AX383" s="1">
        <f t="shared" si="50"/>
        <v>0</v>
      </c>
      <c r="AY383" s="1"/>
      <c r="AZ383" s="1">
        <f>IF(COUNTIFS('PID CHECK'!$B:$B,AR383)=1,0,IF(COUNTIFS(AR$1:AR382,AR383)=1,0,1))</f>
        <v>0</v>
      </c>
      <c r="BA383" s="1"/>
      <c r="BB383" s="1"/>
    </row>
    <row r="384" spans="1:54">
      <c r="A384">
        <v>383</v>
      </c>
      <c r="B384" t="s">
        <v>44</v>
      </c>
      <c r="C384" t="s">
        <v>161</v>
      </c>
      <c r="D384" t="s">
        <v>153</v>
      </c>
      <c r="E384" t="s">
        <v>47</v>
      </c>
      <c r="F384" t="s">
        <v>50</v>
      </c>
      <c r="H384" t="s">
        <v>958</v>
      </c>
      <c r="J384" t="s">
        <v>49</v>
      </c>
      <c r="K384" t="s">
        <v>50</v>
      </c>
      <c r="L384" t="s">
        <v>762</v>
      </c>
      <c r="M384" t="s">
        <v>762</v>
      </c>
      <c r="N384">
        <v>0</v>
      </c>
      <c r="R384" t="s">
        <v>959</v>
      </c>
      <c r="S384" t="s">
        <v>959</v>
      </c>
      <c r="Z384" t="s">
        <v>84</v>
      </c>
      <c r="AA384" t="s">
        <v>154</v>
      </c>
      <c r="AC384" t="s">
        <v>883</v>
      </c>
      <c r="AD384" t="s">
        <v>50</v>
      </c>
      <c r="AH384">
        <v>3</v>
      </c>
      <c r="AM384">
        <v>43465</v>
      </c>
      <c r="AN384">
        <v>43469</v>
      </c>
      <c r="AO384" s="2">
        <f t="shared" si="43"/>
        <v>28</v>
      </c>
      <c r="AP384" s="2">
        <f t="shared" si="44"/>
        <v>28</v>
      </c>
      <c r="AQ384" s="3">
        <f t="shared" si="45"/>
        <v>1</v>
      </c>
      <c r="AR384" s="1" t="str">
        <f>INDEX(IOS!$B:$B,MATCH(D384,IOS!A:A,0))&amp;B384</f>
        <v>O.D.4</v>
      </c>
      <c r="AS384" s="1">
        <f t="shared" si="46"/>
        <v>0</v>
      </c>
      <c r="AT384" s="1" t="str">
        <f>IF(ISBLANK(W384),"",IF(ISERROR(MATCH(W384,HQLATABLE!$A:$A,0)),0,1))</f>
        <v/>
      </c>
      <c r="AU384" s="1" t="str">
        <f t="shared" si="47"/>
        <v>Blank</v>
      </c>
      <c r="AV384" s="1" t="str">
        <f t="shared" si="48"/>
        <v>Blank</v>
      </c>
      <c r="AW384" s="1">
        <f t="shared" si="49"/>
        <v>0</v>
      </c>
      <c r="AX384" s="1">
        <f t="shared" si="50"/>
        <v>0</v>
      </c>
      <c r="AY384" s="1"/>
      <c r="AZ384" s="1">
        <f>IF(COUNTIFS('PID CHECK'!$B:$B,AR384)=1,0,IF(COUNTIFS(AR$1:AR383,AR384)=1,0,1))</f>
        <v>0</v>
      </c>
      <c r="BA384" s="1"/>
      <c r="BB384" s="1"/>
    </row>
    <row r="385" spans="1:54">
      <c r="A385">
        <v>384</v>
      </c>
      <c r="B385" t="s">
        <v>44</v>
      </c>
      <c r="C385" t="s">
        <v>161</v>
      </c>
      <c r="D385" t="s">
        <v>153</v>
      </c>
      <c r="E385" t="s">
        <v>47</v>
      </c>
      <c r="F385" t="s">
        <v>50</v>
      </c>
      <c r="H385" t="s">
        <v>1046</v>
      </c>
      <c r="J385" t="s">
        <v>49</v>
      </c>
      <c r="K385" t="s">
        <v>50</v>
      </c>
      <c r="L385" t="s">
        <v>762</v>
      </c>
      <c r="M385" t="s">
        <v>762</v>
      </c>
      <c r="N385">
        <v>0</v>
      </c>
      <c r="R385" t="s">
        <v>1047</v>
      </c>
      <c r="S385" t="s">
        <v>1047</v>
      </c>
      <c r="Z385" t="s">
        <v>84</v>
      </c>
      <c r="AA385" t="s">
        <v>154</v>
      </c>
      <c r="AC385" t="s">
        <v>883</v>
      </c>
      <c r="AD385" t="s">
        <v>50</v>
      </c>
      <c r="AH385">
        <v>3</v>
      </c>
      <c r="AM385">
        <v>43465</v>
      </c>
      <c r="AN385">
        <v>43469</v>
      </c>
      <c r="AO385" s="2">
        <f t="shared" si="43"/>
        <v>29</v>
      </c>
      <c r="AP385" s="2">
        <f t="shared" si="44"/>
        <v>29</v>
      </c>
      <c r="AQ385" s="3">
        <f t="shared" si="45"/>
        <v>1</v>
      </c>
      <c r="AR385" s="1" t="str">
        <f>INDEX(IOS!$B:$B,MATCH(D385,IOS!A:A,0))&amp;B385</f>
        <v>O.D.4</v>
      </c>
      <c r="AS385" s="1">
        <f t="shared" si="46"/>
        <v>0</v>
      </c>
      <c r="AT385" s="1" t="str">
        <f>IF(ISBLANK(W385),"",IF(ISERROR(MATCH(W385,HQLATABLE!$A:$A,0)),0,1))</f>
        <v/>
      </c>
      <c r="AU385" s="1" t="str">
        <f t="shared" si="47"/>
        <v>Blank</v>
      </c>
      <c r="AV385" s="1" t="str">
        <f t="shared" si="48"/>
        <v>Blank</v>
      </c>
      <c r="AW385" s="1">
        <f t="shared" si="49"/>
        <v>0</v>
      </c>
      <c r="AX385" s="1">
        <f t="shared" si="50"/>
        <v>0</v>
      </c>
      <c r="AY385" s="1"/>
      <c r="AZ385" s="1">
        <f>IF(COUNTIFS('PID CHECK'!$B:$B,AR385)=1,0,IF(COUNTIFS(AR$1:AR384,AR385)=1,0,1))</f>
        <v>0</v>
      </c>
      <c r="BA385" s="1"/>
      <c r="BB385" s="1"/>
    </row>
    <row r="386" spans="1:54">
      <c r="A386">
        <v>385</v>
      </c>
      <c r="B386" t="s">
        <v>44</v>
      </c>
      <c r="C386" t="s">
        <v>161</v>
      </c>
      <c r="D386" t="s">
        <v>153</v>
      </c>
      <c r="E386" t="s">
        <v>47</v>
      </c>
      <c r="F386" t="s">
        <v>50</v>
      </c>
      <c r="H386" t="s">
        <v>1046</v>
      </c>
      <c r="J386" t="s">
        <v>49</v>
      </c>
      <c r="K386" t="s">
        <v>50</v>
      </c>
      <c r="L386" t="s">
        <v>762</v>
      </c>
      <c r="M386" t="s">
        <v>762</v>
      </c>
      <c r="N386">
        <v>0</v>
      </c>
      <c r="R386" t="s">
        <v>1047</v>
      </c>
      <c r="S386" t="s">
        <v>1047</v>
      </c>
      <c r="Z386" t="s">
        <v>84</v>
      </c>
      <c r="AA386" t="s">
        <v>156</v>
      </c>
      <c r="AC386" t="s">
        <v>883</v>
      </c>
      <c r="AD386" t="s">
        <v>50</v>
      </c>
      <c r="AH386">
        <v>3</v>
      </c>
      <c r="AM386">
        <v>43465</v>
      </c>
      <c r="AN386">
        <v>43469</v>
      </c>
      <c r="AO386" s="2">
        <f t="shared" si="43"/>
        <v>29</v>
      </c>
      <c r="AP386" s="2">
        <f t="shared" si="44"/>
        <v>29</v>
      </c>
      <c r="AQ386" s="3">
        <f t="shared" si="45"/>
        <v>1</v>
      </c>
      <c r="AR386" s="1" t="str">
        <f>INDEX(IOS!$B:$B,MATCH(D386,IOS!A:A,0))&amp;B386</f>
        <v>O.D.4</v>
      </c>
      <c r="AS386" s="1">
        <f t="shared" si="46"/>
        <v>0</v>
      </c>
      <c r="AT386" s="1" t="str">
        <f>IF(ISBLANK(W386),"",IF(ISERROR(MATCH(W386,HQLATABLE!$A:$A,0)),0,1))</f>
        <v/>
      </c>
      <c r="AU386" s="1" t="str">
        <f t="shared" si="47"/>
        <v>Blank</v>
      </c>
      <c r="AV386" s="1" t="str">
        <f t="shared" si="48"/>
        <v>Blank</v>
      </c>
      <c r="AW386" s="1">
        <f t="shared" si="49"/>
        <v>0</v>
      </c>
      <c r="AX386" s="1">
        <f t="shared" si="50"/>
        <v>0</v>
      </c>
      <c r="AY386" s="1"/>
      <c r="AZ386" s="1">
        <f>IF(COUNTIFS('PID CHECK'!$B:$B,AR386)=1,0,IF(COUNTIFS(AR$1:AR385,AR386)=1,0,1))</f>
        <v>0</v>
      </c>
      <c r="BA386" s="1"/>
      <c r="BB386" s="1"/>
    </row>
    <row r="387" spans="1:54">
      <c r="A387">
        <v>386</v>
      </c>
      <c r="B387" t="s">
        <v>44</v>
      </c>
      <c r="C387" t="s">
        <v>161</v>
      </c>
      <c r="D387" t="s">
        <v>153</v>
      </c>
      <c r="E387" t="s">
        <v>47</v>
      </c>
      <c r="F387" t="s">
        <v>50</v>
      </c>
      <c r="H387" t="s">
        <v>1030</v>
      </c>
      <c r="J387" t="s">
        <v>49</v>
      </c>
      <c r="K387" t="s">
        <v>50</v>
      </c>
      <c r="L387" t="s">
        <v>762</v>
      </c>
      <c r="M387" t="s">
        <v>762</v>
      </c>
      <c r="N387">
        <v>405</v>
      </c>
      <c r="R387" t="s">
        <v>1031</v>
      </c>
      <c r="S387" t="s">
        <v>1031</v>
      </c>
      <c r="Z387" t="s">
        <v>84</v>
      </c>
      <c r="AA387" t="s">
        <v>156</v>
      </c>
      <c r="AC387" t="s">
        <v>883</v>
      </c>
      <c r="AD387" t="s">
        <v>50</v>
      </c>
      <c r="AH387">
        <v>3</v>
      </c>
      <c r="AM387">
        <v>43465</v>
      </c>
      <c r="AN387">
        <v>43469</v>
      </c>
      <c r="AO387" s="2">
        <f t="shared" ref="AO387:AO450" si="51">VALUE(MID(R387,FIND("P",R387)+1,FIND("D",R387)-1-FIND("P",R387)))</f>
        <v>2</v>
      </c>
      <c r="AP387" s="2">
        <f t="shared" ref="AP387:AP450" si="52">IFERROR(VALUE(MID(S387,FIND("P",S387)+1,FIND("D",S387)-1-FIND("P",S387))),99999)</f>
        <v>2</v>
      </c>
      <c r="AQ387" s="3">
        <f t="shared" ref="AQ387:AQ450" si="53">IF(AO387&lt;=30,1,0)</f>
        <v>1</v>
      </c>
      <c r="AR387" s="1" t="str">
        <f>INDEX(IOS!$B:$B,MATCH(D387,IOS!A:A,0))&amp;B387</f>
        <v>O.D.4</v>
      </c>
      <c r="AS387" s="1">
        <f t="shared" ref="AS387:AS450" si="54">IF(F387="","Blank",IF(F387="True",1,0))</f>
        <v>0</v>
      </c>
      <c r="AT387" s="1" t="str">
        <f>IF(ISBLANK(W387),"",IF(ISERROR(MATCH(W387,HQLATABLE!$A:$A,0)),0,1))</f>
        <v/>
      </c>
      <c r="AU387" s="1" t="str">
        <f t="shared" ref="AU387:AU450" si="55">IF(V387="","Blank",IF(V387="True",1,0))</f>
        <v>Blank</v>
      </c>
      <c r="AV387" s="1" t="str">
        <f t="shared" ref="AV387:AV450" si="56">IF(AG387="","Blank",IF(AG387="True",1,0))</f>
        <v>Blank</v>
      </c>
      <c r="AW387" s="1">
        <f t="shared" ref="AW387:AW450" si="57">IF(X387="",0,IF(OR(X387&gt;=N387),-1,1))</f>
        <v>0</v>
      </c>
      <c r="AX387" s="1">
        <f t="shared" ref="AX387:AX450" si="58">IF(AC387="","Blank",IF(AC387="True",1,0))</f>
        <v>0</v>
      </c>
      <c r="AY387" s="1"/>
      <c r="AZ387" s="1">
        <f>IF(COUNTIFS('PID CHECK'!$B:$B,AR387)=1,0,IF(COUNTIFS(AR$1:AR386,AR387)=1,0,1))</f>
        <v>0</v>
      </c>
      <c r="BA387" s="1"/>
      <c r="BB387" s="1"/>
    </row>
    <row r="388" spans="1:54">
      <c r="A388">
        <v>387</v>
      </c>
      <c r="B388" t="s">
        <v>44</v>
      </c>
      <c r="C388" t="s">
        <v>161</v>
      </c>
      <c r="D388" t="s">
        <v>153</v>
      </c>
      <c r="E388" t="s">
        <v>47</v>
      </c>
      <c r="F388" t="s">
        <v>50</v>
      </c>
      <c r="H388" t="s">
        <v>1026</v>
      </c>
      <c r="J388" t="s">
        <v>49</v>
      </c>
      <c r="K388" t="s">
        <v>50</v>
      </c>
      <c r="L388" t="s">
        <v>762</v>
      </c>
      <c r="M388" t="s">
        <v>762</v>
      </c>
      <c r="N388">
        <v>0</v>
      </c>
      <c r="R388" t="s">
        <v>1027</v>
      </c>
      <c r="S388" t="s">
        <v>1027</v>
      </c>
      <c r="Z388" t="s">
        <v>84</v>
      </c>
      <c r="AA388" t="s">
        <v>154</v>
      </c>
      <c r="AC388" t="s">
        <v>883</v>
      </c>
      <c r="AD388" t="s">
        <v>50</v>
      </c>
      <c r="AH388">
        <v>3</v>
      </c>
      <c r="AM388">
        <v>43465</v>
      </c>
      <c r="AN388">
        <v>43469</v>
      </c>
      <c r="AO388" s="2">
        <f t="shared" si="51"/>
        <v>30</v>
      </c>
      <c r="AP388" s="2">
        <f t="shared" si="52"/>
        <v>30</v>
      </c>
      <c r="AQ388" s="3">
        <f t="shared" si="53"/>
        <v>1</v>
      </c>
      <c r="AR388" s="1" t="str">
        <f>INDEX(IOS!$B:$B,MATCH(D388,IOS!A:A,0))&amp;B388</f>
        <v>O.D.4</v>
      </c>
      <c r="AS388" s="1">
        <f t="shared" si="54"/>
        <v>0</v>
      </c>
      <c r="AT388" s="1" t="str">
        <f>IF(ISBLANK(W388),"",IF(ISERROR(MATCH(W388,HQLATABLE!$A:$A,0)),0,1))</f>
        <v/>
      </c>
      <c r="AU388" s="1" t="str">
        <f t="shared" si="55"/>
        <v>Blank</v>
      </c>
      <c r="AV388" s="1" t="str">
        <f t="shared" si="56"/>
        <v>Blank</v>
      </c>
      <c r="AW388" s="1">
        <f t="shared" si="57"/>
        <v>0</v>
      </c>
      <c r="AX388" s="1">
        <f t="shared" si="58"/>
        <v>0</v>
      </c>
      <c r="AY388" s="1"/>
      <c r="AZ388" s="1">
        <f>IF(COUNTIFS('PID CHECK'!$B:$B,AR388)=1,0,IF(COUNTIFS(AR$1:AR387,AR388)=1,0,1))</f>
        <v>0</v>
      </c>
      <c r="BA388" s="1"/>
      <c r="BB388" s="1"/>
    </row>
    <row r="389" spans="1:54">
      <c r="A389">
        <v>388</v>
      </c>
      <c r="B389" t="s">
        <v>44</v>
      </c>
      <c r="C389" t="s">
        <v>161</v>
      </c>
      <c r="D389" t="s">
        <v>153</v>
      </c>
      <c r="E389" t="s">
        <v>47</v>
      </c>
      <c r="F389" t="s">
        <v>50</v>
      </c>
      <c r="H389" t="s">
        <v>1003</v>
      </c>
      <c r="J389" t="s">
        <v>49</v>
      </c>
      <c r="K389" t="s">
        <v>50</v>
      </c>
      <c r="L389" t="s">
        <v>762</v>
      </c>
      <c r="M389" t="s">
        <v>762</v>
      </c>
      <c r="N389">
        <v>0</v>
      </c>
      <c r="R389" t="s">
        <v>1004</v>
      </c>
      <c r="S389" t="s">
        <v>1004</v>
      </c>
      <c r="Z389" t="s">
        <v>84</v>
      </c>
      <c r="AA389" t="s">
        <v>154</v>
      </c>
      <c r="AC389" t="s">
        <v>883</v>
      </c>
      <c r="AD389" t="s">
        <v>50</v>
      </c>
      <c r="AH389">
        <v>3</v>
      </c>
      <c r="AM389">
        <v>43465</v>
      </c>
      <c r="AN389">
        <v>43469</v>
      </c>
      <c r="AO389" s="2">
        <f t="shared" si="51"/>
        <v>31</v>
      </c>
      <c r="AP389" s="2">
        <f t="shared" si="52"/>
        <v>31</v>
      </c>
      <c r="AQ389" s="3">
        <f t="shared" si="53"/>
        <v>0</v>
      </c>
      <c r="AR389" s="1" t="str">
        <f>INDEX(IOS!$B:$B,MATCH(D389,IOS!A:A,0))&amp;B389</f>
        <v>O.D.4</v>
      </c>
      <c r="AS389" s="1">
        <f t="shared" si="54"/>
        <v>0</v>
      </c>
      <c r="AT389" s="1" t="str">
        <f>IF(ISBLANK(W389),"",IF(ISERROR(MATCH(W389,HQLATABLE!$A:$A,0)),0,1))</f>
        <v/>
      </c>
      <c r="AU389" s="1" t="str">
        <f t="shared" si="55"/>
        <v>Blank</v>
      </c>
      <c r="AV389" s="1" t="str">
        <f t="shared" si="56"/>
        <v>Blank</v>
      </c>
      <c r="AW389" s="1">
        <f t="shared" si="57"/>
        <v>0</v>
      </c>
      <c r="AX389" s="1">
        <f t="shared" si="58"/>
        <v>0</v>
      </c>
      <c r="AY389" s="1"/>
      <c r="AZ389" s="1">
        <f>IF(COUNTIFS('PID CHECK'!$B:$B,AR389)=1,0,IF(COUNTIFS(AR$1:AR388,AR389)=1,0,1))</f>
        <v>0</v>
      </c>
      <c r="BA389" s="1"/>
      <c r="BB389" s="1"/>
    </row>
    <row r="390" spans="1:54">
      <c r="A390">
        <v>389</v>
      </c>
      <c r="B390" t="s">
        <v>44</v>
      </c>
      <c r="C390" t="s">
        <v>161</v>
      </c>
      <c r="D390" t="s">
        <v>153</v>
      </c>
      <c r="E390" t="s">
        <v>47</v>
      </c>
      <c r="F390" t="s">
        <v>50</v>
      </c>
      <c r="H390" t="s">
        <v>1003</v>
      </c>
      <c r="J390" t="s">
        <v>49</v>
      </c>
      <c r="K390" t="s">
        <v>50</v>
      </c>
      <c r="L390" t="s">
        <v>762</v>
      </c>
      <c r="M390" t="s">
        <v>762</v>
      </c>
      <c r="N390">
        <v>0</v>
      </c>
      <c r="R390" t="s">
        <v>1004</v>
      </c>
      <c r="S390" t="s">
        <v>1004</v>
      </c>
      <c r="Z390" t="s">
        <v>84</v>
      </c>
      <c r="AA390" t="s">
        <v>156</v>
      </c>
      <c r="AC390" t="s">
        <v>883</v>
      </c>
      <c r="AD390" t="s">
        <v>50</v>
      </c>
      <c r="AH390">
        <v>3</v>
      </c>
      <c r="AM390">
        <v>43465</v>
      </c>
      <c r="AN390">
        <v>43469</v>
      </c>
      <c r="AO390" s="2">
        <f t="shared" si="51"/>
        <v>31</v>
      </c>
      <c r="AP390" s="2">
        <f t="shared" si="52"/>
        <v>31</v>
      </c>
      <c r="AQ390" s="3">
        <f t="shared" si="53"/>
        <v>0</v>
      </c>
      <c r="AR390" s="1" t="str">
        <f>INDEX(IOS!$B:$B,MATCH(D390,IOS!A:A,0))&amp;B390</f>
        <v>O.D.4</v>
      </c>
      <c r="AS390" s="1">
        <f t="shared" si="54"/>
        <v>0</v>
      </c>
      <c r="AT390" s="1" t="str">
        <f>IF(ISBLANK(W390),"",IF(ISERROR(MATCH(W390,HQLATABLE!$A:$A,0)),0,1))</f>
        <v/>
      </c>
      <c r="AU390" s="1" t="str">
        <f t="shared" si="55"/>
        <v>Blank</v>
      </c>
      <c r="AV390" s="1" t="str">
        <f t="shared" si="56"/>
        <v>Blank</v>
      </c>
      <c r="AW390" s="1">
        <f t="shared" si="57"/>
        <v>0</v>
      </c>
      <c r="AX390" s="1">
        <f t="shared" si="58"/>
        <v>0</v>
      </c>
      <c r="AY390" s="1"/>
      <c r="AZ390" s="1">
        <f>IF(COUNTIFS('PID CHECK'!$B:$B,AR390)=1,0,IF(COUNTIFS(AR$1:AR389,AR390)=1,0,1))</f>
        <v>0</v>
      </c>
      <c r="BA390" s="1"/>
      <c r="BB390" s="1"/>
    </row>
    <row r="391" spans="1:54">
      <c r="A391">
        <v>390</v>
      </c>
      <c r="B391" t="s">
        <v>44</v>
      </c>
      <c r="C391" t="s">
        <v>161</v>
      </c>
      <c r="D391" t="s">
        <v>153</v>
      </c>
      <c r="E391" t="s">
        <v>47</v>
      </c>
      <c r="F391" t="s">
        <v>50</v>
      </c>
      <c r="H391" t="s">
        <v>131</v>
      </c>
      <c r="J391" t="s">
        <v>49</v>
      </c>
      <c r="K391" t="s">
        <v>50</v>
      </c>
      <c r="L391" t="s">
        <v>762</v>
      </c>
      <c r="M391" t="s">
        <v>762</v>
      </c>
      <c r="N391">
        <v>0</v>
      </c>
      <c r="R391" t="s">
        <v>132</v>
      </c>
      <c r="S391" t="s">
        <v>133</v>
      </c>
      <c r="Z391" t="s">
        <v>84</v>
      </c>
      <c r="AA391" t="s">
        <v>154</v>
      </c>
      <c r="AC391" t="s">
        <v>883</v>
      </c>
      <c r="AD391" t="s">
        <v>50</v>
      </c>
      <c r="AH391">
        <v>3</v>
      </c>
      <c r="AM391">
        <v>43465</v>
      </c>
      <c r="AN391">
        <v>43469</v>
      </c>
      <c r="AO391" s="2">
        <f t="shared" si="51"/>
        <v>366</v>
      </c>
      <c r="AP391" s="2">
        <f t="shared" si="52"/>
        <v>730</v>
      </c>
      <c r="AQ391" s="3">
        <f t="shared" si="53"/>
        <v>0</v>
      </c>
      <c r="AR391" s="1" t="str">
        <f>INDEX(IOS!$B:$B,MATCH(D391,IOS!A:A,0))&amp;B391</f>
        <v>O.D.4</v>
      </c>
      <c r="AS391" s="1">
        <f t="shared" si="54"/>
        <v>0</v>
      </c>
      <c r="AT391" s="1" t="str">
        <f>IF(ISBLANK(W391),"",IF(ISERROR(MATCH(W391,HQLATABLE!$A:$A,0)),0,1))</f>
        <v/>
      </c>
      <c r="AU391" s="1" t="str">
        <f t="shared" si="55"/>
        <v>Blank</v>
      </c>
      <c r="AV391" s="1" t="str">
        <f t="shared" si="56"/>
        <v>Blank</v>
      </c>
      <c r="AW391" s="1">
        <f t="shared" si="57"/>
        <v>0</v>
      </c>
      <c r="AX391" s="1">
        <f t="shared" si="58"/>
        <v>0</v>
      </c>
      <c r="AY391" s="1"/>
      <c r="AZ391" s="1">
        <f>IF(COUNTIFS('PID CHECK'!$B:$B,AR391)=1,0,IF(COUNTIFS(AR$1:AR390,AR391)=1,0,1))</f>
        <v>0</v>
      </c>
      <c r="BA391" s="1"/>
      <c r="BB391" s="1"/>
    </row>
    <row r="392" spans="1:54">
      <c r="A392">
        <v>391</v>
      </c>
      <c r="B392" t="s">
        <v>44</v>
      </c>
      <c r="C392" t="s">
        <v>161</v>
      </c>
      <c r="D392" t="s">
        <v>153</v>
      </c>
      <c r="E392" t="s">
        <v>47</v>
      </c>
      <c r="F392" t="s">
        <v>50</v>
      </c>
      <c r="H392" t="s">
        <v>131</v>
      </c>
      <c r="J392" t="s">
        <v>49</v>
      </c>
      <c r="K392" t="s">
        <v>50</v>
      </c>
      <c r="L392" t="s">
        <v>762</v>
      </c>
      <c r="M392" t="s">
        <v>762</v>
      </c>
      <c r="N392">
        <v>0</v>
      </c>
      <c r="R392" t="s">
        <v>132</v>
      </c>
      <c r="S392" t="s">
        <v>133</v>
      </c>
      <c r="Z392" t="s">
        <v>84</v>
      </c>
      <c r="AA392" t="s">
        <v>156</v>
      </c>
      <c r="AC392" t="s">
        <v>883</v>
      </c>
      <c r="AD392" t="s">
        <v>50</v>
      </c>
      <c r="AH392">
        <v>3</v>
      </c>
      <c r="AM392">
        <v>43465</v>
      </c>
      <c r="AN392">
        <v>43469</v>
      </c>
      <c r="AO392" s="2">
        <f t="shared" si="51"/>
        <v>366</v>
      </c>
      <c r="AP392" s="2">
        <f t="shared" si="52"/>
        <v>730</v>
      </c>
      <c r="AQ392" s="3">
        <f t="shared" si="53"/>
        <v>0</v>
      </c>
      <c r="AR392" s="1" t="str">
        <f>INDEX(IOS!$B:$B,MATCH(D392,IOS!A:A,0))&amp;B392</f>
        <v>O.D.4</v>
      </c>
      <c r="AS392" s="1">
        <f t="shared" si="54"/>
        <v>0</v>
      </c>
      <c r="AT392" s="1" t="str">
        <f>IF(ISBLANK(W392),"",IF(ISERROR(MATCH(W392,HQLATABLE!$A:$A,0)),0,1))</f>
        <v/>
      </c>
      <c r="AU392" s="1" t="str">
        <f t="shared" si="55"/>
        <v>Blank</v>
      </c>
      <c r="AV392" s="1" t="str">
        <f t="shared" si="56"/>
        <v>Blank</v>
      </c>
      <c r="AW392" s="1">
        <f t="shared" si="57"/>
        <v>0</v>
      </c>
      <c r="AX392" s="1">
        <f t="shared" si="58"/>
        <v>0</v>
      </c>
      <c r="AY392" s="1"/>
      <c r="AZ392" s="1">
        <f>IF(COUNTIFS('PID CHECK'!$B:$B,AR392)=1,0,IF(COUNTIFS(AR$1:AR391,AR392)=1,0,1))</f>
        <v>0</v>
      </c>
      <c r="BA392" s="1"/>
      <c r="BB392" s="1"/>
    </row>
    <row r="393" spans="1:54">
      <c r="A393">
        <v>392</v>
      </c>
      <c r="B393" t="s">
        <v>44</v>
      </c>
      <c r="C393" t="s">
        <v>161</v>
      </c>
      <c r="D393" t="s">
        <v>153</v>
      </c>
      <c r="E393" t="s">
        <v>47</v>
      </c>
      <c r="F393" t="s">
        <v>50</v>
      </c>
      <c r="H393" t="s">
        <v>1005</v>
      </c>
      <c r="J393" t="s">
        <v>49</v>
      </c>
      <c r="K393" t="s">
        <v>50</v>
      </c>
      <c r="L393" t="s">
        <v>762</v>
      </c>
      <c r="M393" t="s">
        <v>762</v>
      </c>
      <c r="N393">
        <v>0</v>
      </c>
      <c r="R393" t="s">
        <v>1006</v>
      </c>
      <c r="S393" t="s">
        <v>1006</v>
      </c>
      <c r="Z393" t="s">
        <v>84</v>
      </c>
      <c r="AA393" t="s">
        <v>154</v>
      </c>
      <c r="AC393" t="s">
        <v>883</v>
      </c>
      <c r="AD393" t="s">
        <v>50</v>
      </c>
      <c r="AH393">
        <v>3</v>
      </c>
      <c r="AM393">
        <v>43465</v>
      </c>
      <c r="AN393">
        <v>43469</v>
      </c>
      <c r="AO393" s="2">
        <f t="shared" si="51"/>
        <v>38</v>
      </c>
      <c r="AP393" s="2">
        <f t="shared" si="52"/>
        <v>38</v>
      </c>
      <c r="AQ393" s="3">
        <f t="shared" si="53"/>
        <v>0</v>
      </c>
      <c r="AR393" s="1" t="str">
        <f>INDEX(IOS!$B:$B,MATCH(D393,IOS!A:A,0))&amp;B393</f>
        <v>O.D.4</v>
      </c>
      <c r="AS393" s="1">
        <f t="shared" si="54"/>
        <v>0</v>
      </c>
      <c r="AT393" s="1" t="str">
        <f>IF(ISBLANK(W393),"",IF(ISERROR(MATCH(W393,HQLATABLE!$A:$A,0)),0,1))</f>
        <v/>
      </c>
      <c r="AU393" s="1" t="str">
        <f t="shared" si="55"/>
        <v>Blank</v>
      </c>
      <c r="AV393" s="1" t="str">
        <f t="shared" si="56"/>
        <v>Blank</v>
      </c>
      <c r="AW393" s="1">
        <f t="shared" si="57"/>
        <v>0</v>
      </c>
      <c r="AX393" s="1">
        <f t="shared" si="58"/>
        <v>0</v>
      </c>
      <c r="AY393" s="1"/>
      <c r="AZ393" s="1">
        <f>IF(COUNTIFS('PID CHECK'!$B:$B,AR393)=1,0,IF(COUNTIFS(AR$1:AR392,AR393)=1,0,1))</f>
        <v>0</v>
      </c>
      <c r="BA393" s="1"/>
      <c r="BB393" s="1"/>
    </row>
    <row r="394" spans="1:54">
      <c r="A394">
        <v>393</v>
      </c>
      <c r="B394" t="s">
        <v>44</v>
      </c>
      <c r="C394" t="s">
        <v>161</v>
      </c>
      <c r="D394" t="s">
        <v>153</v>
      </c>
      <c r="E394" t="s">
        <v>47</v>
      </c>
      <c r="F394" t="s">
        <v>50</v>
      </c>
      <c r="H394" t="s">
        <v>1023</v>
      </c>
      <c r="J394" t="s">
        <v>49</v>
      </c>
      <c r="K394" t="s">
        <v>50</v>
      </c>
      <c r="L394" t="s">
        <v>762</v>
      </c>
      <c r="M394" t="s">
        <v>762</v>
      </c>
      <c r="N394">
        <v>0</v>
      </c>
      <c r="R394" t="s">
        <v>1024</v>
      </c>
      <c r="S394" t="s">
        <v>1024</v>
      </c>
      <c r="Z394" t="s">
        <v>84</v>
      </c>
      <c r="AA394" t="s">
        <v>156</v>
      </c>
      <c r="AC394" t="s">
        <v>883</v>
      </c>
      <c r="AD394" t="s">
        <v>50</v>
      </c>
      <c r="AH394">
        <v>3</v>
      </c>
      <c r="AM394">
        <v>43465</v>
      </c>
      <c r="AN394">
        <v>43469</v>
      </c>
      <c r="AO394" s="2">
        <f t="shared" si="51"/>
        <v>39</v>
      </c>
      <c r="AP394" s="2">
        <f t="shared" si="52"/>
        <v>39</v>
      </c>
      <c r="AQ394" s="3">
        <f t="shared" si="53"/>
        <v>0</v>
      </c>
      <c r="AR394" s="1" t="str">
        <f>INDEX(IOS!$B:$B,MATCH(D394,IOS!A:A,0))&amp;B394</f>
        <v>O.D.4</v>
      </c>
      <c r="AS394" s="1">
        <f t="shared" si="54"/>
        <v>0</v>
      </c>
      <c r="AT394" s="1" t="str">
        <f>IF(ISBLANK(W394),"",IF(ISERROR(MATCH(W394,HQLATABLE!$A:$A,0)),0,1))</f>
        <v/>
      </c>
      <c r="AU394" s="1" t="str">
        <f t="shared" si="55"/>
        <v>Blank</v>
      </c>
      <c r="AV394" s="1" t="str">
        <f t="shared" si="56"/>
        <v>Blank</v>
      </c>
      <c r="AW394" s="1">
        <f t="shared" si="57"/>
        <v>0</v>
      </c>
      <c r="AX394" s="1">
        <f t="shared" si="58"/>
        <v>0</v>
      </c>
      <c r="AY394" s="1"/>
      <c r="AZ394" s="1">
        <f>IF(COUNTIFS('PID CHECK'!$B:$B,AR394)=1,0,IF(COUNTIFS(AR$1:AR393,AR394)=1,0,1))</f>
        <v>0</v>
      </c>
      <c r="BA394" s="1"/>
      <c r="BB394" s="1"/>
    </row>
    <row r="395" spans="1:54">
      <c r="A395">
        <v>394</v>
      </c>
      <c r="B395" t="s">
        <v>44</v>
      </c>
      <c r="C395" t="s">
        <v>161</v>
      </c>
      <c r="D395" t="s">
        <v>153</v>
      </c>
      <c r="E395" t="s">
        <v>47</v>
      </c>
      <c r="F395" t="s">
        <v>50</v>
      </c>
      <c r="H395" t="s">
        <v>1007</v>
      </c>
      <c r="J395" t="s">
        <v>49</v>
      </c>
      <c r="K395" t="s">
        <v>50</v>
      </c>
      <c r="L395" t="s">
        <v>762</v>
      </c>
      <c r="M395" t="s">
        <v>762</v>
      </c>
      <c r="N395">
        <v>0</v>
      </c>
      <c r="R395" t="s">
        <v>1008</v>
      </c>
      <c r="S395" t="s">
        <v>1008</v>
      </c>
      <c r="Z395" t="s">
        <v>84</v>
      </c>
      <c r="AA395" t="s">
        <v>154</v>
      </c>
      <c r="AC395" t="s">
        <v>883</v>
      </c>
      <c r="AD395" t="s">
        <v>50</v>
      </c>
      <c r="AH395">
        <v>3</v>
      </c>
      <c r="AM395">
        <v>43465</v>
      </c>
      <c r="AN395">
        <v>43469</v>
      </c>
      <c r="AO395" s="2">
        <f t="shared" si="51"/>
        <v>3</v>
      </c>
      <c r="AP395" s="2">
        <f t="shared" si="52"/>
        <v>3</v>
      </c>
      <c r="AQ395" s="3">
        <f t="shared" si="53"/>
        <v>1</v>
      </c>
      <c r="AR395" s="1" t="str">
        <f>INDEX(IOS!$B:$B,MATCH(D395,IOS!A:A,0))&amp;B395</f>
        <v>O.D.4</v>
      </c>
      <c r="AS395" s="1">
        <f t="shared" si="54"/>
        <v>0</v>
      </c>
      <c r="AT395" s="1" t="str">
        <f>IF(ISBLANK(W395),"",IF(ISERROR(MATCH(W395,HQLATABLE!$A:$A,0)),0,1))</f>
        <v/>
      </c>
      <c r="AU395" s="1" t="str">
        <f t="shared" si="55"/>
        <v>Blank</v>
      </c>
      <c r="AV395" s="1" t="str">
        <f t="shared" si="56"/>
        <v>Blank</v>
      </c>
      <c r="AW395" s="1">
        <f t="shared" si="57"/>
        <v>0</v>
      </c>
      <c r="AX395" s="1">
        <f t="shared" si="58"/>
        <v>0</v>
      </c>
      <c r="AY395" s="1"/>
      <c r="AZ395" s="1">
        <f>IF(COUNTIFS('PID CHECK'!$B:$B,AR395)=1,0,IF(COUNTIFS(AR$1:AR394,AR395)=1,0,1))</f>
        <v>0</v>
      </c>
      <c r="BA395" s="1"/>
      <c r="BB395" s="1"/>
    </row>
    <row r="396" spans="1:54">
      <c r="A396">
        <v>395</v>
      </c>
      <c r="B396" t="s">
        <v>44</v>
      </c>
      <c r="C396" t="s">
        <v>161</v>
      </c>
      <c r="D396" t="s">
        <v>153</v>
      </c>
      <c r="E396" t="s">
        <v>47</v>
      </c>
      <c r="F396" t="s">
        <v>50</v>
      </c>
      <c r="H396" t="s">
        <v>1007</v>
      </c>
      <c r="J396" t="s">
        <v>49</v>
      </c>
      <c r="K396" t="s">
        <v>50</v>
      </c>
      <c r="L396" t="s">
        <v>762</v>
      </c>
      <c r="M396" t="s">
        <v>762</v>
      </c>
      <c r="N396">
        <v>50</v>
      </c>
      <c r="R396" t="s">
        <v>1008</v>
      </c>
      <c r="S396" t="s">
        <v>1008</v>
      </c>
      <c r="Z396" t="s">
        <v>84</v>
      </c>
      <c r="AA396" t="s">
        <v>156</v>
      </c>
      <c r="AC396" t="s">
        <v>883</v>
      </c>
      <c r="AD396" t="s">
        <v>50</v>
      </c>
      <c r="AH396">
        <v>3</v>
      </c>
      <c r="AM396">
        <v>43465</v>
      </c>
      <c r="AN396">
        <v>43469</v>
      </c>
      <c r="AO396" s="2">
        <f t="shared" si="51"/>
        <v>3</v>
      </c>
      <c r="AP396" s="2">
        <f t="shared" si="52"/>
        <v>3</v>
      </c>
      <c r="AQ396" s="3">
        <f t="shared" si="53"/>
        <v>1</v>
      </c>
      <c r="AR396" s="1" t="str">
        <f>INDEX(IOS!$B:$B,MATCH(D396,IOS!A:A,0))&amp;B396</f>
        <v>O.D.4</v>
      </c>
      <c r="AS396" s="1">
        <f t="shared" si="54"/>
        <v>0</v>
      </c>
      <c r="AT396" s="1" t="str">
        <f>IF(ISBLANK(W396),"",IF(ISERROR(MATCH(W396,HQLATABLE!$A:$A,0)),0,1))</f>
        <v/>
      </c>
      <c r="AU396" s="1" t="str">
        <f t="shared" si="55"/>
        <v>Blank</v>
      </c>
      <c r="AV396" s="1" t="str">
        <f t="shared" si="56"/>
        <v>Blank</v>
      </c>
      <c r="AW396" s="1">
        <f t="shared" si="57"/>
        <v>0</v>
      </c>
      <c r="AX396" s="1">
        <f t="shared" si="58"/>
        <v>0</v>
      </c>
      <c r="AY396" s="1"/>
      <c r="AZ396" s="1">
        <f>IF(COUNTIFS('PID CHECK'!$B:$B,AR396)=1,0,IF(COUNTIFS(AR$1:AR395,AR396)=1,0,1))</f>
        <v>0</v>
      </c>
      <c r="BA396" s="1"/>
      <c r="BB396" s="1"/>
    </row>
    <row r="397" spans="1:54">
      <c r="A397">
        <v>396</v>
      </c>
      <c r="B397" t="s">
        <v>44</v>
      </c>
      <c r="C397" t="s">
        <v>161</v>
      </c>
      <c r="D397" t="s">
        <v>153</v>
      </c>
      <c r="E397" t="s">
        <v>47</v>
      </c>
      <c r="F397" t="s">
        <v>50</v>
      </c>
      <c r="H397" t="s">
        <v>1038</v>
      </c>
      <c r="J397" t="s">
        <v>49</v>
      </c>
      <c r="K397" t="s">
        <v>50</v>
      </c>
      <c r="L397" t="s">
        <v>762</v>
      </c>
      <c r="M397" t="s">
        <v>762</v>
      </c>
      <c r="N397">
        <v>0</v>
      </c>
      <c r="R397" t="s">
        <v>1039</v>
      </c>
      <c r="S397" t="s">
        <v>1039</v>
      </c>
      <c r="Z397" t="s">
        <v>84</v>
      </c>
      <c r="AA397" t="s">
        <v>154</v>
      </c>
      <c r="AC397" t="s">
        <v>883</v>
      </c>
      <c r="AD397" t="s">
        <v>50</v>
      </c>
      <c r="AH397">
        <v>3</v>
      </c>
      <c r="AM397">
        <v>43465</v>
      </c>
      <c r="AN397">
        <v>43469</v>
      </c>
      <c r="AO397" s="2">
        <f t="shared" si="51"/>
        <v>44</v>
      </c>
      <c r="AP397" s="2">
        <f t="shared" si="52"/>
        <v>44</v>
      </c>
      <c r="AQ397" s="3">
        <f t="shared" si="53"/>
        <v>0</v>
      </c>
      <c r="AR397" s="1" t="str">
        <f>INDEX(IOS!$B:$B,MATCH(D397,IOS!A:A,0))&amp;B397</f>
        <v>O.D.4</v>
      </c>
      <c r="AS397" s="1">
        <f t="shared" si="54"/>
        <v>0</v>
      </c>
      <c r="AT397" s="1" t="str">
        <f>IF(ISBLANK(W397),"",IF(ISERROR(MATCH(W397,HQLATABLE!$A:$A,0)),0,1))</f>
        <v/>
      </c>
      <c r="AU397" s="1" t="str">
        <f t="shared" si="55"/>
        <v>Blank</v>
      </c>
      <c r="AV397" s="1" t="str">
        <f t="shared" si="56"/>
        <v>Blank</v>
      </c>
      <c r="AW397" s="1">
        <f t="shared" si="57"/>
        <v>0</v>
      </c>
      <c r="AX397" s="1">
        <f t="shared" si="58"/>
        <v>0</v>
      </c>
      <c r="AY397" s="1"/>
      <c r="AZ397" s="1">
        <f>IF(COUNTIFS('PID CHECK'!$B:$B,AR397)=1,0,IF(COUNTIFS(AR$1:AR396,AR397)=1,0,1))</f>
        <v>0</v>
      </c>
      <c r="BA397" s="1"/>
      <c r="BB397" s="1"/>
    </row>
    <row r="398" spans="1:54">
      <c r="A398">
        <v>397</v>
      </c>
      <c r="B398" t="s">
        <v>44</v>
      </c>
      <c r="C398" t="s">
        <v>161</v>
      </c>
      <c r="D398" t="s">
        <v>153</v>
      </c>
      <c r="E398" t="s">
        <v>47</v>
      </c>
      <c r="F398" t="s">
        <v>50</v>
      </c>
      <c r="H398" t="s">
        <v>1009</v>
      </c>
      <c r="J398" t="s">
        <v>49</v>
      </c>
      <c r="K398" t="s">
        <v>50</v>
      </c>
      <c r="L398" t="s">
        <v>762</v>
      </c>
      <c r="M398" t="s">
        <v>762</v>
      </c>
      <c r="N398">
        <v>0</v>
      </c>
      <c r="R398" t="s">
        <v>1010</v>
      </c>
      <c r="S398" t="s">
        <v>1010</v>
      </c>
      <c r="Z398" t="s">
        <v>84</v>
      </c>
      <c r="AA398" t="s">
        <v>154</v>
      </c>
      <c r="AC398" t="s">
        <v>883</v>
      </c>
      <c r="AD398" t="s">
        <v>50</v>
      </c>
      <c r="AH398">
        <v>3</v>
      </c>
      <c r="AM398">
        <v>43465</v>
      </c>
      <c r="AN398">
        <v>43469</v>
      </c>
      <c r="AO398" s="2">
        <f t="shared" si="51"/>
        <v>45</v>
      </c>
      <c r="AP398" s="2">
        <f t="shared" si="52"/>
        <v>45</v>
      </c>
      <c r="AQ398" s="3">
        <f t="shared" si="53"/>
        <v>0</v>
      </c>
      <c r="AR398" s="1" t="str">
        <f>INDEX(IOS!$B:$B,MATCH(D398,IOS!A:A,0))&amp;B398</f>
        <v>O.D.4</v>
      </c>
      <c r="AS398" s="1">
        <f t="shared" si="54"/>
        <v>0</v>
      </c>
      <c r="AT398" s="1" t="str">
        <f>IF(ISBLANK(W398),"",IF(ISERROR(MATCH(W398,HQLATABLE!$A:$A,0)),0,1))</f>
        <v/>
      </c>
      <c r="AU398" s="1" t="str">
        <f t="shared" si="55"/>
        <v>Blank</v>
      </c>
      <c r="AV398" s="1" t="str">
        <f t="shared" si="56"/>
        <v>Blank</v>
      </c>
      <c r="AW398" s="1">
        <f t="shared" si="57"/>
        <v>0</v>
      </c>
      <c r="AX398" s="1">
        <f t="shared" si="58"/>
        <v>0</v>
      </c>
      <c r="AY398" s="1"/>
      <c r="AZ398" s="1">
        <f>IF(COUNTIFS('PID CHECK'!$B:$B,AR398)=1,0,IF(COUNTIFS(AR$1:AR397,AR398)=1,0,1))</f>
        <v>0</v>
      </c>
      <c r="BA398" s="1"/>
      <c r="BB398" s="1"/>
    </row>
    <row r="399" spans="1:54">
      <c r="A399">
        <v>398</v>
      </c>
      <c r="B399" t="s">
        <v>44</v>
      </c>
      <c r="C399" t="s">
        <v>161</v>
      </c>
      <c r="D399" t="s">
        <v>153</v>
      </c>
      <c r="E399" t="s">
        <v>47</v>
      </c>
      <c r="F399" t="s">
        <v>50</v>
      </c>
      <c r="H399" t="s">
        <v>1011</v>
      </c>
      <c r="J399" t="s">
        <v>49</v>
      </c>
      <c r="K399" t="s">
        <v>50</v>
      </c>
      <c r="L399" t="s">
        <v>762</v>
      </c>
      <c r="M399" t="s">
        <v>762</v>
      </c>
      <c r="N399">
        <v>0</v>
      </c>
      <c r="R399" t="s">
        <v>1012</v>
      </c>
      <c r="S399" t="s">
        <v>1012</v>
      </c>
      <c r="Z399" t="s">
        <v>84</v>
      </c>
      <c r="AA399" t="s">
        <v>154</v>
      </c>
      <c r="AC399" t="s">
        <v>883</v>
      </c>
      <c r="AD399" t="s">
        <v>50</v>
      </c>
      <c r="AH399">
        <v>3</v>
      </c>
      <c r="AM399">
        <v>43465</v>
      </c>
      <c r="AN399">
        <v>43469</v>
      </c>
      <c r="AO399" s="2">
        <f t="shared" si="51"/>
        <v>46</v>
      </c>
      <c r="AP399" s="2">
        <f t="shared" si="52"/>
        <v>46</v>
      </c>
      <c r="AQ399" s="3">
        <f t="shared" si="53"/>
        <v>0</v>
      </c>
      <c r="AR399" s="1" t="str">
        <f>INDEX(IOS!$B:$B,MATCH(D399,IOS!A:A,0))&amp;B399</f>
        <v>O.D.4</v>
      </c>
      <c r="AS399" s="1">
        <f t="shared" si="54"/>
        <v>0</v>
      </c>
      <c r="AT399" s="1" t="str">
        <f>IF(ISBLANK(W399),"",IF(ISERROR(MATCH(W399,HQLATABLE!$A:$A,0)),0,1))</f>
        <v/>
      </c>
      <c r="AU399" s="1" t="str">
        <f t="shared" si="55"/>
        <v>Blank</v>
      </c>
      <c r="AV399" s="1" t="str">
        <f t="shared" si="56"/>
        <v>Blank</v>
      </c>
      <c r="AW399" s="1">
        <f t="shared" si="57"/>
        <v>0</v>
      </c>
      <c r="AX399" s="1">
        <f t="shared" si="58"/>
        <v>0</v>
      </c>
      <c r="AY399" s="1"/>
      <c r="AZ399" s="1">
        <f>IF(COUNTIFS('PID CHECK'!$B:$B,AR399)=1,0,IF(COUNTIFS(AR$1:AR398,AR399)=1,0,1))</f>
        <v>0</v>
      </c>
      <c r="BA399" s="1"/>
      <c r="BB399" s="1"/>
    </row>
    <row r="400" spans="1:54">
      <c r="A400">
        <v>399</v>
      </c>
      <c r="B400" t="s">
        <v>44</v>
      </c>
      <c r="C400" t="s">
        <v>161</v>
      </c>
      <c r="D400" t="s">
        <v>153</v>
      </c>
      <c r="E400" t="s">
        <v>47</v>
      </c>
      <c r="F400" t="s">
        <v>50</v>
      </c>
      <c r="H400" t="s">
        <v>1013</v>
      </c>
      <c r="J400" t="s">
        <v>49</v>
      </c>
      <c r="K400" t="s">
        <v>50</v>
      </c>
      <c r="L400" t="s">
        <v>762</v>
      </c>
      <c r="M400" t="s">
        <v>762</v>
      </c>
      <c r="N400">
        <v>0</v>
      </c>
      <c r="R400" t="s">
        <v>1014</v>
      </c>
      <c r="S400" t="s">
        <v>1014</v>
      </c>
      <c r="Z400" t="s">
        <v>84</v>
      </c>
      <c r="AA400" t="s">
        <v>154</v>
      </c>
      <c r="AC400" t="s">
        <v>883</v>
      </c>
      <c r="AD400" t="s">
        <v>50</v>
      </c>
      <c r="AH400">
        <v>3</v>
      </c>
      <c r="AM400">
        <v>43465</v>
      </c>
      <c r="AN400">
        <v>43469</v>
      </c>
      <c r="AO400" s="2">
        <f t="shared" si="51"/>
        <v>4</v>
      </c>
      <c r="AP400" s="2">
        <f t="shared" si="52"/>
        <v>4</v>
      </c>
      <c r="AQ400" s="3">
        <f t="shared" si="53"/>
        <v>1</v>
      </c>
      <c r="AR400" s="1" t="str">
        <f>INDEX(IOS!$B:$B,MATCH(D400,IOS!A:A,0))&amp;B400</f>
        <v>O.D.4</v>
      </c>
      <c r="AS400" s="1">
        <f t="shared" si="54"/>
        <v>0</v>
      </c>
      <c r="AT400" s="1" t="str">
        <f>IF(ISBLANK(W400),"",IF(ISERROR(MATCH(W400,HQLATABLE!$A:$A,0)),0,1))</f>
        <v/>
      </c>
      <c r="AU400" s="1" t="str">
        <f t="shared" si="55"/>
        <v>Blank</v>
      </c>
      <c r="AV400" s="1" t="str">
        <f t="shared" si="56"/>
        <v>Blank</v>
      </c>
      <c r="AW400" s="1">
        <f t="shared" si="57"/>
        <v>0</v>
      </c>
      <c r="AX400" s="1">
        <f t="shared" si="58"/>
        <v>0</v>
      </c>
      <c r="AY400" s="1"/>
      <c r="AZ400" s="1">
        <f>IF(COUNTIFS('PID CHECK'!$B:$B,AR400)=1,0,IF(COUNTIFS(AR$1:AR399,AR400)=1,0,1))</f>
        <v>0</v>
      </c>
      <c r="BA400" s="1"/>
      <c r="BB400" s="1"/>
    </row>
    <row r="401" spans="1:54">
      <c r="A401">
        <v>400</v>
      </c>
      <c r="B401" t="s">
        <v>44</v>
      </c>
      <c r="C401" t="s">
        <v>161</v>
      </c>
      <c r="D401" t="s">
        <v>153</v>
      </c>
      <c r="E401" t="s">
        <v>47</v>
      </c>
      <c r="F401" t="s">
        <v>50</v>
      </c>
      <c r="H401" t="s">
        <v>1040</v>
      </c>
      <c r="J401" t="s">
        <v>49</v>
      </c>
      <c r="K401" t="s">
        <v>50</v>
      </c>
      <c r="L401" t="s">
        <v>762</v>
      </c>
      <c r="M401" t="s">
        <v>762</v>
      </c>
      <c r="N401">
        <v>0</v>
      </c>
      <c r="R401" t="s">
        <v>1041</v>
      </c>
      <c r="S401" t="s">
        <v>1041</v>
      </c>
      <c r="Z401" t="s">
        <v>84</v>
      </c>
      <c r="AA401" t="s">
        <v>154</v>
      </c>
      <c r="AC401" t="s">
        <v>883</v>
      </c>
      <c r="AD401" t="s">
        <v>50</v>
      </c>
      <c r="AH401">
        <v>3</v>
      </c>
      <c r="AM401">
        <v>43465</v>
      </c>
      <c r="AN401">
        <v>43469</v>
      </c>
      <c r="AO401" s="2">
        <f t="shared" si="51"/>
        <v>50</v>
      </c>
      <c r="AP401" s="2">
        <f t="shared" si="52"/>
        <v>50</v>
      </c>
      <c r="AQ401" s="3">
        <f t="shared" si="53"/>
        <v>0</v>
      </c>
      <c r="AR401" s="1" t="str">
        <f>INDEX(IOS!$B:$B,MATCH(D401,IOS!A:A,0))&amp;B401</f>
        <v>O.D.4</v>
      </c>
      <c r="AS401" s="1">
        <f t="shared" si="54"/>
        <v>0</v>
      </c>
      <c r="AT401" s="1" t="str">
        <f>IF(ISBLANK(W401),"",IF(ISERROR(MATCH(W401,HQLATABLE!$A:$A,0)),0,1))</f>
        <v/>
      </c>
      <c r="AU401" s="1" t="str">
        <f t="shared" si="55"/>
        <v>Blank</v>
      </c>
      <c r="AV401" s="1" t="str">
        <f t="shared" si="56"/>
        <v>Blank</v>
      </c>
      <c r="AW401" s="1">
        <f t="shared" si="57"/>
        <v>0</v>
      </c>
      <c r="AX401" s="1">
        <f t="shared" si="58"/>
        <v>0</v>
      </c>
      <c r="AY401" s="1"/>
      <c r="AZ401" s="1">
        <f>IF(COUNTIFS('PID CHECK'!$B:$B,AR401)=1,0,IF(COUNTIFS(AR$1:AR400,AR401)=1,0,1))</f>
        <v>0</v>
      </c>
      <c r="BA401" s="1"/>
      <c r="BB401" s="1"/>
    </row>
    <row r="402" spans="1:54">
      <c r="A402">
        <v>401</v>
      </c>
      <c r="B402" t="s">
        <v>44</v>
      </c>
      <c r="C402" t="s">
        <v>161</v>
      </c>
      <c r="D402" t="s">
        <v>153</v>
      </c>
      <c r="E402" t="s">
        <v>47</v>
      </c>
      <c r="F402" t="s">
        <v>50</v>
      </c>
      <c r="H402" t="s">
        <v>1040</v>
      </c>
      <c r="J402" t="s">
        <v>49</v>
      </c>
      <c r="K402" t="s">
        <v>50</v>
      </c>
      <c r="L402" t="s">
        <v>762</v>
      </c>
      <c r="M402" t="s">
        <v>762</v>
      </c>
      <c r="N402">
        <v>0</v>
      </c>
      <c r="R402" t="s">
        <v>1041</v>
      </c>
      <c r="S402" t="s">
        <v>1041</v>
      </c>
      <c r="Z402" t="s">
        <v>84</v>
      </c>
      <c r="AA402" t="s">
        <v>156</v>
      </c>
      <c r="AC402" t="s">
        <v>883</v>
      </c>
      <c r="AD402" t="s">
        <v>50</v>
      </c>
      <c r="AH402">
        <v>3</v>
      </c>
      <c r="AM402">
        <v>43465</v>
      </c>
      <c r="AN402">
        <v>43469</v>
      </c>
      <c r="AO402" s="2">
        <f t="shared" si="51"/>
        <v>50</v>
      </c>
      <c r="AP402" s="2">
        <f t="shared" si="52"/>
        <v>50</v>
      </c>
      <c r="AQ402" s="3">
        <f t="shared" si="53"/>
        <v>0</v>
      </c>
      <c r="AR402" s="1" t="str">
        <f>INDEX(IOS!$B:$B,MATCH(D402,IOS!A:A,0))&amp;B402</f>
        <v>O.D.4</v>
      </c>
      <c r="AS402" s="1">
        <f t="shared" si="54"/>
        <v>0</v>
      </c>
      <c r="AT402" s="1" t="str">
        <f>IF(ISBLANK(W402),"",IF(ISERROR(MATCH(W402,HQLATABLE!$A:$A,0)),0,1))</f>
        <v/>
      </c>
      <c r="AU402" s="1" t="str">
        <f t="shared" si="55"/>
        <v>Blank</v>
      </c>
      <c r="AV402" s="1" t="str">
        <f t="shared" si="56"/>
        <v>Blank</v>
      </c>
      <c r="AW402" s="1">
        <f t="shared" si="57"/>
        <v>0</v>
      </c>
      <c r="AX402" s="1">
        <f t="shared" si="58"/>
        <v>0</v>
      </c>
      <c r="AY402" s="1"/>
      <c r="AZ402" s="1">
        <f>IF(COUNTIFS('PID CHECK'!$B:$B,AR402)=1,0,IF(COUNTIFS(AR$1:AR401,AR402)=1,0,1))</f>
        <v>0</v>
      </c>
      <c r="BA402" s="1"/>
      <c r="BB402" s="1"/>
    </row>
    <row r="403" spans="1:54">
      <c r="A403">
        <v>402</v>
      </c>
      <c r="B403" t="s">
        <v>44</v>
      </c>
      <c r="C403" t="s">
        <v>161</v>
      </c>
      <c r="D403" t="s">
        <v>153</v>
      </c>
      <c r="E403" t="s">
        <v>47</v>
      </c>
      <c r="F403" t="s">
        <v>50</v>
      </c>
      <c r="H403" t="s">
        <v>1052</v>
      </c>
      <c r="J403" t="s">
        <v>49</v>
      </c>
      <c r="K403" t="s">
        <v>50</v>
      </c>
      <c r="L403" t="s">
        <v>762</v>
      </c>
      <c r="M403" t="s">
        <v>762</v>
      </c>
      <c r="N403">
        <v>0</v>
      </c>
      <c r="R403" t="s">
        <v>1053</v>
      </c>
      <c r="S403" t="s">
        <v>1053</v>
      </c>
      <c r="Z403" t="s">
        <v>84</v>
      </c>
      <c r="AA403" t="s">
        <v>154</v>
      </c>
      <c r="AC403" t="s">
        <v>883</v>
      </c>
      <c r="AD403" t="s">
        <v>50</v>
      </c>
      <c r="AH403">
        <v>3</v>
      </c>
      <c r="AM403">
        <v>43465</v>
      </c>
      <c r="AN403">
        <v>43469</v>
      </c>
      <c r="AO403" s="2">
        <f t="shared" si="51"/>
        <v>51</v>
      </c>
      <c r="AP403" s="2">
        <f t="shared" si="52"/>
        <v>51</v>
      </c>
      <c r="AQ403" s="3">
        <f t="shared" si="53"/>
        <v>0</v>
      </c>
      <c r="AR403" s="1" t="str">
        <f>INDEX(IOS!$B:$B,MATCH(D403,IOS!A:A,0))&amp;B403</f>
        <v>O.D.4</v>
      </c>
      <c r="AS403" s="1">
        <f t="shared" si="54"/>
        <v>0</v>
      </c>
      <c r="AT403" s="1" t="str">
        <f>IF(ISBLANK(W403),"",IF(ISERROR(MATCH(W403,HQLATABLE!$A:$A,0)),0,1))</f>
        <v/>
      </c>
      <c r="AU403" s="1" t="str">
        <f t="shared" si="55"/>
        <v>Blank</v>
      </c>
      <c r="AV403" s="1" t="str">
        <f t="shared" si="56"/>
        <v>Blank</v>
      </c>
      <c r="AW403" s="1">
        <f t="shared" si="57"/>
        <v>0</v>
      </c>
      <c r="AX403" s="1">
        <f t="shared" si="58"/>
        <v>0</v>
      </c>
      <c r="AY403" s="1"/>
      <c r="AZ403" s="1">
        <f>IF(COUNTIFS('PID CHECK'!$B:$B,AR403)=1,0,IF(COUNTIFS(AR$1:AR402,AR403)=1,0,1))</f>
        <v>0</v>
      </c>
      <c r="BA403" s="1"/>
      <c r="BB403" s="1"/>
    </row>
    <row r="404" spans="1:54">
      <c r="A404">
        <v>403</v>
      </c>
      <c r="B404" t="s">
        <v>44</v>
      </c>
      <c r="C404" t="s">
        <v>161</v>
      </c>
      <c r="D404" t="s">
        <v>153</v>
      </c>
      <c r="E404" t="s">
        <v>47</v>
      </c>
      <c r="F404" t="s">
        <v>50</v>
      </c>
      <c r="H404" t="s">
        <v>1052</v>
      </c>
      <c r="J404" t="s">
        <v>49</v>
      </c>
      <c r="K404" t="s">
        <v>50</v>
      </c>
      <c r="L404" t="s">
        <v>762</v>
      </c>
      <c r="M404" t="s">
        <v>762</v>
      </c>
      <c r="N404">
        <v>0</v>
      </c>
      <c r="R404" t="s">
        <v>1053</v>
      </c>
      <c r="S404" t="s">
        <v>1053</v>
      </c>
      <c r="Z404" t="s">
        <v>84</v>
      </c>
      <c r="AA404" t="s">
        <v>156</v>
      </c>
      <c r="AC404" t="s">
        <v>883</v>
      </c>
      <c r="AD404" t="s">
        <v>50</v>
      </c>
      <c r="AH404">
        <v>3</v>
      </c>
      <c r="AM404">
        <v>43465</v>
      </c>
      <c r="AN404">
        <v>43469</v>
      </c>
      <c r="AO404" s="2">
        <f t="shared" si="51"/>
        <v>51</v>
      </c>
      <c r="AP404" s="2">
        <f t="shared" si="52"/>
        <v>51</v>
      </c>
      <c r="AQ404" s="3">
        <f t="shared" si="53"/>
        <v>0</v>
      </c>
      <c r="AR404" s="1" t="str">
        <f>INDEX(IOS!$B:$B,MATCH(D404,IOS!A:A,0))&amp;B404</f>
        <v>O.D.4</v>
      </c>
      <c r="AS404" s="1">
        <f t="shared" si="54"/>
        <v>0</v>
      </c>
      <c r="AT404" s="1" t="str">
        <f>IF(ISBLANK(W404),"",IF(ISERROR(MATCH(W404,HQLATABLE!$A:$A,0)),0,1))</f>
        <v/>
      </c>
      <c r="AU404" s="1" t="str">
        <f t="shared" si="55"/>
        <v>Blank</v>
      </c>
      <c r="AV404" s="1" t="str">
        <f t="shared" si="56"/>
        <v>Blank</v>
      </c>
      <c r="AW404" s="1">
        <f t="shared" si="57"/>
        <v>0</v>
      </c>
      <c r="AX404" s="1">
        <f t="shared" si="58"/>
        <v>0</v>
      </c>
      <c r="AY404" s="1"/>
      <c r="AZ404" s="1">
        <f>IF(COUNTIFS('PID CHECK'!$B:$B,AR404)=1,0,IF(COUNTIFS(AR$1:AR403,AR404)=1,0,1))</f>
        <v>0</v>
      </c>
      <c r="BA404" s="1"/>
      <c r="BB404" s="1"/>
    </row>
    <row r="405" spans="1:54">
      <c r="A405">
        <v>404</v>
      </c>
      <c r="B405" t="s">
        <v>44</v>
      </c>
      <c r="C405" t="s">
        <v>161</v>
      </c>
      <c r="D405" t="s">
        <v>153</v>
      </c>
      <c r="E405" t="s">
        <v>47</v>
      </c>
      <c r="F405" t="s">
        <v>50</v>
      </c>
      <c r="H405" t="s">
        <v>1042</v>
      </c>
      <c r="J405" t="s">
        <v>49</v>
      </c>
      <c r="K405" t="s">
        <v>50</v>
      </c>
      <c r="L405" t="s">
        <v>762</v>
      </c>
      <c r="M405" t="s">
        <v>762</v>
      </c>
      <c r="N405">
        <v>0</v>
      </c>
      <c r="R405" t="s">
        <v>1043</v>
      </c>
      <c r="S405" t="s">
        <v>1043</v>
      </c>
      <c r="Z405" t="s">
        <v>84</v>
      </c>
      <c r="AA405" t="s">
        <v>154</v>
      </c>
      <c r="AC405" t="s">
        <v>883</v>
      </c>
      <c r="AD405" t="s">
        <v>50</v>
      </c>
      <c r="AH405">
        <v>3</v>
      </c>
      <c r="AM405">
        <v>43465</v>
      </c>
      <c r="AN405">
        <v>43469</v>
      </c>
      <c r="AO405" s="2">
        <f t="shared" si="51"/>
        <v>52</v>
      </c>
      <c r="AP405" s="2">
        <f t="shared" si="52"/>
        <v>52</v>
      </c>
      <c r="AQ405" s="3">
        <f t="shared" si="53"/>
        <v>0</v>
      </c>
      <c r="AR405" s="1" t="str">
        <f>INDEX(IOS!$B:$B,MATCH(D405,IOS!A:A,0))&amp;B405</f>
        <v>O.D.4</v>
      </c>
      <c r="AS405" s="1">
        <f t="shared" si="54"/>
        <v>0</v>
      </c>
      <c r="AT405" s="1" t="str">
        <f>IF(ISBLANK(W405),"",IF(ISERROR(MATCH(W405,HQLATABLE!$A:$A,0)),0,1))</f>
        <v/>
      </c>
      <c r="AU405" s="1" t="str">
        <f t="shared" si="55"/>
        <v>Blank</v>
      </c>
      <c r="AV405" s="1" t="str">
        <f t="shared" si="56"/>
        <v>Blank</v>
      </c>
      <c r="AW405" s="1">
        <f t="shared" si="57"/>
        <v>0</v>
      </c>
      <c r="AX405" s="1">
        <f t="shared" si="58"/>
        <v>0</v>
      </c>
      <c r="AY405" s="1"/>
      <c r="AZ405" s="1">
        <f>IF(COUNTIFS('PID CHECK'!$B:$B,AR405)=1,0,IF(COUNTIFS(AR$1:AR404,AR405)=1,0,1))</f>
        <v>0</v>
      </c>
      <c r="BA405" s="1"/>
      <c r="BB405" s="1"/>
    </row>
    <row r="406" spans="1:54">
      <c r="A406">
        <v>405</v>
      </c>
      <c r="B406" t="s">
        <v>44</v>
      </c>
      <c r="C406" t="s">
        <v>161</v>
      </c>
      <c r="D406" t="s">
        <v>153</v>
      </c>
      <c r="E406" t="s">
        <v>47</v>
      </c>
      <c r="F406" t="s">
        <v>50</v>
      </c>
      <c r="H406" t="s">
        <v>1015</v>
      </c>
      <c r="J406" t="s">
        <v>49</v>
      </c>
      <c r="K406" t="s">
        <v>50</v>
      </c>
      <c r="L406" t="s">
        <v>762</v>
      </c>
      <c r="M406" t="s">
        <v>762</v>
      </c>
      <c r="N406">
        <v>0</v>
      </c>
      <c r="R406" t="s">
        <v>1016</v>
      </c>
      <c r="S406" t="s">
        <v>1016</v>
      </c>
      <c r="Z406" t="s">
        <v>84</v>
      </c>
      <c r="AA406" t="s">
        <v>154</v>
      </c>
      <c r="AC406" t="s">
        <v>883</v>
      </c>
      <c r="AD406" t="s">
        <v>50</v>
      </c>
      <c r="AH406">
        <v>3</v>
      </c>
      <c r="AM406">
        <v>43465</v>
      </c>
      <c r="AN406">
        <v>43469</v>
      </c>
      <c r="AO406" s="2">
        <f t="shared" si="51"/>
        <v>53</v>
      </c>
      <c r="AP406" s="2">
        <f t="shared" si="52"/>
        <v>53</v>
      </c>
      <c r="AQ406" s="3">
        <f t="shared" si="53"/>
        <v>0</v>
      </c>
      <c r="AR406" s="1" t="str">
        <f>INDEX(IOS!$B:$B,MATCH(D406,IOS!A:A,0))&amp;B406</f>
        <v>O.D.4</v>
      </c>
      <c r="AS406" s="1">
        <f t="shared" si="54"/>
        <v>0</v>
      </c>
      <c r="AT406" s="1" t="str">
        <f>IF(ISBLANK(W406),"",IF(ISERROR(MATCH(W406,HQLATABLE!$A:$A,0)),0,1))</f>
        <v/>
      </c>
      <c r="AU406" s="1" t="str">
        <f t="shared" si="55"/>
        <v>Blank</v>
      </c>
      <c r="AV406" s="1" t="str">
        <f t="shared" si="56"/>
        <v>Blank</v>
      </c>
      <c r="AW406" s="1">
        <f t="shared" si="57"/>
        <v>0</v>
      </c>
      <c r="AX406" s="1">
        <f t="shared" si="58"/>
        <v>0</v>
      </c>
      <c r="AY406" s="1"/>
      <c r="AZ406" s="1">
        <f>IF(COUNTIFS('PID CHECK'!$B:$B,AR406)=1,0,IF(COUNTIFS(AR$1:AR405,AR406)=1,0,1))</f>
        <v>0</v>
      </c>
      <c r="BA406" s="1"/>
      <c r="BB406" s="1"/>
    </row>
    <row r="407" spans="1:54">
      <c r="A407">
        <v>406</v>
      </c>
      <c r="B407" t="s">
        <v>44</v>
      </c>
      <c r="C407" t="s">
        <v>161</v>
      </c>
      <c r="D407" t="s">
        <v>153</v>
      </c>
      <c r="E407" t="s">
        <v>47</v>
      </c>
      <c r="F407" t="s">
        <v>50</v>
      </c>
      <c r="H407" t="s">
        <v>92</v>
      </c>
      <c r="J407" t="s">
        <v>49</v>
      </c>
      <c r="K407" t="s">
        <v>50</v>
      </c>
      <c r="L407" t="s">
        <v>762</v>
      </c>
      <c r="M407" t="s">
        <v>762</v>
      </c>
      <c r="N407">
        <v>0</v>
      </c>
      <c r="R407" t="s">
        <v>93</v>
      </c>
      <c r="S407" t="s">
        <v>93</v>
      </c>
      <c r="Z407" t="s">
        <v>84</v>
      </c>
      <c r="AA407" t="s">
        <v>154</v>
      </c>
      <c r="AC407" t="s">
        <v>883</v>
      </c>
      <c r="AD407" t="s">
        <v>50</v>
      </c>
      <c r="AH407">
        <v>3</v>
      </c>
      <c r="AM407">
        <v>43465</v>
      </c>
      <c r="AN407">
        <v>43469</v>
      </c>
      <c r="AO407" s="2">
        <f t="shared" si="51"/>
        <v>56</v>
      </c>
      <c r="AP407" s="2">
        <f t="shared" si="52"/>
        <v>56</v>
      </c>
      <c r="AQ407" s="3">
        <f t="shared" si="53"/>
        <v>0</v>
      </c>
      <c r="AR407" s="1" t="str">
        <f>INDEX(IOS!$B:$B,MATCH(D407,IOS!A:A,0))&amp;B407</f>
        <v>O.D.4</v>
      </c>
      <c r="AS407" s="1">
        <f t="shared" si="54"/>
        <v>0</v>
      </c>
      <c r="AT407" s="1" t="str">
        <f>IF(ISBLANK(W407),"",IF(ISERROR(MATCH(W407,HQLATABLE!$A:$A,0)),0,1))</f>
        <v/>
      </c>
      <c r="AU407" s="1" t="str">
        <f t="shared" si="55"/>
        <v>Blank</v>
      </c>
      <c r="AV407" s="1" t="str">
        <f t="shared" si="56"/>
        <v>Blank</v>
      </c>
      <c r="AW407" s="1">
        <f t="shared" si="57"/>
        <v>0</v>
      </c>
      <c r="AX407" s="1">
        <f t="shared" si="58"/>
        <v>0</v>
      </c>
      <c r="AY407" s="1"/>
      <c r="AZ407" s="1">
        <f>IF(COUNTIFS('PID CHECK'!$B:$B,AR407)=1,0,IF(COUNTIFS(AR$1:AR406,AR407)=1,0,1))</f>
        <v>0</v>
      </c>
      <c r="BA407" s="1"/>
      <c r="BB407" s="1"/>
    </row>
    <row r="408" spans="1:54">
      <c r="A408">
        <v>407</v>
      </c>
      <c r="B408" t="s">
        <v>44</v>
      </c>
      <c r="C408" t="s">
        <v>161</v>
      </c>
      <c r="D408" t="s">
        <v>153</v>
      </c>
      <c r="E408" t="s">
        <v>47</v>
      </c>
      <c r="F408" t="s">
        <v>50</v>
      </c>
      <c r="H408" t="s">
        <v>1048</v>
      </c>
      <c r="J408" t="s">
        <v>49</v>
      </c>
      <c r="K408" t="s">
        <v>50</v>
      </c>
      <c r="L408" t="s">
        <v>762</v>
      </c>
      <c r="M408" t="s">
        <v>762</v>
      </c>
      <c r="N408">
        <v>0</v>
      </c>
      <c r="R408" t="s">
        <v>1049</v>
      </c>
      <c r="S408" t="s">
        <v>1049</v>
      </c>
      <c r="Z408" t="s">
        <v>84</v>
      </c>
      <c r="AA408" t="s">
        <v>154</v>
      </c>
      <c r="AC408" t="s">
        <v>883</v>
      </c>
      <c r="AD408" t="s">
        <v>50</v>
      </c>
      <c r="AH408">
        <v>3</v>
      </c>
      <c r="AM408">
        <v>43465</v>
      </c>
      <c r="AN408">
        <v>43469</v>
      </c>
      <c r="AO408" s="2">
        <f t="shared" si="51"/>
        <v>57</v>
      </c>
      <c r="AP408" s="2">
        <f t="shared" si="52"/>
        <v>57</v>
      </c>
      <c r="AQ408" s="3">
        <f t="shared" si="53"/>
        <v>0</v>
      </c>
      <c r="AR408" s="1" t="str">
        <f>INDEX(IOS!$B:$B,MATCH(D408,IOS!A:A,0))&amp;B408</f>
        <v>O.D.4</v>
      </c>
      <c r="AS408" s="1">
        <f t="shared" si="54"/>
        <v>0</v>
      </c>
      <c r="AT408" s="1" t="str">
        <f>IF(ISBLANK(W408),"",IF(ISERROR(MATCH(W408,HQLATABLE!$A:$A,0)),0,1))</f>
        <v/>
      </c>
      <c r="AU408" s="1" t="str">
        <f t="shared" si="55"/>
        <v>Blank</v>
      </c>
      <c r="AV408" s="1" t="str">
        <f t="shared" si="56"/>
        <v>Blank</v>
      </c>
      <c r="AW408" s="1">
        <f t="shared" si="57"/>
        <v>0</v>
      </c>
      <c r="AX408" s="1">
        <f t="shared" si="58"/>
        <v>0</v>
      </c>
      <c r="AY408" s="1"/>
      <c r="AZ408" s="1">
        <f>IF(COUNTIFS('PID CHECK'!$B:$B,AR408)=1,0,IF(COUNTIFS(AR$1:AR407,AR408)=1,0,1))</f>
        <v>0</v>
      </c>
      <c r="BA408" s="1"/>
      <c r="BB408" s="1"/>
    </row>
    <row r="409" spans="1:54">
      <c r="A409">
        <v>408</v>
      </c>
      <c r="B409" t="s">
        <v>44</v>
      </c>
      <c r="C409" t="s">
        <v>161</v>
      </c>
      <c r="D409" t="s">
        <v>153</v>
      </c>
      <c r="E409" t="s">
        <v>47</v>
      </c>
      <c r="F409" t="s">
        <v>50</v>
      </c>
      <c r="H409" t="s">
        <v>1062</v>
      </c>
      <c r="J409" t="s">
        <v>49</v>
      </c>
      <c r="K409" t="s">
        <v>50</v>
      </c>
      <c r="L409" t="s">
        <v>762</v>
      </c>
      <c r="M409" t="s">
        <v>762</v>
      </c>
      <c r="N409">
        <v>0</v>
      </c>
      <c r="R409" t="s">
        <v>1063</v>
      </c>
      <c r="S409" t="s">
        <v>1063</v>
      </c>
      <c r="Z409" t="s">
        <v>84</v>
      </c>
      <c r="AA409" t="s">
        <v>154</v>
      </c>
      <c r="AC409" t="s">
        <v>883</v>
      </c>
      <c r="AD409" t="s">
        <v>50</v>
      </c>
      <c r="AH409">
        <v>3</v>
      </c>
      <c r="AM409">
        <v>43465</v>
      </c>
      <c r="AN409">
        <v>43469</v>
      </c>
      <c r="AO409" s="2">
        <f t="shared" si="51"/>
        <v>58</v>
      </c>
      <c r="AP409" s="2">
        <f t="shared" si="52"/>
        <v>58</v>
      </c>
      <c r="AQ409" s="3">
        <f t="shared" si="53"/>
        <v>0</v>
      </c>
      <c r="AR409" s="1" t="str">
        <f>INDEX(IOS!$B:$B,MATCH(D409,IOS!A:A,0))&amp;B409</f>
        <v>O.D.4</v>
      </c>
      <c r="AS409" s="1">
        <f t="shared" si="54"/>
        <v>0</v>
      </c>
      <c r="AT409" s="1" t="str">
        <f>IF(ISBLANK(W409),"",IF(ISERROR(MATCH(W409,HQLATABLE!$A:$A,0)),0,1))</f>
        <v/>
      </c>
      <c r="AU409" s="1" t="str">
        <f t="shared" si="55"/>
        <v>Blank</v>
      </c>
      <c r="AV409" s="1" t="str">
        <f t="shared" si="56"/>
        <v>Blank</v>
      </c>
      <c r="AW409" s="1">
        <f t="shared" si="57"/>
        <v>0</v>
      </c>
      <c r="AX409" s="1">
        <f t="shared" si="58"/>
        <v>0</v>
      </c>
      <c r="AY409" s="1"/>
      <c r="AZ409" s="1">
        <f>IF(COUNTIFS('PID CHECK'!$B:$B,AR409)=1,0,IF(COUNTIFS(AR$1:AR408,AR409)=1,0,1))</f>
        <v>0</v>
      </c>
      <c r="BA409" s="1"/>
      <c r="BB409" s="1"/>
    </row>
    <row r="410" spans="1:54">
      <c r="A410">
        <v>409</v>
      </c>
      <c r="B410" t="s">
        <v>44</v>
      </c>
      <c r="C410" t="s">
        <v>161</v>
      </c>
      <c r="D410" t="s">
        <v>153</v>
      </c>
      <c r="E410" t="s">
        <v>47</v>
      </c>
      <c r="F410" t="s">
        <v>50</v>
      </c>
      <c r="H410" t="s">
        <v>1062</v>
      </c>
      <c r="J410" t="s">
        <v>49</v>
      </c>
      <c r="K410" t="s">
        <v>50</v>
      </c>
      <c r="L410" t="s">
        <v>762</v>
      </c>
      <c r="M410" t="s">
        <v>762</v>
      </c>
      <c r="N410">
        <v>0</v>
      </c>
      <c r="R410" t="s">
        <v>1063</v>
      </c>
      <c r="S410" t="s">
        <v>1063</v>
      </c>
      <c r="Z410" t="s">
        <v>84</v>
      </c>
      <c r="AA410" t="s">
        <v>156</v>
      </c>
      <c r="AC410" t="s">
        <v>883</v>
      </c>
      <c r="AD410" t="s">
        <v>50</v>
      </c>
      <c r="AH410">
        <v>3</v>
      </c>
      <c r="AM410">
        <v>43465</v>
      </c>
      <c r="AN410">
        <v>43469</v>
      </c>
      <c r="AO410" s="2">
        <f t="shared" si="51"/>
        <v>58</v>
      </c>
      <c r="AP410" s="2">
        <f t="shared" si="52"/>
        <v>58</v>
      </c>
      <c r="AQ410" s="3">
        <f t="shared" si="53"/>
        <v>0</v>
      </c>
      <c r="AR410" s="1" t="str">
        <f>INDEX(IOS!$B:$B,MATCH(D410,IOS!A:A,0))&amp;B410</f>
        <v>O.D.4</v>
      </c>
      <c r="AS410" s="1">
        <f t="shared" si="54"/>
        <v>0</v>
      </c>
      <c r="AT410" s="1" t="str">
        <f>IF(ISBLANK(W410),"",IF(ISERROR(MATCH(W410,HQLATABLE!$A:$A,0)),0,1))</f>
        <v/>
      </c>
      <c r="AU410" s="1" t="str">
        <f t="shared" si="55"/>
        <v>Blank</v>
      </c>
      <c r="AV410" s="1" t="str">
        <f t="shared" si="56"/>
        <v>Blank</v>
      </c>
      <c r="AW410" s="1">
        <f t="shared" si="57"/>
        <v>0</v>
      </c>
      <c r="AX410" s="1">
        <f t="shared" si="58"/>
        <v>0</v>
      </c>
      <c r="AY410" s="1"/>
      <c r="AZ410" s="1">
        <f>IF(COUNTIFS('PID CHECK'!$B:$B,AR410)=1,0,IF(COUNTIFS(AR$1:AR409,AR410)=1,0,1))</f>
        <v>0</v>
      </c>
      <c r="BA410" s="1"/>
      <c r="BB410" s="1"/>
    </row>
    <row r="411" spans="1:54">
      <c r="A411">
        <v>410</v>
      </c>
      <c r="B411" t="s">
        <v>44</v>
      </c>
      <c r="C411" t="s">
        <v>161</v>
      </c>
      <c r="D411" t="s">
        <v>153</v>
      </c>
      <c r="E411" t="s">
        <v>47</v>
      </c>
      <c r="F411" t="s">
        <v>50</v>
      </c>
      <c r="H411" t="s">
        <v>1017</v>
      </c>
      <c r="J411" t="s">
        <v>49</v>
      </c>
      <c r="K411" t="s">
        <v>50</v>
      </c>
      <c r="L411" t="s">
        <v>762</v>
      </c>
      <c r="M411" t="s">
        <v>762</v>
      </c>
      <c r="N411">
        <v>0</v>
      </c>
      <c r="R411" t="s">
        <v>1018</v>
      </c>
      <c r="S411" t="s">
        <v>1018</v>
      </c>
      <c r="Z411" t="s">
        <v>84</v>
      </c>
      <c r="AA411" t="s">
        <v>154</v>
      </c>
      <c r="AC411" t="s">
        <v>883</v>
      </c>
      <c r="AD411" t="s">
        <v>50</v>
      </c>
      <c r="AH411">
        <v>3</v>
      </c>
      <c r="AM411">
        <v>43465</v>
      </c>
      <c r="AN411">
        <v>43469</v>
      </c>
      <c r="AO411" s="2">
        <f t="shared" si="51"/>
        <v>59</v>
      </c>
      <c r="AP411" s="2">
        <f t="shared" si="52"/>
        <v>59</v>
      </c>
      <c r="AQ411" s="3">
        <f t="shared" si="53"/>
        <v>0</v>
      </c>
      <c r="AR411" s="1" t="str">
        <f>INDEX(IOS!$B:$B,MATCH(D411,IOS!A:A,0))&amp;B411</f>
        <v>O.D.4</v>
      </c>
      <c r="AS411" s="1">
        <f t="shared" si="54"/>
        <v>0</v>
      </c>
      <c r="AT411" s="1" t="str">
        <f>IF(ISBLANK(W411),"",IF(ISERROR(MATCH(W411,HQLATABLE!$A:$A,0)),0,1))</f>
        <v/>
      </c>
      <c r="AU411" s="1" t="str">
        <f t="shared" si="55"/>
        <v>Blank</v>
      </c>
      <c r="AV411" s="1" t="str">
        <f t="shared" si="56"/>
        <v>Blank</v>
      </c>
      <c r="AW411" s="1">
        <f t="shared" si="57"/>
        <v>0</v>
      </c>
      <c r="AX411" s="1">
        <f t="shared" si="58"/>
        <v>0</v>
      </c>
      <c r="AY411" s="1"/>
      <c r="AZ411" s="1">
        <f>IF(COUNTIFS('PID CHECK'!$B:$B,AR411)=1,0,IF(COUNTIFS(AR$1:AR410,AR411)=1,0,1))</f>
        <v>0</v>
      </c>
      <c r="BA411" s="1"/>
      <c r="BB411" s="1"/>
    </row>
    <row r="412" spans="1:54">
      <c r="A412">
        <v>411</v>
      </c>
      <c r="B412" t="s">
        <v>44</v>
      </c>
      <c r="C412" t="s">
        <v>161</v>
      </c>
      <c r="D412" t="s">
        <v>153</v>
      </c>
      <c r="E412" t="s">
        <v>47</v>
      </c>
      <c r="F412" t="s">
        <v>50</v>
      </c>
      <c r="H412" t="s">
        <v>1017</v>
      </c>
      <c r="J412" t="s">
        <v>49</v>
      </c>
      <c r="K412" t="s">
        <v>50</v>
      </c>
      <c r="L412" t="s">
        <v>762</v>
      </c>
      <c r="M412" t="s">
        <v>762</v>
      </c>
      <c r="N412">
        <v>0</v>
      </c>
      <c r="R412" t="s">
        <v>1018</v>
      </c>
      <c r="S412" t="s">
        <v>1018</v>
      </c>
      <c r="Z412" t="s">
        <v>162</v>
      </c>
      <c r="AA412" t="s">
        <v>154</v>
      </c>
      <c r="AC412" t="s">
        <v>883</v>
      </c>
      <c r="AD412" t="s">
        <v>50</v>
      </c>
      <c r="AH412">
        <v>4</v>
      </c>
      <c r="AM412">
        <v>43465</v>
      </c>
      <c r="AN412">
        <v>43469</v>
      </c>
      <c r="AO412" s="2">
        <f t="shared" si="51"/>
        <v>59</v>
      </c>
      <c r="AP412" s="2">
        <f t="shared" si="52"/>
        <v>59</v>
      </c>
      <c r="AQ412" s="3">
        <f t="shared" si="53"/>
        <v>0</v>
      </c>
      <c r="AR412" s="1" t="str">
        <f>INDEX(IOS!$B:$B,MATCH(D412,IOS!A:A,0))&amp;B412</f>
        <v>O.D.4</v>
      </c>
      <c r="AS412" s="1">
        <f t="shared" si="54"/>
        <v>0</v>
      </c>
      <c r="AT412" s="1" t="str">
        <f>IF(ISBLANK(W412),"",IF(ISERROR(MATCH(W412,HQLATABLE!$A:$A,0)),0,1))</f>
        <v/>
      </c>
      <c r="AU412" s="1" t="str">
        <f t="shared" si="55"/>
        <v>Blank</v>
      </c>
      <c r="AV412" s="1" t="str">
        <f t="shared" si="56"/>
        <v>Blank</v>
      </c>
      <c r="AW412" s="1">
        <f t="shared" si="57"/>
        <v>0</v>
      </c>
      <c r="AX412" s="1">
        <f t="shared" si="58"/>
        <v>0</v>
      </c>
      <c r="AY412" s="1"/>
      <c r="AZ412" s="1">
        <f>IF(COUNTIFS('PID CHECK'!$B:$B,AR412)=1,0,IF(COUNTIFS(AR$1:AR411,AR412)=1,0,1))</f>
        <v>0</v>
      </c>
      <c r="BA412" s="1"/>
      <c r="BB412" s="1"/>
    </row>
    <row r="413" spans="1:54">
      <c r="A413">
        <v>412</v>
      </c>
      <c r="B413" t="s">
        <v>44</v>
      </c>
      <c r="C413" t="s">
        <v>161</v>
      </c>
      <c r="D413" t="s">
        <v>153</v>
      </c>
      <c r="E413" t="s">
        <v>47</v>
      </c>
      <c r="F413" t="s">
        <v>50</v>
      </c>
      <c r="H413" t="s">
        <v>1017</v>
      </c>
      <c r="J413" t="s">
        <v>49</v>
      </c>
      <c r="K413" t="s">
        <v>50</v>
      </c>
      <c r="L413" t="s">
        <v>762</v>
      </c>
      <c r="M413" t="s">
        <v>762</v>
      </c>
      <c r="N413">
        <v>0</v>
      </c>
      <c r="R413" t="s">
        <v>1018</v>
      </c>
      <c r="S413" t="s">
        <v>1018</v>
      </c>
      <c r="Z413" t="s">
        <v>84</v>
      </c>
      <c r="AA413" t="s">
        <v>156</v>
      </c>
      <c r="AC413" t="s">
        <v>883</v>
      </c>
      <c r="AD413" t="s">
        <v>50</v>
      </c>
      <c r="AH413">
        <v>3</v>
      </c>
      <c r="AM413">
        <v>43465</v>
      </c>
      <c r="AN413">
        <v>43469</v>
      </c>
      <c r="AO413" s="2">
        <f t="shared" si="51"/>
        <v>59</v>
      </c>
      <c r="AP413" s="2">
        <f t="shared" si="52"/>
        <v>59</v>
      </c>
      <c r="AQ413" s="3">
        <f t="shared" si="53"/>
        <v>0</v>
      </c>
      <c r="AR413" s="1" t="str">
        <f>INDEX(IOS!$B:$B,MATCH(D413,IOS!A:A,0))&amp;B413</f>
        <v>O.D.4</v>
      </c>
      <c r="AS413" s="1">
        <f t="shared" si="54"/>
        <v>0</v>
      </c>
      <c r="AT413" s="1" t="str">
        <f>IF(ISBLANK(W413),"",IF(ISERROR(MATCH(W413,HQLATABLE!$A:$A,0)),0,1))</f>
        <v/>
      </c>
      <c r="AU413" s="1" t="str">
        <f t="shared" si="55"/>
        <v>Blank</v>
      </c>
      <c r="AV413" s="1" t="str">
        <f t="shared" si="56"/>
        <v>Blank</v>
      </c>
      <c r="AW413" s="1">
        <f t="shared" si="57"/>
        <v>0</v>
      </c>
      <c r="AX413" s="1">
        <f t="shared" si="58"/>
        <v>0</v>
      </c>
      <c r="AY413" s="1"/>
      <c r="AZ413" s="1">
        <f>IF(COUNTIFS('PID CHECK'!$B:$B,AR413)=1,0,IF(COUNTIFS(AR$1:AR412,AR413)=1,0,1))</f>
        <v>0</v>
      </c>
      <c r="BA413" s="1"/>
      <c r="BB413" s="1"/>
    </row>
    <row r="414" spans="1:54">
      <c r="A414">
        <v>413</v>
      </c>
      <c r="B414" t="s">
        <v>44</v>
      </c>
      <c r="C414" t="s">
        <v>161</v>
      </c>
      <c r="D414" t="s">
        <v>153</v>
      </c>
      <c r="E414" t="s">
        <v>47</v>
      </c>
      <c r="F414" t="s">
        <v>50</v>
      </c>
      <c r="H414" t="s">
        <v>94</v>
      </c>
      <c r="J414" t="s">
        <v>49</v>
      </c>
      <c r="K414" t="s">
        <v>50</v>
      </c>
      <c r="L414" t="s">
        <v>762</v>
      </c>
      <c r="M414" t="s">
        <v>762</v>
      </c>
      <c r="N414">
        <v>0</v>
      </c>
      <c r="R414" t="s">
        <v>95</v>
      </c>
      <c r="S414" t="s">
        <v>96</v>
      </c>
      <c r="Z414" t="s">
        <v>84</v>
      </c>
      <c r="AA414" t="s">
        <v>154</v>
      </c>
      <c r="AC414" t="s">
        <v>883</v>
      </c>
      <c r="AD414" t="s">
        <v>50</v>
      </c>
      <c r="AH414">
        <v>3</v>
      </c>
      <c r="AM414">
        <v>43465</v>
      </c>
      <c r="AN414">
        <v>43469</v>
      </c>
      <c r="AO414" s="2">
        <f t="shared" si="51"/>
        <v>61</v>
      </c>
      <c r="AP414" s="2">
        <f t="shared" si="52"/>
        <v>67</v>
      </c>
      <c r="AQ414" s="3">
        <f t="shared" si="53"/>
        <v>0</v>
      </c>
      <c r="AR414" s="1" t="str">
        <f>INDEX(IOS!$B:$B,MATCH(D414,IOS!A:A,0))&amp;B414</f>
        <v>O.D.4</v>
      </c>
      <c r="AS414" s="1">
        <f t="shared" si="54"/>
        <v>0</v>
      </c>
      <c r="AT414" s="1" t="str">
        <f>IF(ISBLANK(W414),"",IF(ISERROR(MATCH(W414,HQLATABLE!$A:$A,0)),0,1))</f>
        <v/>
      </c>
      <c r="AU414" s="1" t="str">
        <f t="shared" si="55"/>
        <v>Blank</v>
      </c>
      <c r="AV414" s="1" t="str">
        <f t="shared" si="56"/>
        <v>Blank</v>
      </c>
      <c r="AW414" s="1">
        <f t="shared" si="57"/>
        <v>0</v>
      </c>
      <c r="AX414" s="1">
        <f t="shared" si="58"/>
        <v>0</v>
      </c>
      <c r="AY414" s="1"/>
      <c r="AZ414" s="1">
        <f>IF(COUNTIFS('PID CHECK'!$B:$B,AR414)=1,0,IF(COUNTIFS(AR$1:AR413,AR414)=1,0,1))</f>
        <v>0</v>
      </c>
      <c r="BA414" s="1"/>
      <c r="BB414" s="1"/>
    </row>
    <row r="415" spans="1:54">
      <c r="A415">
        <v>414</v>
      </c>
      <c r="B415" t="s">
        <v>44</v>
      </c>
      <c r="C415" t="s">
        <v>161</v>
      </c>
      <c r="D415" t="s">
        <v>153</v>
      </c>
      <c r="E415" t="s">
        <v>47</v>
      </c>
      <c r="F415" t="s">
        <v>50</v>
      </c>
      <c r="H415" t="s">
        <v>94</v>
      </c>
      <c r="J415" t="s">
        <v>49</v>
      </c>
      <c r="K415" t="s">
        <v>50</v>
      </c>
      <c r="L415" t="s">
        <v>762</v>
      </c>
      <c r="M415" t="s">
        <v>762</v>
      </c>
      <c r="N415">
        <v>0</v>
      </c>
      <c r="R415" t="s">
        <v>95</v>
      </c>
      <c r="S415" t="s">
        <v>96</v>
      </c>
      <c r="Z415" t="s">
        <v>84</v>
      </c>
      <c r="AA415" t="s">
        <v>156</v>
      </c>
      <c r="AC415" t="s">
        <v>883</v>
      </c>
      <c r="AD415" t="s">
        <v>50</v>
      </c>
      <c r="AH415">
        <v>3</v>
      </c>
      <c r="AM415">
        <v>43465</v>
      </c>
      <c r="AN415">
        <v>43469</v>
      </c>
      <c r="AO415" s="2">
        <f t="shared" si="51"/>
        <v>61</v>
      </c>
      <c r="AP415" s="2">
        <f t="shared" si="52"/>
        <v>67</v>
      </c>
      <c r="AQ415" s="3">
        <f t="shared" si="53"/>
        <v>0</v>
      </c>
      <c r="AR415" s="1" t="str">
        <f>INDEX(IOS!$B:$B,MATCH(D415,IOS!A:A,0))&amp;B415</f>
        <v>O.D.4</v>
      </c>
      <c r="AS415" s="1">
        <f t="shared" si="54"/>
        <v>0</v>
      </c>
      <c r="AT415" s="1" t="str">
        <f>IF(ISBLANK(W415),"",IF(ISERROR(MATCH(W415,HQLATABLE!$A:$A,0)),0,1))</f>
        <v/>
      </c>
      <c r="AU415" s="1" t="str">
        <f t="shared" si="55"/>
        <v>Blank</v>
      </c>
      <c r="AV415" s="1" t="str">
        <f t="shared" si="56"/>
        <v>Blank</v>
      </c>
      <c r="AW415" s="1">
        <f t="shared" si="57"/>
        <v>0</v>
      </c>
      <c r="AX415" s="1">
        <f t="shared" si="58"/>
        <v>0</v>
      </c>
      <c r="AY415" s="1"/>
      <c r="AZ415" s="1">
        <f>IF(COUNTIFS('PID CHECK'!$B:$B,AR415)=1,0,IF(COUNTIFS(AR$1:AR414,AR415)=1,0,1))</f>
        <v>0</v>
      </c>
      <c r="BA415" s="1"/>
      <c r="BB415" s="1"/>
    </row>
    <row r="416" spans="1:54">
      <c r="A416">
        <v>415</v>
      </c>
      <c r="B416" t="s">
        <v>44</v>
      </c>
      <c r="C416" t="s">
        <v>161</v>
      </c>
      <c r="D416" t="s">
        <v>153</v>
      </c>
      <c r="E416" t="s">
        <v>47</v>
      </c>
      <c r="F416" t="s">
        <v>50</v>
      </c>
      <c r="H416" t="s">
        <v>97</v>
      </c>
      <c r="J416" t="s">
        <v>49</v>
      </c>
      <c r="K416" t="s">
        <v>50</v>
      </c>
      <c r="L416" t="s">
        <v>762</v>
      </c>
      <c r="M416" t="s">
        <v>762</v>
      </c>
      <c r="N416">
        <v>0</v>
      </c>
      <c r="R416" t="s">
        <v>98</v>
      </c>
      <c r="S416" t="s">
        <v>99</v>
      </c>
      <c r="Z416" t="s">
        <v>84</v>
      </c>
      <c r="AA416" t="s">
        <v>154</v>
      </c>
      <c r="AC416" t="s">
        <v>883</v>
      </c>
      <c r="AD416" t="s">
        <v>50</v>
      </c>
      <c r="AH416">
        <v>3</v>
      </c>
      <c r="AM416">
        <v>43465</v>
      </c>
      <c r="AN416">
        <v>43469</v>
      </c>
      <c r="AO416" s="2">
        <f t="shared" si="51"/>
        <v>68</v>
      </c>
      <c r="AP416" s="2">
        <f t="shared" si="52"/>
        <v>74</v>
      </c>
      <c r="AQ416" s="3">
        <f t="shared" si="53"/>
        <v>0</v>
      </c>
      <c r="AR416" s="1" t="str">
        <f>INDEX(IOS!$B:$B,MATCH(D416,IOS!A:A,0))&amp;B416</f>
        <v>O.D.4</v>
      </c>
      <c r="AS416" s="1">
        <f t="shared" si="54"/>
        <v>0</v>
      </c>
      <c r="AT416" s="1" t="str">
        <f>IF(ISBLANK(W416),"",IF(ISERROR(MATCH(W416,HQLATABLE!$A:$A,0)),0,1))</f>
        <v/>
      </c>
      <c r="AU416" s="1" t="str">
        <f t="shared" si="55"/>
        <v>Blank</v>
      </c>
      <c r="AV416" s="1" t="str">
        <f t="shared" si="56"/>
        <v>Blank</v>
      </c>
      <c r="AW416" s="1">
        <f t="shared" si="57"/>
        <v>0</v>
      </c>
      <c r="AX416" s="1">
        <f t="shared" si="58"/>
        <v>0</v>
      </c>
      <c r="AY416" s="1"/>
      <c r="AZ416" s="1">
        <f>IF(COUNTIFS('PID CHECK'!$B:$B,AR416)=1,0,IF(COUNTIFS(AR$1:AR415,AR416)=1,0,1))</f>
        <v>0</v>
      </c>
      <c r="BA416" s="1"/>
      <c r="BB416" s="1"/>
    </row>
    <row r="417" spans="1:54">
      <c r="A417">
        <v>416</v>
      </c>
      <c r="B417" t="s">
        <v>44</v>
      </c>
      <c r="C417" t="s">
        <v>161</v>
      </c>
      <c r="D417" t="s">
        <v>153</v>
      </c>
      <c r="E417" t="s">
        <v>47</v>
      </c>
      <c r="F417" t="s">
        <v>50</v>
      </c>
      <c r="H417" t="s">
        <v>97</v>
      </c>
      <c r="J417" t="s">
        <v>49</v>
      </c>
      <c r="K417" t="s">
        <v>50</v>
      </c>
      <c r="L417" t="s">
        <v>762</v>
      </c>
      <c r="M417" t="s">
        <v>762</v>
      </c>
      <c r="N417">
        <v>0</v>
      </c>
      <c r="R417" t="s">
        <v>98</v>
      </c>
      <c r="S417" t="s">
        <v>99</v>
      </c>
      <c r="Z417" t="s">
        <v>162</v>
      </c>
      <c r="AA417" t="s">
        <v>154</v>
      </c>
      <c r="AC417" t="s">
        <v>883</v>
      </c>
      <c r="AD417" t="s">
        <v>50</v>
      </c>
      <c r="AH417">
        <v>4</v>
      </c>
      <c r="AM417">
        <v>43465</v>
      </c>
      <c r="AN417">
        <v>43469</v>
      </c>
      <c r="AO417" s="2">
        <f t="shared" si="51"/>
        <v>68</v>
      </c>
      <c r="AP417" s="2">
        <f t="shared" si="52"/>
        <v>74</v>
      </c>
      <c r="AQ417" s="3">
        <f t="shared" si="53"/>
        <v>0</v>
      </c>
      <c r="AR417" s="1" t="str">
        <f>INDEX(IOS!$B:$B,MATCH(D417,IOS!A:A,0))&amp;B417</f>
        <v>O.D.4</v>
      </c>
      <c r="AS417" s="1">
        <f t="shared" si="54"/>
        <v>0</v>
      </c>
      <c r="AT417" s="1" t="str">
        <f>IF(ISBLANK(W417),"",IF(ISERROR(MATCH(W417,HQLATABLE!$A:$A,0)),0,1))</f>
        <v/>
      </c>
      <c r="AU417" s="1" t="str">
        <f t="shared" si="55"/>
        <v>Blank</v>
      </c>
      <c r="AV417" s="1" t="str">
        <f t="shared" si="56"/>
        <v>Blank</v>
      </c>
      <c r="AW417" s="1">
        <f t="shared" si="57"/>
        <v>0</v>
      </c>
      <c r="AX417" s="1">
        <f t="shared" si="58"/>
        <v>0</v>
      </c>
      <c r="AY417" s="1"/>
      <c r="AZ417" s="1">
        <f>IF(COUNTIFS('PID CHECK'!$B:$B,AR417)=1,0,IF(COUNTIFS(AR$1:AR416,AR417)=1,0,1))</f>
        <v>0</v>
      </c>
      <c r="BA417" s="1"/>
      <c r="BB417" s="1"/>
    </row>
    <row r="418" spans="1:54">
      <c r="A418">
        <v>417</v>
      </c>
      <c r="B418" t="s">
        <v>44</v>
      </c>
      <c r="C418" t="s">
        <v>161</v>
      </c>
      <c r="D418" t="s">
        <v>153</v>
      </c>
      <c r="E418" t="s">
        <v>47</v>
      </c>
      <c r="F418" t="s">
        <v>50</v>
      </c>
      <c r="H418" t="s">
        <v>97</v>
      </c>
      <c r="J418" t="s">
        <v>49</v>
      </c>
      <c r="K418" t="s">
        <v>50</v>
      </c>
      <c r="L418" t="s">
        <v>762</v>
      </c>
      <c r="M418" t="s">
        <v>762</v>
      </c>
      <c r="N418">
        <v>0</v>
      </c>
      <c r="R418" t="s">
        <v>98</v>
      </c>
      <c r="S418" t="s">
        <v>99</v>
      </c>
      <c r="Z418" t="s">
        <v>84</v>
      </c>
      <c r="AA418" t="s">
        <v>156</v>
      </c>
      <c r="AC418" t="s">
        <v>883</v>
      </c>
      <c r="AD418" t="s">
        <v>50</v>
      </c>
      <c r="AH418">
        <v>3</v>
      </c>
      <c r="AM418">
        <v>43465</v>
      </c>
      <c r="AN418">
        <v>43469</v>
      </c>
      <c r="AO418" s="2">
        <f t="shared" si="51"/>
        <v>68</v>
      </c>
      <c r="AP418" s="2">
        <f t="shared" si="52"/>
        <v>74</v>
      </c>
      <c r="AQ418" s="3">
        <f t="shared" si="53"/>
        <v>0</v>
      </c>
      <c r="AR418" s="1" t="str">
        <f>INDEX(IOS!$B:$B,MATCH(D418,IOS!A:A,0))&amp;B418</f>
        <v>O.D.4</v>
      </c>
      <c r="AS418" s="1">
        <f t="shared" si="54"/>
        <v>0</v>
      </c>
      <c r="AT418" s="1" t="str">
        <f>IF(ISBLANK(W418),"",IF(ISERROR(MATCH(W418,HQLATABLE!$A:$A,0)),0,1))</f>
        <v/>
      </c>
      <c r="AU418" s="1" t="str">
        <f t="shared" si="55"/>
        <v>Blank</v>
      </c>
      <c r="AV418" s="1" t="str">
        <f t="shared" si="56"/>
        <v>Blank</v>
      </c>
      <c r="AW418" s="1">
        <f t="shared" si="57"/>
        <v>0</v>
      </c>
      <c r="AX418" s="1">
        <f t="shared" si="58"/>
        <v>0</v>
      </c>
      <c r="AY418" s="1"/>
      <c r="AZ418" s="1">
        <f>IF(COUNTIFS('PID CHECK'!$B:$B,AR418)=1,0,IF(COUNTIFS(AR$1:AR417,AR418)=1,0,1))</f>
        <v>0</v>
      </c>
      <c r="BA418" s="1"/>
      <c r="BB418" s="1"/>
    </row>
    <row r="419" spans="1:54">
      <c r="A419">
        <v>418</v>
      </c>
      <c r="B419" t="s">
        <v>44</v>
      </c>
      <c r="C419" t="s">
        <v>161</v>
      </c>
      <c r="D419" t="s">
        <v>153</v>
      </c>
      <c r="E419" t="s">
        <v>47</v>
      </c>
      <c r="F419" t="s">
        <v>50</v>
      </c>
      <c r="H419" t="s">
        <v>100</v>
      </c>
      <c r="J419" t="s">
        <v>49</v>
      </c>
      <c r="K419" t="s">
        <v>50</v>
      </c>
      <c r="L419" t="s">
        <v>762</v>
      </c>
      <c r="M419" t="s">
        <v>762</v>
      </c>
      <c r="N419">
        <v>0</v>
      </c>
      <c r="R419" t="s">
        <v>101</v>
      </c>
      <c r="S419" t="s">
        <v>102</v>
      </c>
      <c r="Z419" t="s">
        <v>84</v>
      </c>
      <c r="AA419" t="s">
        <v>154</v>
      </c>
      <c r="AC419" t="s">
        <v>883</v>
      </c>
      <c r="AD419" t="s">
        <v>50</v>
      </c>
      <c r="AH419">
        <v>3</v>
      </c>
      <c r="AM419">
        <v>43465</v>
      </c>
      <c r="AN419">
        <v>43469</v>
      </c>
      <c r="AO419" s="2">
        <f t="shared" si="51"/>
        <v>75</v>
      </c>
      <c r="AP419" s="2">
        <f t="shared" si="52"/>
        <v>82</v>
      </c>
      <c r="AQ419" s="3">
        <f t="shared" si="53"/>
        <v>0</v>
      </c>
      <c r="AR419" s="1" t="str">
        <f>INDEX(IOS!$B:$B,MATCH(D419,IOS!A:A,0))&amp;B419</f>
        <v>O.D.4</v>
      </c>
      <c r="AS419" s="1">
        <f t="shared" si="54"/>
        <v>0</v>
      </c>
      <c r="AT419" s="1" t="str">
        <f>IF(ISBLANK(W419),"",IF(ISERROR(MATCH(W419,HQLATABLE!$A:$A,0)),0,1))</f>
        <v/>
      </c>
      <c r="AU419" s="1" t="str">
        <f t="shared" si="55"/>
        <v>Blank</v>
      </c>
      <c r="AV419" s="1" t="str">
        <f t="shared" si="56"/>
        <v>Blank</v>
      </c>
      <c r="AW419" s="1">
        <f t="shared" si="57"/>
        <v>0</v>
      </c>
      <c r="AX419" s="1">
        <f t="shared" si="58"/>
        <v>0</v>
      </c>
      <c r="AY419" s="1"/>
      <c r="AZ419" s="1">
        <f>IF(COUNTIFS('PID CHECK'!$B:$B,AR419)=1,0,IF(COUNTIFS(AR$1:AR418,AR419)=1,0,1))</f>
        <v>0</v>
      </c>
      <c r="BA419" s="1"/>
      <c r="BB419" s="1"/>
    </row>
    <row r="420" spans="1:54">
      <c r="A420">
        <v>419</v>
      </c>
      <c r="B420" t="s">
        <v>44</v>
      </c>
      <c r="C420" t="s">
        <v>161</v>
      </c>
      <c r="D420" t="s">
        <v>153</v>
      </c>
      <c r="E420" t="s">
        <v>47</v>
      </c>
      <c r="F420" t="s">
        <v>50</v>
      </c>
      <c r="H420" t="s">
        <v>100</v>
      </c>
      <c r="J420" t="s">
        <v>49</v>
      </c>
      <c r="K420" t="s">
        <v>50</v>
      </c>
      <c r="L420" t="s">
        <v>762</v>
      </c>
      <c r="M420" t="s">
        <v>762</v>
      </c>
      <c r="N420">
        <v>0</v>
      </c>
      <c r="R420" t="s">
        <v>101</v>
      </c>
      <c r="S420" t="s">
        <v>102</v>
      </c>
      <c r="Z420" t="s">
        <v>84</v>
      </c>
      <c r="AA420" t="s">
        <v>156</v>
      </c>
      <c r="AC420" t="s">
        <v>883</v>
      </c>
      <c r="AD420" t="s">
        <v>50</v>
      </c>
      <c r="AH420">
        <v>3</v>
      </c>
      <c r="AM420">
        <v>43465</v>
      </c>
      <c r="AN420">
        <v>43469</v>
      </c>
      <c r="AO420" s="2">
        <f t="shared" si="51"/>
        <v>75</v>
      </c>
      <c r="AP420" s="2">
        <f t="shared" si="52"/>
        <v>82</v>
      </c>
      <c r="AQ420" s="3">
        <f t="shared" si="53"/>
        <v>0</v>
      </c>
      <c r="AR420" s="1" t="str">
        <f>INDEX(IOS!$B:$B,MATCH(D420,IOS!A:A,0))&amp;B420</f>
        <v>O.D.4</v>
      </c>
      <c r="AS420" s="1">
        <f t="shared" si="54"/>
        <v>0</v>
      </c>
      <c r="AT420" s="1" t="str">
        <f>IF(ISBLANK(W420),"",IF(ISERROR(MATCH(W420,HQLATABLE!$A:$A,0)),0,1))</f>
        <v/>
      </c>
      <c r="AU420" s="1" t="str">
        <f t="shared" si="55"/>
        <v>Blank</v>
      </c>
      <c r="AV420" s="1" t="str">
        <f t="shared" si="56"/>
        <v>Blank</v>
      </c>
      <c r="AW420" s="1">
        <f t="shared" si="57"/>
        <v>0</v>
      </c>
      <c r="AX420" s="1">
        <f t="shared" si="58"/>
        <v>0</v>
      </c>
      <c r="AY420" s="1"/>
      <c r="AZ420" s="1">
        <f>IF(COUNTIFS('PID CHECK'!$B:$B,AR420)=1,0,IF(COUNTIFS(AR$1:AR419,AR420)=1,0,1))</f>
        <v>0</v>
      </c>
      <c r="BA420" s="1"/>
      <c r="BB420" s="1"/>
    </row>
    <row r="421" spans="1:54">
      <c r="A421">
        <v>420</v>
      </c>
      <c r="B421" t="s">
        <v>44</v>
      </c>
      <c r="C421" t="s">
        <v>161</v>
      </c>
      <c r="D421" t="s">
        <v>153</v>
      </c>
      <c r="E421" t="s">
        <v>47</v>
      </c>
      <c r="F421" t="s">
        <v>50</v>
      </c>
      <c r="H421" t="s">
        <v>103</v>
      </c>
      <c r="J421" t="s">
        <v>49</v>
      </c>
      <c r="K421" t="s">
        <v>50</v>
      </c>
      <c r="L421" t="s">
        <v>762</v>
      </c>
      <c r="M421" t="s">
        <v>762</v>
      </c>
      <c r="N421">
        <v>0</v>
      </c>
      <c r="R421" t="s">
        <v>104</v>
      </c>
      <c r="S421" t="s">
        <v>104</v>
      </c>
      <c r="Z421" t="s">
        <v>84</v>
      </c>
      <c r="AA421" t="s">
        <v>154</v>
      </c>
      <c r="AC421" t="s">
        <v>883</v>
      </c>
      <c r="AD421" t="s">
        <v>50</v>
      </c>
      <c r="AH421">
        <v>3</v>
      </c>
      <c r="AM421">
        <v>43465</v>
      </c>
      <c r="AN421">
        <v>43469</v>
      </c>
      <c r="AO421" s="2">
        <f t="shared" si="51"/>
        <v>7</v>
      </c>
      <c r="AP421" s="2">
        <f t="shared" si="52"/>
        <v>7</v>
      </c>
      <c r="AQ421" s="3">
        <f t="shared" si="53"/>
        <v>1</v>
      </c>
      <c r="AR421" s="1" t="str">
        <f>INDEX(IOS!$B:$B,MATCH(D421,IOS!A:A,0))&amp;B421</f>
        <v>O.D.4</v>
      </c>
      <c r="AS421" s="1">
        <f t="shared" si="54"/>
        <v>0</v>
      </c>
      <c r="AT421" s="1" t="str">
        <f>IF(ISBLANK(W421),"",IF(ISERROR(MATCH(W421,HQLATABLE!$A:$A,0)),0,1))</f>
        <v/>
      </c>
      <c r="AU421" s="1" t="str">
        <f t="shared" si="55"/>
        <v>Blank</v>
      </c>
      <c r="AV421" s="1" t="str">
        <f t="shared" si="56"/>
        <v>Blank</v>
      </c>
      <c r="AW421" s="1">
        <f t="shared" si="57"/>
        <v>0</v>
      </c>
      <c r="AX421" s="1">
        <f t="shared" si="58"/>
        <v>0</v>
      </c>
      <c r="AY421" s="1"/>
      <c r="AZ421" s="1">
        <f>IF(COUNTIFS('PID CHECK'!$B:$B,AR421)=1,0,IF(COUNTIFS(AR$1:AR420,AR421)=1,0,1))</f>
        <v>0</v>
      </c>
      <c r="BA421" s="1"/>
      <c r="BB421" s="1"/>
    </row>
    <row r="422" spans="1:54">
      <c r="A422">
        <v>421</v>
      </c>
      <c r="B422" t="s">
        <v>44</v>
      </c>
      <c r="C422" t="s">
        <v>161</v>
      </c>
      <c r="D422" t="s">
        <v>153</v>
      </c>
      <c r="E422" t="s">
        <v>47</v>
      </c>
      <c r="F422" t="s">
        <v>50</v>
      </c>
      <c r="H422" t="s">
        <v>103</v>
      </c>
      <c r="J422" t="s">
        <v>49</v>
      </c>
      <c r="K422" t="s">
        <v>50</v>
      </c>
      <c r="L422" t="s">
        <v>762</v>
      </c>
      <c r="M422" t="s">
        <v>762</v>
      </c>
      <c r="N422">
        <v>0</v>
      </c>
      <c r="R422" t="s">
        <v>104</v>
      </c>
      <c r="S422" t="s">
        <v>104</v>
      </c>
      <c r="Z422" t="s">
        <v>84</v>
      </c>
      <c r="AA422" t="s">
        <v>156</v>
      </c>
      <c r="AC422" t="s">
        <v>883</v>
      </c>
      <c r="AD422" t="s">
        <v>50</v>
      </c>
      <c r="AH422">
        <v>3</v>
      </c>
      <c r="AM422">
        <v>43465</v>
      </c>
      <c r="AN422">
        <v>43469</v>
      </c>
      <c r="AO422" s="2">
        <f t="shared" si="51"/>
        <v>7</v>
      </c>
      <c r="AP422" s="2">
        <f t="shared" si="52"/>
        <v>7</v>
      </c>
      <c r="AQ422" s="3">
        <f t="shared" si="53"/>
        <v>1</v>
      </c>
      <c r="AR422" s="1" t="str">
        <f>INDEX(IOS!$B:$B,MATCH(D422,IOS!A:A,0))&amp;B422</f>
        <v>O.D.4</v>
      </c>
      <c r="AS422" s="1">
        <f t="shared" si="54"/>
        <v>0</v>
      </c>
      <c r="AT422" s="1" t="str">
        <f>IF(ISBLANK(W422),"",IF(ISERROR(MATCH(W422,HQLATABLE!$A:$A,0)),0,1))</f>
        <v/>
      </c>
      <c r="AU422" s="1" t="str">
        <f t="shared" si="55"/>
        <v>Blank</v>
      </c>
      <c r="AV422" s="1" t="str">
        <f t="shared" si="56"/>
        <v>Blank</v>
      </c>
      <c r="AW422" s="1">
        <f t="shared" si="57"/>
        <v>0</v>
      </c>
      <c r="AX422" s="1">
        <f t="shared" si="58"/>
        <v>0</v>
      </c>
      <c r="AY422" s="1"/>
      <c r="AZ422" s="1">
        <f>IF(COUNTIFS('PID CHECK'!$B:$B,AR422)=1,0,IF(COUNTIFS(AR$1:AR421,AR422)=1,0,1))</f>
        <v>0</v>
      </c>
      <c r="BA422" s="1"/>
      <c r="BB422" s="1"/>
    </row>
    <row r="423" spans="1:54">
      <c r="A423">
        <v>422</v>
      </c>
      <c r="B423" t="s">
        <v>44</v>
      </c>
      <c r="C423" t="s">
        <v>161</v>
      </c>
      <c r="D423" t="s">
        <v>153</v>
      </c>
      <c r="E423" t="s">
        <v>47</v>
      </c>
      <c r="F423" t="s">
        <v>50</v>
      </c>
      <c r="H423" t="s">
        <v>105</v>
      </c>
      <c r="J423" t="s">
        <v>49</v>
      </c>
      <c r="K423" t="s">
        <v>50</v>
      </c>
      <c r="L423" t="s">
        <v>762</v>
      </c>
      <c r="M423" t="s">
        <v>762</v>
      </c>
      <c r="N423">
        <v>0</v>
      </c>
      <c r="R423" t="s">
        <v>106</v>
      </c>
      <c r="S423" t="s">
        <v>107</v>
      </c>
      <c r="Z423" t="s">
        <v>84</v>
      </c>
      <c r="AA423" t="s">
        <v>154</v>
      </c>
      <c r="AC423" t="s">
        <v>883</v>
      </c>
      <c r="AD423" t="s">
        <v>50</v>
      </c>
      <c r="AH423">
        <v>3</v>
      </c>
      <c r="AM423">
        <v>43465</v>
      </c>
      <c r="AN423">
        <v>43469</v>
      </c>
      <c r="AO423" s="2">
        <f t="shared" si="51"/>
        <v>83</v>
      </c>
      <c r="AP423" s="2">
        <f t="shared" si="52"/>
        <v>90</v>
      </c>
      <c r="AQ423" s="3">
        <f t="shared" si="53"/>
        <v>0</v>
      </c>
      <c r="AR423" s="1" t="str">
        <f>INDEX(IOS!$B:$B,MATCH(D423,IOS!A:A,0))&amp;B423</f>
        <v>O.D.4</v>
      </c>
      <c r="AS423" s="1">
        <f t="shared" si="54"/>
        <v>0</v>
      </c>
      <c r="AT423" s="1" t="str">
        <f>IF(ISBLANK(W423),"",IF(ISERROR(MATCH(W423,HQLATABLE!$A:$A,0)),0,1))</f>
        <v/>
      </c>
      <c r="AU423" s="1" t="str">
        <f t="shared" si="55"/>
        <v>Blank</v>
      </c>
      <c r="AV423" s="1" t="str">
        <f t="shared" si="56"/>
        <v>Blank</v>
      </c>
      <c r="AW423" s="1">
        <f t="shared" si="57"/>
        <v>0</v>
      </c>
      <c r="AX423" s="1">
        <f t="shared" si="58"/>
        <v>0</v>
      </c>
      <c r="AY423" s="1"/>
      <c r="AZ423" s="1">
        <f>IF(COUNTIFS('PID CHECK'!$B:$B,AR423)=1,0,IF(COUNTIFS(AR$1:AR422,AR423)=1,0,1))</f>
        <v>0</v>
      </c>
      <c r="BA423" s="1"/>
      <c r="BB423" s="1"/>
    </row>
    <row r="424" spans="1:54">
      <c r="A424">
        <v>423</v>
      </c>
      <c r="B424" t="s">
        <v>44</v>
      </c>
      <c r="C424" t="s">
        <v>161</v>
      </c>
      <c r="D424" t="s">
        <v>153</v>
      </c>
      <c r="E424" t="s">
        <v>47</v>
      </c>
      <c r="F424" t="s">
        <v>50</v>
      </c>
      <c r="H424" t="s">
        <v>105</v>
      </c>
      <c r="J424" t="s">
        <v>49</v>
      </c>
      <c r="K424" t="s">
        <v>50</v>
      </c>
      <c r="L424" t="s">
        <v>762</v>
      </c>
      <c r="M424" t="s">
        <v>762</v>
      </c>
      <c r="N424">
        <v>0</v>
      </c>
      <c r="R424" t="s">
        <v>106</v>
      </c>
      <c r="S424" t="s">
        <v>107</v>
      </c>
      <c r="Z424" t="s">
        <v>84</v>
      </c>
      <c r="AA424" t="s">
        <v>156</v>
      </c>
      <c r="AC424" t="s">
        <v>883</v>
      </c>
      <c r="AD424" t="s">
        <v>50</v>
      </c>
      <c r="AH424">
        <v>3</v>
      </c>
      <c r="AM424">
        <v>43465</v>
      </c>
      <c r="AN424">
        <v>43469</v>
      </c>
      <c r="AO424" s="2">
        <f t="shared" si="51"/>
        <v>83</v>
      </c>
      <c r="AP424" s="2">
        <f t="shared" si="52"/>
        <v>90</v>
      </c>
      <c r="AQ424" s="3">
        <f t="shared" si="53"/>
        <v>0</v>
      </c>
      <c r="AR424" s="1" t="str">
        <f>INDEX(IOS!$B:$B,MATCH(D424,IOS!A:A,0))&amp;B424</f>
        <v>O.D.4</v>
      </c>
      <c r="AS424" s="1">
        <f t="shared" si="54"/>
        <v>0</v>
      </c>
      <c r="AT424" s="1" t="str">
        <f>IF(ISBLANK(W424),"",IF(ISERROR(MATCH(W424,HQLATABLE!$A:$A,0)),0,1))</f>
        <v/>
      </c>
      <c r="AU424" s="1" t="str">
        <f t="shared" si="55"/>
        <v>Blank</v>
      </c>
      <c r="AV424" s="1" t="str">
        <f t="shared" si="56"/>
        <v>Blank</v>
      </c>
      <c r="AW424" s="1">
        <f t="shared" si="57"/>
        <v>0</v>
      </c>
      <c r="AX424" s="1">
        <f t="shared" si="58"/>
        <v>0</v>
      </c>
      <c r="AY424" s="1"/>
      <c r="AZ424" s="1">
        <f>IF(COUNTIFS('PID CHECK'!$B:$B,AR424)=1,0,IF(COUNTIFS(AR$1:AR423,AR424)=1,0,1))</f>
        <v>0</v>
      </c>
      <c r="BA424" s="1"/>
      <c r="BB424" s="1"/>
    </row>
    <row r="425" spans="1:54">
      <c r="A425">
        <v>424</v>
      </c>
      <c r="B425" t="s">
        <v>44</v>
      </c>
      <c r="C425" t="s">
        <v>161</v>
      </c>
      <c r="D425" t="s">
        <v>153</v>
      </c>
      <c r="E425" t="s">
        <v>47</v>
      </c>
      <c r="F425" t="s">
        <v>50</v>
      </c>
      <c r="H425" t="s">
        <v>1064</v>
      </c>
      <c r="J425" t="s">
        <v>49</v>
      </c>
      <c r="K425" t="s">
        <v>50</v>
      </c>
      <c r="L425" t="s">
        <v>762</v>
      </c>
      <c r="M425" t="s">
        <v>762</v>
      </c>
      <c r="N425">
        <v>0</v>
      </c>
      <c r="R425" t="s">
        <v>1065</v>
      </c>
      <c r="S425" t="s">
        <v>1065</v>
      </c>
      <c r="Z425" t="s">
        <v>84</v>
      </c>
      <c r="AA425" t="s">
        <v>156</v>
      </c>
      <c r="AC425" t="s">
        <v>883</v>
      </c>
      <c r="AD425" t="s">
        <v>50</v>
      </c>
      <c r="AH425">
        <v>3</v>
      </c>
      <c r="AM425">
        <v>43465</v>
      </c>
      <c r="AN425">
        <v>43469</v>
      </c>
      <c r="AO425" s="2">
        <f t="shared" si="51"/>
        <v>8</v>
      </c>
      <c r="AP425" s="2">
        <f t="shared" si="52"/>
        <v>8</v>
      </c>
      <c r="AQ425" s="3">
        <f t="shared" si="53"/>
        <v>1</v>
      </c>
      <c r="AR425" s="1" t="str">
        <f>INDEX(IOS!$B:$B,MATCH(D425,IOS!A:A,0))&amp;B425</f>
        <v>O.D.4</v>
      </c>
      <c r="AS425" s="1">
        <f t="shared" si="54"/>
        <v>0</v>
      </c>
      <c r="AT425" s="1" t="str">
        <f>IF(ISBLANK(W425),"",IF(ISERROR(MATCH(W425,HQLATABLE!$A:$A,0)),0,1))</f>
        <v/>
      </c>
      <c r="AU425" s="1" t="str">
        <f t="shared" si="55"/>
        <v>Blank</v>
      </c>
      <c r="AV425" s="1" t="str">
        <f t="shared" si="56"/>
        <v>Blank</v>
      </c>
      <c r="AW425" s="1">
        <f t="shared" si="57"/>
        <v>0</v>
      </c>
      <c r="AX425" s="1">
        <f t="shared" si="58"/>
        <v>0</v>
      </c>
      <c r="AY425" s="1"/>
      <c r="AZ425" s="1">
        <f>IF(COUNTIFS('PID CHECK'!$B:$B,AR425)=1,0,IF(COUNTIFS(AR$1:AR424,AR425)=1,0,1))</f>
        <v>0</v>
      </c>
      <c r="BA425" s="1"/>
      <c r="BB425" s="1"/>
    </row>
    <row r="426" spans="1:54">
      <c r="A426">
        <v>425</v>
      </c>
      <c r="B426" t="s">
        <v>44</v>
      </c>
      <c r="C426" t="s">
        <v>161</v>
      </c>
      <c r="D426" t="s">
        <v>153</v>
      </c>
      <c r="E426" t="s">
        <v>47</v>
      </c>
      <c r="F426" t="s">
        <v>50</v>
      </c>
      <c r="H426" t="s">
        <v>108</v>
      </c>
      <c r="J426" t="s">
        <v>49</v>
      </c>
      <c r="K426" t="s">
        <v>50</v>
      </c>
      <c r="L426" t="s">
        <v>762</v>
      </c>
      <c r="M426" t="s">
        <v>762</v>
      </c>
      <c r="N426">
        <v>0</v>
      </c>
      <c r="R426" t="s">
        <v>109</v>
      </c>
      <c r="S426" t="s">
        <v>110</v>
      </c>
      <c r="Z426" t="s">
        <v>84</v>
      </c>
      <c r="AA426" t="s">
        <v>154</v>
      </c>
      <c r="AC426" t="s">
        <v>883</v>
      </c>
      <c r="AD426" t="s">
        <v>50</v>
      </c>
      <c r="AH426">
        <v>3</v>
      </c>
      <c r="AM426">
        <v>43465</v>
      </c>
      <c r="AN426">
        <v>43469</v>
      </c>
      <c r="AO426" s="2">
        <f t="shared" si="51"/>
        <v>91</v>
      </c>
      <c r="AP426" s="2">
        <f t="shared" si="52"/>
        <v>120</v>
      </c>
      <c r="AQ426" s="3">
        <f t="shared" si="53"/>
        <v>0</v>
      </c>
      <c r="AR426" s="1" t="str">
        <f>INDEX(IOS!$B:$B,MATCH(D426,IOS!A:A,0))&amp;B426</f>
        <v>O.D.4</v>
      </c>
      <c r="AS426" s="1">
        <f t="shared" si="54"/>
        <v>0</v>
      </c>
      <c r="AT426" s="1" t="str">
        <f>IF(ISBLANK(W426),"",IF(ISERROR(MATCH(W426,HQLATABLE!$A:$A,0)),0,1))</f>
        <v/>
      </c>
      <c r="AU426" s="1" t="str">
        <f t="shared" si="55"/>
        <v>Blank</v>
      </c>
      <c r="AV426" s="1" t="str">
        <f t="shared" si="56"/>
        <v>Blank</v>
      </c>
      <c r="AW426" s="1">
        <f t="shared" si="57"/>
        <v>0</v>
      </c>
      <c r="AX426" s="1">
        <f t="shared" si="58"/>
        <v>0</v>
      </c>
      <c r="AY426" s="1"/>
      <c r="AZ426" s="1">
        <f>IF(COUNTIFS('PID CHECK'!$B:$B,AR426)=1,0,IF(COUNTIFS(AR$1:AR425,AR426)=1,0,1))</f>
        <v>0</v>
      </c>
      <c r="BA426" s="1"/>
      <c r="BB426" s="1"/>
    </row>
    <row r="427" spans="1:54">
      <c r="A427">
        <v>426</v>
      </c>
      <c r="B427" t="s">
        <v>44</v>
      </c>
      <c r="C427" t="s">
        <v>161</v>
      </c>
      <c r="D427" t="s">
        <v>153</v>
      </c>
      <c r="E427" t="s">
        <v>47</v>
      </c>
      <c r="F427" t="s">
        <v>50</v>
      </c>
      <c r="H427" t="s">
        <v>108</v>
      </c>
      <c r="J427" t="s">
        <v>49</v>
      </c>
      <c r="K427" t="s">
        <v>50</v>
      </c>
      <c r="L427" t="s">
        <v>762</v>
      </c>
      <c r="M427" t="s">
        <v>762</v>
      </c>
      <c r="N427">
        <v>0</v>
      </c>
      <c r="R427" t="s">
        <v>109</v>
      </c>
      <c r="S427" t="s">
        <v>110</v>
      </c>
      <c r="Z427" t="s">
        <v>162</v>
      </c>
      <c r="AA427" t="s">
        <v>154</v>
      </c>
      <c r="AC427" t="s">
        <v>883</v>
      </c>
      <c r="AD427" t="s">
        <v>50</v>
      </c>
      <c r="AH427">
        <v>4</v>
      </c>
      <c r="AM427">
        <v>43465</v>
      </c>
      <c r="AN427">
        <v>43469</v>
      </c>
      <c r="AO427" s="2">
        <f t="shared" si="51"/>
        <v>91</v>
      </c>
      <c r="AP427" s="2">
        <f t="shared" si="52"/>
        <v>120</v>
      </c>
      <c r="AQ427" s="3">
        <f t="shared" si="53"/>
        <v>0</v>
      </c>
      <c r="AR427" s="1" t="str">
        <f>INDEX(IOS!$B:$B,MATCH(D427,IOS!A:A,0))&amp;B427</f>
        <v>O.D.4</v>
      </c>
      <c r="AS427" s="1">
        <f t="shared" si="54"/>
        <v>0</v>
      </c>
      <c r="AT427" s="1" t="str">
        <f>IF(ISBLANK(W427),"",IF(ISERROR(MATCH(W427,HQLATABLE!$A:$A,0)),0,1))</f>
        <v/>
      </c>
      <c r="AU427" s="1" t="str">
        <f t="shared" si="55"/>
        <v>Blank</v>
      </c>
      <c r="AV427" s="1" t="str">
        <f t="shared" si="56"/>
        <v>Blank</v>
      </c>
      <c r="AW427" s="1">
        <f t="shared" si="57"/>
        <v>0</v>
      </c>
      <c r="AX427" s="1">
        <f t="shared" si="58"/>
        <v>0</v>
      </c>
      <c r="AY427" s="1"/>
      <c r="AZ427" s="1">
        <f>IF(COUNTIFS('PID CHECK'!$B:$B,AR427)=1,0,IF(COUNTIFS(AR$1:AR426,AR427)=1,0,1))</f>
        <v>0</v>
      </c>
      <c r="BA427" s="1"/>
      <c r="BB427" s="1"/>
    </row>
    <row r="428" spans="1:54">
      <c r="A428">
        <v>427</v>
      </c>
      <c r="B428" t="s">
        <v>44</v>
      </c>
      <c r="C428" t="s">
        <v>161</v>
      </c>
      <c r="D428" t="s">
        <v>153</v>
      </c>
      <c r="E428" t="s">
        <v>47</v>
      </c>
      <c r="F428" t="s">
        <v>50</v>
      </c>
      <c r="H428" t="s">
        <v>108</v>
      </c>
      <c r="J428" t="s">
        <v>49</v>
      </c>
      <c r="K428" t="s">
        <v>50</v>
      </c>
      <c r="L428" t="s">
        <v>762</v>
      </c>
      <c r="M428" t="s">
        <v>762</v>
      </c>
      <c r="N428">
        <v>0</v>
      </c>
      <c r="R428" t="s">
        <v>109</v>
      </c>
      <c r="S428" t="s">
        <v>110</v>
      </c>
      <c r="Z428" t="s">
        <v>84</v>
      </c>
      <c r="AA428" t="s">
        <v>156</v>
      </c>
      <c r="AC428" t="s">
        <v>883</v>
      </c>
      <c r="AD428" t="s">
        <v>50</v>
      </c>
      <c r="AH428">
        <v>3</v>
      </c>
      <c r="AM428">
        <v>43465</v>
      </c>
      <c r="AN428">
        <v>43469</v>
      </c>
      <c r="AO428" s="2">
        <f t="shared" si="51"/>
        <v>91</v>
      </c>
      <c r="AP428" s="2">
        <f t="shared" si="52"/>
        <v>120</v>
      </c>
      <c r="AQ428" s="3">
        <f t="shared" si="53"/>
        <v>0</v>
      </c>
      <c r="AR428" s="1" t="str">
        <f>INDEX(IOS!$B:$B,MATCH(D428,IOS!A:A,0))&amp;B428</f>
        <v>O.D.4</v>
      </c>
      <c r="AS428" s="1">
        <f t="shared" si="54"/>
        <v>0</v>
      </c>
      <c r="AT428" s="1" t="str">
        <f>IF(ISBLANK(W428),"",IF(ISERROR(MATCH(W428,HQLATABLE!$A:$A,0)),0,1))</f>
        <v/>
      </c>
      <c r="AU428" s="1" t="str">
        <f t="shared" si="55"/>
        <v>Blank</v>
      </c>
      <c r="AV428" s="1" t="str">
        <f t="shared" si="56"/>
        <v>Blank</v>
      </c>
      <c r="AW428" s="1">
        <f t="shared" si="57"/>
        <v>0</v>
      </c>
      <c r="AX428" s="1">
        <f t="shared" si="58"/>
        <v>0</v>
      </c>
      <c r="AY428" s="1"/>
      <c r="AZ428" s="1">
        <f>IF(COUNTIFS('PID CHECK'!$B:$B,AR428)=1,0,IF(COUNTIFS(AR$1:AR427,AR428)=1,0,1))</f>
        <v>0</v>
      </c>
      <c r="BA428" s="1"/>
      <c r="BB428" s="1"/>
    </row>
    <row r="429" spans="1:54">
      <c r="A429">
        <v>428</v>
      </c>
      <c r="B429" t="s">
        <v>44</v>
      </c>
      <c r="C429" t="s">
        <v>161</v>
      </c>
      <c r="D429" t="s">
        <v>153</v>
      </c>
      <c r="E429" t="s">
        <v>47</v>
      </c>
      <c r="F429" t="s">
        <v>50</v>
      </c>
      <c r="H429" t="s">
        <v>1044</v>
      </c>
      <c r="J429" t="s">
        <v>49</v>
      </c>
      <c r="K429" t="s">
        <v>50</v>
      </c>
      <c r="L429" t="s">
        <v>762</v>
      </c>
      <c r="M429" t="s">
        <v>762</v>
      </c>
      <c r="N429">
        <v>0</v>
      </c>
      <c r="R429" t="s">
        <v>1045</v>
      </c>
      <c r="S429" t="s">
        <v>1045</v>
      </c>
      <c r="Z429" t="s">
        <v>84</v>
      </c>
      <c r="AA429" t="s">
        <v>154</v>
      </c>
      <c r="AC429" t="s">
        <v>883</v>
      </c>
      <c r="AD429" t="s">
        <v>50</v>
      </c>
      <c r="AH429">
        <v>3</v>
      </c>
      <c r="AM429">
        <v>43465</v>
      </c>
      <c r="AN429">
        <v>43469</v>
      </c>
      <c r="AO429" s="2">
        <f t="shared" si="51"/>
        <v>9</v>
      </c>
      <c r="AP429" s="2">
        <f t="shared" si="52"/>
        <v>9</v>
      </c>
      <c r="AQ429" s="3">
        <f t="shared" si="53"/>
        <v>1</v>
      </c>
      <c r="AR429" s="1" t="str">
        <f>INDEX(IOS!$B:$B,MATCH(D429,IOS!A:A,0))&amp;B429</f>
        <v>O.D.4</v>
      </c>
      <c r="AS429" s="1">
        <f t="shared" si="54"/>
        <v>0</v>
      </c>
      <c r="AT429" s="1" t="str">
        <f>IF(ISBLANK(W429),"",IF(ISERROR(MATCH(W429,HQLATABLE!$A:$A,0)),0,1))</f>
        <v/>
      </c>
      <c r="AU429" s="1" t="str">
        <f t="shared" si="55"/>
        <v>Blank</v>
      </c>
      <c r="AV429" s="1" t="str">
        <f t="shared" si="56"/>
        <v>Blank</v>
      </c>
      <c r="AW429" s="1">
        <f t="shared" si="57"/>
        <v>0</v>
      </c>
      <c r="AX429" s="1">
        <f t="shared" si="58"/>
        <v>0</v>
      </c>
      <c r="AY429" s="1"/>
      <c r="AZ429" s="1">
        <f>IF(COUNTIFS('PID CHECK'!$B:$B,AR429)=1,0,IF(COUNTIFS(AR$1:AR428,AR429)=1,0,1))</f>
        <v>0</v>
      </c>
      <c r="BA429" s="1"/>
      <c r="BB429" s="1"/>
    </row>
    <row r="430" spans="1:54">
      <c r="A430">
        <v>429</v>
      </c>
      <c r="B430" t="s">
        <v>44</v>
      </c>
      <c r="C430" t="s">
        <v>161</v>
      </c>
      <c r="D430" t="s">
        <v>153</v>
      </c>
      <c r="E430" t="s">
        <v>47</v>
      </c>
      <c r="F430" t="s">
        <v>50</v>
      </c>
      <c r="H430" t="s">
        <v>1044</v>
      </c>
      <c r="J430" t="s">
        <v>49</v>
      </c>
      <c r="K430" t="s">
        <v>50</v>
      </c>
      <c r="L430" t="s">
        <v>762</v>
      </c>
      <c r="M430" t="s">
        <v>762</v>
      </c>
      <c r="N430">
        <v>0</v>
      </c>
      <c r="R430" t="s">
        <v>1045</v>
      </c>
      <c r="S430" t="s">
        <v>1045</v>
      </c>
      <c r="Z430" t="s">
        <v>84</v>
      </c>
      <c r="AA430" t="s">
        <v>156</v>
      </c>
      <c r="AC430" t="s">
        <v>883</v>
      </c>
      <c r="AD430" t="s">
        <v>50</v>
      </c>
      <c r="AH430">
        <v>3</v>
      </c>
      <c r="AM430">
        <v>43465</v>
      </c>
      <c r="AN430">
        <v>43469</v>
      </c>
      <c r="AO430" s="2">
        <f t="shared" si="51"/>
        <v>9</v>
      </c>
      <c r="AP430" s="2">
        <f t="shared" si="52"/>
        <v>9</v>
      </c>
      <c r="AQ430" s="3">
        <f t="shared" si="53"/>
        <v>1</v>
      </c>
      <c r="AR430" s="1" t="str">
        <f>INDEX(IOS!$B:$B,MATCH(D430,IOS!A:A,0))&amp;B430</f>
        <v>O.D.4</v>
      </c>
      <c r="AS430" s="1">
        <f t="shared" si="54"/>
        <v>0</v>
      </c>
      <c r="AT430" s="1" t="str">
        <f>IF(ISBLANK(W430),"",IF(ISERROR(MATCH(W430,HQLATABLE!$A:$A,0)),0,1))</f>
        <v/>
      </c>
      <c r="AU430" s="1" t="str">
        <f t="shared" si="55"/>
        <v>Blank</v>
      </c>
      <c r="AV430" s="1" t="str">
        <f t="shared" si="56"/>
        <v>Blank</v>
      </c>
      <c r="AW430" s="1">
        <f t="shared" si="57"/>
        <v>0</v>
      </c>
      <c r="AX430" s="1">
        <f t="shared" si="58"/>
        <v>0</v>
      </c>
      <c r="AY430" s="1"/>
      <c r="AZ430" s="1">
        <f>IF(COUNTIFS('PID CHECK'!$B:$B,AR430)=1,0,IF(COUNTIFS(AR$1:AR429,AR430)=1,0,1))</f>
        <v>0</v>
      </c>
      <c r="BA430" s="1"/>
      <c r="BB430" s="1"/>
    </row>
    <row r="431" spans="1:54">
      <c r="A431">
        <v>430</v>
      </c>
      <c r="B431" t="s">
        <v>82</v>
      </c>
      <c r="C431" t="s">
        <v>164</v>
      </c>
      <c r="D431" t="s">
        <v>153</v>
      </c>
      <c r="E431" t="s">
        <v>47</v>
      </c>
      <c r="F431" t="s">
        <v>50</v>
      </c>
      <c r="H431" t="s">
        <v>48</v>
      </c>
      <c r="J431" t="s">
        <v>49</v>
      </c>
      <c r="K431" t="s">
        <v>50</v>
      </c>
      <c r="L431" t="s">
        <v>762</v>
      </c>
      <c r="M431" t="s">
        <v>762</v>
      </c>
      <c r="N431">
        <v>0</v>
      </c>
      <c r="R431" t="s">
        <v>51</v>
      </c>
      <c r="S431" t="s">
        <v>52</v>
      </c>
      <c r="Z431" t="s">
        <v>84</v>
      </c>
      <c r="AA431" t="s">
        <v>154</v>
      </c>
      <c r="AC431" t="s">
        <v>883</v>
      </c>
      <c r="AD431" t="s">
        <v>50</v>
      </c>
      <c r="AH431">
        <v>3</v>
      </c>
      <c r="AM431">
        <v>43465</v>
      </c>
      <c r="AN431">
        <v>43469</v>
      </c>
      <c r="AO431" s="2">
        <f t="shared" si="51"/>
        <v>0</v>
      </c>
      <c r="AP431" s="2">
        <f t="shared" si="52"/>
        <v>0</v>
      </c>
      <c r="AQ431" s="3">
        <f t="shared" si="53"/>
        <v>1</v>
      </c>
      <c r="AR431" s="1" t="str">
        <f>INDEX(IOS!$B:$B,MATCH(D431,IOS!A:A,0))&amp;B431</f>
        <v>O.D.5</v>
      </c>
      <c r="AS431" s="1">
        <f t="shared" si="54"/>
        <v>0</v>
      </c>
      <c r="AT431" s="1" t="str">
        <f>IF(ISBLANK(W431),"",IF(ISERROR(MATCH(W431,HQLATABLE!$A:$A,0)),0,1))</f>
        <v/>
      </c>
      <c r="AU431" s="1" t="str">
        <f t="shared" si="55"/>
        <v>Blank</v>
      </c>
      <c r="AV431" s="1" t="str">
        <f t="shared" si="56"/>
        <v>Blank</v>
      </c>
      <c r="AW431" s="1">
        <f t="shared" si="57"/>
        <v>0</v>
      </c>
      <c r="AX431" s="1">
        <f t="shared" si="58"/>
        <v>0</v>
      </c>
      <c r="AY431" s="1"/>
      <c r="AZ431" s="1">
        <f>IF(COUNTIFS('PID CHECK'!$B:$B,AR431)=1,0,IF(COUNTIFS(AR$1:AR430,AR431)=1,0,1))</f>
        <v>0</v>
      </c>
      <c r="BA431" s="1"/>
      <c r="BB431" s="1"/>
    </row>
    <row r="432" spans="1:54">
      <c r="A432">
        <v>431</v>
      </c>
      <c r="B432" t="s">
        <v>82</v>
      </c>
      <c r="C432" t="s">
        <v>164</v>
      </c>
      <c r="D432" t="s">
        <v>153</v>
      </c>
      <c r="E432" t="s">
        <v>47</v>
      </c>
      <c r="F432" t="s">
        <v>50</v>
      </c>
      <c r="H432" t="s">
        <v>48</v>
      </c>
      <c r="J432" t="s">
        <v>49</v>
      </c>
      <c r="K432" t="s">
        <v>50</v>
      </c>
      <c r="L432" t="s">
        <v>762</v>
      </c>
      <c r="M432" t="s">
        <v>762</v>
      </c>
      <c r="N432">
        <v>0</v>
      </c>
      <c r="R432" t="s">
        <v>51</v>
      </c>
      <c r="S432" t="s">
        <v>52</v>
      </c>
      <c r="Z432" t="s">
        <v>162</v>
      </c>
      <c r="AA432" t="s">
        <v>154</v>
      </c>
      <c r="AC432" t="s">
        <v>883</v>
      </c>
      <c r="AD432" t="s">
        <v>50</v>
      </c>
      <c r="AH432">
        <v>4</v>
      </c>
      <c r="AM432">
        <v>43465</v>
      </c>
      <c r="AN432">
        <v>43469</v>
      </c>
      <c r="AO432" s="2">
        <f t="shared" si="51"/>
        <v>0</v>
      </c>
      <c r="AP432" s="2">
        <f t="shared" si="52"/>
        <v>0</v>
      </c>
      <c r="AQ432" s="3">
        <f t="shared" si="53"/>
        <v>1</v>
      </c>
      <c r="AR432" s="1" t="str">
        <f>INDEX(IOS!$B:$B,MATCH(D432,IOS!A:A,0))&amp;B432</f>
        <v>O.D.5</v>
      </c>
      <c r="AS432" s="1">
        <f t="shared" si="54"/>
        <v>0</v>
      </c>
      <c r="AT432" s="1" t="str">
        <f>IF(ISBLANK(W432),"",IF(ISERROR(MATCH(W432,HQLATABLE!$A:$A,0)),0,1))</f>
        <v/>
      </c>
      <c r="AU432" s="1" t="str">
        <f t="shared" si="55"/>
        <v>Blank</v>
      </c>
      <c r="AV432" s="1" t="str">
        <f t="shared" si="56"/>
        <v>Blank</v>
      </c>
      <c r="AW432" s="1">
        <f t="shared" si="57"/>
        <v>0</v>
      </c>
      <c r="AX432" s="1">
        <f t="shared" si="58"/>
        <v>0</v>
      </c>
      <c r="AY432" s="1"/>
      <c r="AZ432" s="1">
        <f>IF(COUNTIFS('PID CHECK'!$B:$B,AR432)=1,0,IF(COUNTIFS(AR$1:AR431,AR432)=1,0,1))</f>
        <v>0</v>
      </c>
      <c r="BA432" s="1"/>
      <c r="BB432" s="1"/>
    </row>
    <row r="433" spans="1:54">
      <c r="A433">
        <v>432</v>
      </c>
      <c r="B433" t="s">
        <v>82</v>
      </c>
      <c r="C433" t="s">
        <v>164</v>
      </c>
      <c r="D433" t="s">
        <v>153</v>
      </c>
      <c r="E433" t="s">
        <v>47</v>
      </c>
      <c r="F433" t="s">
        <v>50</v>
      </c>
      <c r="H433" t="s">
        <v>48</v>
      </c>
      <c r="J433" t="s">
        <v>49</v>
      </c>
      <c r="K433" t="s">
        <v>50</v>
      </c>
      <c r="L433" t="s">
        <v>762</v>
      </c>
      <c r="M433" t="s">
        <v>762</v>
      </c>
      <c r="N433">
        <v>0</v>
      </c>
      <c r="R433" t="s">
        <v>51</v>
      </c>
      <c r="S433" t="s">
        <v>52</v>
      </c>
      <c r="Z433" t="s">
        <v>158</v>
      </c>
      <c r="AA433" t="s">
        <v>154</v>
      </c>
      <c r="AC433" t="s">
        <v>883</v>
      </c>
      <c r="AD433" t="s">
        <v>50</v>
      </c>
      <c r="AH433">
        <v>5</v>
      </c>
      <c r="AM433">
        <v>43465</v>
      </c>
      <c r="AN433">
        <v>43469</v>
      </c>
      <c r="AO433" s="2">
        <f t="shared" si="51"/>
        <v>0</v>
      </c>
      <c r="AP433" s="2">
        <f t="shared" si="52"/>
        <v>0</v>
      </c>
      <c r="AQ433" s="3">
        <f t="shared" si="53"/>
        <v>1</v>
      </c>
      <c r="AR433" s="1" t="str">
        <f>INDEX(IOS!$B:$B,MATCH(D433,IOS!A:A,0))&amp;B433</f>
        <v>O.D.5</v>
      </c>
      <c r="AS433" s="1">
        <f t="shared" si="54"/>
        <v>0</v>
      </c>
      <c r="AT433" s="1" t="str">
        <f>IF(ISBLANK(W433),"",IF(ISERROR(MATCH(W433,HQLATABLE!$A:$A,0)),0,1))</f>
        <v/>
      </c>
      <c r="AU433" s="1" t="str">
        <f t="shared" si="55"/>
        <v>Blank</v>
      </c>
      <c r="AV433" s="1" t="str">
        <f t="shared" si="56"/>
        <v>Blank</v>
      </c>
      <c r="AW433" s="1">
        <f t="shared" si="57"/>
        <v>0</v>
      </c>
      <c r="AX433" s="1">
        <f t="shared" si="58"/>
        <v>0</v>
      </c>
      <c r="AY433" s="1"/>
      <c r="AZ433" s="1">
        <f>IF(COUNTIFS('PID CHECK'!$B:$B,AR433)=1,0,IF(COUNTIFS(AR$1:AR432,AR433)=1,0,1))</f>
        <v>0</v>
      </c>
      <c r="BA433" s="1"/>
      <c r="BB433" s="1"/>
    </row>
    <row r="434" spans="1:54">
      <c r="A434">
        <v>433</v>
      </c>
      <c r="B434" t="s">
        <v>82</v>
      </c>
      <c r="C434" t="s">
        <v>164</v>
      </c>
      <c r="D434" t="s">
        <v>153</v>
      </c>
      <c r="E434" t="s">
        <v>47</v>
      </c>
      <c r="F434" t="s">
        <v>50</v>
      </c>
      <c r="H434" t="s">
        <v>48</v>
      </c>
      <c r="J434" t="s">
        <v>49</v>
      </c>
      <c r="K434" t="s">
        <v>50</v>
      </c>
      <c r="L434" t="s">
        <v>762</v>
      </c>
      <c r="M434" t="s">
        <v>762</v>
      </c>
      <c r="N434">
        <v>0</v>
      </c>
      <c r="R434" t="s">
        <v>51</v>
      </c>
      <c r="S434" t="s">
        <v>52</v>
      </c>
      <c r="Z434" t="s">
        <v>759</v>
      </c>
      <c r="AA434" t="s">
        <v>154</v>
      </c>
      <c r="AC434" t="s">
        <v>883</v>
      </c>
      <c r="AD434" t="s">
        <v>50</v>
      </c>
      <c r="AH434">
        <v>10</v>
      </c>
      <c r="AM434">
        <v>43465</v>
      </c>
      <c r="AN434">
        <v>43469</v>
      </c>
      <c r="AO434" s="2">
        <f t="shared" si="51"/>
        <v>0</v>
      </c>
      <c r="AP434" s="2">
        <f t="shared" si="52"/>
        <v>0</v>
      </c>
      <c r="AQ434" s="3">
        <f t="shared" si="53"/>
        <v>1</v>
      </c>
      <c r="AR434" s="1" t="str">
        <f>INDEX(IOS!$B:$B,MATCH(D434,IOS!A:A,0))&amp;B434</f>
        <v>O.D.5</v>
      </c>
      <c r="AS434" s="1">
        <f t="shared" si="54"/>
        <v>0</v>
      </c>
      <c r="AT434" s="1" t="str">
        <f>IF(ISBLANK(W434),"",IF(ISERROR(MATCH(W434,HQLATABLE!$A:$A,0)),0,1))</f>
        <v/>
      </c>
      <c r="AU434" s="1" t="str">
        <f t="shared" si="55"/>
        <v>Blank</v>
      </c>
      <c r="AV434" s="1" t="str">
        <f t="shared" si="56"/>
        <v>Blank</v>
      </c>
      <c r="AW434" s="1">
        <f t="shared" si="57"/>
        <v>0</v>
      </c>
      <c r="AX434" s="1">
        <f t="shared" si="58"/>
        <v>0</v>
      </c>
      <c r="AY434" s="1"/>
      <c r="AZ434" s="1">
        <f>IF(COUNTIFS('PID CHECK'!$B:$B,AR434)=1,0,IF(COUNTIFS(AR$1:AR433,AR434)=1,0,1))</f>
        <v>0</v>
      </c>
      <c r="BA434" s="1"/>
      <c r="BB434" s="1"/>
    </row>
    <row r="435" spans="1:54">
      <c r="A435">
        <v>434</v>
      </c>
      <c r="B435" t="s">
        <v>82</v>
      </c>
      <c r="C435" t="s">
        <v>164</v>
      </c>
      <c r="D435" t="s">
        <v>153</v>
      </c>
      <c r="E435" t="s">
        <v>47</v>
      </c>
      <c r="F435" t="s">
        <v>50</v>
      </c>
      <c r="H435" t="s">
        <v>48</v>
      </c>
      <c r="J435" t="s">
        <v>49</v>
      </c>
      <c r="K435" t="s">
        <v>50</v>
      </c>
      <c r="L435" t="s">
        <v>762</v>
      </c>
      <c r="M435" t="s">
        <v>762</v>
      </c>
      <c r="N435">
        <v>0</v>
      </c>
      <c r="R435" t="s">
        <v>51</v>
      </c>
      <c r="S435" t="s">
        <v>52</v>
      </c>
      <c r="Z435" t="s">
        <v>116</v>
      </c>
      <c r="AA435" t="s">
        <v>154</v>
      </c>
      <c r="AC435" t="s">
        <v>883</v>
      </c>
      <c r="AD435" t="s">
        <v>50</v>
      </c>
      <c r="AH435">
        <v>11</v>
      </c>
      <c r="AM435">
        <v>43465</v>
      </c>
      <c r="AN435">
        <v>43469</v>
      </c>
      <c r="AO435" s="2">
        <f t="shared" si="51"/>
        <v>0</v>
      </c>
      <c r="AP435" s="2">
        <f t="shared" si="52"/>
        <v>0</v>
      </c>
      <c r="AQ435" s="3">
        <f t="shared" si="53"/>
        <v>1</v>
      </c>
      <c r="AR435" s="1" t="str">
        <f>INDEX(IOS!$B:$B,MATCH(D435,IOS!A:A,0))&amp;B435</f>
        <v>O.D.5</v>
      </c>
      <c r="AS435" s="1">
        <f t="shared" si="54"/>
        <v>0</v>
      </c>
      <c r="AT435" s="1" t="str">
        <f>IF(ISBLANK(W435),"",IF(ISERROR(MATCH(W435,HQLATABLE!$A:$A,0)),0,1))</f>
        <v/>
      </c>
      <c r="AU435" s="1" t="str">
        <f t="shared" si="55"/>
        <v>Blank</v>
      </c>
      <c r="AV435" s="1" t="str">
        <f t="shared" si="56"/>
        <v>Blank</v>
      </c>
      <c r="AW435" s="1">
        <f t="shared" si="57"/>
        <v>0</v>
      </c>
      <c r="AX435" s="1">
        <f t="shared" si="58"/>
        <v>0</v>
      </c>
      <c r="AY435" s="1"/>
      <c r="AZ435" s="1">
        <f>IF(COUNTIFS('PID CHECK'!$B:$B,AR435)=1,0,IF(COUNTIFS(AR$1:AR434,AR435)=1,0,1))</f>
        <v>0</v>
      </c>
      <c r="BA435" s="1"/>
      <c r="BB435" s="1"/>
    </row>
    <row r="436" spans="1:54">
      <c r="A436">
        <v>435</v>
      </c>
      <c r="B436" t="s">
        <v>82</v>
      </c>
      <c r="C436" t="s">
        <v>164</v>
      </c>
      <c r="D436" t="s">
        <v>153</v>
      </c>
      <c r="E436" t="s">
        <v>47</v>
      </c>
      <c r="F436" t="s">
        <v>53</v>
      </c>
      <c r="H436" t="s">
        <v>48</v>
      </c>
      <c r="J436" t="s">
        <v>49</v>
      </c>
      <c r="K436" t="s">
        <v>50</v>
      </c>
      <c r="L436" t="s">
        <v>762</v>
      </c>
      <c r="M436" t="s">
        <v>762</v>
      </c>
      <c r="N436">
        <v>0</v>
      </c>
      <c r="R436" t="s">
        <v>51</v>
      </c>
      <c r="S436" t="s">
        <v>52</v>
      </c>
      <c r="Z436" t="s">
        <v>84</v>
      </c>
      <c r="AA436" t="s">
        <v>154</v>
      </c>
      <c r="AB436" t="s">
        <v>163</v>
      </c>
      <c r="AC436" t="s">
        <v>883</v>
      </c>
      <c r="AD436" t="s">
        <v>50</v>
      </c>
      <c r="AH436">
        <v>3</v>
      </c>
      <c r="AM436">
        <v>43465</v>
      </c>
      <c r="AN436">
        <v>43469</v>
      </c>
      <c r="AO436" s="2">
        <f t="shared" si="51"/>
        <v>0</v>
      </c>
      <c r="AP436" s="2">
        <f t="shared" si="52"/>
        <v>0</v>
      </c>
      <c r="AQ436" s="3">
        <f t="shared" si="53"/>
        <v>1</v>
      </c>
      <c r="AR436" s="1" t="str">
        <f>INDEX(IOS!$B:$B,MATCH(D436,IOS!A:A,0))&amp;B436</f>
        <v>O.D.5</v>
      </c>
      <c r="AS436" s="1">
        <f t="shared" si="54"/>
        <v>1</v>
      </c>
      <c r="AT436" s="1" t="str">
        <f>IF(ISBLANK(W436),"",IF(ISERROR(MATCH(W436,HQLATABLE!$A:$A,0)),0,1))</f>
        <v/>
      </c>
      <c r="AU436" s="1" t="str">
        <f t="shared" si="55"/>
        <v>Blank</v>
      </c>
      <c r="AV436" s="1" t="str">
        <f t="shared" si="56"/>
        <v>Blank</v>
      </c>
      <c r="AW436" s="1">
        <f t="shared" si="57"/>
        <v>0</v>
      </c>
      <c r="AX436" s="1">
        <f t="shared" si="58"/>
        <v>0</v>
      </c>
      <c r="AY436" s="1"/>
      <c r="AZ436" s="1">
        <f>IF(COUNTIFS('PID CHECK'!$B:$B,AR436)=1,0,IF(COUNTIFS(AR$1:AR435,AR436)=1,0,1))</f>
        <v>0</v>
      </c>
      <c r="BA436" s="1"/>
      <c r="BB436" s="1"/>
    </row>
    <row r="437" spans="1:54">
      <c r="A437">
        <v>436</v>
      </c>
      <c r="B437" t="s">
        <v>82</v>
      </c>
      <c r="C437" t="s">
        <v>164</v>
      </c>
      <c r="D437" t="s">
        <v>153</v>
      </c>
      <c r="E437" t="s">
        <v>47</v>
      </c>
      <c r="F437" t="s">
        <v>53</v>
      </c>
      <c r="H437" t="s">
        <v>48</v>
      </c>
      <c r="J437" t="s">
        <v>49</v>
      </c>
      <c r="K437" t="s">
        <v>50</v>
      </c>
      <c r="L437" t="s">
        <v>762</v>
      </c>
      <c r="M437" t="s">
        <v>762</v>
      </c>
      <c r="N437">
        <v>0</v>
      </c>
      <c r="R437" t="s">
        <v>51</v>
      </c>
      <c r="S437" t="s">
        <v>52</v>
      </c>
      <c r="Z437" t="s">
        <v>759</v>
      </c>
      <c r="AA437" t="s">
        <v>154</v>
      </c>
      <c r="AB437" t="s">
        <v>78</v>
      </c>
      <c r="AC437" t="s">
        <v>883</v>
      </c>
      <c r="AD437" t="s">
        <v>50</v>
      </c>
      <c r="AH437">
        <v>10</v>
      </c>
      <c r="AM437">
        <v>43465</v>
      </c>
      <c r="AN437">
        <v>43469</v>
      </c>
      <c r="AO437" s="2">
        <f t="shared" si="51"/>
        <v>0</v>
      </c>
      <c r="AP437" s="2">
        <f t="shared" si="52"/>
        <v>0</v>
      </c>
      <c r="AQ437" s="3">
        <f t="shared" si="53"/>
        <v>1</v>
      </c>
      <c r="AR437" s="1" t="str">
        <f>INDEX(IOS!$B:$B,MATCH(D437,IOS!A:A,0))&amp;B437</f>
        <v>O.D.5</v>
      </c>
      <c r="AS437" s="1">
        <f t="shared" si="54"/>
        <v>1</v>
      </c>
      <c r="AT437" s="1" t="str">
        <f>IF(ISBLANK(W437),"",IF(ISERROR(MATCH(W437,HQLATABLE!$A:$A,0)),0,1))</f>
        <v/>
      </c>
      <c r="AU437" s="1" t="str">
        <f t="shared" si="55"/>
        <v>Blank</v>
      </c>
      <c r="AV437" s="1" t="str">
        <f t="shared" si="56"/>
        <v>Blank</v>
      </c>
      <c r="AW437" s="1">
        <f t="shared" si="57"/>
        <v>0</v>
      </c>
      <c r="AX437" s="1">
        <f t="shared" si="58"/>
        <v>0</v>
      </c>
      <c r="AY437" s="1"/>
      <c r="AZ437" s="1">
        <f>IF(COUNTIFS('PID CHECK'!$B:$B,AR437)=1,0,IF(COUNTIFS(AR$1:AR436,AR437)=1,0,1))</f>
        <v>0</v>
      </c>
      <c r="BA437" s="1"/>
      <c r="BB437" s="1"/>
    </row>
    <row r="438" spans="1:54">
      <c r="A438">
        <v>437</v>
      </c>
      <c r="B438" t="s">
        <v>82</v>
      </c>
      <c r="C438" t="s">
        <v>164</v>
      </c>
      <c r="D438" t="s">
        <v>153</v>
      </c>
      <c r="E438" t="s">
        <v>47</v>
      </c>
      <c r="F438" t="s">
        <v>50</v>
      </c>
      <c r="H438" t="s">
        <v>48</v>
      </c>
      <c r="J438" t="s">
        <v>49</v>
      </c>
      <c r="K438" t="s">
        <v>50</v>
      </c>
      <c r="L438" t="s">
        <v>762</v>
      </c>
      <c r="M438" t="s">
        <v>762</v>
      </c>
      <c r="N438">
        <v>1726.86</v>
      </c>
      <c r="R438" t="s">
        <v>51</v>
      </c>
      <c r="S438" t="s">
        <v>52</v>
      </c>
      <c r="Z438" t="s">
        <v>84</v>
      </c>
      <c r="AA438" t="s">
        <v>156</v>
      </c>
      <c r="AC438" t="s">
        <v>883</v>
      </c>
      <c r="AD438" t="s">
        <v>50</v>
      </c>
      <c r="AH438">
        <v>3</v>
      </c>
      <c r="AM438">
        <v>43465</v>
      </c>
      <c r="AN438">
        <v>43469</v>
      </c>
      <c r="AO438" s="2">
        <f t="shared" si="51"/>
        <v>0</v>
      </c>
      <c r="AP438" s="2">
        <f t="shared" si="52"/>
        <v>0</v>
      </c>
      <c r="AQ438" s="3">
        <f t="shared" si="53"/>
        <v>1</v>
      </c>
      <c r="AR438" s="1" t="str">
        <f>INDEX(IOS!$B:$B,MATCH(D438,IOS!A:A,0))&amp;B438</f>
        <v>O.D.5</v>
      </c>
      <c r="AS438" s="1">
        <f t="shared" si="54"/>
        <v>0</v>
      </c>
      <c r="AT438" s="1" t="str">
        <f>IF(ISBLANK(W438),"",IF(ISERROR(MATCH(W438,HQLATABLE!$A:$A,0)),0,1))</f>
        <v/>
      </c>
      <c r="AU438" s="1" t="str">
        <f t="shared" si="55"/>
        <v>Blank</v>
      </c>
      <c r="AV438" s="1" t="str">
        <f t="shared" si="56"/>
        <v>Blank</v>
      </c>
      <c r="AW438" s="1">
        <f t="shared" si="57"/>
        <v>0</v>
      </c>
      <c r="AX438" s="1">
        <f t="shared" si="58"/>
        <v>0</v>
      </c>
      <c r="AY438" s="1"/>
      <c r="AZ438" s="1">
        <f>IF(COUNTIFS('PID CHECK'!$B:$B,AR438)=1,0,IF(COUNTIFS(AR$1:AR437,AR438)=1,0,1))</f>
        <v>0</v>
      </c>
      <c r="BA438" s="1"/>
      <c r="BB438" s="1"/>
    </row>
    <row r="439" spans="1:54">
      <c r="A439">
        <v>438</v>
      </c>
      <c r="B439" t="s">
        <v>82</v>
      </c>
      <c r="C439" t="s">
        <v>164</v>
      </c>
      <c r="D439" t="s">
        <v>153</v>
      </c>
      <c r="E439" t="s">
        <v>47</v>
      </c>
      <c r="F439" t="s">
        <v>50</v>
      </c>
      <c r="H439" t="s">
        <v>48</v>
      </c>
      <c r="J439" t="s">
        <v>49</v>
      </c>
      <c r="K439" t="s">
        <v>50</v>
      </c>
      <c r="L439" t="s">
        <v>762</v>
      </c>
      <c r="M439" t="s">
        <v>762</v>
      </c>
      <c r="N439">
        <v>0.01</v>
      </c>
      <c r="R439" t="s">
        <v>51</v>
      </c>
      <c r="S439" t="s">
        <v>52</v>
      </c>
      <c r="Z439" t="s">
        <v>162</v>
      </c>
      <c r="AA439" t="s">
        <v>156</v>
      </c>
      <c r="AC439" t="s">
        <v>883</v>
      </c>
      <c r="AD439" t="s">
        <v>50</v>
      </c>
      <c r="AH439">
        <v>4</v>
      </c>
      <c r="AM439">
        <v>43465</v>
      </c>
      <c r="AN439">
        <v>43469</v>
      </c>
      <c r="AO439" s="2">
        <f t="shared" si="51"/>
        <v>0</v>
      </c>
      <c r="AP439" s="2">
        <f t="shared" si="52"/>
        <v>0</v>
      </c>
      <c r="AQ439" s="3">
        <f t="shared" si="53"/>
        <v>1</v>
      </c>
      <c r="AR439" s="1" t="str">
        <f>INDEX(IOS!$B:$B,MATCH(D439,IOS!A:A,0))&amp;B439</f>
        <v>O.D.5</v>
      </c>
      <c r="AS439" s="1">
        <f t="shared" si="54"/>
        <v>0</v>
      </c>
      <c r="AT439" s="1" t="str">
        <f>IF(ISBLANK(W439),"",IF(ISERROR(MATCH(W439,HQLATABLE!$A:$A,0)),0,1))</f>
        <v/>
      </c>
      <c r="AU439" s="1" t="str">
        <f t="shared" si="55"/>
        <v>Blank</v>
      </c>
      <c r="AV439" s="1" t="str">
        <f t="shared" si="56"/>
        <v>Blank</v>
      </c>
      <c r="AW439" s="1">
        <f t="shared" si="57"/>
        <v>0</v>
      </c>
      <c r="AX439" s="1">
        <f t="shared" si="58"/>
        <v>0</v>
      </c>
      <c r="AY439" s="1"/>
      <c r="AZ439" s="1">
        <f>IF(COUNTIFS('PID CHECK'!$B:$B,AR439)=1,0,IF(COUNTIFS(AR$1:AR438,AR439)=1,0,1))</f>
        <v>0</v>
      </c>
      <c r="BA439" s="1"/>
      <c r="BB439" s="1"/>
    </row>
    <row r="440" spans="1:54">
      <c r="A440">
        <v>439</v>
      </c>
      <c r="B440" t="s">
        <v>82</v>
      </c>
      <c r="C440" t="s">
        <v>164</v>
      </c>
      <c r="D440" t="s">
        <v>153</v>
      </c>
      <c r="E440" t="s">
        <v>47</v>
      </c>
      <c r="F440" t="s">
        <v>50</v>
      </c>
      <c r="H440" t="s">
        <v>48</v>
      </c>
      <c r="J440" t="s">
        <v>49</v>
      </c>
      <c r="K440" t="s">
        <v>50</v>
      </c>
      <c r="L440" t="s">
        <v>762</v>
      </c>
      <c r="M440" t="s">
        <v>762</v>
      </c>
      <c r="N440">
        <v>0</v>
      </c>
      <c r="R440" t="s">
        <v>51</v>
      </c>
      <c r="S440" t="s">
        <v>52</v>
      </c>
      <c r="Z440" t="s">
        <v>158</v>
      </c>
      <c r="AA440" t="s">
        <v>156</v>
      </c>
      <c r="AC440" t="s">
        <v>883</v>
      </c>
      <c r="AD440" t="s">
        <v>50</v>
      </c>
      <c r="AH440">
        <v>5</v>
      </c>
      <c r="AM440">
        <v>43465</v>
      </c>
      <c r="AN440">
        <v>43469</v>
      </c>
      <c r="AO440" s="2">
        <f t="shared" si="51"/>
        <v>0</v>
      </c>
      <c r="AP440" s="2">
        <f t="shared" si="52"/>
        <v>0</v>
      </c>
      <c r="AQ440" s="3">
        <f t="shared" si="53"/>
        <v>1</v>
      </c>
      <c r="AR440" s="1" t="str">
        <f>INDEX(IOS!$B:$B,MATCH(D440,IOS!A:A,0))&amp;B440</f>
        <v>O.D.5</v>
      </c>
      <c r="AS440" s="1">
        <f t="shared" si="54"/>
        <v>0</v>
      </c>
      <c r="AT440" s="1" t="str">
        <f>IF(ISBLANK(W440),"",IF(ISERROR(MATCH(W440,HQLATABLE!$A:$A,0)),0,1))</f>
        <v/>
      </c>
      <c r="AU440" s="1" t="str">
        <f t="shared" si="55"/>
        <v>Blank</v>
      </c>
      <c r="AV440" s="1" t="str">
        <f t="shared" si="56"/>
        <v>Blank</v>
      </c>
      <c r="AW440" s="1">
        <f t="shared" si="57"/>
        <v>0</v>
      </c>
      <c r="AX440" s="1">
        <f t="shared" si="58"/>
        <v>0</v>
      </c>
      <c r="AY440" s="1"/>
      <c r="AZ440" s="1">
        <f>IF(COUNTIFS('PID CHECK'!$B:$B,AR440)=1,0,IF(COUNTIFS(AR$1:AR439,AR440)=1,0,1))</f>
        <v>0</v>
      </c>
      <c r="BA440" s="1"/>
      <c r="BB440" s="1"/>
    </row>
    <row r="441" spans="1:54">
      <c r="A441">
        <v>440</v>
      </c>
      <c r="B441" t="s">
        <v>82</v>
      </c>
      <c r="C441" t="s">
        <v>164</v>
      </c>
      <c r="D441" t="s">
        <v>153</v>
      </c>
      <c r="E441" t="s">
        <v>47</v>
      </c>
      <c r="F441" t="s">
        <v>50</v>
      </c>
      <c r="H441" t="s">
        <v>48</v>
      </c>
      <c r="J441" t="s">
        <v>49</v>
      </c>
      <c r="K441" t="s">
        <v>50</v>
      </c>
      <c r="L441" t="s">
        <v>762</v>
      </c>
      <c r="M441" t="s">
        <v>762</v>
      </c>
      <c r="N441">
        <v>8.06</v>
      </c>
      <c r="R441" t="s">
        <v>51</v>
      </c>
      <c r="S441" t="s">
        <v>52</v>
      </c>
      <c r="Z441" t="s">
        <v>759</v>
      </c>
      <c r="AA441" t="s">
        <v>156</v>
      </c>
      <c r="AC441" t="s">
        <v>883</v>
      </c>
      <c r="AD441" t="s">
        <v>50</v>
      </c>
      <c r="AH441">
        <v>10</v>
      </c>
      <c r="AM441">
        <v>43465</v>
      </c>
      <c r="AN441">
        <v>43469</v>
      </c>
      <c r="AO441" s="2">
        <f t="shared" si="51"/>
        <v>0</v>
      </c>
      <c r="AP441" s="2">
        <f t="shared" si="52"/>
        <v>0</v>
      </c>
      <c r="AQ441" s="3">
        <f t="shared" si="53"/>
        <v>1</v>
      </c>
      <c r="AR441" s="1" t="str">
        <f>INDEX(IOS!$B:$B,MATCH(D441,IOS!A:A,0))&amp;B441</f>
        <v>O.D.5</v>
      </c>
      <c r="AS441" s="1">
        <f t="shared" si="54"/>
        <v>0</v>
      </c>
      <c r="AT441" s="1" t="str">
        <f>IF(ISBLANK(W441),"",IF(ISERROR(MATCH(W441,HQLATABLE!$A:$A,0)),0,1))</f>
        <v/>
      </c>
      <c r="AU441" s="1" t="str">
        <f t="shared" si="55"/>
        <v>Blank</v>
      </c>
      <c r="AV441" s="1" t="str">
        <f t="shared" si="56"/>
        <v>Blank</v>
      </c>
      <c r="AW441" s="1">
        <f t="shared" si="57"/>
        <v>0</v>
      </c>
      <c r="AX441" s="1">
        <f t="shared" si="58"/>
        <v>0</v>
      </c>
      <c r="AY441" s="1"/>
      <c r="AZ441" s="1">
        <f>IF(COUNTIFS('PID CHECK'!$B:$B,AR441)=1,0,IF(COUNTIFS(AR$1:AR440,AR441)=1,0,1))</f>
        <v>0</v>
      </c>
      <c r="BA441" s="1"/>
      <c r="BB441" s="1"/>
    </row>
    <row r="442" spans="1:54">
      <c r="A442">
        <v>441</v>
      </c>
      <c r="B442" t="s">
        <v>82</v>
      </c>
      <c r="C442" t="s">
        <v>164</v>
      </c>
      <c r="D442" t="s">
        <v>153</v>
      </c>
      <c r="E442" t="s">
        <v>47</v>
      </c>
      <c r="F442" t="s">
        <v>50</v>
      </c>
      <c r="H442" t="s">
        <v>48</v>
      </c>
      <c r="J442" t="s">
        <v>49</v>
      </c>
      <c r="K442" t="s">
        <v>50</v>
      </c>
      <c r="L442" t="s">
        <v>762</v>
      </c>
      <c r="M442" t="s">
        <v>762</v>
      </c>
      <c r="N442">
        <v>0</v>
      </c>
      <c r="R442" t="s">
        <v>51</v>
      </c>
      <c r="S442" t="s">
        <v>52</v>
      </c>
      <c r="Z442" t="s">
        <v>116</v>
      </c>
      <c r="AA442" t="s">
        <v>156</v>
      </c>
      <c r="AC442" t="s">
        <v>883</v>
      </c>
      <c r="AD442" t="s">
        <v>50</v>
      </c>
      <c r="AH442">
        <v>11</v>
      </c>
      <c r="AM442">
        <v>43465</v>
      </c>
      <c r="AN442">
        <v>43469</v>
      </c>
      <c r="AO442" s="2">
        <f t="shared" si="51"/>
        <v>0</v>
      </c>
      <c r="AP442" s="2">
        <f t="shared" si="52"/>
        <v>0</v>
      </c>
      <c r="AQ442" s="3">
        <f t="shared" si="53"/>
        <v>1</v>
      </c>
      <c r="AR442" s="1" t="str">
        <f>INDEX(IOS!$B:$B,MATCH(D442,IOS!A:A,0))&amp;B442</f>
        <v>O.D.5</v>
      </c>
      <c r="AS442" s="1">
        <f t="shared" si="54"/>
        <v>0</v>
      </c>
      <c r="AT442" s="1" t="str">
        <f>IF(ISBLANK(W442),"",IF(ISERROR(MATCH(W442,HQLATABLE!$A:$A,0)),0,1))</f>
        <v/>
      </c>
      <c r="AU442" s="1" t="str">
        <f t="shared" si="55"/>
        <v>Blank</v>
      </c>
      <c r="AV442" s="1" t="str">
        <f t="shared" si="56"/>
        <v>Blank</v>
      </c>
      <c r="AW442" s="1">
        <f t="shared" si="57"/>
        <v>0</v>
      </c>
      <c r="AX442" s="1">
        <f t="shared" si="58"/>
        <v>0</v>
      </c>
      <c r="AY442" s="1"/>
      <c r="AZ442" s="1">
        <f>IF(COUNTIFS('PID CHECK'!$B:$B,AR442)=1,0,IF(COUNTIFS(AR$1:AR441,AR442)=1,0,1))</f>
        <v>0</v>
      </c>
      <c r="BA442" s="1"/>
      <c r="BB442" s="1"/>
    </row>
    <row r="443" spans="1:54">
      <c r="A443">
        <v>442</v>
      </c>
      <c r="B443" t="s">
        <v>82</v>
      </c>
      <c r="C443" t="s">
        <v>164</v>
      </c>
      <c r="D443" t="s">
        <v>153</v>
      </c>
      <c r="E443" t="s">
        <v>47</v>
      </c>
      <c r="F443" t="s">
        <v>50</v>
      </c>
      <c r="H443" t="s">
        <v>48</v>
      </c>
      <c r="J443" t="s">
        <v>49</v>
      </c>
      <c r="K443" t="s">
        <v>50</v>
      </c>
      <c r="L443" t="s">
        <v>762</v>
      </c>
      <c r="M443" t="s">
        <v>762</v>
      </c>
      <c r="N443">
        <v>2.69</v>
      </c>
      <c r="R443" t="s">
        <v>51</v>
      </c>
      <c r="S443" t="s">
        <v>52</v>
      </c>
      <c r="Z443" t="s">
        <v>136</v>
      </c>
      <c r="AA443" t="s">
        <v>156</v>
      </c>
      <c r="AC443" t="s">
        <v>883</v>
      </c>
      <c r="AD443" t="s">
        <v>50</v>
      </c>
      <c r="AH443">
        <v>14</v>
      </c>
      <c r="AM443">
        <v>43465</v>
      </c>
      <c r="AN443">
        <v>43469</v>
      </c>
      <c r="AO443" s="2">
        <f t="shared" si="51"/>
        <v>0</v>
      </c>
      <c r="AP443" s="2">
        <f t="shared" si="52"/>
        <v>0</v>
      </c>
      <c r="AQ443" s="3">
        <f t="shared" si="53"/>
        <v>1</v>
      </c>
      <c r="AR443" s="1" t="str">
        <f>INDEX(IOS!$B:$B,MATCH(D443,IOS!A:A,0))&amp;B443</f>
        <v>O.D.5</v>
      </c>
      <c r="AS443" s="1">
        <f t="shared" si="54"/>
        <v>0</v>
      </c>
      <c r="AT443" s="1" t="str">
        <f>IF(ISBLANK(W443),"",IF(ISERROR(MATCH(W443,HQLATABLE!$A:$A,0)),0,1))</f>
        <v/>
      </c>
      <c r="AU443" s="1" t="str">
        <f t="shared" si="55"/>
        <v>Blank</v>
      </c>
      <c r="AV443" s="1" t="str">
        <f t="shared" si="56"/>
        <v>Blank</v>
      </c>
      <c r="AW443" s="1">
        <f t="shared" si="57"/>
        <v>0</v>
      </c>
      <c r="AX443" s="1">
        <f t="shared" si="58"/>
        <v>0</v>
      </c>
      <c r="AY443" s="1"/>
      <c r="AZ443" s="1">
        <f>IF(COUNTIFS('PID CHECK'!$B:$B,AR443)=1,0,IF(COUNTIFS(AR$1:AR442,AR443)=1,0,1))</f>
        <v>0</v>
      </c>
      <c r="BA443" s="1"/>
      <c r="BB443" s="1"/>
    </row>
    <row r="444" spans="1:54">
      <c r="A444">
        <v>443</v>
      </c>
      <c r="B444" t="s">
        <v>82</v>
      </c>
      <c r="C444" t="s">
        <v>164</v>
      </c>
      <c r="D444" t="s">
        <v>153</v>
      </c>
      <c r="E444" t="s">
        <v>47</v>
      </c>
      <c r="F444" t="s">
        <v>53</v>
      </c>
      <c r="H444" t="s">
        <v>48</v>
      </c>
      <c r="J444" t="s">
        <v>49</v>
      </c>
      <c r="K444" t="s">
        <v>50</v>
      </c>
      <c r="L444" t="s">
        <v>762</v>
      </c>
      <c r="M444" t="s">
        <v>762</v>
      </c>
      <c r="N444">
        <v>0</v>
      </c>
      <c r="R444" t="s">
        <v>51</v>
      </c>
      <c r="S444" t="s">
        <v>52</v>
      </c>
      <c r="Z444" t="s">
        <v>759</v>
      </c>
      <c r="AA444" t="s">
        <v>156</v>
      </c>
      <c r="AB444" t="s">
        <v>114</v>
      </c>
      <c r="AC444" t="s">
        <v>883</v>
      </c>
      <c r="AD444" t="s">
        <v>50</v>
      </c>
      <c r="AH444">
        <v>10</v>
      </c>
      <c r="AM444">
        <v>43465</v>
      </c>
      <c r="AN444">
        <v>43469</v>
      </c>
      <c r="AO444" s="2">
        <f t="shared" si="51"/>
        <v>0</v>
      </c>
      <c r="AP444" s="2">
        <f t="shared" si="52"/>
        <v>0</v>
      </c>
      <c r="AQ444" s="3">
        <f t="shared" si="53"/>
        <v>1</v>
      </c>
      <c r="AR444" s="1" t="str">
        <f>INDEX(IOS!$B:$B,MATCH(D444,IOS!A:A,0))&amp;B444</f>
        <v>O.D.5</v>
      </c>
      <c r="AS444" s="1">
        <f t="shared" si="54"/>
        <v>1</v>
      </c>
      <c r="AT444" s="1" t="str">
        <f>IF(ISBLANK(W444),"",IF(ISERROR(MATCH(W444,HQLATABLE!$A:$A,0)),0,1))</f>
        <v/>
      </c>
      <c r="AU444" s="1" t="str">
        <f t="shared" si="55"/>
        <v>Blank</v>
      </c>
      <c r="AV444" s="1" t="str">
        <f t="shared" si="56"/>
        <v>Blank</v>
      </c>
      <c r="AW444" s="1">
        <f t="shared" si="57"/>
        <v>0</v>
      </c>
      <c r="AX444" s="1">
        <f t="shared" si="58"/>
        <v>0</v>
      </c>
      <c r="AY444" s="1"/>
      <c r="AZ444" s="1">
        <f>IF(COUNTIFS('PID CHECK'!$B:$B,AR444)=1,0,IF(COUNTIFS(AR$1:AR443,AR444)=1,0,1))</f>
        <v>0</v>
      </c>
      <c r="BA444" s="1"/>
      <c r="BB444" s="1"/>
    </row>
    <row r="445" spans="1:54">
      <c r="A445">
        <v>444</v>
      </c>
      <c r="B445" t="s">
        <v>82</v>
      </c>
      <c r="C445" t="s">
        <v>164</v>
      </c>
      <c r="D445" t="s">
        <v>153</v>
      </c>
      <c r="E445" t="s">
        <v>47</v>
      </c>
      <c r="F445" t="s">
        <v>53</v>
      </c>
      <c r="H445" t="s">
        <v>48</v>
      </c>
      <c r="J445" t="s">
        <v>49</v>
      </c>
      <c r="K445" t="s">
        <v>50</v>
      </c>
      <c r="L445" t="s">
        <v>762</v>
      </c>
      <c r="M445" t="s">
        <v>762</v>
      </c>
      <c r="N445">
        <v>0</v>
      </c>
      <c r="R445" t="s">
        <v>51</v>
      </c>
      <c r="S445" t="s">
        <v>52</v>
      </c>
      <c r="Z445" t="s">
        <v>759</v>
      </c>
      <c r="AA445" t="s">
        <v>156</v>
      </c>
      <c r="AB445" t="s">
        <v>78</v>
      </c>
      <c r="AC445" t="s">
        <v>883</v>
      </c>
      <c r="AD445" t="s">
        <v>50</v>
      </c>
      <c r="AH445">
        <v>10</v>
      </c>
      <c r="AM445">
        <v>43465</v>
      </c>
      <c r="AN445">
        <v>43469</v>
      </c>
      <c r="AO445" s="2">
        <f t="shared" si="51"/>
        <v>0</v>
      </c>
      <c r="AP445" s="2">
        <f t="shared" si="52"/>
        <v>0</v>
      </c>
      <c r="AQ445" s="3">
        <f t="shared" si="53"/>
        <v>1</v>
      </c>
      <c r="AR445" s="1" t="str">
        <f>INDEX(IOS!$B:$B,MATCH(D445,IOS!A:A,0))&amp;B445</f>
        <v>O.D.5</v>
      </c>
      <c r="AS445" s="1">
        <f t="shared" si="54"/>
        <v>1</v>
      </c>
      <c r="AT445" s="1" t="str">
        <f>IF(ISBLANK(W445),"",IF(ISERROR(MATCH(W445,HQLATABLE!$A:$A,0)),0,1))</f>
        <v/>
      </c>
      <c r="AU445" s="1" t="str">
        <f t="shared" si="55"/>
        <v>Blank</v>
      </c>
      <c r="AV445" s="1" t="str">
        <f t="shared" si="56"/>
        <v>Blank</v>
      </c>
      <c r="AW445" s="1">
        <f t="shared" si="57"/>
        <v>0</v>
      </c>
      <c r="AX445" s="1">
        <f t="shared" si="58"/>
        <v>0</v>
      </c>
      <c r="AY445" s="1"/>
      <c r="AZ445" s="1">
        <f>IF(COUNTIFS('PID CHECK'!$B:$B,AR445)=1,0,IF(COUNTIFS(AR$1:AR444,AR445)=1,0,1))</f>
        <v>0</v>
      </c>
      <c r="BA445" s="1"/>
      <c r="BB445" s="1"/>
    </row>
    <row r="446" spans="1:54">
      <c r="A446">
        <v>445</v>
      </c>
      <c r="B446" t="s">
        <v>82</v>
      </c>
      <c r="C446" t="s">
        <v>164</v>
      </c>
      <c r="D446" t="s">
        <v>153</v>
      </c>
      <c r="E446" t="s">
        <v>47</v>
      </c>
      <c r="F446" t="s">
        <v>53</v>
      </c>
      <c r="H446" t="s">
        <v>48</v>
      </c>
      <c r="J446" t="s">
        <v>49</v>
      </c>
      <c r="K446" t="s">
        <v>50</v>
      </c>
      <c r="L446" t="s">
        <v>762</v>
      </c>
      <c r="M446" t="s">
        <v>762</v>
      </c>
      <c r="N446">
        <v>0</v>
      </c>
      <c r="R446" t="s">
        <v>51</v>
      </c>
      <c r="S446" t="s">
        <v>52</v>
      </c>
      <c r="Z446" t="s">
        <v>759</v>
      </c>
      <c r="AA446" t="s">
        <v>156</v>
      </c>
      <c r="AB446" t="s">
        <v>115</v>
      </c>
      <c r="AC446" t="s">
        <v>883</v>
      </c>
      <c r="AD446" t="s">
        <v>50</v>
      </c>
      <c r="AH446">
        <v>10</v>
      </c>
      <c r="AM446">
        <v>43465</v>
      </c>
      <c r="AN446">
        <v>43469</v>
      </c>
      <c r="AO446" s="2">
        <f t="shared" si="51"/>
        <v>0</v>
      </c>
      <c r="AP446" s="2">
        <f t="shared" si="52"/>
        <v>0</v>
      </c>
      <c r="AQ446" s="3">
        <f t="shared" si="53"/>
        <v>1</v>
      </c>
      <c r="AR446" s="1" t="str">
        <f>INDEX(IOS!$B:$B,MATCH(D446,IOS!A:A,0))&amp;B446</f>
        <v>O.D.5</v>
      </c>
      <c r="AS446" s="1">
        <f t="shared" si="54"/>
        <v>1</v>
      </c>
      <c r="AT446" s="1" t="str">
        <f>IF(ISBLANK(W446),"",IF(ISERROR(MATCH(W446,HQLATABLE!$A:$A,0)),0,1))</f>
        <v/>
      </c>
      <c r="AU446" s="1" t="str">
        <f t="shared" si="55"/>
        <v>Blank</v>
      </c>
      <c r="AV446" s="1" t="str">
        <f t="shared" si="56"/>
        <v>Blank</v>
      </c>
      <c r="AW446" s="1">
        <f t="shared" si="57"/>
        <v>0</v>
      </c>
      <c r="AX446" s="1">
        <f t="shared" si="58"/>
        <v>0</v>
      </c>
      <c r="AY446" s="1"/>
      <c r="AZ446" s="1">
        <f>IF(COUNTIFS('PID CHECK'!$B:$B,AR446)=1,0,IF(COUNTIFS(AR$1:AR445,AR446)=1,0,1))</f>
        <v>0</v>
      </c>
      <c r="BA446" s="1"/>
      <c r="BB446" s="1"/>
    </row>
    <row r="447" spans="1:54">
      <c r="A447">
        <v>446</v>
      </c>
      <c r="B447" t="s">
        <v>82</v>
      </c>
      <c r="C447" t="s">
        <v>164</v>
      </c>
      <c r="D447" t="s">
        <v>153</v>
      </c>
      <c r="E447" t="s">
        <v>47</v>
      </c>
      <c r="F447" t="s">
        <v>53</v>
      </c>
      <c r="H447" t="s">
        <v>48</v>
      </c>
      <c r="J447" t="s">
        <v>49</v>
      </c>
      <c r="K447" t="s">
        <v>50</v>
      </c>
      <c r="L447" t="s">
        <v>762</v>
      </c>
      <c r="M447" t="s">
        <v>762</v>
      </c>
      <c r="N447">
        <v>0</v>
      </c>
      <c r="R447" t="s">
        <v>51</v>
      </c>
      <c r="S447" t="s">
        <v>52</v>
      </c>
      <c r="Z447" t="s">
        <v>759</v>
      </c>
      <c r="AA447" t="s">
        <v>156</v>
      </c>
      <c r="AB447" t="s">
        <v>76</v>
      </c>
      <c r="AC447" t="s">
        <v>883</v>
      </c>
      <c r="AD447" t="s">
        <v>50</v>
      </c>
      <c r="AH447">
        <v>10</v>
      </c>
      <c r="AM447">
        <v>43465</v>
      </c>
      <c r="AN447">
        <v>43469</v>
      </c>
      <c r="AO447" s="2">
        <f t="shared" si="51"/>
        <v>0</v>
      </c>
      <c r="AP447" s="2">
        <f t="shared" si="52"/>
        <v>0</v>
      </c>
      <c r="AQ447" s="3">
        <f t="shared" si="53"/>
        <v>1</v>
      </c>
      <c r="AR447" s="1" t="str">
        <f>INDEX(IOS!$B:$B,MATCH(D447,IOS!A:A,0))&amp;B447</f>
        <v>O.D.5</v>
      </c>
      <c r="AS447" s="1">
        <f t="shared" si="54"/>
        <v>1</v>
      </c>
      <c r="AT447" s="1" t="str">
        <f>IF(ISBLANK(W447),"",IF(ISERROR(MATCH(W447,HQLATABLE!$A:$A,0)),0,1))</f>
        <v/>
      </c>
      <c r="AU447" s="1" t="str">
        <f t="shared" si="55"/>
        <v>Blank</v>
      </c>
      <c r="AV447" s="1" t="str">
        <f t="shared" si="56"/>
        <v>Blank</v>
      </c>
      <c r="AW447" s="1">
        <f t="shared" si="57"/>
        <v>0</v>
      </c>
      <c r="AX447" s="1">
        <f t="shared" si="58"/>
        <v>0</v>
      </c>
      <c r="AY447" s="1"/>
      <c r="AZ447" s="1">
        <f>IF(COUNTIFS('PID CHECK'!$B:$B,AR447)=1,0,IF(COUNTIFS(AR$1:AR446,AR447)=1,0,1))</f>
        <v>0</v>
      </c>
      <c r="BA447" s="1"/>
      <c r="BB447" s="1"/>
    </row>
    <row r="448" spans="1:54">
      <c r="A448">
        <v>447</v>
      </c>
      <c r="B448" t="s">
        <v>82</v>
      </c>
      <c r="C448" t="s">
        <v>164</v>
      </c>
      <c r="D448" t="s">
        <v>153</v>
      </c>
      <c r="E448" t="s">
        <v>47</v>
      </c>
      <c r="F448" t="s">
        <v>53</v>
      </c>
      <c r="H448" t="s">
        <v>48</v>
      </c>
      <c r="J448" t="s">
        <v>49</v>
      </c>
      <c r="K448" t="s">
        <v>50</v>
      </c>
      <c r="L448" t="s">
        <v>762</v>
      </c>
      <c r="M448" t="s">
        <v>762</v>
      </c>
      <c r="N448">
        <v>0</v>
      </c>
      <c r="R448" t="s">
        <v>51</v>
      </c>
      <c r="S448" t="s">
        <v>52</v>
      </c>
      <c r="Z448" t="s">
        <v>116</v>
      </c>
      <c r="AA448" t="s">
        <v>156</v>
      </c>
      <c r="AB448" t="s">
        <v>163</v>
      </c>
      <c r="AC448" t="s">
        <v>883</v>
      </c>
      <c r="AD448" t="s">
        <v>50</v>
      </c>
      <c r="AH448">
        <v>11</v>
      </c>
      <c r="AM448">
        <v>43465</v>
      </c>
      <c r="AN448">
        <v>43469</v>
      </c>
      <c r="AO448" s="2">
        <f t="shared" si="51"/>
        <v>0</v>
      </c>
      <c r="AP448" s="2">
        <f t="shared" si="52"/>
        <v>0</v>
      </c>
      <c r="AQ448" s="3">
        <f t="shared" si="53"/>
        <v>1</v>
      </c>
      <c r="AR448" s="1" t="str">
        <f>INDEX(IOS!$B:$B,MATCH(D448,IOS!A:A,0))&amp;B448</f>
        <v>O.D.5</v>
      </c>
      <c r="AS448" s="1">
        <f t="shared" si="54"/>
        <v>1</v>
      </c>
      <c r="AT448" s="1" t="str">
        <f>IF(ISBLANK(W448),"",IF(ISERROR(MATCH(W448,HQLATABLE!$A:$A,0)),0,1))</f>
        <v/>
      </c>
      <c r="AU448" s="1" t="str">
        <f t="shared" si="55"/>
        <v>Blank</v>
      </c>
      <c r="AV448" s="1" t="str">
        <f t="shared" si="56"/>
        <v>Blank</v>
      </c>
      <c r="AW448" s="1">
        <f t="shared" si="57"/>
        <v>0</v>
      </c>
      <c r="AX448" s="1">
        <f t="shared" si="58"/>
        <v>0</v>
      </c>
      <c r="AY448" s="1"/>
      <c r="AZ448" s="1">
        <f>IF(COUNTIFS('PID CHECK'!$B:$B,AR448)=1,0,IF(COUNTIFS(AR$1:AR447,AR448)=1,0,1))</f>
        <v>0</v>
      </c>
      <c r="BA448" s="1"/>
      <c r="BB448" s="1"/>
    </row>
    <row r="449" spans="1:54">
      <c r="A449">
        <v>448</v>
      </c>
      <c r="B449" t="s">
        <v>82</v>
      </c>
      <c r="C449" t="s">
        <v>164</v>
      </c>
      <c r="D449" t="s">
        <v>153</v>
      </c>
      <c r="E449" t="s">
        <v>47</v>
      </c>
      <c r="F449" t="s">
        <v>53</v>
      </c>
      <c r="H449" t="s">
        <v>48</v>
      </c>
      <c r="J449" t="s">
        <v>49</v>
      </c>
      <c r="K449" t="s">
        <v>50</v>
      </c>
      <c r="L449" t="s">
        <v>762</v>
      </c>
      <c r="M449" t="s">
        <v>762</v>
      </c>
      <c r="N449">
        <v>0</v>
      </c>
      <c r="R449" t="s">
        <v>51</v>
      </c>
      <c r="S449" t="s">
        <v>52</v>
      </c>
      <c r="Z449" t="s">
        <v>116</v>
      </c>
      <c r="AA449" t="s">
        <v>156</v>
      </c>
      <c r="AB449" t="s">
        <v>78</v>
      </c>
      <c r="AC449" t="s">
        <v>883</v>
      </c>
      <c r="AD449" t="s">
        <v>50</v>
      </c>
      <c r="AH449">
        <v>11</v>
      </c>
      <c r="AM449">
        <v>43465</v>
      </c>
      <c r="AN449">
        <v>43469</v>
      </c>
      <c r="AO449" s="2">
        <f t="shared" si="51"/>
        <v>0</v>
      </c>
      <c r="AP449" s="2">
        <f t="shared" si="52"/>
        <v>0</v>
      </c>
      <c r="AQ449" s="3">
        <f t="shared" si="53"/>
        <v>1</v>
      </c>
      <c r="AR449" s="1" t="str">
        <f>INDEX(IOS!$B:$B,MATCH(D449,IOS!A:A,0))&amp;B449</f>
        <v>O.D.5</v>
      </c>
      <c r="AS449" s="1">
        <f t="shared" si="54"/>
        <v>1</v>
      </c>
      <c r="AT449" s="1" t="str">
        <f>IF(ISBLANK(W449),"",IF(ISERROR(MATCH(W449,HQLATABLE!$A:$A,0)),0,1))</f>
        <v/>
      </c>
      <c r="AU449" s="1" t="str">
        <f t="shared" si="55"/>
        <v>Blank</v>
      </c>
      <c r="AV449" s="1" t="str">
        <f t="shared" si="56"/>
        <v>Blank</v>
      </c>
      <c r="AW449" s="1">
        <f t="shared" si="57"/>
        <v>0</v>
      </c>
      <c r="AX449" s="1">
        <f t="shared" si="58"/>
        <v>0</v>
      </c>
      <c r="AY449" s="1"/>
      <c r="AZ449" s="1">
        <f>IF(COUNTIFS('PID CHECK'!$B:$B,AR449)=1,0,IF(COUNTIFS(AR$1:AR448,AR449)=1,0,1))</f>
        <v>0</v>
      </c>
      <c r="BA449" s="1"/>
      <c r="BB449" s="1"/>
    </row>
    <row r="450" spans="1:54">
      <c r="A450">
        <v>449</v>
      </c>
      <c r="B450" t="s">
        <v>82</v>
      </c>
      <c r="C450" t="s">
        <v>164</v>
      </c>
      <c r="D450" t="s">
        <v>153</v>
      </c>
      <c r="E450" t="s">
        <v>47</v>
      </c>
      <c r="F450" t="s">
        <v>53</v>
      </c>
      <c r="H450" t="s">
        <v>48</v>
      </c>
      <c r="J450" t="s">
        <v>49</v>
      </c>
      <c r="K450" t="s">
        <v>50</v>
      </c>
      <c r="L450" t="s">
        <v>762</v>
      </c>
      <c r="M450" t="s">
        <v>762</v>
      </c>
      <c r="N450">
        <v>0</v>
      </c>
      <c r="R450" t="s">
        <v>51</v>
      </c>
      <c r="S450" t="s">
        <v>52</v>
      </c>
      <c r="Z450" t="s">
        <v>116</v>
      </c>
      <c r="AA450" t="s">
        <v>156</v>
      </c>
      <c r="AB450" t="s">
        <v>115</v>
      </c>
      <c r="AC450" t="s">
        <v>883</v>
      </c>
      <c r="AD450" t="s">
        <v>50</v>
      </c>
      <c r="AH450">
        <v>11</v>
      </c>
      <c r="AM450">
        <v>43465</v>
      </c>
      <c r="AN450">
        <v>43469</v>
      </c>
      <c r="AO450" s="2">
        <f t="shared" si="51"/>
        <v>0</v>
      </c>
      <c r="AP450" s="2">
        <f t="shared" si="52"/>
        <v>0</v>
      </c>
      <c r="AQ450" s="3">
        <f t="shared" si="53"/>
        <v>1</v>
      </c>
      <c r="AR450" s="1" t="str">
        <f>INDEX(IOS!$B:$B,MATCH(D450,IOS!A:A,0))&amp;B450</f>
        <v>O.D.5</v>
      </c>
      <c r="AS450" s="1">
        <f t="shared" si="54"/>
        <v>1</v>
      </c>
      <c r="AT450" s="1" t="str">
        <f>IF(ISBLANK(W450),"",IF(ISERROR(MATCH(W450,HQLATABLE!$A:$A,0)),0,1))</f>
        <v/>
      </c>
      <c r="AU450" s="1" t="str">
        <f t="shared" si="55"/>
        <v>Blank</v>
      </c>
      <c r="AV450" s="1" t="str">
        <f t="shared" si="56"/>
        <v>Blank</v>
      </c>
      <c r="AW450" s="1">
        <f t="shared" si="57"/>
        <v>0</v>
      </c>
      <c r="AX450" s="1">
        <f t="shared" si="58"/>
        <v>0</v>
      </c>
      <c r="AY450" s="1"/>
      <c r="AZ450" s="1">
        <f>IF(COUNTIFS('PID CHECK'!$B:$B,AR450)=1,0,IF(COUNTIFS(AR$1:AR449,AR450)=1,0,1))</f>
        <v>0</v>
      </c>
      <c r="BA450" s="1"/>
      <c r="BB450" s="1"/>
    </row>
    <row r="451" spans="1:54">
      <c r="A451">
        <v>450</v>
      </c>
      <c r="B451" t="s">
        <v>82</v>
      </c>
      <c r="C451" t="s">
        <v>164</v>
      </c>
      <c r="D451" t="s">
        <v>153</v>
      </c>
      <c r="E451" t="s">
        <v>47</v>
      </c>
      <c r="F451" t="s">
        <v>50</v>
      </c>
      <c r="H451" t="s">
        <v>995</v>
      </c>
      <c r="J451" t="s">
        <v>49</v>
      </c>
      <c r="K451" t="s">
        <v>50</v>
      </c>
      <c r="L451" t="s">
        <v>762</v>
      </c>
      <c r="M451" t="s">
        <v>762</v>
      </c>
      <c r="N451">
        <v>1.4</v>
      </c>
      <c r="R451" t="s">
        <v>996</v>
      </c>
      <c r="S451" t="s">
        <v>996</v>
      </c>
      <c r="Z451" t="s">
        <v>84</v>
      </c>
      <c r="AA451" t="s">
        <v>154</v>
      </c>
      <c r="AC451" t="s">
        <v>883</v>
      </c>
      <c r="AD451" t="s">
        <v>50</v>
      </c>
      <c r="AH451">
        <v>3</v>
      </c>
      <c r="AM451">
        <v>43465</v>
      </c>
      <c r="AN451">
        <v>43469</v>
      </c>
      <c r="AO451" s="2">
        <f t="shared" ref="AO451:AO514" si="59">VALUE(MID(R451,FIND("P",R451)+1,FIND("D",R451)-1-FIND("P",R451)))</f>
        <v>10</v>
      </c>
      <c r="AP451" s="2">
        <f t="shared" ref="AP451:AP514" si="60">IFERROR(VALUE(MID(S451,FIND("P",S451)+1,FIND("D",S451)-1-FIND("P",S451))),99999)</f>
        <v>10</v>
      </c>
      <c r="AQ451" s="3">
        <f t="shared" ref="AQ451:AQ514" si="61">IF(AO451&lt;=30,1,0)</f>
        <v>1</v>
      </c>
      <c r="AR451" s="1" t="str">
        <f>INDEX(IOS!$B:$B,MATCH(D451,IOS!A:A,0))&amp;B451</f>
        <v>O.D.5</v>
      </c>
      <c r="AS451" s="1">
        <f t="shared" ref="AS451:AS514" si="62">IF(F451="","Blank",IF(F451="True",1,0))</f>
        <v>0</v>
      </c>
      <c r="AT451" s="1" t="str">
        <f>IF(ISBLANK(W451),"",IF(ISERROR(MATCH(W451,HQLATABLE!$A:$A,0)),0,1))</f>
        <v/>
      </c>
      <c r="AU451" s="1" t="str">
        <f t="shared" ref="AU451:AU514" si="63">IF(V451="","Blank",IF(V451="True",1,0))</f>
        <v>Blank</v>
      </c>
      <c r="AV451" s="1" t="str">
        <f t="shared" ref="AV451:AV514" si="64">IF(AG451="","Blank",IF(AG451="True",1,0))</f>
        <v>Blank</v>
      </c>
      <c r="AW451" s="1">
        <f t="shared" ref="AW451:AW514" si="65">IF(X451="",0,IF(OR(X451&gt;=N451),-1,1))</f>
        <v>0</v>
      </c>
      <c r="AX451" s="1">
        <f t="shared" ref="AX451:AX514" si="66">IF(AC451="","Blank",IF(AC451="True",1,0))</f>
        <v>0</v>
      </c>
      <c r="AY451" s="1"/>
      <c r="AZ451" s="1">
        <f>IF(COUNTIFS('PID CHECK'!$B:$B,AR451)=1,0,IF(COUNTIFS(AR$1:AR450,AR451)=1,0,1))</f>
        <v>0</v>
      </c>
      <c r="BA451" s="1"/>
      <c r="BB451" s="1"/>
    </row>
    <row r="452" spans="1:54">
      <c r="A452">
        <v>451</v>
      </c>
      <c r="B452" t="s">
        <v>82</v>
      </c>
      <c r="C452" t="s">
        <v>164</v>
      </c>
      <c r="D452" t="s">
        <v>153</v>
      </c>
      <c r="E452" t="s">
        <v>47</v>
      </c>
      <c r="F452" t="s">
        <v>50</v>
      </c>
      <c r="H452" t="s">
        <v>995</v>
      </c>
      <c r="J452" t="s">
        <v>49</v>
      </c>
      <c r="K452" t="s">
        <v>50</v>
      </c>
      <c r="L452" t="s">
        <v>762</v>
      </c>
      <c r="M452" t="s">
        <v>762</v>
      </c>
      <c r="N452">
        <v>100</v>
      </c>
      <c r="R452" t="s">
        <v>996</v>
      </c>
      <c r="S452" t="s">
        <v>996</v>
      </c>
      <c r="Z452" t="s">
        <v>84</v>
      </c>
      <c r="AA452" t="s">
        <v>156</v>
      </c>
      <c r="AC452" t="s">
        <v>883</v>
      </c>
      <c r="AD452" t="s">
        <v>50</v>
      </c>
      <c r="AH452">
        <v>3</v>
      </c>
      <c r="AM452">
        <v>43465</v>
      </c>
      <c r="AN452">
        <v>43469</v>
      </c>
      <c r="AO452" s="2">
        <f t="shared" si="59"/>
        <v>10</v>
      </c>
      <c r="AP452" s="2">
        <f t="shared" si="60"/>
        <v>10</v>
      </c>
      <c r="AQ452" s="3">
        <f t="shared" si="61"/>
        <v>1</v>
      </c>
      <c r="AR452" s="1" t="str">
        <f>INDEX(IOS!$B:$B,MATCH(D452,IOS!A:A,0))&amp;B452</f>
        <v>O.D.5</v>
      </c>
      <c r="AS452" s="1">
        <f t="shared" si="62"/>
        <v>0</v>
      </c>
      <c r="AT452" s="1" t="str">
        <f>IF(ISBLANK(W452),"",IF(ISERROR(MATCH(W452,HQLATABLE!$A:$A,0)),0,1))</f>
        <v/>
      </c>
      <c r="AU452" s="1" t="str">
        <f t="shared" si="63"/>
        <v>Blank</v>
      </c>
      <c r="AV452" s="1" t="str">
        <f t="shared" si="64"/>
        <v>Blank</v>
      </c>
      <c r="AW452" s="1">
        <f t="shared" si="65"/>
        <v>0</v>
      </c>
      <c r="AX452" s="1">
        <f t="shared" si="66"/>
        <v>0</v>
      </c>
      <c r="AY452" s="1"/>
      <c r="AZ452" s="1">
        <f>IF(COUNTIFS('PID CHECK'!$B:$B,AR452)=1,0,IF(COUNTIFS(AR$1:AR451,AR452)=1,0,1))</f>
        <v>0</v>
      </c>
      <c r="BA452" s="1"/>
      <c r="BB452" s="1"/>
    </row>
    <row r="453" spans="1:54">
      <c r="A453">
        <v>452</v>
      </c>
      <c r="B453" t="s">
        <v>82</v>
      </c>
      <c r="C453" t="s">
        <v>164</v>
      </c>
      <c r="D453" t="s">
        <v>153</v>
      </c>
      <c r="E453" t="s">
        <v>47</v>
      </c>
      <c r="F453" t="s">
        <v>50</v>
      </c>
      <c r="H453" t="s">
        <v>1019</v>
      </c>
      <c r="J453" t="s">
        <v>49</v>
      </c>
      <c r="K453" t="s">
        <v>50</v>
      </c>
      <c r="L453" t="s">
        <v>762</v>
      </c>
      <c r="M453" t="s">
        <v>762</v>
      </c>
      <c r="N453">
        <v>0.65</v>
      </c>
      <c r="R453" t="s">
        <v>1020</v>
      </c>
      <c r="S453" t="s">
        <v>1020</v>
      </c>
      <c r="Z453" t="s">
        <v>84</v>
      </c>
      <c r="AA453" t="s">
        <v>154</v>
      </c>
      <c r="AC453" t="s">
        <v>883</v>
      </c>
      <c r="AD453" t="s">
        <v>50</v>
      </c>
      <c r="AH453">
        <v>3</v>
      </c>
      <c r="AM453">
        <v>43465</v>
      </c>
      <c r="AN453">
        <v>43469</v>
      </c>
      <c r="AO453" s="2">
        <f t="shared" si="59"/>
        <v>11</v>
      </c>
      <c r="AP453" s="2">
        <f t="shared" si="60"/>
        <v>11</v>
      </c>
      <c r="AQ453" s="3">
        <f t="shared" si="61"/>
        <v>1</v>
      </c>
      <c r="AR453" s="1" t="str">
        <f>INDEX(IOS!$B:$B,MATCH(D453,IOS!A:A,0))&amp;B453</f>
        <v>O.D.5</v>
      </c>
      <c r="AS453" s="1">
        <f t="shared" si="62"/>
        <v>0</v>
      </c>
      <c r="AT453" s="1" t="str">
        <f>IF(ISBLANK(W453),"",IF(ISERROR(MATCH(W453,HQLATABLE!$A:$A,0)),0,1))</f>
        <v/>
      </c>
      <c r="AU453" s="1" t="str">
        <f t="shared" si="63"/>
        <v>Blank</v>
      </c>
      <c r="AV453" s="1" t="str">
        <f t="shared" si="64"/>
        <v>Blank</v>
      </c>
      <c r="AW453" s="1">
        <f t="shared" si="65"/>
        <v>0</v>
      </c>
      <c r="AX453" s="1">
        <f t="shared" si="66"/>
        <v>0</v>
      </c>
      <c r="AY453" s="1"/>
      <c r="AZ453" s="1">
        <f>IF(COUNTIFS('PID CHECK'!$B:$B,AR453)=1,0,IF(COUNTIFS(AR$1:AR452,AR453)=1,0,1))</f>
        <v>0</v>
      </c>
      <c r="BA453" s="1"/>
      <c r="BB453" s="1"/>
    </row>
    <row r="454" spans="1:54">
      <c r="A454">
        <v>453</v>
      </c>
      <c r="B454" t="s">
        <v>82</v>
      </c>
      <c r="C454" t="s">
        <v>164</v>
      </c>
      <c r="D454" t="s">
        <v>153</v>
      </c>
      <c r="E454" t="s">
        <v>47</v>
      </c>
      <c r="F454" t="s">
        <v>50</v>
      </c>
      <c r="H454" t="s">
        <v>67</v>
      </c>
      <c r="J454" t="s">
        <v>49</v>
      </c>
      <c r="K454" t="s">
        <v>50</v>
      </c>
      <c r="L454" t="s">
        <v>762</v>
      </c>
      <c r="M454" t="s">
        <v>762</v>
      </c>
      <c r="N454">
        <v>9.77</v>
      </c>
      <c r="R454" t="s">
        <v>68</v>
      </c>
      <c r="S454" t="s">
        <v>69</v>
      </c>
      <c r="Z454" t="s">
        <v>84</v>
      </c>
      <c r="AA454" t="s">
        <v>154</v>
      </c>
      <c r="AC454" t="s">
        <v>883</v>
      </c>
      <c r="AD454" t="s">
        <v>50</v>
      </c>
      <c r="AH454">
        <v>3</v>
      </c>
      <c r="AM454">
        <v>43465</v>
      </c>
      <c r="AN454">
        <v>43469</v>
      </c>
      <c r="AO454" s="2">
        <f t="shared" si="59"/>
        <v>121</v>
      </c>
      <c r="AP454" s="2">
        <f t="shared" si="60"/>
        <v>150</v>
      </c>
      <c r="AQ454" s="3">
        <f t="shared" si="61"/>
        <v>0</v>
      </c>
      <c r="AR454" s="1" t="str">
        <f>INDEX(IOS!$B:$B,MATCH(D454,IOS!A:A,0))&amp;B454</f>
        <v>O.D.5</v>
      </c>
      <c r="AS454" s="1">
        <f t="shared" si="62"/>
        <v>0</v>
      </c>
      <c r="AT454" s="1" t="str">
        <f>IF(ISBLANK(W454),"",IF(ISERROR(MATCH(W454,HQLATABLE!$A:$A,0)),0,1))</f>
        <v/>
      </c>
      <c r="AU454" s="1" t="str">
        <f t="shared" si="63"/>
        <v>Blank</v>
      </c>
      <c r="AV454" s="1" t="str">
        <f t="shared" si="64"/>
        <v>Blank</v>
      </c>
      <c r="AW454" s="1">
        <f t="shared" si="65"/>
        <v>0</v>
      </c>
      <c r="AX454" s="1">
        <f t="shared" si="66"/>
        <v>0</v>
      </c>
      <c r="AY454" s="1"/>
      <c r="AZ454" s="1">
        <f>IF(COUNTIFS('PID CHECK'!$B:$B,AR454)=1,0,IF(COUNTIFS(AR$1:AR453,AR454)=1,0,1))</f>
        <v>0</v>
      </c>
      <c r="BA454" s="1"/>
      <c r="BB454" s="1"/>
    </row>
    <row r="455" spans="1:54">
      <c r="A455">
        <v>454</v>
      </c>
      <c r="B455" t="s">
        <v>82</v>
      </c>
      <c r="C455" t="s">
        <v>164</v>
      </c>
      <c r="D455" t="s">
        <v>153</v>
      </c>
      <c r="E455" t="s">
        <v>47</v>
      </c>
      <c r="F455" t="s">
        <v>53</v>
      </c>
      <c r="H455" t="s">
        <v>67</v>
      </c>
      <c r="J455" t="s">
        <v>49</v>
      </c>
      <c r="K455" t="s">
        <v>50</v>
      </c>
      <c r="L455" t="s">
        <v>762</v>
      </c>
      <c r="M455" t="s">
        <v>762</v>
      </c>
      <c r="N455">
        <v>0.02</v>
      </c>
      <c r="R455" t="s">
        <v>68</v>
      </c>
      <c r="S455" t="s">
        <v>69</v>
      </c>
      <c r="Z455" t="s">
        <v>84</v>
      </c>
      <c r="AA455" t="s">
        <v>154</v>
      </c>
      <c r="AB455" t="s">
        <v>163</v>
      </c>
      <c r="AC455" t="s">
        <v>883</v>
      </c>
      <c r="AD455" t="s">
        <v>50</v>
      </c>
      <c r="AH455">
        <v>3</v>
      </c>
      <c r="AM455">
        <v>43465</v>
      </c>
      <c r="AN455">
        <v>43469</v>
      </c>
      <c r="AO455" s="2">
        <f t="shared" si="59"/>
        <v>121</v>
      </c>
      <c r="AP455" s="2">
        <f t="shared" si="60"/>
        <v>150</v>
      </c>
      <c r="AQ455" s="3">
        <f t="shared" si="61"/>
        <v>0</v>
      </c>
      <c r="AR455" s="1" t="str">
        <f>INDEX(IOS!$B:$B,MATCH(D455,IOS!A:A,0))&amp;B455</f>
        <v>O.D.5</v>
      </c>
      <c r="AS455" s="1">
        <f t="shared" si="62"/>
        <v>1</v>
      </c>
      <c r="AT455" s="1" t="str">
        <f>IF(ISBLANK(W455),"",IF(ISERROR(MATCH(W455,HQLATABLE!$A:$A,0)),0,1))</f>
        <v/>
      </c>
      <c r="AU455" s="1" t="str">
        <f t="shared" si="63"/>
        <v>Blank</v>
      </c>
      <c r="AV455" s="1" t="str">
        <f t="shared" si="64"/>
        <v>Blank</v>
      </c>
      <c r="AW455" s="1">
        <f t="shared" si="65"/>
        <v>0</v>
      </c>
      <c r="AX455" s="1">
        <f t="shared" si="66"/>
        <v>0</v>
      </c>
      <c r="AY455" s="1"/>
      <c r="AZ455" s="1">
        <f>IF(COUNTIFS('PID CHECK'!$B:$B,AR455)=1,0,IF(COUNTIFS(AR$1:AR454,AR455)=1,0,1))</f>
        <v>0</v>
      </c>
      <c r="BA455" s="1"/>
      <c r="BB455" s="1"/>
    </row>
    <row r="456" spans="1:54">
      <c r="A456">
        <v>455</v>
      </c>
      <c r="B456" t="s">
        <v>82</v>
      </c>
      <c r="C456" t="s">
        <v>164</v>
      </c>
      <c r="D456" t="s">
        <v>153</v>
      </c>
      <c r="E456" t="s">
        <v>47</v>
      </c>
      <c r="F456" t="s">
        <v>50</v>
      </c>
      <c r="H456" t="s">
        <v>67</v>
      </c>
      <c r="J456" t="s">
        <v>49</v>
      </c>
      <c r="K456" t="s">
        <v>50</v>
      </c>
      <c r="L456" t="s">
        <v>762</v>
      </c>
      <c r="M456" t="s">
        <v>762</v>
      </c>
      <c r="N456">
        <v>60.83</v>
      </c>
      <c r="R456" t="s">
        <v>68</v>
      </c>
      <c r="S456" t="s">
        <v>69</v>
      </c>
      <c r="Z456" t="s">
        <v>84</v>
      </c>
      <c r="AA456" t="s">
        <v>156</v>
      </c>
      <c r="AC456" t="s">
        <v>883</v>
      </c>
      <c r="AD456" t="s">
        <v>50</v>
      </c>
      <c r="AH456">
        <v>3</v>
      </c>
      <c r="AM456">
        <v>43465</v>
      </c>
      <c r="AN456">
        <v>43469</v>
      </c>
      <c r="AO456" s="2">
        <f t="shared" si="59"/>
        <v>121</v>
      </c>
      <c r="AP456" s="2">
        <f t="shared" si="60"/>
        <v>150</v>
      </c>
      <c r="AQ456" s="3">
        <f t="shared" si="61"/>
        <v>0</v>
      </c>
      <c r="AR456" s="1" t="str">
        <f>INDEX(IOS!$B:$B,MATCH(D456,IOS!A:A,0))&amp;B456</f>
        <v>O.D.5</v>
      </c>
      <c r="AS456" s="1">
        <f t="shared" si="62"/>
        <v>0</v>
      </c>
      <c r="AT456" s="1" t="str">
        <f>IF(ISBLANK(W456),"",IF(ISERROR(MATCH(W456,HQLATABLE!$A:$A,0)),0,1))</f>
        <v/>
      </c>
      <c r="AU456" s="1" t="str">
        <f t="shared" si="63"/>
        <v>Blank</v>
      </c>
      <c r="AV456" s="1" t="str">
        <f t="shared" si="64"/>
        <v>Blank</v>
      </c>
      <c r="AW456" s="1">
        <f t="shared" si="65"/>
        <v>0</v>
      </c>
      <c r="AX456" s="1">
        <f t="shared" si="66"/>
        <v>0</v>
      </c>
      <c r="AY456" s="1"/>
      <c r="AZ456" s="1">
        <f>IF(COUNTIFS('PID CHECK'!$B:$B,AR456)=1,0,IF(COUNTIFS(AR$1:AR455,AR456)=1,0,1))</f>
        <v>0</v>
      </c>
      <c r="BA456" s="1"/>
      <c r="BB456" s="1"/>
    </row>
    <row r="457" spans="1:54">
      <c r="A457">
        <v>456</v>
      </c>
      <c r="B457" t="s">
        <v>82</v>
      </c>
      <c r="C457" t="s">
        <v>164</v>
      </c>
      <c r="D457" t="s">
        <v>153</v>
      </c>
      <c r="E457" t="s">
        <v>47</v>
      </c>
      <c r="F457" t="s">
        <v>50</v>
      </c>
      <c r="H457" t="s">
        <v>85</v>
      </c>
      <c r="J457" t="s">
        <v>49</v>
      </c>
      <c r="K457" t="s">
        <v>50</v>
      </c>
      <c r="L457" t="s">
        <v>762</v>
      </c>
      <c r="M457" t="s">
        <v>762</v>
      </c>
      <c r="N457">
        <v>1.1599999999999999</v>
      </c>
      <c r="R457" t="s">
        <v>86</v>
      </c>
      <c r="S457" t="s">
        <v>86</v>
      </c>
      <c r="Z457" t="s">
        <v>84</v>
      </c>
      <c r="AA457" t="s">
        <v>154</v>
      </c>
      <c r="AC457" t="s">
        <v>883</v>
      </c>
      <c r="AD457" t="s">
        <v>50</v>
      </c>
      <c r="AH457">
        <v>3</v>
      </c>
      <c r="AM457">
        <v>43465</v>
      </c>
      <c r="AN457">
        <v>43469</v>
      </c>
      <c r="AO457" s="2">
        <f t="shared" si="59"/>
        <v>14</v>
      </c>
      <c r="AP457" s="2">
        <f t="shared" si="60"/>
        <v>14</v>
      </c>
      <c r="AQ457" s="3">
        <f t="shared" si="61"/>
        <v>1</v>
      </c>
      <c r="AR457" s="1" t="str">
        <f>INDEX(IOS!$B:$B,MATCH(D457,IOS!A:A,0))&amp;B457</f>
        <v>O.D.5</v>
      </c>
      <c r="AS457" s="1">
        <f t="shared" si="62"/>
        <v>0</v>
      </c>
      <c r="AT457" s="1" t="str">
        <f>IF(ISBLANK(W457),"",IF(ISERROR(MATCH(W457,HQLATABLE!$A:$A,0)),0,1))</f>
        <v/>
      </c>
      <c r="AU457" s="1" t="str">
        <f t="shared" si="63"/>
        <v>Blank</v>
      </c>
      <c r="AV457" s="1" t="str">
        <f t="shared" si="64"/>
        <v>Blank</v>
      </c>
      <c r="AW457" s="1">
        <f t="shared" si="65"/>
        <v>0</v>
      </c>
      <c r="AX457" s="1">
        <f t="shared" si="66"/>
        <v>0</v>
      </c>
      <c r="AY457" s="1"/>
      <c r="AZ457" s="1">
        <f>IF(COUNTIFS('PID CHECK'!$B:$B,AR457)=1,0,IF(COUNTIFS(AR$1:AR456,AR457)=1,0,1))</f>
        <v>0</v>
      </c>
      <c r="BA457" s="1"/>
      <c r="BB457" s="1"/>
    </row>
    <row r="458" spans="1:54">
      <c r="A458">
        <v>457</v>
      </c>
      <c r="B458" t="s">
        <v>82</v>
      </c>
      <c r="C458" t="s">
        <v>164</v>
      </c>
      <c r="D458" t="s">
        <v>153</v>
      </c>
      <c r="E458" t="s">
        <v>47</v>
      </c>
      <c r="F458" t="s">
        <v>50</v>
      </c>
      <c r="H458" t="s">
        <v>85</v>
      </c>
      <c r="J458" t="s">
        <v>49</v>
      </c>
      <c r="K458" t="s">
        <v>50</v>
      </c>
      <c r="L458" t="s">
        <v>762</v>
      </c>
      <c r="M458" t="s">
        <v>762</v>
      </c>
      <c r="N458">
        <v>166.49</v>
      </c>
      <c r="R458" t="s">
        <v>86</v>
      </c>
      <c r="S458" t="s">
        <v>86</v>
      </c>
      <c r="Z458" t="s">
        <v>84</v>
      </c>
      <c r="AA458" t="s">
        <v>156</v>
      </c>
      <c r="AC458" t="s">
        <v>883</v>
      </c>
      <c r="AD458" t="s">
        <v>50</v>
      </c>
      <c r="AH458">
        <v>3</v>
      </c>
      <c r="AM458">
        <v>43465</v>
      </c>
      <c r="AN458">
        <v>43469</v>
      </c>
      <c r="AO458" s="2">
        <f t="shared" si="59"/>
        <v>14</v>
      </c>
      <c r="AP458" s="2">
        <f t="shared" si="60"/>
        <v>14</v>
      </c>
      <c r="AQ458" s="3">
        <f t="shared" si="61"/>
        <v>1</v>
      </c>
      <c r="AR458" s="1" t="str">
        <f>INDEX(IOS!$B:$B,MATCH(D458,IOS!A:A,0))&amp;B458</f>
        <v>O.D.5</v>
      </c>
      <c r="AS458" s="1">
        <f t="shared" si="62"/>
        <v>0</v>
      </c>
      <c r="AT458" s="1" t="str">
        <f>IF(ISBLANK(W458),"",IF(ISERROR(MATCH(W458,HQLATABLE!$A:$A,0)),0,1))</f>
        <v/>
      </c>
      <c r="AU458" s="1" t="str">
        <f t="shared" si="63"/>
        <v>Blank</v>
      </c>
      <c r="AV458" s="1" t="str">
        <f t="shared" si="64"/>
        <v>Blank</v>
      </c>
      <c r="AW458" s="1">
        <f t="shared" si="65"/>
        <v>0</v>
      </c>
      <c r="AX458" s="1">
        <f t="shared" si="66"/>
        <v>0</v>
      </c>
      <c r="AY458" s="1"/>
      <c r="AZ458" s="1">
        <f>IF(COUNTIFS('PID CHECK'!$B:$B,AR458)=1,0,IF(COUNTIFS(AR$1:AR457,AR458)=1,0,1))</f>
        <v>0</v>
      </c>
      <c r="BA458" s="1"/>
      <c r="BB458" s="1"/>
    </row>
    <row r="459" spans="1:54">
      <c r="A459">
        <v>458</v>
      </c>
      <c r="B459" t="s">
        <v>82</v>
      </c>
      <c r="C459" t="s">
        <v>164</v>
      </c>
      <c r="D459" t="s">
        <v>153</v>
      </c>
      <c r="E459" t="s">
        <v>47</v>
      </c>
      <c r="F459" t="s">
        <v>50</v>
      </c>
      <c r="H459" t="s">
        <v>73</v>
      </c>
      <c r="J459" t="s">
        <v>49</v>
      </c>
      <c r="K459" t="s">
        <v>50</v>
      </c>
      <c r="L459" t="s">
        <v>762</v>
      </c>
      <c r="M459" t="s">
        <v>762</v>
      </c>
      <c r="N459">
        <v>6.48</v>
      </c>
      <c r="R459" t="s">
        <v>74</v>
      </c>
      <c r="S459" t="s">
        <v>75</v>
      </c>
      <c r="Z459" t="s">
        <v>84</v>
      </c>
      <c r="AA459" t="s">
        <v>154</v>
      </c>
      <c r="AC459" t="s">
        <v>883</v>
      </c>
      <c r="AD459" t="s">
        <v>50</v>
      </c>
      <c r="AH459">
        <v>3</v>
      </c>
      <c r="AM459">
        <v>43465</v>
      </c>
      <c r="AN459">
        <v>43469</v>
      </c>
      <c r="AO459" s="2">
        <f t="shared" si="59"/>
        <v>151</v>
      </c>
      <c r="AP459" s="2">
        <f t="shared" si="60"/>
        <v>180</v>
      </c>
      <c r="AQ459" s="3">
        <f t="shared" si="61"/>
        <v>0</v>
      </c>
      <c r="AR459" s="1" t="str">
        <f>INDEX(IOS!$B:$B,MATCH(D459,IOS!A:A,0))&amp;B459</f>
        <v>O.D.5</v>
      </c>
      <c r="AS459" s="1">
        <f t="shared" si="62"/>
        <v>0</v>
      </c>
      <c r="AT459" s="1" t="str">
        <f>IF(ISBLANK(W459),"",IF(ISERROR(MATCH(W459,HQLATABLE!$A:$A,0)),0,1))</f>
        <v/>
      </c>
      <c r="AU459" s="1" t="str">
        <f t="shared" si="63"/>
        <v>Blank</v>
      </c>
      <c r="AV459" s="1" t="str">
        <f t="shared" si="64"/>
        <v>Blank</v>
      </c>
      <c r="AW459" s="1">
        <f t="shared" si="65"/>
        <v>0</v>
      </c>
      <c r="AX459" s="1">
        <f t="shared" si="66"/>
        <v>0</v>
      </c>
      <c r="AY459" s="1"/>
      <c r="AZ459" s="1">
        <f>IF(COUNTIFS('PID CHECK'!$B:$B,AR459)=1,0,IF(COUNTIFS(AR$1:AR458,AR459)=1,0,1))</f>
        <v>0</v>
      </c>
      <c r="BA459" s="1"/>
      <c r="BB459" s="1"/>
    </row>
    <row r="460" spans="1:54">
      <c r="A460">
        <v>459</v>
      </c>
      <c r="B460" t="s">
        <v>82</v>
      </c>
      <c r="C460" t="s">
        <v>164</v>
      </c>
      <c r="D460" t="s">
        <v>153</v>
      </c>
      <c r="E460" t="s">
        <v>47</v>
      </c>
      <c r="F460" t="s">
        <v>50</v>
      </c>
      <c r="H460" t="s">
        <v>73</v>
      </c>
      <c r="J460" t="s">
        <v>49</v>
      </c>
      <c r="K460" t="s">
        <v>50</v>
      </c>
      <c r="L460" t="s">
        <v>762</v>
      </c>
      <c r="M460" t="s">
        <v>762</v>
      </c>
      <c r="N460">
        <v>0.01</v>
      </c>
      <c r="R460" t="s">
        <v>74</v>
      </c>
      <c r="S460" t="s">
        <v>75</v>
      </c>
      <c r="Z460" t="s">
        <v>162</v>
      </c>
      <c r="AA460" t="s">
        <v>154</v>
      </c>
      <c r="AC460" t="s">
        <v>883</v>
      </c>
      <c r="AD460" t="s">
        <v>50</v>
      </c>
      <c r="AH460">
        <v>4</v>
      </c>
      <c r="AM460">
        <v>43465</v>
      </c>
      <c r="AN460">
        <v>43469</v>
      </c>
      <c r="AO460" s="2">
        <f t="shared" si="59"/>
        <v>151</v>
      </c>
      <c r="AP460" s="2">
        <f t="shared" si="60"/>
        <v>180</v>
      </c>
      <c r="AQ460" s="3">
        <f t="shared" si="61"/>
        <v>0</v>
      </c>
      <c r="AR460" s="1" t="str">
        <f>INDEX(IOS!$B:$B,MATCH(D460,IOS!A:A,0))&amp;B460</f>
        <v>O.D.5</v>
      </c>
      <c r="AS460" s="1">
        <f t="shared" si="62"/>
        <v>0</v>
      </c>
      <c r="AT460" s="1" t="str">
        <f>IF(ISBLANK(W460),"",IF(ISERROR(MATCH(W460,HQLATABLE!$A:$A,0)),0,1))</f>
        <v/>
      </c>
      <c r="AU460" s="1" t="str">
        <f t="shared" si="63"/>
        <v>Blank</v>
      </c>
      <c r="AV460" s="1" t="str">
        <f t="shared" si="64"/>
        <v>Blank</v>
      </c>
      <c r="AW460" s="1">
        <f t="shared" si="65"/>
        <v>0</v>
      </c>
      <c r="AX460" s="1">
        <f t="shared" si="66"/>
        <v>0</v>
      </c>
      <c r="AY460" s="1"/>
      <c r="AZ460" s="1">
        <f>IF(COUNTIFS('PID CHECK'!$B:$B,AR460)=1,0,IF(COUNTIFS(AR$1:AR459,AR460)=1,0,1))</f>
        <v>0</v>
      </c>
      <c r="BA460" s="1"/>
      <c r="BB460" s="1"/>
    </row>
    <row r="461" spans="1:54">
      <c r="A461">
        <v>460</v>
      </c>
      <c r="B461" t="s">
        <v>82</v>
      </c>
      <c r="C461" t="s">
        <v>164</v>
      </c>
      <c r="D461" t="s">
        <v>153</v>
      </c>
      <c r="E461" t="s">
        <v>47</v>
      </c>
      <c r="F461" t="s">
        <v>50</v>
      </c>
      <c r="H461" t="s">
        <v>73</v>
      </c>
      <c r="J461" t="s">
        <v>49</v>
      </c>
      <c r="K461" t="s">
        <v>50</v>
      </c>
      <c r="L461" t="s">
        <v>762</v>
      </c>
      <c r="M461" t="s">
        <v>762</v>
      </c>
      <c r="N461">
        <v>54.09</v>
      </c>
      <c r="R461" t="s">
        <v>74</v>
      </c>
      <c r="S461" t="s">
        <v>75</v>
      </c>
      <c r="Z461" t="s">
        <v>84</v>
      </c>
      <c r="AA461" t="s">
        <v>156</v>
      </c>
      <c r="AC461" t="s">
        <v>883</v>
      </c>
      <c r="AD461" t="s">
        <v>50</v>
      </c>
      <c r="AH461">
        <v>3</v>
      </c>
      <c r="AM461">
        <v>43465</v>
      </c>
      <c r="AN461">
        <v>43469</v>
      </c>
      <c r="AO461" s="2">
        <f t="shared" si="59"/>
        <v>151</v>
      </c>
      <c r="AP461" s="2">
        <f t="shared" si="60"/>
        <v>180</v>
      </c>
      <c r="AQ461" s="3">
        <f t="shared" si="61"/>
        <v>0</v>
      </c>
      <c r="AR461" s="1" t="str">
        <f>INDEX(IOS!$B:$B,MATCH(D461,IOS!A:A,0))&amp;B461</f>
        <v>O.D.5</v>
      </c>
      <c r="AS461" s="1">
        <f t="shared" si="62"/>
        <v>0</v>
      </c>
      <c r="AT461" s="1" t="str">
        <f>IF(ISBLANK(W461),"",IF(ISERROR(MATCH(W461,HQLATABLE!$A:$A,0)),0,1))</f>
        <v/>
      </c>
      <c r="AU461" s="1" t="str">
        <f t="shared" si="63"/>
        <v>Blank</v>
      </c>
      <c r="AV461" s="1" t="str">
        <f t="shared" si="64"/>
        <v>Blank</v>
      </c>
      <c r="AW461" s="1">
        <f t="shared" si="65"/>
        <v>0</v>
      </c>
      <c r="AX461" s="1">
        <f t="shared" si="66"/>
        <v>0</v>
      </c>
      <c r="AY461" s="1"/>
      <c r="AZ461" s="1">
        <f>IF(COUNTIFS('PID CHECK'!$B:$B,AR461)=1,0,IF(COUNTIFS(AR$1:AR460,AR461)=1,0,1))</f>
        <v>0</v>
      </c>
      <c r="BA461" s="1"/>
      <c r="BB461" s="1"/>
    </row>
    <row r="462" spans="1:54">
      <c r="A462">
        <v>461</v>
      </c>
      <c r="B462" t="s">
        <v>82</v>
      </c>
      <c r="C462" t="s">
        <v>164</v>
      </c>
      <c r="D462" t="s">
        <v>153</v>
      </c>
      <c r="E462" t="s">
        <v>47</v>
      </c>
      <c r="F462" t="s">
        <v>50</v>
      </c>
      <c r="H462" t="s">
        <v>1050</v>
      </c>
      <c r="J462" t="s">
        <v>49</v>
      </c>
      <c r="K462" t="s">
        <v>50</v>
      </c>
      <c r="L462" t="s">
        <v>762</v>
      </c>
      <c r="M462" t="s">
        <v>762</v>
      </c>
      <c r="N462">
        <v>0.2</v>
      </c>
      <c r="R462" t="s">
        <v>1051</v>
      </c>
      <c r="S462" t="s">
        <v>1051</v>
      </c>
      <c r="Z462" t="s">
        <v>84</v>
      </c>
      <c r="AA462" t="s">
        <v>154</v>
      </c>
      <c r="AC462" t="s">
        <v>883</v>
      </c>
      <c r="AD462" t="s">
        <v>50</v>
      </c>
      <c r="AH462">
        <v>3</v>
      </c>
      <c r="AM462">
        <v>43465</v>
      </c>
      <c r="AN462">
        <v>43469</v>
      </c>
      <c r="AO462" s="2">
        <f t="shared" si="59"/>
        <v>15</v>
      </c>
      <c r="AP462" s="2">
        <f t="shared" si="60"/>
        <v>15</v>
      </c>
      <c r="AQ462" s="3">
        <f t="shared" si="61"/>
        <v>1</v>
      </c>
      <c r="AR462" s="1" t="str">
        <f>INDEX(IOS!$B:$B,MATCH(D462,IOS!A:A,0))&amp;B462</f>
        <v>O.D.5</v>
      </c>
      <c r="AS462" s="1">
        <f t="shared" si="62"/>
        <v>0</v>
      </c>
      <c r="AT462" s="1" t="str">
        <f>IF(ISBLANK(W462),"",IF(ISERROR(MATCH(W462,HQLATABLE!$A:$A,0)),0,1))</f>
        <v/>
      </c>
      <c r="AU462" s="1" t="str">
        <f t="shared" si="63"/>
        <v>Blank</v>
      </c>
      <c r="AV462" s="1" t="str">
        <f t="shared" si="64"/>
        <v>Blank</v>
      </c>
      <c r="AW462" s="1">
        <f t="shared" si="65"/>
        <v>0</v>
      </c>
      <c r="AX462" s="1">
        <f t="shared" si="66"/>
        <v>0</v>
      </c>
      <c r="AY462" s="1"/>
      <c r="AZ462" s="1">
        <f>IF(COUNTIFS('PID CHECK'!$B:$B,AR462)=1,0,IF(COUNTIFS(AR$1:AR461,AR462)=1,0,1))</f>
        <v>0</v>
      </c>
      <c r="BA462" s="1"/>
      <c r="BB462" s="1"/>
    </row>
    <row r="463" spans="1:54">
      <c r="A463">
        <v>462</v>
      </c>
      <c r="B463" t="s">
        <v>82</v>
      </c>
      <c r="C463" t="s">
        <v>164</v>
      </c>
      <c r="D463" t="s">
        <v>153</v>
      </c>
      <c r="E463" t="s">
        <v>47</v>
      </c>
      <c r="F463" t="s">
        <v>50</v>
      </c>
      <c r="H463" t="s">
        <v>1050</v>
      </c>
      <c r="J463" t="s">
        <v>49</v>
      </c>
      <c r="K463" t="s">
        <v>50</v>
      </c>
      <c r="L463" t="s">
        <v>762</v>
      </c>
      <c r="M463" t="s">
        <v>762</v>
      </c>
      <c r="N463">
        <v>10.119999999999999</v>
      </c>
      <c r="R463" t="s">
        <v>1051</v>
      </c>
      <c r="S463" t="s">
        <v>1051</v>
      </c>
      <c r="Z463" t="s">
        <v>84</v>
      </c>
      <c r="AA463" t="s">
        <v>156</v>
      </c>
      <c r="AC463" t="s">
        <v>883</v>
      </c>
      <c r="AD463" t="s">
        <v>50</v>
      </c>
      <c r="AH463">
        <v>3</v>
      </c>
      <c r="AM463">
        <v>43465</v>
      </c>
      <c r="AN463">
        <v>43469</v>
      </c>
      <c r="AO463" s="2">
        <f t="shared" si="59"/>
        <v>15</v>
      </c>
      <c r="AP463" s="2">
        <f t="shared" si="60"/>
        <v>15</v>
      </c>
      <c r="AQ463" s="3">
        <f t="shared" si="61"/>
        <v>1</v>
      </c>
      <c r="AR463" s="1" t="str">
        <f>INDEX(IOS!$B:$B,MATCH(D463,IOS!A:A,0))&amp;B463</f>
        <v>O.D.5</v>
      </c>
      <c r="AS463" s="1">
        <f t="shared" si="62"/>
        <v>0</v>
      </c>
      <c r="AT463" s="1" t="str">
        <f>IF(ISBLANK(W463),"",IF(ISERROR(MATCH(W463,HQLATABLE!$A:$A,0)),0,1))</f>
        <v/>
      </c>
      <c r="AU463" s="1" t="str">
        <f t="shared" si="63"/>
        <v>Blank</v>
      </c>
      <c r="AV463" s="1" t="str">
        <f t="shared" si="64"/>
        <v>Blank</v>
      </c>
      <c r="AW463" s="1">
        <f t="shared" si="65"/>
        <v>0</v>
      </c>
      <c r="AX463" s="1">
        <f t="shared" si="66"/>
        <v>0</v>
      </c>
      <c r="AY463" s="1"/>
      <c r="AZ463" s="1">
        <f>IF(COUNTIFS('PID CHECK'!$B:$B,AR463)=1,0,IF(COUNTIFS(AR$1:AR462,AR463)=1,0,1))</f>
        <v>0</v>
      </c>
      <c r="BA463" s="1"/>
      <c r="BB463" s="1"/>
    </row>
    <row r="464" spans="1:54">
      <c r="A464">
        <v>463</v>
      </c>
      <c r="B464" t="s">
        <v>82</v>
      </c>
      <c r="C464" t="s">
        <v>164</v>
      </c>
      <c r="D464" t="s">
        <v>153</v>
      </c>
      <c r="E464" t="s">
        <v>47</v>
      </c>
      <c r="F464" t="s">
        <v>50</v>
      </c>
      <c r="H464" t="s">
        <v>1032</v>
      </c>
      <c r="J464" t="s">
        <v>49</v>
      </c>
      <c r="K464" t="s">
        <v>50</v>
      </c>
      <c r="L464" t="s">
        <v>762</v>
      </c>
      <c r="M464" t="s">
        <v>762</v>
      </c>
      <c r="N464">
        <v>0.24</v>
      </c>
      <c r="R464" t="s">
        <v>1033</v>
      </c>
      <c r="S464" t="s">
        <v>1033</v>
      </c>
      <c r="Z464" t="s">
        <v>84</v>
      </c>
      <c r="AA464" t="s">
        <v>154</v>
      </c>
      <c r="AC464" t="s">
        <v>883</v>
      </c>
      <c r="AD464" t="s">
        <v>50</v>
      </c>
      <c r="AH464">
        <v>3</v>
      </c>
      <c r="AM464">
        <v>43465</v>
      </c>
      <c r="AN464">
        <v>43469</v>
      </c>
      <c r="AO464" s="2">
        <f t="shared" si="59"/>
        <v>16</v>
      </c>
      <c r="AP464" s="2">
        <f t="shared" si="60"/>
        <v>16</v>
      </c>
      <c r="AQ464" s="3">
        <f t="shared" si="61"/>
        <v>1</v>
      </c>
      <c r="AR464" s="1" t="str">
        <f>INDEX(IOS!$B:$B,MATCH(D464,IOS!A:A,0))&amp;B464</f>
        <v>O.D.5</v>
      </c>
      <c r="AS464" s="1">
        <f t="shared" si="62"/>
        <v>0</v>
      </c>
      <c r="AT464" s="1" t="str">
        <f>IF(ISBLANK(W464),"",IF(ISERROR(MATCH(W464,HQLATABLE!$A:$A,0)),0,1))</f>
        <v/>
      </c>
      <c r="AU464" s="1" t="str">
        <f t="shared" si="63"/>
        <v>Blank</v>
      </c>
      <c r="AV464" s="1" t="str">
        <f t="shared" si="64"/>
        <v>Blank</v>
      </c>
      <c r="AW464" s="1">
        <f t="shared" si="65"/>
        <v>0</v>
      </c>
      <c r="AX464" s="1">
        <f t="shared" si="66"/>
        <v>0</v>
      </c>
      <c r="AY464" s="1"/>
      <c r="AZ464" s="1">
        <f>IF(COUNTIFS('PID CHECK'!$B:$B,AR464)=1,0,IF(COUNTIFS(AR$1:AR463,AR464)=1,0,1))</f>
        <v>0</v>
      </c>
      <c r="BA464" s="1"/>
      <c r="BB464" s="1"/>
    </row>
    <row r="465" spans="1:54">
      <c r="A465">
        <v>464</v>
      </c>
      <c r="B465" t="s">
        <v>82</v>
      </c>
      <c r="C465" t="s">
        <v>164</v>
      </c>
      <c r="D465" t="s">
        <v>153</v>
      </c>
      <c r="E465" t="s">
        <v>47</v>
      </c>
      <c r="F465" t="s">
        <v>50</v>
      </c>
      <c r="H465" t="s">
        <v>1032</v>
      </c>
      <c r="J465" t="s">
        <v>49</v>
      </c>
      <c r="K465" t="s">
        <v>50</v>
      </c>
      <c r="L465" t="s">
        <v>762</v>
      </c>
      <c r="M465" t="s">
        <v>762</v>
      </c>
      <c r="N465">
        <v>160</v>
      </c>
      <c r="R465" t="s">
        <v>1033</v>
      </c>
      <c r="S465" t="s">
        <v>1033</v>
      </c>
      <c r="Z465" t="s">
        <v>84</v>
      </c>
      <c r="AA465" t="s">
        <v>156</v>
      </c>
      <c r="AC465" t="s">
        <v>883</v>
      </c>
      <c r="AD465" t="s">
        <v>50</v>
      </c>
      <c r="AH465">
        <v>3</v>
      </c>
      <c r="AM465">
        <v>43465</v>
      </c>
      <c r="AN465">
        <v>43469</v>
      </c>
      <c r="AO465" s="2">
        <f t="shared" si="59"/>
        <v>16</v>
      </c>
      <c r="AP465" s="2">
        <f t="shared" si="60"/>
        <v>16</v>
      </c>
      <c r="AQ465" s="3">
        <f t="shared" si="61"/>
        <v>1</v>
      </c>
      <c r="AR465" s="1" t="str">
        <f>INDEX(IOS!$B:$B,MATCH(D465,IOS!A:A,0))&amp;B465</f>
        <v>O.D.5</v>
      </c>
      <c r="AS465" s="1">
        <f t="shared" si="62"/>
        <v>0</v>
      </c>
      <c r="AT465" s="1" t="str">
        <f>IF(ISBLANK(W465),"",IF(ISERROR(MATCH(W465,HQLATABLE!$A:$A,0)),0,1))</f>
        <v/>
      </c>
      <c r="AU465" s="1" t="str">
        <f t="shared" si="63"/>
        <v>Blank</v>
      </c>
      <c r="AV465" s="1" t="str">
        <f t="shared" si="64"/>
        <v>Blank</v>
      </c>
      <c r="AW465" s="1">
        <f t="shared" si="65"/>
        <v>0</v>
      </c>
      <c r="AX465" s="1">
        <f t="shared" si="66"/>
        <v>0</v>
      </c>
      <c r="AY465" s="1"/>
      <c r="AZ465" s="1">
        <f>IF(COUNTIFS('PID CHECK'!$B:$B,AR465)=1,0,IF(COUNTIFS(AR$1:AR464,AR465)=1,0,1))</f>
        <v>0</v>
      </c>
      <c r="BA465" s="1"/>
      <c r="BB465" s="1"/>
    </row>
    <row r="466" spans="1:54">
      <c r="A466">
        <v>465</v>
      </c>
      <c r="B466" t="s">
        <v>82</v>
      </c>
      <c r="C466" t="s">
        <v>164</v>
      </c>
      <c r="D466" t="s">
        <v>153</v>
      </c>
      <c r="E466" t="s">
        <v>47</v>
      </c>
      <c r="F466" t="s">
        <v>50</v>
      </c>
      <c r="H466" t="s">
        <v>997</v>
      </c>
      <c r="J466" t="s">
        <v>49</v>
      </c>
      <c r="K466" t="s">
        <v>50</v>
      </c>
      <c r="L466" t="s">
        <v>762</v>
      </c>
      <c r="M466" t="s">
        <v>762</v>
      </c>
      <c r="N466">
        <v>0.55000000000000004</v>
      </c>
      <c r="R466" t="s">
        <v>998</v>
      </c>
      <c r="S466" t="s">
        <v>998</v>
      </c>
      <c r="Z466" t="s">
        <v>84</v>
      </c>
      <c r="AA466" t="s">
        <v>154</v>
      </c>
      <c r="AC466" t="s">
        <v>883</v>
      </c>
      <c r="AD466" t="s">
        <v>50</v>
      </c>
      <c r="AH466">
        <v>3</v>
      </c>
      <c r="AM466">
        <v>43465</v>
      </c>
      <c r="AN466">
        <v>43469</v>
      </c>
      <c r="AO466" s="2">
        <f t="shared" si="59"/>
        <v>17</v>
      </c>
      <c r="AP466" s="2">
        <f t="shared" si="60"/>
        <v>17</v>
      </c>
      <c r="AQ466" s="3">
        <f t="shared" si="61"/>
        <v>1</v>
      </c>
      <c r="AR466" s="1" t="str">
        <f>INDEX(IOS!$B:$B,MATCH(D466,IOS!A:A,0))&amp;B466</f>
        <v>O.D.5</v>
      </c>
      <c r="AS466" s="1">
        <f t="shared" si="62"/>
        <v>0</v>
      </c>
      <c r="AT466" s="1" t="str">
        <f>IF(ISBLANK(W466),"",IF(ISERROR(MATCH(W466,HQLATABLE!$A:$A,0)),0,1))</f>
        <v/>
      </c>
      <c r="AU466" s="1" t="str">
        <f t="shared" si="63"/>
        <v>Blank</v>
      </c>
      <c r="AV466" s="1" t="str">
        <f t="shared" si="64"/>
        <v>Blank</v>
      </c>
      <c r="AW466" s="1">
        <f t="shared" si="65"/>
        <v>0</v>
      </c>
      <c r="AX466" s="1">
        <f t="shared" si="66"/>
        <v>0</v>
      </c>
      <c r="AY466" s="1"/>
      <c r="AZ466" s="1">
        <f>IF(COUNTIFS('PID CHECK'!$B:$B,AR466)=1,0,IF(COUNTIFS(AR$1:AR465,AR466)=1,0,1))</f>
        <v>0</v>
      </c>
      <c r="BA466" s="1"/>
      <c r="BB466" s="1"/>
    </row>
    <row r="467" spans="1:54">
      <c r="A467">
        <v>466</v>
      </c>
      <c r="B467" t="s">
        <v>82</v>
      </c>
      <c r="C467" t="s">
        <v>164</v>
      </c>
      <c r="D467" t="s">
        <v>153</v>
      </c>
      <c r="E467" t="s">
        <v>47</v>
      </c>
      <c r="F467" t="s">
        <v>50</v>
      </c>
      <c r="H467" t="s">
        <v>997</v>
      </c>
      <c r="J467" t="s">
        <v>49</v>
      </c>
      <c r="K467" t="s">
        <v>50</v>
      </c>
      <c r="L467" t="s">
        <v>762</v>
      </c>
      <c r="M467" t="s">
        <v>762</v>
      </c>
      <c r="N467">
        <v>0.06</v>
      </c>
      <c r="R467" t="s">
        <v>998</v>
      </c>
      <c r="S467" t="s">
        <v>998</v>
      </c>
      <c r="Z467" t="s">
        <v>162</v>
      </c>
      <c r="AA467" t="s">
        <v>154</v>
      </c>
      <c r="AC467" t="s">
        <v>883</v>
      </c>
      <c r="AD467" t="s">
        <v>50</v>
      </c>
      <c r="AH467">
        <v>4</v>
      </c>
      <c r="AM467">
        <v>43465</v>
      </c>
      <c r="AN467">
        <v>43469</v>
      </c>
      <c r="AO467" s="2">
        <f t="shared" si="59"/>
        <v>17</v>
      </c>
      <c r="AP467" s="2">
        <f t="shared" si="60"/>
        <v>17</v>
      </c>
      <c r="AQ467" s="3">
        <f t="shared" si="61"/>
        <v>1</v>
      </c>
      <c r="AR467" s="1" t="str">
        <f>INDEX(IOS!$B:$B,MATCH(D467,IOS!A:A,0))&amp;B467</f>
        <v>O.D.5</v>
      </c>
      <c r="AS467" s="1">
        <f t="shared" si="62"/>
        <v>0</v>
      </c>
      <c r="AT467" s="1" t="str">
        <f>IF(ISBLANK(W467),"",IF(ISERROR(MATCH(W467,HQLATABLE!$A:$A,0)),0,1))</f>
        <v/>
      </c>
      <c r="AU467" s="1" t="str">
        <f t="shared" si="63"/>
        <v>Blank</v>
      </c>
      <c r="AV467" s="1" t="str">
        <f t="shared" si="64"/>
        <v>Blank</v>
      </c>
      <c r="AW467" s="1">
        <f t="shared" si="65"/>
        <v>0</v>
      </c>
      <c r="AX467" s="1">
        <f t="shared" si="66"/>
        <v>0</v>
      </c>
      <c r="AY467" s="1"/>
      <c r="AZ467" s="1">
        <f>IF(COUNTIFS('PID CHECK'!$B:$B,AR467)=1,0,IF(COUNTIFS(AR$1:AR466,AR467)=1,0,1))</f>
        <v>0</v>
      </c>
      <c r="BA467" s="1"/>
      <c r="BB467" s="1"/>
    </row>
    <row r="468" spans="1:54">
      <c r="A468">
        <v>467</v>
      </c>
      <c r="B468" t="s">
        <v>82</v>
      </c>
      <c r="C468" t="s">
        <v>164</v>
      </c>
      <c r="D468" t="s">
        <v>153</v>
      </c>
      <c r="E468" t="s">
        <v>47</v>
      </c>
      <c r="F468" t="s">
        <v>50</v>
      </c>
      <c r="H468" t="s">
        <v>87</v>
      </c>
      <c r="J468" t="s">
        <v>49</v>
      </c>
      <c r="K468" t="s">
        <v>50</v>
      </c>
      <c r="L468" t="s">
        <v>762</v>
      </c>
      <c r="M468" t="s">
        <v>762</v>
      </c>
      <c r="N468">
        <v>17.02</v>
      </c>
      <c r="R468" t="s">
        <v>88</v>
      </c>
      <c r="S468" t="s">
        <v>89</v>
      </c>
      <c r="Z468" t="s">
        <v>84</v>
      </c>
      <c r="AA468" t="s">
        <v>154</v>
      </c>
      <c r="AC468" t="s">
        <v>883</v>
      </c>
      <c r="AD468" t="s">
        <v>50</v>
      </c>
      <c r="AH468">
        <v>3</v>
      </c>
      <c r="AM468">
        <v>43465</v>
      </c>
      <c r="AN468">
        <v>43469</v>
      </c>
      <c r="AO468" s="2">
        <f t="shared" si="59"/>
        <v>181</v>
      </c>
      <c r="AP468" s="2">
        <f t="shared" si="60"/>
        <v>270</v>
      </c>
      <c r="AQ468" s="3">
        <f t="shared" si="61"/>
        <v>0</v>
      </c>
      <c r="AR468" s="1" t="str">
        <f>INDEX(IOS!$B:$B,MATCH(D468,IOS!A:A,0))&amp;B468</f>
        <v>O.D.5</v>
      </c>
      <c r="AS468" s="1">
        <f t="shared" si="62"/>
        <v>0</v>
      </c>
      <c r="AT468" s="1" t="str">
        <f>IF(ISBLANK(W468),"",IF(ISERROR(MATCH(W468,HQLATABLE!$A:$A,0)),0,1))</f>
        <v/>
      </c>
      <c r="AU468" s="1" t="str">
        <f t="shared" si="63"/>
        <v>Blank</v>
      </c>
      <c r="AV468" s="1" t="str">
        <f t="shared" si="64"/>
        <v>Blank</v>
      </c>
      <c r="AW468" s="1">
        <f t="shared" si="65"/>
        <v>0</v>
      </c>
      <c r="AX468" s="1">
        <f t="shared" si="66"/>
        <v>0</v>
      </c>
      <c r="AY468" s="1"/>
      <c r="AZ468" s="1">
        <f>IF(COUNTIFS('PID CHECK'!$B:$B,AR468)=1,0,IF(COUNTIFS(AR$1:AR467,AR468)=1,0,1))</f>
        <v>0</v>
      </c>
      <c r="BA468" s="1"/>
      <c r="BB468" s="1"/>
    </row>
    <row r="469" spans="1:54">
      <c r="A469">
        <v>468</v>
      </c>
      <c r="B469" t="s">
        <v>82</v>
      </c>
      <c r="C469" t="s">
        <v>164</v>
      </c>
      <c r="D469" t="s">
        <v>153</v>
      </c>
      <c r="E469" t="s">
        <v>47</v>
      </c>
      <c r="F469" t="s">
        <v>50</v>
      </c>
      <c r="H469" t="s">
        <v>87</v>
      </c>
      <c r="J469" t="s">
        <v>49</v>
      </c>
      <c r="K469" t="s">
        <v>50</v>
      </c>
      <c r="L469" t="s">
        <v>762</v>
      </c>
      <c r="M469" t="s">
        <v>762</v>
      </c>
      <c r="N469">
        <v>113.14</v>
      </c>
      <c r="R469" t="s">
        <v>88</v>
      </c>
      <c r="S469" t="s">
        <v>89</v>
      </c>
      <c r="Z469" t="s">
        <v>84</v>
      </c>
      <c r="AA469" t="s">
        <v>156</v>
      </c>
      <c r="AC469" t="s">
        <v>883</v>
      </c>
      <c r="AD469" t="s">
        <v>50</v>
      </c>
      <c r="AH469">
        <v>3</v>
      </c>
      <c r="AM469">
        <v>43465</v>
      </c>
      <c r="AN469">
        <v>43469</v>
      </c>
      <c r="AO469" s="2">
        <f t="shared" si="59"/>
        <v>181</v>
      </c>
      <c r="AP469" s="2">
        <f t="shared" si="60"/>
        <v>270</v>
      </c>
      <c r="AQ469" s="3">
        <f t="shared" si="61"/>
        <v>0</v>
      </c>
      <c r="AR469" s="1" t="str">
        <f>INDEX(IOS!$B:$B,MATCH(D469,IOS!A:A,0))&amp;B469</f>
        <v>O.D.5</v>
      </c>
      <c r="AS469" s="1">
        <f t="shared" si="62"/>
        <v>0</v>
      </c>
      <c r="AT469" s="1" t="str">
        <f>IF(ISBLANK(W469),"",IF(ISERROR(MATCH(W469,HQLATABLE!$A:$A,0)),0,1))</f>
        <v/>
      </c>
      <c r="AU469" s="1" t="str">
        <f t="shared" si="63"/>
        <v>Blank</v>
      </c>
      <c r="AV469" s="1" t="str">
        <f t="shared" si="64"/>
        <v>Blank</v>
      </c>
      <c r="AW469" s="1">
        <f t="shared" si="65"/>
        <v>0</v>
      </c>
      <c r="AX469" s="1">
        <f t="shared" si="66"/>
        <v>0</v>
      </c>
      <c r="AY469" s="1"/>
      <c r="AZ469" s="1">
        <f>IF(COUNTIFS('PID CHECK'!$B:$B,AR469)=1,0,IF(COUNTIFS(AR$1:AR468,AR469)=1,0,1))</f>
        <v>0</v>
      </c>
      <c r="BA469" s="1"/>
      <c r="BB469" s="1"/>
    </row>
    <row r="470" spans="1:54">
      <c r="A470">
        <v>469</v>
      </c>
      <c r="B470" t="s">
        <v>82</v>
      </c>
      <c r="C470" t="s">
        <v>164</v>
      </c>
      <c r="D470" t="s">
        <v>153</v>
      </c>
      <c r="E470" t="s">
        <v>47</v>
      </c>
      <c r="F470" t="s">
        <v>50</v>
      </c>
      <c r="H470" t="s">
        <v>999</v>
      </c>
      <c r="J470" t="s">
        <v>49</v>
      </c>
      <c r="K470" t="s">
        <v>50</v>
      </c>
      <c r="L470" t="s">
        <v>762</v>
      </c>
      <c r="M470" t="s">
        <v>762</v>
      </c>
      <c r="N470">
        <v>0.45</v>
      </c>
      <c r="R470" t="s">
        <v>1000</v>
      </c>
      <c r="S470" t="s">
        <v>1000</v>
      </c>
      <c r="Z470" t="s">
        <v>84</v>
      </c>
      <c r="AA470" t="s">
        <v>154</v>
      </c>
      <c r="AC470" t="s">
        <v>883</v>
      </c>
      <c r="AD470" t="s">
        <v>50</v>
      </c>
      <c r="AH470">
        <v>3</v>
      </c>
      <c r="AM470">
        <v>43465</v>
      </c>
      <c r="AN470">
        <v>43469</v>
      </c>
      <c r="AO470" s="2">
        <f t="shared" si="59"/>
        <v>18</v>
      </c>
      <c r="AP470" s="2">
        <f t="shared" si="60"/>
        <v>18</v>
      </c>
      <c r="AQ470" s="3">
        <f t="shared" si="61"/>
        <v>1</v>
      </c>
      <c r="AR470" s="1" t="str">
        <f>INDEX(IOS!$B:$B,MATCH(D470,IOS!A:A,0))&amp;B470</f>
        <v>O.D.5</v>
      </c>
      <c r="AS470" s="1">
        <f t="shared" si="62"/>
        <v>0</v>
      </c>
      <c r="AT470" s="1" t="str">
        <f>IF(ISBLANK(W470),"",IF(ISERROR(MATCH(W470,HQLATABLE!$A:$A,0)),0,1))</f>
        <v/>
      </c>
      <c r="AU470" s="1" t="str">
        <f t="shared" si="63"/>
        <v>Blank</v>
      </c>
      <c r="AV470" s="1" t="str">
        <f t="shared" si="64"/>
        <v>Blank</v>
      </c>
      <c r="AW470" s="1">
        <f t="shared" si="65"/>
        <v>0</v>
      </c>
      <c r="AX470" s="1">
        <f t="shared" si="66"/>
        <v>0</v>
      </c>
      <c r="AY470" s="1"/>
      <c r="AZ470" s="1">
        <f>IF(COUNTIFS('PID CHECK'!$B:$B,AR470)=1,0,IF(COUNTIFS(AR$1:AR469,AR470)=1,0,1))</f>
        <v>0</v>
      </c>
      <c r="BA470" s="1"/>
      <c r="BB470" s="1"/>
    </row>
    <row r="471" spans="1:54">
      <c r="A471">
        <v>470</v>
      </c>
      <c r="B471" t="s">
        <v>82</v>
      </c>
      <c r="C471" t="s">
        <v>164</v>
      </c>
      <c r="D471" t="s">
        <v>153</v>
      </c>
      <c r="E471" t="s">
        <v>47</v>
      </c>
      <c r="F471" t="s">
        <v>50</v>
      </c>
      <c r="H471" t="s">
        <v>1034</v>
      </c>
      <c r="J471" t="s">
        <v>49</v>
      </c>
      <c r="K471" t="s">
        <v>50</v>
      </c>
      <c r="L471" t="s">
        <v>762</v>
      </c>
      <c r="M471" t="s">
        <v>762</v>
      </c>
      <c r="N471">
        <v>0.6</v>
      </c>
      <c r="R471" t="s">
        <v>1035</v>
      </c>
      <c r="S471" t="s">
        <v>1035</v>
      </c>
      <c r="Z471" t="s">
        <v>84</v>
      </c>
      <c r="AA471" t="s">
        <v>154</v>
      </c>
      <c r="AC471" t="s">
        <v>883</v>
      </c>
      <c r="AD471" t="s">
        <v>50</v>
      </c>
      <c r="AH471">
        <v>3</v>
      </c>
      <c r="AM471">
        <v>43465</v>
      </c>
      <c r="AN471">
        <v>43469</v>
      </c>
      <c r="AO471" s="2">
        <f t="shared" si="59"/>
        <v>22</v>
      </c>
      <c r="AP471" s="2">
        <f t="shared" si="60"/>
        <v>22</v>
      </c>
      <c r="AQ471" s="3">
        <f t="shared" si="61"/>
        <v>1</v>
      </c>
      <c r="AR471" s="1" t="str">
        <f>INDEX(IOS!$B:$B,MATCH(D471,IOS!A:A,0))&amp;B471</f>
        <v>O.D.5</v>
      </c>
      <c r="AS471" s="1">
        <f t="shared" si="62"/>
        <v>0</v>
      </c>
      <c r="AT471" s="1" t="str">
        <f>IF(ISBLANK(W471),"",IF(ISERROR(MATCH(W471,HQLATABLE!$A:$A,0)),0,1))</f>
        <v/>
      </c>
      <c r="AU471" s="1" t="str">
        <f t="shared" si="63"/>
        <v>Blank</v>
      </c>
      <c r="AV471" s="1" t="str">
        <f t="shared" si="64"/>
        <v>Blank</v>
      </c>
      <c r="AW471" s="1">
        <f t="shared" si="65"/>
        <v>0</v>
      </c>
      <c r="AX471" s="1">
        <f t="shared" si="66"/>
        <v>0</v>
      </c>
      <c r="AY471" s="1"/>
      <c r="AZ471" s="1">
        <f>IF(COUNTIFS('PID CHECK'!$B:$B,AR471)=1,0,IF(COUNTIFS(AR$1:AR470,AR471)=1,0,1))</f>
        <v>0</v>
      </c>
      <c r="BA471" s="1"/>
      <c r="BB471" s="1"/>
    </row>
    <row r="472" spans="1:54">
      <c r="A472">
        <v>471</v>
      </c>
      <c r="B472" t="s">
        <v>82</v>
      </c>
      <c r="C472" t="s">
        <v>164</v>
      </c>
      <c r="D472" t="s">
        <v>153</v>
      </c>
      <c r="E472" t="s">
        <v>47</v>
      </c>
      <c r="F472" t="s">
        <v>50</v>
      </c>
      <c r="H472" t="s">
        <v>1034</v>
      </c>
      <c r="J472" t="s">
        <v>49</v>
      </c>
      <c r="K472" t="s">
        <v>50</v>
      </c>
      <c r="L472" t="s">
        <v>762</v>
      </c>
      <c r="M472" t="s">
        <v>762</v>
      </c>
      <c r="N472">
        <v>1</v>
      </c>
      <c r="R472" t="s">
        <v>1035</v>
      </c>
      <c r="S472" t="s">
        <v>1035</v>
      </c>
      <c r="Z472" t="s">
        <v>84</v>
      </c>
      <c r="AA472" t="s">
        <v>156</v>
      </c>
      <c r="AC472" t="s">
        <v>883</v>
      </c>
      <c r="AD472" t="s">
        <v>50</v>
      </c>
      <c r="AH472">
        <v>3</v>
      </c>
      <c r="AM472">
        <v>43465</v>
      </c>
      <c r="AN472">
        <v>43469</v>
      </c>
      <c r="AO472" s="2">
        <f t="shared" si="59"/>
        <v>22</v>
      </c>
      <c r="AP472" s="2">
        <f t="shared" si="60"/>
        <v>22</v>
      </c>
      <c r="AQ472" s="3">
        <f t="shared" si="61"/>
        <v>1</v>
      </c>
      <c r="AR472" s="1" t="str">
        <f>INDEX(IOS!$B:$B,MATCH(D472,IOS!A:A,0))&amp;B472</f>
        <v>O.D.5</v>
      </c>
      <c r="AS472" s="1">
        <f t="shared" si="62"/>
        <v>0</v>
      </c>
      <c r="AT472" s="1" t="str">
        <f>IF(ISBLANK(W472),"",IF(ISERROR(MATCH(W472,HQLATABLE!$A:$A,0)),0,1))</f>
        <v/>
      </c>
      <c r="AU472" s="1" t="str">
        <f t="shared" si="63"/>
        <v>Blank</v>
      </c>
      <c r="AV472" s="1" t="str">
        <f t="shared" si="64"/>
        <v>Blank</v>
      </c>
      <c r="AW472" s="1">
        <f t="shared" si="65"/>
        <v>0</v>
      </c>
      <c r="AX472" s="1">
        <f t="shared" si="66"/>
        <v>0</v>
      </c>
      <c r="AY472" s="1"/>
      <c r="AZ472" s="1">
        <f>IF(COUNTIFS('PID CHECK'!$B:$B,AR472)=1,0,IF(COUNTIFS(AR$1:AR471,AR472)=1,0,1))</f>
        <v>0</v>
      </c>
      <c r="BA472" s="1"/>
      <c r="BB472" s="1"/>
    </row>
    <row r="473" spans="1:54">
      <c r="A473">
        <v>472</v>
      </c>
      <c r="B473" t="s">
        <v>82</v>
      </c>
      <c r="C473" t="s">
        <v>164</v>
      </c>
      <c r="D473" t="s">
        <v>153</v>
      </c>
      <c r="E473" t="s">
        <v>47</v>
      </c>
      <c r="F473" t="s">
        <v>50</v>
      </c>
      <c r="H473" t="s">
        <v>1054</v>
      </c>
      <c r="J473" t="s">
        <v>49</v>
      </c>
      <c r="K473" t="s">
        <v>50</v>
      </c>
      <c r="L473" t="s">
        <v>762</v>
      </c>
      <c r="M473" t="s">
        <v>762</v>
      </c>
      <c r="N473">
        <v>0.75</v>
      </c>
      <c r="R473" t="s">
        <v>1055</v>
      </c>
      <c r="S473" t="s">
        <v>1055</v>
      </c>
      <c r="Z473" t="s">
        <v>84</v>
      </c>
      <c r="AA473" t="s">
        <v>154</v>
      </c>
      <c r="AC473" t="s">
        <v>883</v>
      </c>
      <c r="AD473" t="s">
        <v>50</v>
      </c>
      <c r="AH473">
        <v>3</v>
      </c>
      <c r="AM473">
        <v>43465</v>
      </c>
      <c r="AN473">
        <v>43469</v>
      </c>
      <c r="AO473" s="2">
        <f t="shared" si="59"/>
        <v>23</v>
      </c>
      <c r="AP473" s="2">
        <f t="shared" si="60"/>
        <v>23</v>
      </c>
      <c r="AQ473" s="3">
        <f t="shared" si="61"/>
        <v>1</v>
      </c>
      <c r="AR473" s="1" t="str">
        <f>INDEX(IOS!$B:$B,MATCH(D473,IOS!A:A,0))&amp;B473</f>
        <v>O.D.5</v>
      </c>
      <c r="AS473" s="1">
        <f t="shared" si="62"/>
        <v>0</v>
      </c>
      <c r="AT473" s="1" t="str">
        <f>IF(ISBLANK(W473),"",IF(ISERROR(MATCH(W473,HQLATABLE!$A:$A,0)),0,1))</f>
        <v/>
      </c>
      <c r="AU473" s="1" t="str">
        <f t="shared" si="63"/>
        <v>Blank</v>
      </c>
      <c r="AV473" s="1" t="str">
        <f t="shared" si="64"/>
        <v>Blank</v>
      </c>
      <c r="AW473" s="1">
        <f t="shared" si="65"/>
        <v>0</v>
      </c>
      <c r="AX473" s="1">
        <f t="shared" si="66"/>
        <v>0</v>
      </c>
      <c r="AY473" s="1"/>
      <c r="AZ473" s="1">
        <f>IF(COUNTIFS('PID CHECK'!$B:$B,AR473)=1,0,IF(COUNTIFS(AR$1:AR472,AR473)=1,0,1))</f>
        <v>0</v>
      </c>
      <c r="BA473" s="1"/>
      <c r="BB473" s="1"/>
    </row>
    <row r="474" spans="1:54">
      <c r="A474">
        <v>473</v>
      </c>
      <c r="B474" t="s">
        <v>82</v>
      </c>
      <c r="C474" t="s">
        <v>164</v>
      </c>
      <c r="D474" t="s">
        <v>153</v>
      </c>
      <c r="E474" t="s">
        <v>47</v>
      </c>
      <c r="F474" t="s">
        <v>50</v>
      </c>
      <c r="H474" t="s">
        <v>1054</v>
      </c>
      <c r="J474" t="s">
        <v>49</v>
      </c>
      <c r="K474" t="s">
        <v>50</v>
      </c>
      <c r="L474" t="s">
        <v>762</v>
      </c>
      <c r="M474" t="s">
        <v>762</v>
      </c>
      <c r="N474">
        <v>0.56999999999999995</v>
      </c>
      <c r="R474" t="s">
        <v>1055</v>
      </c>
      <c r="S474" t="s">
        <v>1055</v>
      </c>
      <c r="Z474" t="s">
        <v>84</v>
      </c>
      <c r="AA474" t="s">
        <v>156</v>
      </c>
      <c r="AC474" t="s">
        <v>883</v>
      </c>
      <c r="AD474" t="s">
        <v>50</v>
      </c>
      <c r="AH474">
        <v>3</v>
      </c>
      <c r="AM474">
        <v>43465</v>
      </c>
      <c r="AN474">
        <v>43469</v>
      </c>
      <c r="AO474" s="2">
        <f t="shared" si="59"/>
        <v>23</v>
      </c>
      <c r="AP474" s="2">
        <f t="shared" si="60"/>
        <v>23</v>
      </c>
      <c r="AQ474" s="3">
        <f t="shared" si="61"/>
        <v>1</v>
      </c>
      <c r="AR474" s="1" t="str">
        <f>INDEX(IOS!$B:$B,MATCH(D474,IOS!A:A,0))&amp;B474</f>
        <v>O.D.5</v>
      </c>
      <c r="AS474" s="1">
        <f t="shared" si="62"/>
        <v>0</v>
      </c>
      <c r="AT474" s="1" t="str">
        <f>IF(ISBLANK(W474),"",IF(ISERROR(MATCH(W474,HQLATABLE!$A:$A,0)),0,1))</f>
        <v/>
      </c>
      <c r="AU474" s="1" t="str">
        <f t="shared" si="63"/>
        <v>Blank</v>
      </c>
      <c r="AV474" s="1" t="str">
        <f t="shared" si="64"/>
        <v>Blank</v>
      </c>
      <c r="AW474" s="1">
        <f t="shared" si="65"/>
        <v>0</v>
      </c>
      <c r="AX474" s="1">
        <f t="shared" si="66"/>
        <v>0</v>
      </c>
      <c r="AY474" s="1"/>
      <c r="AZ474" s="1">
        <f>IF(COUNTIFS('PID CHECK'!$B:$B,AR474)=1,0,IF(COUNTIFS(AR$1:AR473,AR474)=1,0,1))</f>
        <v>0</v>
      </c>
      <c r="BA474" s="1"/>
      <c r="BB474" s="1"/>
    </row>
    <row r="475" spans="1:54">
      <c r="A475">
        <v>474</v>
      </c>
      <c r="B475" t="s">
        <v>82</v>
      </c>
      <c r="C475" t="s">
        <v>164</v>
      </c>
      <c r="D475" t="s">
        <v>153</v>
      </c>
      <c r="E475" t="s">
        <v>47</v>
      </c>
      <c r="F475" t="s">
        <v>50</v>
      </c>
      <c r="H475" t="s">
        <v>1001</v>
      </c>
      <c r="J475" t="s">
        <v>49</v>
      </c>
      <c r="K475" t="s">
        <v>50</v>
      </c>
      <c r="L475" t="s">
        <v>762</v>
      </c>
      <c r="M475" t="s">
        <v>762</v>
      </c>
      <c r="N475">
        <v>1.1599999999999999</v>
      </c>
      <c r="R475" t="s">
        <v>1002</v>
      </c>
      <c r="S475" t="s">
        <v>1002</v>
      </c>
      <c r="Z475" t="s">
        <v>84</v>
      </c>
      <c r="AA475" t="s">
        <v>154</v>
      </c>
      <c r="AC475" t="s">
        <v>883</v>
      </c>
      <c r="AD475" t="s">
        <v>50</v>
      </c>
      <c r="AH475">
        <v>3</v>
      </c>
      <c r="AM475">
        <v>43465</v>
      </c>
      <c r="AN475">
        <v>43469</v>
      </c>
      <c r="AO475" s="2">
        <f t="shared" si="59"/>
        <v>24</v>
      </c>
      <c r="AP475" s="2">
        <f t="shared" si="60"/>
        <v>24</v>
      </c>
      <c r="AQ475" s="3">
        <f t="shared" si="61"/>
        <v>1</v>
      </c>
      <c r="AR475" s="1" t="str">
        <f>INDEX(IOS!$B:$B,MATCH(D475,IOS!A:A,0))&amp;B475</f>
        <v>O.D.5</v>
      </c>
      <c r="AS475" s="1">
        <f t="shared" si="62"/>
        <v>0</v>
      </c>
      <c r="AT475" s="1" t="str">
        <f>IF(ISBLANK(W475),"",IF(ISERROR(MATCH(W475,HQLATABLE!$A:$A,0)),0,1))</f>
        <v/>
      </c>
      <c r="AU475" s="1" t="str">
        <f t="shared" si="63"/>
        <v>Blank</v>
      </c>
      <c r="AV475" s="1" t="str">
        <f t="shared" si="64"/>
        <v>Blank</v>
      </c>
      <c r="AW475" s="1">
        <f t="shared" si="65"/>
        <v>0</v>
      </c>
      <c r="AX475" s="1">
        <f t="shared" si="66"/>
        <v>0</v>
      </c>
      <c r="AY475" s="1"/>
      <c r="AZ475" s="1">
        <f>IF(COUNTIFS('PID CHECK'!$B:$B,AR475)=1,0,IF(COUNTIFS(AR$1:AR474,AR475)=1,0,1))</f>
        <v>0</v>
      </c>
      <c r="BA475" s="1"/>
      <c r="BB475" s="1"/>
    </row>
    <row r="476" spans="1:54">
      <c r="A476">
        <v>475</v>
      </c>
      <c r="B476" t="s">
        <v>82</v>
      </c>
      <c r="C476" t="s">
        <v>164</v>
      </c>
      <c r="D476" t="s">
        <v>153</v>
      </c>
      <c r="E476" t="s">
        <v>47</v>
      </c>
      <c r="F476" t="s">
        <v>50</v>
      </c>
      <c r="H476" t="s">
        <v>1001</v>
      </c>
      <c r="J476" t="s">
        <v>49</v>
      </c>
      <c r="K476" t="s">
        <v>50</v>
      </c>
      <c r="L476" t="s">
        <v>762</v>
      </c>
      <c r="M476" t="s">
        <v>762</v>
      </c>
      <c r="N476">
        <v>84.27</v>
      </c>
      <c r="R476" t="s">
        <v>1002</v>
      </c>
      <c r="S476" t="s">
        <v>1002</v>
      </c>
      <c r="Z476" t="s">
        <v>84</v>
      </c>
      <c r="AA476" t="s">
        <v>156</v>
      </c>
      <c r="AC476" t="s">
        <v>883</v>
      </c>
      <c r="AD476" t="s">
        <v>50</v>
      </c>
      <c r="AH476">
        <v>3</v>
      </c>
      <c r="AM476">
        <v>43465</v>
      </c>
      <c r="AN476">
        <v>43469</v>
      </c>
      <c r="AO476" s="2">
        <f t="shared" si="59"/>
        <v>24</v>
      </c>
      <c r="AP476" s="2">
        <f t="shared" si="60"/>
        <v>24</v>
      </c>
      <c r="AQ476" s="3">
        <f t="shared" si="61"/>
        <v>1</v>
      </c>
      <c r="AR476" s="1" t="str">
        <f>INDEX(IOS!$B:$B,MATCH(D476,IOS!A:A,0))&amp;B476</f>
        <v>O.D.5</v>
      </c>
      <c r="AS476" s="1">
        <f t="shared" si="62"/>
        <v>0</v>
      </c>
      <c r="AT476" s="1" t="str">
        <f>IF(ISBLANK(W476),"",IF(ISERROR(MATCH(W476,HQLATABLE!$A:$A,0)),0,1))</f>
        <v/>
      </c>
      <c r="AU476" s="1" t="str">
        <f t="shared" si="63"/>
        <v>Blank</v>
      </c>
      <c r="AV476" s="1" t="str">
        <f t="shared" si="64"/>
        <v>Blank</v>
      </c>
      <c r="AW476" s="1">
        <f t="shared" si="65"/>
        <v>0</v>
      </c>
      <c r="AX476" s="1">
        <f t="shared" si="66"/>
        <v>0</v>
      </c>
      <c r="AY476" s="1"/>
      <c r="AZ476" s="1">
        <f>IF(COUNTIFS('PID CHECK'!$B:$B,AR476)=1,0,IF(COUNTIFS(AR$1:AR475,AR476)=1,0,1))</f>
        <v>0</v>
      </c>
      <c r="BA476" s="1"/>
      <c r="BB476" s="1"/>
    </row>
    <row r="477" spans="1:54">
      <c r="A477">
        <v>476</v>
      </c>
      <c r="B477" t="s">
        <v>82</v>
      </c>
      <c r="C477" t="s">
        <v>164</v>
      </c>
      <c r="D477" t="s">
        <v>153</v>
      </c>
      <c r="E477" t="s">
        <v>47</v>
      </c>
      <c r="F477" t="s">
        <v>50</v>
      </c>
      <c r="H477" t="s">
        <v>1028</v>
      </c>
      <c r="J477" t="s">
        <v>49</v>
      </c>
      <c r="K477" t="s">
        <v>50</v>
      </c>
      <c r="L477" t="s">
        <v>762</v>
      </c>
      <c r="M477" t="s">
        <v>762</v>
      </c>
      <c r="N477">
        <v>0.25</v>
      </c>
      <c r="R477" t="s">
        <v>1029</v>
      </c>
      <c r="S477" t="s">
        <v>1029</v>
      </c>
      <c r="Z477" t="s">
        <v>84</v>
      </c>
      <c r="AA477" t="s">
        <v>154</v>
      </c>
      <c r="AC477" t="s">
        <v>883</v>
      </c>
      <c r="AD477" t="s">
        <v>50</v>
      </c>
      <c r="AH477">
        <v>3</v>
      </c>
      <c r="AM477">
        <v>43465</v>
      </c>
      <c r="AN477">
        <v>43469</v>
      </c>
      <c r="AO477" s="2">
        <f t="shared" si="59"/>
        <v>25</v>
      </c>
      <c r="AP477" s="2">
        <f t="shared" si="60"/>
        <v>25</v>
      </c>
      <c r="AQ477" s="3">
        <f t="shared" si="61"/>
        <v>1</v>
      </c>
      <c r="AR477" s="1" t="str">
        <f>INDEX(IOS!$B:$B,MATCH(D477,IOS!A:A,0))&amp;B477</f>
        <v>O.D.5</v>
      </c>
      <c r="AS477" s="1">
        <f t="shared" si="62"/>
        <v>0</v>
      </c>
      <c r="AT477" s="1" t="str">
        <f>IF(ISBLANK(W477),"",IF(ISERROR(MATCH(W477,HQLATABLE!$A:$A,0)),0,1))</f>
        <v/>
      </c>
      <c r="AU477" s="1" t="str">
        <f t="shared" si="63"/>
        <v>Blank</v>
      </c>
      <c r="AV477" s="1" t="str">
        <f t="shared" si="64"/>
        <v>Blank</v>
      </c>
      <c r="AW477" s="1">
        <f t="shared" si="65"/>
        <v>0</v>
      </c>
      <c r="AX477" s="1">
        <f t="shared" si="66"/>
        <v>0</v>
      </c>
      <c r="AY477" s="1"/>
      <c r="AZ477" s="1">
        <f>IF(COUNTIFS('PID CHECK'!$B:$B,AR477)=1,0,IF(COUNTIFS(AR$1:AR476,AR477)=1,0,1))</f>
        <v>0</v>
      </c>
      <c r="BA477" s="1"/>
      <c r="BB477" s="1"/>
    </row>
    <row r="478" spans="1:54">
      <c r="A478">
        <v>477</v>
      </c>
      <c r="B478" t="s">
        <v>82</v>
      </c>
      <c r="C478" t="s">
        <v>164</v>
      </c>
      <c r="D478" t="s">
        <v>153</v>
      </c>
      <c r="E478" t="s">
        <v>47</v>
      </c>
      <c r="F478" t="s">
        <v>50</v>
      </c>
      <c r="H478" t="s">
        <v>79</v>
      </c>
      <c r="J478" t="s">
        <v>49</v>
      </c>
      <c r="K478" t="s">
        <v>50</v>
      </c>
      <c r="L478" t="s">
        <v>762</v>
      </c>
      <c r="M478" t="s">
        <v>762</v>
      </c>
      <c r="N478">
        <v>7.39</v>
      </c>
      <c r="R478" t="s">
        <v>80</v>
      </c>
      <c r="S478" t="s">
        <v>81</v>
      </c>
      <c r="Z478" t="s">
        <v>84</v>
      </c>
      <c r="AA478" t="s">
        <v>154</v>
      </c>
      <c r="AC478" t="s">
        <v>883</v>
      </c>
      <c r="AD478" t="s">
        <v>50</v>
      </c>
      <c r="AH478">
        <v>3</v>
      </c>
      <c r="AM478">
        <v>43465</v>
      </c>
      <c r="AN478">
        <v>43469</v>
      </c>
      <c r="AO478" s="2">
        <f t="shared" si="59"/>
        <v>271</v>
      </c>
      <c r="AP478" s="2">
        <f t="shared" si="60"/>
        <v>365</v>
      </c>
      <c r="AQ478" s="3">
        <f t="shared" si="61"/>
        <v>0</v>
      </c>
      <c r="AR478" s="1" t="str">
        <f>INDEX(IOS!$B:$B,MATCH(D478,IOS!A:A,0))&amp;B478</f>
        <v>O.D.5</v>
      </c>
      <c r="AS478" s="1">
        <f t="shared" si="62"/>
        <v>0</v>
      </c>
      <c r="AT478" s="1" t="str">
        <f>IF(ISBLANK(W478),"",IF(ISERROR(MATCH(W478,HQLATABLE!$A:$A,0)),0,1))</f>
        <v/>
      </c>
      <c r="AU478" s="1" t="str">
        <f t="shared" si="63"/>
        <v>Blank</v>
      </c>
      <c r="AV478" s="1" t="str">
        <f t="shared" si="64"/>
        <v>Blank</v>
      </c>
      <c r="AW478" s="1">
        <f t="shared" si="65"/>
        <v>0</v>
      </c>
      <c r="AX478" s="1">
        <f t="shared" si="66"/>
        <v>0</v>
      </c>
      <c r="AY478" s="1"/>
      <c r="AZ478" s="1">
        <f>IF(COUNTIFS('PID CHECK'!$B:$B,AR478)=1,0,IF(COUNTIFS(AR$1:AR477,AR478)=1,0,1))</f>
        <v>0</v>
      </c>
      <c r="BA478" s="1"/>
      <c r="BB478" s="1"/>
    </row>
    <row r="479" spans="1:54">
      <c r="A479">
        <v>478</v>
      </c>
      <c r="B479" t="s">
        <v>82</v>
      </c>
      <c r="C479" t="s">
        <v>164</v>
      </c>
      <c r="D479" t="s">
        <v>153</v>
      </c>
      <c r="E479" t="s">
        <v>47</v>
      </c>
      <c r="F479" t="s">
        <v>50</v>
      </c>
      <c r="H479" t="s">
        <v>79</v>
      </c>
      <c r="J479" t="s">
        <v>49</v>
      </c>
      <c r="K479" t="s">
        <v>50</v>
      </c>
      <c r="L479" t="s">
        <v>762</v>
      </c>
      <c r="M479" t="s">
        <v>762</v>
      </c>
      <c r="N479">
        <v>0.04</v>
      </c>
      <c r="R479" t="s">
        <v>80</v>
      </c>
      <c r="S479" t="s">
        <v>81</v>
      </c>
      <c r="Z479" t="s">
        <v>162</v>
      </c>
      <c r="AA479" t="s">
        <v>154</v>
      </c>
      <c r="AC479" t="s">
        <v>883</v>
      </c>
      <c r="AD479" t="s">
        <v>50</v>
      </c>
      <c r="AH479">
        <v>4</v>
      </c>
      <c r="AM479">
        <v>43465</v>
      </c>
      <c r="AN479">
        <v>43469</v>
      </c>
      <c r="AO479" s="2">
        <f t="shared" si="59"/>
        <v>271</v>
      </c>
      <c r="AP479" s="2">
        <f t="shared" si="60"/>
        <v>365</v>
      </c>
      <c r="AQ479" s="3">
        <f t="shared" si="61"/>
        <v>0</v>
      </c>
      <c r="AR479" s="1" t="str">
        <f>INDEX(IOS!$B:$B,MATCH(D479,IOS!A:A,0))&amp;B479</f>
        <v>O.D.5</v>
      </c>
      <c r="AS479" s="1">
        <f t="shared" si="62"/>
        <v>0</v>
      </c>
      <c r="AT479" s="1" t="str">
        <f>IF(ISBLANK(W479),"",IF(ISERROR(MATCH(W479,HQLATABLE!$A:$A,0)),0,1))</f>
        <v/>
      </c>
      <c r="AU479" s="1" t="str">
        <f t="shared" si="63"/>
        <v>Blank</v>
      </c>
      <c r="AV479" s="1" t="str">
        <f t="shared" si="64"/>
        <v>Blank</v>
      </c>
      <c r="AW479" s="1">
        <f t="shared" si="65"/>
        <v>0</v>
      </c>
      <c r="AX479" s="1">
        <f t="shared" si="66"/>
        <v>0</v>
      </c>
      <c r="AY479" s="1"/>
      <c r="AZ479" s="1">
        <f>IF(COUNTIFS('PID CHECK'!$B:$B,AR479)=1,0,IF(COUNTIFS(AR$1:AR478,AR479)=1,0,1))</f>
        <v>0</v>
      </c>
      <c r="BA479" s="1"/>
      <c r="BB479" s="1"/>
    </row>
    <row r="480" spans="1:54">
      <c r="A480">
        <v>479</v>
      </c>
      <c r="B480" t="s">
        <v>82</v>
      </c>
      <c r="C480" t="s">
        <v>164</v>
      </c>
      <c r="D480" t="s">
        <v>153</v>
      </c>
      <c r="E480" t="s">
        <v>47</v>
      </c>
      <c r="F480" t="s">
        <v>50</v>
      </c>
      <c r="H480" t="s">
        <v>79</v>
      </c>
      <c r="J480" t="s">
        <v>49</v>
      </c>
      <c r="K480" t="s">
        <v>50</v>
      </c>
      <c r="L480" t="s">
        <v>762</v>
      </c>
      <c r="M480" t="s">
        <v>762</v>
      </c>
      <c r="N480">
        <v>23.86</v>
      </c>
      <c r="R480" t="s">
        <v>80</v>
      </c>
      <c r="S480" t="s">
        <v>81</v>
      </c>
      <c r="Z480" t="s">
        <v>84</v>
      </c>
      <c r="AA480" t="s">
        <v>156</v>
      </c>
      <c r="AC480" t="s">
        <v>883</v>
      </c>
      <c r="AD480" t="s">
        <v>50</v>
      </c>
      <c r="AH480">
        <v>3</v>
      </c>
      <c r="AM480">
        <v>43465</v>
      </c>
      <c r="AN480">
        <v>43469</v>
      </c>
      <c r="AO480" s="2">
        <f t="shared" si="59"/>
        <v>271</v>
      </c>
      <c r="AP480" s="2">
        <f t="shared" si="60"/>
        <v>365</v>
      </c>
      <c r="AQ480" s="3">
        <f t="shared" si="61"/>
        <v>0</v>
      </c>
      <c r="AR480" s="1" t="str">
        <f>INDEX(IOS!$B:$B,MATCH(D480,IOS!A:A,0))&amp;B480</f>
        <v>O.D.5</v>
      </c>
      <c r="AS480" s="1">
        <f t="shared" si="62"/>
        <v>0</v>
      </c>
      <c r="AT480" s="1" t="str">
        <f>IF(ISBLANK(W480),"",IF(ISERROR(MATCH(W480,HQLATABLE!$A:$A,0)),0,1))</f>
        <v/>
      </c>
      <c r="AU480" s="1" t="str">
        <f t="shared" si="63"/>
        <v>Blank</v>
      </c>
      <c r="AV480" s="1" t="str">
        <f t="shared" si="64"/>
        <v>Blank</v>
      </c>
      <c r="AW480" s="1">
        <f t="shared" si="65"/>
        <v>0</v>
      </c>
      <c r="AX480" s="1">
        <f t="shared" si="66"/>
        <v>0</v>
      </c>
      <c r="AY480" s="1"/>
      <c r="AZ480" s="1">
        <f>IF(COUNTIFS('PID CHECK'!$B:$B,AR480)=1,0,IF(COUNTIFS(AR$1:AR479,AR480)=1,0,1))</f>
        <v>0</v>
      </c>
      <c r="BA480" s="1"/>
      <c r="BB480" s="1"/>
    </row>
    <row r="481" spans="1:54">
      <c r="A481">
        <v>480</v>
      </c>
      <c r="B481" t="s">
        <v>82</v>
      </c>
      <c r="C481" t="s">
        <v>164</v>
      </c>
      <c r="D481" t="s">
        <v>153</v>
      </c>
      <c r="E481" t="s">
        <v>47</v>
      </c>
      <c r="F481" t="s">
        <v>50</v>
      </c>
      <c r="H481" t="s">
        <v>79</v>
      </c>
      <c r="J481" t="s">
        <v>49</v>
      </c>
      <c r="K481" t="s">
        <v>50</v>
      </c>
      <c r="L481" t="s">
        <v>762</v>
      </c>
      <c r="M481" t="s">
        <v>762</v>
      </c>
      <c r="N481">
        <v>7.12</v>
      </c>
      <c r="R481" t="s">
        <v>80</v>
      </c>
      <c r="S481" t="s">
        <v>81</v>
      </c>
      <c r="Z481" t="s">
        <v>162</v>
      </c>
      <c r="AA481" t="s">
        <v>156</v>
      </c>
      <c r="AC481" t="s">
        <v>883</v>
      </c>
      <c r="AD481" t="s">
        <v>50</v>
      </c>
      <c r="AH481">
        <v>4</v>
      </c>
      <c r="AM481">
        <v>43465</v>
      </c>
      <c r="AN481">
        <v>43469</v>
      </c>
      <c r="AO481" s="2">
        <f t="shared" si="59"/>
        <v>271</v>
      </c>
      <c r="AP481" s="2">
        <f t="shared" si="60"/>
        <v>365</v>
      </c>
      <c r="AQ481" s="3">
        <f t="shared" si="61"/>
        <v>0</v>
      </c>
      <c r="AR481" s="1" t="str">
        <f>INDEX(IOS!$B:$B,MATCH(D481,IOS!A:A,0))&amp;B481</f>
        <v>O.D.5</v>
      </c>
      <c r="AS481" s="1">
        <f t="shared" si="62"/>
        <v>0</v>
      </c>
      <c r="AT481" s="1" t="str">
        <f>IF(ISBLANK(W481),"",IF(ISERROR(MATCH(W481,HQLATABLE!$A:$A,0)),0,1))</f>
        <v/>
      </c>
      <c r="AU481" s="1" t="str">
        <f t="shared" si="63"/>
        <v>Blank</v>
      </c>
      <c r="AV481" s="1" t="str">
        <f t="shared" si="64"/>
        <v>Blank</v>
      </c>
      <c r="AW481" s="1">
        <f t="shared" si="65"/>
        <v>0</v>
      </c>
      <c r="AX481" s="1">
        <f t="shared" si="66"/>
        <v>0</v>
      </c>
      <c r="AY481" s="1"/>
      <c r="AZ481" s="1">
        <f>IF(COUNTIFS('PID CHECK'!$B:$B,AR481)=1,0,IF(COUNTIFS(AR$1:AR480,AR481)=1,0,1))</f>
        <v>0</v>
      </c>
      <c r="BA481" s="1"/>
      <c r="BB481" s="1"/>
    </row>
    <row r="482" spans="1:54">
      <c r="A482">
        <v>481</v>
      </c>
      <c r="B482" t="s">
        <v>82</v>
      </c>
      <c r="C482" t="s">
        <v>164</v>
      </c>
      <c r="D482" t="s">
        <v>153</v>
      </c>
      <c r="E482" t="s">
        <v>47</v>
      </c>
      <c r="F482" t="s">
        <v>50</v>
      </c>
      <c r="H482" t="s">
        <v>958</v>
      </c>
      <c r="J482" t="s">
        <v>49</v>
      </c>
      <c r="K482" t="s">
        <v>50</v>
      </c>
      <c r="L482" t="s">
        <v>762</v>
      </c>
      <c r="M482" t="s">
        <v>762</v>
      </c>
      <c r="N482">
        <v>3.08</v>
      </c>
      <c r="R482" t="s">
        <v>959</v>
      </c>
      <c r="S482" t="s">
        <v>959</v>
      </c>
      <c r="Z482" t="s">
        <v>84</v>
      </c>
      <c r="AA482" t="s">
        <v>154</v>
      </c>
      <c r="AC482" t="s">
        <v>883</v>
      </c>
      <c r="AD482" t="s">
        <v>50</v>
      </c>
      <c r="AH482">
        <v>3</v>
      </c>
      <c r="AM482">
        <v>43465</v>
      </c>
      <c r="AN482">
        <v>43469</v>
      </c>
      <c r="AO482" s="2">
        <f t="shared" si="59"/>
        <v>28</v>
      </c>
      <c r="AP482" s="2">
        <f t="shared" si="60"/>
        <v>28</v>
      </c>
      <c r="AQ482" s="3">
        <f t="shared" si="61"/>
        <v>1</v>
      </c>
      <c r="AR482" s="1" t="str">
        <f>INDEX(IOS!$B:$B,MATCH(D482,IOS!A:A,0))&amp;B482</f>
        <v>O.D.5</v>
      </c>
      <c r="AS482" s="1">
        <f t="shared" si="62"/>
        <v>0</v>
      </c>
      <c r="AT482" s="1" t="str">
        <f>IF(ISBLANK(W482),"",IF(ISERROR(MATCH(W482,HQLATABLE!$A:$A,0)),0,1))</f>
        <v/>
      </c>
      <c r="AU482" s="1" t="str">
        <f t="shared" si="63"/>
        <v>Blank</v>
      </c>
      <c r="AV482" s="1" t="str">
        <f t="shared" si="64"/>
        <v>Blank</v>
      </c>
      <c r="AW482" s="1">
        <f t="shared" si="65"/>
        <v>0</v>
      </c>
      <c r="AX482" s="1">
        <f t="shared" si="66"/>
        <v>0</v>
      </c>
      <c r="AY482" s="1"/>
      <c r="AZ482" s="1">
        <f>IF(COUNTIFS('PID CHECK'!$B:$B,AR482)=1,0,IF(COUNTIFS(AR$1:AR481,AR482)=1,0,1))</f>
        <v>0</v>
      </c>
      <c r="BA482" s="1"/>
      <c r="BB482" s="1"/>
    </row>
    <row r="483" spans="1:54">
      <c r="A483">
        <v>482</v>
      </c>
      <c r="B483" t="s">
        <v>82</v>
      </c>
      <c r="C483" t="s">
        <v>164</v>
      </c>
      <c r="D483" t="s">
        <v>153</v>
      </c>
      <c r="E483" t="s">
        <v>47</v>
      </c>
      <c r="F483" t="s">
        <v>50</v>
      </c>
      <c r="H483" t="s">
        <v>958</v>
      </c>
      <c r="J483" t="s">
        <v>49</v>
      </c>
      <c r="K483" t="s">
        <v>50</v>
      </c>
      <c r="L483" t="s">
        <v>762</v>
      </c>
      <c r="M483" t="s">
        <v>762</v>
      </c>
      <c r="N483">
        <v>25.42</v>
      </c>
      <c r="R483" t="s">
        <v>959</v>
      </c>
      <c r="S483" t="s">
        <v>959</v>
      </c>
      <c r="Z483" t="s">
        <v>84</v>
      </c>
      <c r="AA483" t="s">
        <v>156</v>
      </c>
      <c r="AC483" t="s">
        <v>883</v>
      </c>
      <c r="AD483" t="s">
        <v>50</v>
      </c>
      <c r="AH483">
        <v>3</v>
      </c>
      <c r="AM483">
        <v>43465</v>
      </c>
      <c r="AN483">
        <v>43469</v>
      </c>
      <c r="AO483" s="2">
        <f t="shared" si="59"/>
        <v>28</v>
      </c>
      <c r="AP483" s="2">
        <f t="shared" si="60"/>
        <v>28</v>
      </c>
      <c r="AQ483" s="3">
        <f t="shared" si="61"/>
        <v>1</v>
      </c>
      <c r="AR483" s="1" t="str">
        <f>INDEX(IOS!$B:$B,MATCH(D483,IOS!A:A,0))&amp;B483</f>
        <v>O.D.5</v>
      </c>
      <c r="AS483" s="1">
        <f t="shared" si="62"/>
        <v>0</v>
      </c>
      <c r="AT483" s="1" t="str">
        <f>IF(ISBLANK(W483),"",IF(ISERROR(MATCH(W483,HQLATABLE!$A:$A,0)),0,1))</f>
        <v/>
      </c>
      <c r="AU483" s="1" t="str">
        <f t="shared" si="63"/>
        <v>Blank</v>
      </c>
      <c r="AV483" s="1" t="str">
        <f t="shared" si="64"/>
        <v>Blank</v>
      </c>
      <c r="AW483" s="1">
        <f t="shared" si="65"/>
        <v>0</v>
      </c>
      <c r="AX483" s="1">
        <f t="shared" si="66"/>
        <v>0</v>
      </c>
      <c r="AY483" s="1"/>
      <c r="AZ483" s="1">
        <f>IF(COUNTIFS('PID CHECK'!$B:$B,AR483)=1,0,IF(COUNTIFS(AR$1:AR482,AR483)=1,0,1))</f>
        <v>0</v>
      </c>
      <c r="BA483" s="1"/>
      <c r="BB483" s="1"/>
    </row>
    <row r="484" spans="1:54">
      <c r="A484">
        <v>483</v>
      </c>
      <c r="B484" t="s">
        <v>82</v>
      </c>
      <c r="C484" t="s">
        <v>164</v>
      </c>
      <c r="D484" t="s">
        <v>153</v>
      </c>
      <c r="E484" t="s">
        <v>47</v>
      </c>
      <c r="F484" t="s">
        <v>50</v>
      </c>
      <c r="H484" t="s">
        <v>1046</v>
      </c>
      <c r="J484" t="s">
        <v>49</v>
      </c>
      <c r="K484" t="s">
        <v>50</v>
      </c>
      <c r="L484" t="s">
        <v>762</v>
      </c>
      <c r="M484" t="s">
        <v>762</v>
      </c>
      <c r="N484">
        <v>0.95</v>
      </c>
      <c r="R484" t="s">
        <v>1047</v>
      </c>
      <c r="S484" t="s">
        <v>1047</v>
      </c>
      <c r="Z484" t="s">
        <v>84</v>
      </c>
      <c r="AA484" t="s">
        <v>154</v>
      </c>
      <c r="AC484" t="s">
        <v>883</v>
      </c>
      <c r="AD484" t="s">
        <v>50</v>
      </c>
      <c r="AH484">
        <v>3</v>
      </c>
      <c r="AM484">
        <v>43465</v>
      </c>
      <c r="AN484">
        <v>43469</v>
      </c>
      <c r="AO484" s="2">
        <f t="shared" si="59"/>
        <v>29</v>
      </c>
      <c r="AP484" s="2">
        <f t="shared" si="60"/>
        <v>29</v>
      </c>
      <c r="AQ484" s="3">
        <f t="shared" si="61"/>
        <v>1</v>
      </c>
      <c r="AR484" s="1" t="str">
        <f>INDEX(IOS!$B:$B,MATCH(D484,IOS!A:A,0))&amp;B484</f>
        <v>O.D.5</v>
      </c>
      <c r="AS484" s="1">
        <f t="shared" si="62"/>
        <v>0</v>
      </c>
      <c r="AT484" s="1" t="str">
        <f>IF(ISBLANK(W484),"",IF(ISERROR(MATCH(W484,HQLATABLE!$A:$A,0)),0,1))</f>
        <v/>
      </c>
      <c r="AU484" s="1" t="str">
        <f t="shared" si="63"/>
        <v>Blank</v>
      </c>
      <c r="AV484" s="1" t="str">
        <f t="shared" si="64"/>
        <v>Blank</v>
      </c>
      <c r="AW484" s="1">
        <f t="shared" si="65"/>
        <v>0</v>
      </c>
      <c r="AX484" s="1">
        <f t="shared" si="66"/>
        <v>0</v>
      </c>
      <c r="AY484" s="1"/>
      <c r="AZ484" s="1">
        <f>IF(COUNTIFS('PID CHECK'!$B:$B,AR484)=1,0,IF(COUNTIFS(AR$1:AR483,AR484)=1,0,1))</f>
        <v>0</v>
      </c>
      <c r="BA484" s="1"/>
      <c r="BB484" s="1"/>
    </row>
    <row r="485" spans="1:54">
      <c r="A485">
        <v>484</v>
      </c>
      <c r="B485" t="s">
        <v>82</v>
      </c>
      <c r="C485" t="s">
        <v>164</v>
      </c>
      <c r="D485" t="s">
        <v>153</v>
      </c>
      <c r="E485" t="s">
        <v>47</v>
      </c>
      <c r="F485" t="s">
        <v>50</v>
      </c>
      <c r="H485" t="s">
        <v>1046</v>
      </c>
      <c r="J485" t="s">
        <v>49</v>
      </c>
      <c r="K485" t="s">
        <v>50</v>
      </c>
      <c r="L485" t="s">
        <v>762</v>
      </c>
      <c r="M485" t="s">
        <v>762</v>
      </c>
      <c r="N485">
        <v>6.04</v>
      </c>
      <c r="R485" t="s">
        <v>1047</v>
      </c>
      <c r="S485" t="s">
        <v>1047</v>
      </c>
      <c r="Z485" t="s">
        <v>84</v>
      </c>
      <c r="AA485" t="s">
        <v>156</v>
      </c>
      <c r="AC485" t="s">
        <v>883</v>
      </c>
      <c r="AD485" t="s">
        <v>50</v>
      </c>
      <c r="AH485">
        <v>3</v>
      </c>
      <c r="AM485">
        <v>43465</v>
      </c>
      <c r="AN485">
        <v>43469</v>
      </c>
      <c r="AO485" s="2">
        <f t="shared" si="59"/>
        <v>29</v>
      </c>
      <c r="AP485" s="2">
        <f t="shared" si="60"/>
        <v>29</v>
      </c>
      <c r="AQ485" s="3">
        <f t="shared" si="61"/>
        <v>1</v>
      </c>
      <c r="AR485" s="1" t="str">
        <f>INDEX(IOS!$B:$B,MATCH(D485,IOS!A:A,0))&amp;B485</f>
        <v>O.D.5</v>
      </c>
      <c r="AS485" s="1">
        <f t="shared" si="62"/>
        <v>0</v>
      </c>
      <c r="AT485" s="1" t="str">
        <f>IF(ISBLANK(W485),"",IF(ISERROR(MATCH(W485,HQLATABLE!$A:$A,0)),0,1))</f>
        <v/>
      </c>
      <c r="AU485" s="1" t="str">
        <f t="shared" si="63"/>
        <v>Blank</v>
      </c>
      <c r="AV485" s="1" t="str">
        <f t="shared" si="64"/>
        <v>Blank</v>
      </c>
      <c r="AW485" s="1">
        <f t="shared" si="65"/>
        <v>0</v>
      </c>
      <c r="AX485" s="1">
        <f t="shared" si="66"/>
        <v>0</v>
      </c>
      <c r="AY485" s="1"/>
      <c r="AZ485" s="1">
        <f>IF(COUNTIFS('PID CHECK'!$B:$B,AR485)=1,0,IF(COUNTIFS(AR$1:AR484,AR485)=1,0,1))</f>
        <v>0</v>
      </c>
      <c r="BA485" s="1"/>
      <c r="BB485" s="1"/>
    </row>
    <row r="486" spans="1:54">
      <c r="A486">
        <v>485</v>
      </c>
      <c r="B486" t="s">
        <v>82</v>
      </c>
      <c r="C486" t="s">
        <v>164</v>
      </c>
      <c r="D486" t="s">
        <v>153</v>
      </c>
      <c r="E486" t="s">
        <v>47</v>
      </c>
      <c r="F486" t="s">
        <v>50</v>
      </c>
      <c r="H486" t="s">
        <v>1030</v>
      </c>
      <c r="J486" t="s">
        <v>49</v>
      </c>
      <c r="K486" t="s">
        <v>50</v>
      </c>
      <c r="L486" t="s">
        <v>762</v>
      </c>
      <c r="M486" t="s">
        <v>762</v>
      </c>
      <c r="N486">
        <v>0</v>
      </c>
      <c r="R486" t="s">
        <v>1031</v>
      </c>
      <c r="S486" t="s">
        <v>1031</v>
      </c>
      <c r="Z486" t="s">
        <v>84</v>
      </c>
      <c r="AA486" t="s">
        <v>154</v>
      </c>
      <c r="AC486" t="s">
        <v>883</v>
      </c>
      <c r="AD486" t="s">
        <v>50</v>
      </c>
      <c r="AH486">
        <v>3</v>
      </c>
      <c r="AM486">
        <v>43465</v>
      </c>
      <c r="AN486">
        <v>43469</v>
      </c>
      <c r="AO486" s="2">
        <f t="shared" si="59"/>
        <v>2</v>
      </c>
      <c r="AP486" s="2">
        <f t="shared" si="60"/>
        <v>2</v>
      </c>
      <c r="AQ486" s="3">
        <f t="shared" si="61"/>
        <v>1</v>
      </c>
      <c r="AR486" s="1" t="str">
        <f>INDEX(IOS!$B:$B,MATCH(D486,IOS!A:A,0))&amp;B486</f>
        <v>O.D.5</v>
      </c>
      <c r="AS486" s="1">
        <f t="shared" si="62"/>
        <v>0</v>
      </c>
      <c r="AT486" s="1" t="str">
        <f>IF(ISBLANK(W486),"",IF(ISERROR(MATCH(W486,HQLATABLE!$A:$A,0)),0,1))</f>
        <v/>
      </c>
      <c r="AU486" s="1" t="str">
        <f t="shared" si="63"/>
        <v>Blank</v>
      </c>
      <c r="AV486" s="1" t="str">
        <f t="shared" si="64"/>
        <v>Blank</v>
      </c>
      <c r="AW486" s="1">
        <f t="shared" si="65"/>
        <v>0</v>
      </c>
      <c r="AX486" s="1">
        <f t="shared" si="66"/>
        <v>0</v>
      </c>
      <c r="AY486" s="1"/>
      <c r="AZ486" s="1">
        <f>IF(COUNTIFS('PID CHECK'!$B:$B,AR486)=1,0,IF(COUNTIFS(AR$1:AR485,AR486)=1,0,1))</f>
        <v>0</v>
      </c>
      <c r="BA486" s="1"/>
      <c r="BB486" s="1"/>
    </row>
    <row r="487" spans="1:54">
      <c r="A487">
        <v>486</v>
      </c>
      <c r="B487" t="s">
        <v>82</v>
      </c>
      <c r="C487" t="s">
        <v>164</v>
      </c>
      <c r="D487" t="s">
        <v>153</v>
      </c>
      <c r="E487" t="s">
        <v>47</v>
      </c>
      <c r="F487" t="s">
        <v>50</v>
      </c>
      <c r="H487" t="s">
        <v>1026</v>
      </c>
      <c r="J487" t="s">
        <v>49</v>
      </c>
      <c r="K487" t="s">
        <v>50</v>
      </c>
      <c r="L487" t="s">
        <v>762</v>
      </c>
      <c r="M487" t="s">
        <v>762</v>
      </c>
      <c r="N487">
        <v>2.09</v>
      </c>
      <c r="R487" t="s">
        <v>1027</v>
      </c>
      <c r="S487" t="s">
        <v>1027</v>
      </c>
      <c r="Z487" t="s">
        <v>84</v>
      </c>
      <c r="AA487" t="s">
        <v>154</v>
      </c>
      <c r="AC487" t="s">
        <v>883</v>
      </c>
      <c r="AD487" t="s">
        <v>50</v>
      </c>
      <c r="AH487">
        <v>3</v>
      </c>
      <c r="AM487">
        <v>43465</v>
      </c>
      <c r="AN487">
        <v>43469</v>
      </c>
      <c r="AO487" s="2">
        <f t="shared" si="59"/>
        <v>30</v>
      </c>
      <c r="AP487" s="2">
        <f t="shared" si="60"/>
        <v>30</v>
      </c>
      <c r="AQ487" s="3">
        <f t="shared" si="61"/>
        <v>1</v>
      </c>
      <c r="AR487" s="1" t="str">
        <f>INDEX(IOS!$B:$B,MATCH(D487,IOS!A:A,0))&amp;B487</f>
        <v>O.D.5</v>
      </c>
      <c r="AS487" s="1">
        <f t="shared" si="62"/>
        <v>0</v>
      </c>
      <c r="AT487" s="1" t="str">
        <f>IF(ISBLANK(W487),"",IF(ISERROR(MATCH(W487,HQLATABLE!$A:$A,0)),0,1))</f>
        <v/>
      </c>
      <c r="AU487" s="1" t="str">
        <f t="shared" si="63"/>
        <v>Blank</v>
      </c>
      <c r="AV487" s="1" t="str">
        <f t="shared" si="64"/>
        <v>Blank</v>
      </c>
      <c r="AW487" s="1">
        <f t="shared" si="65"/>
        <v>0</v>
      </c>
      <c r="AX487" s="1">
        <f t="shared" si="66"/>
        <v>0</v>
      </c>
      <c r="AY487" s="1"/>
      <c r="AZ487" s="1">
        <f>IF(COUNTIFS('PID CHECK'!$B:$B,AR487)=1,0,IF(COUNTIFS(AR$1:AR486,AR487)=1,0,1))</f>
        <v>0</v>
      </c>
      <c r="BA487" s="1"/>
      <c r="BB487" s="1"/>
    </row>
    <row r="488" spans="1:54">
      <c r="A488">
        <v>487</v>
      </c>
      <c r="B488" t="s">
        <v>82</v>
      </c>
      <c r="C488" t="s">
        <v>164</v>
      </c>
      <c r="D488" t="s">
        <v>153</v>
      </c>
      <c r="E488" t="s">
        <v>47</v>
      </c>
      <c r="F488" t="s">
        <v>50</v>
      </c>
      <c r="H488" t="s">
        <v>1026</v>
      </c>
      <c r="J488" t="s">
        <v>49</v>
      </c>
      <c r="K488" t="s">
        <v>50</v>
      </c>
      <c r="L488" t="s">
        <v>762</v>
      </c>
      <c r="M488" t="s">
        <v>762</v>
      </c>
      <c r="N488">
        <v>20.2</v>
      </c>
      <c r="R488" t="s">
        <v>1027</v>
      </c>
      <c r="S488" t="s">
        <v>1027</v>
      </c>
      <c r="Z488" t="s">
        <v>84</v>
      </c>
      <c r="AA488" t="s">
        <v>156</v>
      </c>
      <c r="AC488" t="s">
        <v>883</v>
      </c>
      <c r="AD488" t="s">
        <v>50</v>
      </c>
      <c r="AH488">
        <v>3</v>
      </c>
      <c r="AM488">
        <v>43465</v>
      </c>
      <c r="AN488">
        <v>43469</v>
      </c>
      <c r="AO488" s="2">
        <f t="shared" si="59"/>
        <v>30</v>
      </c>
      <c r="AP488" s="2">
        <f t="shared" si="60"/>
        <v>30</v>
      </c>
      <c r="AQ488" s="3">
        <f t="shared" si="61"/>
        <v>1</v>
      </c>
      <c r="AR488" s="1" t="str">
        <f>INDEX(IOS!$B:$B,MATCH(D488,IOS!A:A,0))&amp;B488</f>
        <v>O.D.5</v>
      </c>
      <c r="AS488" s="1">
        <f t="shared" si="62"/>
        <v>0</v>
      </c>
      <c r="AT488" s="1" t="str">
        <f>IF(ISBLANK(W488),"",IF(ISERROR(MATCH(W488,HQLATABLE!$A:$A,0)),0,1))</f>
        <v/>
      </c>
      <c r="AU488" s="1" t="str">
        <f t="shared" si="63"/>
        <v>Blank</v>
      </c>
      <c r="AV488" s="1" t="str">
        <f t="shared" si="64"/>
        <v>Blank</v>
      </c>
      <c r="AW488" s="1">
        <f t="shared" si="65"/>
        <v>0</v>
      </c>
      <c r="AX488" s="1">
        <f t="shared" si="66"/>
        <v>0</v>
      </c>
      <c r="AY488" s="1"/>
      <c r="AZ488" s="1">
        <f>IF(COUNTIFS('PID CHECK'!$B:$B,AR488)=1,0,IF(COUNTIFS(AR$1:AR487,AR488)=1,0,1))</f>
        <v>0</v>
      </c>
      <c r="BA488" s="1"/>
      <c r="BB488" s="1"/>
    </row>
    <row r="489" spans="1:54">
      <c r="A489">
        <v>488</v>
      </c>
      <c r="B489" t="s">
        <v>82</v>
      </c>
      <c r="C489" t="s">
        <v>164</v>
      </c>
      <c r="D489" t="s">
        <v>153</v>
      </c>
      <c r="E489" t="s">
        <v>47</v>
      </c>
      <c r="F489" t="s">
        <v>50</v>
      </c>
      <c r="H489" t="s">
        <v>1003</v>
      </c>
      <c r="J489" t="s">
        <v>49</v>
      </c>
      <c r="K489" t="s">
        <v>50</v>
      </c>
      <c r="L489" t="s">
        <v>762</v>
      </c>
      <c r="M489" t="s">
        <v>762</v>
      </c>
      <c r="N489">
        <v>0.75</v>
      </c>
      <c r="R489" t="s">
        <v>1004</v>
      </c>
      <c r="S489" t="s">
        <v>1004</v>
      </c>
      <c r="Z489" t="s">
        <v>84</v>
      </c>
      <c r="AA489" t="s">
        <v>154</v>
      </c>
      <c r="AC489" t="s">
        <v>883</v>
      </c>
      <c r="AD489" t="s">
        <v>50</v>
      </c>
      <c r="AH489">
        <v>3</v>
      </c>
      <c r="AM489">
        <v>43465</v>
      </c>
      <c r="AN489">
        <v>43469</v>
      </c>
      <c r="AO489" s="2">
        <f t="shared" si="59"/>
        <v>31</v>
      </c>
      <c r="AP489" s="2">
        <f t="shared" si="60"/>
        <v>31</v>
      </c>
      <c r="AQ489" s="3">
        <f t="shared" si="61"/>
        <v>0</v>
      </c>
      <c r="AR489" s="1" t="str">
        <f>INDEX(IOS!$B:$B,MATCH(D489,IOS!A:A,0))&amp;B489</f>
        <v>O.D.5</v>
      </c>
      <c r="AS489" s="1">
        <f t="shared" si="62"/>
        <v>0</v>
      </c>
      <c r="AT489" s="1" t="str">
        <f>IF(ISBLANK(W489),"",IF(ISERROR(MATCH(W489,HQLATABLE!$A:$A,0)),0,1))</f>
        <v/>
      </c>
      <c r="AU489" s="1" t="str">
        <f t="shared" si="63"/>
        <v>Blank</v>
      </c>
      <c r="AV489" s="1" t="str">
        <f t="shared" si="64"/>
        <v>Blank</v>
      </c>
      <c r="AW489" s="1">
        <f t="shared" si="65"/>
        <v>0</v>
      </c>
      <c r="AX489" s="1">
        <f t="shared" si="66"/>
        <v>0</v>
      </c>
      <c r="AY489" s="1"/>
      <c r="AZ489" s="1">
        <f>IF(COUNTIFS('PID CHECK'!$B:$B,AR489)=1,0,IF(COUNTIFS(AR$1:AR488,AR489)=1,0,1))</f>
        <v>0</v>
      </c>
      <c r="BA489" s="1"/>
      <c r="BB489" s="1"/>
    </row>
    <row r="490" spans="1:54">
      <c r="A490">
        <v>489</v>
      </c>
      <c r="B490" t="s">
        <v>82</v>
      </c>
      <c r="C490" t="s">
        <v>164</v>
      </c>
      <c r="D490" t="s">
        <v>153</v>
      </c>
      <c r="E490" t="s">
        <v>47</v>
      </c>
      <c r="F490" t="s">
        <v>50</v>
      </c>
      <c r="H490" t="s">
        <v>1003</v>
      </c>
      <c r="J490" t="s">
        <v>49</v>
      </c>
      <c r="K490" t="s">
        <v>50</v>
      </c>
      <c r="L490" t="s">
        <v>762</v>
      </c>
      <c r="M490" t="s">
        <v>762</v>
      </c>
      <c r="N490">
        <v>115.12</v>
      </c>
      <c r="R490" t="s">
        <v>1004</v>
      </c>
      <c r="S490" t="s">
        <v>1004</v>
      </c>
      <c r="Z490" t="s">
        <v>84</v>
      </c>
      <c r="AA490" t="s">
        <v>156</v>
      </c>
      <c r="AC490" t="s">
        <v>883</v>
      </c>
      <c r="AD490" t="s">
        <v>50</v>
      </c>
      <c r="AH490">
        <v>3</v>
      </c>
      <c r="AM490">
        <v>43465</v>
      </c>
      <c r="AN490">
        <v>43469</v>
      </c>
      <c r="AO490" s="2">
        <f t="shared" si="59"/>
        <v>31</v>
      </c>
      <c r="AP490" s="2">
        <f t="shared" si="60"/>
        <v>31</v>
      </c>
      <c r="AQ490" s="3">
        <f t="shared" si="61"/>
        <v>0</v>
      </c>
      <c r="AR490" s="1" t="str">
        <f>INDEX(IOS!$B:$B,MATCH(D490,IOS!A:A,0))&amp;B490</f>
        <v>O.D.5</v>
      </c>
      <c r="AS490" s="1">
        <f t="shared" si="62"/>
        <v>0</v>
      </c>
      <c r="AT490" s="1" t="str">
        <f>IF(ISBLANK(W490),"",IF(ISERROR(MATCH(W490,HQLATABLE!$A:$A,0)),0,1))</f>
        <v/>
      </c>
      <c r="AU490" s="1" t="str">
        <f t="shared" si="63"/>
        <v>Blank</v>
      </c>
      <c r="AV490" s="1" t="str">
        <f t="shared" si="64"/>
        <v>Blank</v>
      </c>
      <c r="AW490" s="1">
        <f t="shared" si="65"/>
        <v>0</v>
      </c>
      <c r="AX490" s="1">
        <f t="shared" si="66"/>
        <v>0</v>
      </c>
      <c r="AY490" s="1"/>
      <c r="AZ490" s="1">
        <f>IF(COUNTIFS('PID CHECK'!$B:$B,AR490)=1,0,IF(COUNTIFS(AR$1:AR489,AR490)=1,0,1))</f>
        <v>0</v>
      </c>
      <c r="BA490" s="1"/>
      <c r="BB490" s="1"/>
    </row>
    <row r="491" spans="1:54">
      <c r="A491">
        <v>490</v>
      </c>
      <c r="B491" t="s">
        <v>82</v>
      </c>
      <c r="C491" t="s">
        <v>164</v>
      </c>
      <c r="D491" t="s">
        <v>153</v>
      </c>
      <c r="E491" t="s">
        <v>47</v>
      </c>
      <c r="F491" t="s">
        <v>50</v>
      </c>
      <c r="H491" t="s">
        <v>131</v>
      </c>
      <c r="J491" t="s">
        <v>49</v>
      </c>
      <c r="K491" t="s">
        <v>50</v>
      </c>
      <c r="L491" t="s">
        <v>762</v>
      </c>
      <c r="M491" t="s">
        <v>762</v>
      </c>
      <c r="N491">
        <v>7.47</v>
      </c>
      <c r="R491" t="s">
        <v>132</v>
      </c>
      <c r="S491" t="s">
        <v>133</v>
      </c>
      <c r="Z491" t="s">
        <v>84</v>
      </c>
      <c r="AA491" t="s">
        <v>154</v>
      </c>
      <c r="AC491" t="s">
        <v>883</v>
      </c>
      <c r="AD491" t="s">
        <v>50</v>
      </c>
      <c r="AH491">
        <v>3</v>
      </c>
      <c r="AM491">
        <v>43465</v>
      </c>
      <c r="AN491">
        <v>43469</v>
      </c>
      <c r="AO491" s="2">
        <f t="shared" si="59"/>
        <v>366</v>
      </c>
      <c r="AP491" s="2">
        <f t="shared" si="60"/>
        <v>730</v>
      </c>
      <c r="AQ491" s="3">
        <f t="shared" si="61"/>
        <v>0</v>
      </c>
      <c r="AR491" s="1" t="str">
        <f>INDEX(IOS!$B:$B,MATCH(D491,IOS!A:A,0))&amp;B491</f>
        <v>O.D.5</v>
      </c>
      <c r="AS491" s="1">
        <f t="shared" si="62"/>
        <v>0</v>
      </c>
      <c r="AT491" s="1" t="str">
        <f>IF(ISBLANK(W491),"",IF(ISERROR(MATCH(W491,HQLATABLE!$A:$A,0)),0,1))</f>
        <v/>
      </c>
      <c r="AU491" s="1" t="str">
        <f t="shared" si="63"/>
        <v>Blank</v>
      </c>
      <c r="AV491" s="1" t="str">
        <f t="shared" si="64"/>
        <v>Blank</v>
      </c>
      <c r="AW491" s="1">
        <f t="shared" si="65"/>
        <v>0</v>
      </c>
      <c r="AX491" s="1">
        <f t="shared" si="66"/>
        <v>0</v>
      </c>
      <c r="AY491" s="1"/>
      <c r="AZ491" s="1">
        <f>IF(COUNTIFS('PID CHECK'!$B:$B,AR491)=1,0,IF(COUNTIFS(AR$1:AR490,AR491)=1,0,1))</f>
        <v>0</v>
      </c>
      <c r="BA491" s="1"/>
      <c r="BB491" s="1"/>
    </row>
    <row r="492" spans="1:54">
      <c r="A492">
        <v>491</v>
      </c>
      <c r="B492" t="s">
        <v>82</v>
      </c>
      <c r="C492" t="s">
        <v>164</v>
      </c>
      <c r="D492" t="s">
        <v>153</v>
      </c>
      <c r="E492" t="s">
        <v>47</v>
      </c>
      <c r="F492" t="s">
        <v>50</v>
      </c>
      <c r="H492" t="s">
        <v>131</v>
      </c>
      <c r="J492" t="s">
        <v>49</v>
      </c>
      <c r="K492" t="s">
        <v>50</v>
      </c>
      <c r="L492" t="s">
        <v>762</v>
      </c>
      <c r="M492" t="s">
        <v>762</v>
      </c>
      <c r="N492">
        <v>1.31</v>
      </c>
      <c r="R492" t="s">
        <v>132</v>
      </c>
      <c r="S492" t="s">
        <v>133</v>
      </c>
      <c r="Z492" t="s">
        <v>84</v>
      </c>
      <c r="AA492" t="s">
        <v>156</v>
      </c>
      <c r="AC492" t="s">
        <v>883</v>
      </c>
      <c r="AD492" t="s">
        <v>50</v>
      </c>
      <c r="AH492">
        <v>3</v>
      </c>
      <c r="AM492">
        <v>43465</v>
      </c>
      <c r="AN492">
        <v>43469</v>
      </c>
      <c r="AO492" s="2">
        <f t="shared" si="59"/>
        <v>366</v>
      </c>
      <c r="AP492" s="2">
        <f t="shared" si="60"/>
        <v>730</v>
      </c>
      <c r="AQ492" s="3">
        <f t="shared" si="61"/>
        <v>0</v>
      </c>
      <c r="AR492" s="1" t="str">
        <f>INDEX(IOS!$B:$B,MATCH(D492,IOS!A:A,0))&amp;B492</f>
        <v>O.D.5</v>
      </c>
      <c r="AS492" s="1">
        <f t="shared" si="62"/>
        <v>0</v>
      </c>
      <c r="AT492" s="1" t="str">
        <f>IF(ISBLANK(W492),"",IF(ISERROR(MATCH(W492,HQLATABLE!$A:$A,0)),0,1))</f>
        <v/>
      </c>
      <c r="AU492" s="1" t="str">
        <f t="shared" si="63"/>
        <v>Blank</v>
      </c>
      <c r="AV492" s="1" t="str">
        <f t="shared" si="64"/>
        <v>Blank</v>
      </c>
      <c r="AW492" s="1">
        <f t="shared" si="65"/>
        <v>0</v>
      </c>
      <c r="AX492" s="1">
        <f t="shared" si="66"/>
        <v>0</v>
      </c>
      <c r="AY492" s="1"/>
      <c r="AZ492" s="1">
        <f>IF(COUNTIFS('PID CHECK'!$B:$B,AR492)=1,0,IF(COUNTIFS(AR$1:AR491,AR492)=1,0,1))</f>
        <v>0</v>
      </c>
      <c r="BA492" s="1"/>
      <c r="BB492" s="1"/>
    </row>
    <row r="493" spans="1:54">
      <c r="A493">
        <v>492</v>
      </c>
      <c r="B493" t="s">
        <v>82</v>
      </c>
      <c r="C493" t="s">
        <v>164</v>
      </c>
      <c r="D493" t="s">
        <v>153</v>
      </c>
      <c r="E493" t="s">
        <v>47</v>
      </c>
      <c r="F493" t="s">
        <v>50</v>
      </c>
      <c r="H493" t="s">
        <v>1005</v>
      </c>
      <c r="J493" t="s">
        <v>49</v>
      </c>
      <c r="K493" t="s">
        <v>50</v>
      </c>
      <c r="L493" t="s">
        <v>762</v>
      </c>
      <c r="M493" t="s">
        <v>762</v>
      </c>
      <c r="N493">
        <v>0.25</v>
      </c>
      <c r="R493" t="s">
        <v>1006</v>
      </c>
      <c r="S493" t="s">
        <v>1006</v>
      </c>
      <c r="Z493" t="s">
        <v>84</v>
      </c>
      <c r="AA493" t="s">
        <v>154</v>
      </c>
      <c r="AC493" t="s">
        <v>883</v>
      </c>
      <c r="AD493" t="s">
        <v>50</v>
      </c>
      <c r="AH493">
        <v>3</v>
      </c>
      <c r="AM493">
        <v>43465</v>
      </c>
      <c r="AN493">
        <v>43469</v>
      </c>
      <c r="AO493" s="2">
        <f t="shared" si="59"/>
        <v>38</v>
      </c>
      <c r="AP493" s="2">
        <f t="shared" si="60"/>
        <v>38</v>
      </c>
      <c r="AQ493" s="3">
        <f t="shared" si="61"/>
        <v>0</v>
      </c>
      <c r="AR493" s="1" t="str">
        <f>INDEX(IOS!$B:$B,MATCH(D493,IOS!A:A,0))&amp;B493</f>
        <v>O.D.5</v>
      </c>
      <c r="AS493" s="1">
        <f t="shared" si="62"/>
        <v>0</v>
      </c>
      <c r="AT493" s="1" t="str">
        <f>IF(ISBLANK(W493),"",IF(ISERROR(MATCH(W493,HQLATABLE!$A:$A,0)),0,1))</f>
        <v/>
      </c>
      <c r="AU493" s="1" t="str">
        <f t="shared" si="63"/>
        <v>Blank</v>
      </c>
      <c r="AV493" s="1" t="str">
        <f t="shared" si="64"/>
        <v>Blank</v>
      </c>
      <c r="AW493" s="1">
        <f t="shared" si="65"/>
        <v>0</v>
      </c>
      <c r="AX493" s="1">
        <f t="shared" si="66"/>
        <v>0</v>
      </c>
      <c r="AY493" s="1"/>
      <c r="AZ493" s="1">
        <f>IF(COUNTIFS('PID CHECK'!$B:$B,AR493)=1,0,IF(COUNTIFS(AR$1:AR492,AR493)=1,0,1))</f>
        <v>0</v>
      </c>
      <c r="BA493" s="1"/>
      <c r="BB493" s="1"/>
    </row>
    <row r="494" spans="1:54">
      <c r="A494">
        <v>493</v>
      </c>
      <c r="B494" t="s">
        <v>82</v>
      </c>
      <c r="C494" t="s">
        <v>164</v>
      </c>
      <c r="D494" t="s">
        <v>153</v>
      </c>
      <c r="E494" t="s">
        <v>47</v>
      </c>
      <c r="F494" t="s">
        <v>50</v>
      </c>
      <c r="H494" t="s">
        <v>1023</v>
      </c>
      <c r="J494" t="s">
        <v>49</v>
      </c>
      <c r="K494" t="s">
        <v>50</v>
      </c>
      <c r="L494" t="s">
        <v>762</v>
      </c>
      <c r="M494" t="s">
        <v>762</v>
      </c>
      <c r="N494">
        <v>0.11</v>
      </c>
      <c r="R494" t="s">
        <v>1024</v>
      </c>
      <c r="S494" t="s">
        <v>1024</v>
      </c>
      <c r="Z494" t="s">
        <v>84</v>
      </c>
      <c r="AA494" t="s">
        <v>156</v>
      </c>
      <c r="AC494" t="s">
        <v>883</v>
      </c>
      <c r="AD494" t="s">
        <v>50</v>
      </c>
      <c r="AH494">
        <v>3</v>
      </c>
      <c r="AM494">
        <v>43465</v>
      </c>
      <c r="AN494">
        <v>43469</v>
      </c>
      <c r="AO494" s="2">
        <f t="shared" si="59"/>
        <v>39</v>
      </c>
      <c r="AP494" s="2">
        <f t="shared" si="60"/>
        <v>39</v>
      </c>
      <c r="AQ494" s="3">
        <f t="shared" si="61"/>
        <v>0</v>
      </c>
      <c r="AR494" s="1" t="str">
        <f>INDEX(IOS!$B:$B,MATCH(D494,IOS!A:A,0))&amp;B494</f>
        <v>O.D.5</v>
      </c>
      <c r="AS494" s="1">
        <f t="shared" si="62"/>
        <v>0</v>
      </c>
      <c r="AT494" s="1" t="str">
        <f>IF(ISBLANK(W494),"",IF(ISERROR(MATCH(W494,HQLATABLE!$A:$A,0)),0,1))</f>
        <v/>
      </c>
      <c r="AU494" s="1" t="str">
        <f t="shared" si="63"/>
        <v>Blank</v>
      </c>
      <c r="AV494" s="1" t="str">
        <f t="shared" si="64"/>
        <v>Blank</v>
      </c>
      <c r="AW494" s="1">
        <f t="shared" si="65"/>
        <v>0</v>
      </c>
      <c r="AX494" s="1">
        <f t="shared" si="66"/>
        <v>0</v>
      </c>
      <c r="AY494" s="1"/>
      <c r="AZ494" s="1">
        <f>IF(COUNTIFS('PID CHECK'!$B:$B,AR494)=1,0,IF(COUNTIFS(AR$1:AR493,AR494)=1,0,1))</f>
        <v>0</v>
      </c>
      <c r="BA494" s="1"/>
      <c r="BB494" s="1"/>
    </row>
    <row r="495" spans="1:54">
      <c r="A495">
        <v>494</v>
      </c>
      <c r="B495" t="s">
        <v>82</v>
      </c>
      <c r="C495" t="s">
        <v>164</v>
      </c>
      <c r="D495" t="s">
        <v>153</v>
      </c>
      <c r="E495" t="s">
        <v>47</v>
      </c>
      <c r="F495" t="s">
        <v>50</v>
      </c>
      <c r="H495" t="s">
        <v>1007</v>
      </c>
      <c r="J495" t="s">
        <v>49</v>
      </c>
      <c r="K495" t="s">
        <v>50</v>
      </c>
      <c r="L495" t="s">
        <v>762</v>
      </c>
      <c r="M495" t="s">
        <v>762</v>
      </c>
      <c r="N495">
        <v>0.25</v>
      </c>
      <c r="R495" t="s">
        <v>1008</v>
      </c>
      <c r="S495" t="s">
        <v>1008</v>
      </c>
      <c r="Z495" t="s">
        <v>84</v>
      </c>
      <c r="AA495" t="s">
        <v>154</v>
      </c>
      <c r="AC495" t="s">
        <v>883</v>
      </c>
      <c r="AD495" t="s">
        <v>50</v>
      </c>
      <c r="AH495">
        <v>3</v>
      </c>
      <c r="AM495">
        <v>43465</v>
      </c>
      <c r="AN495">
        <v>43469</v>
      </c>
      <c r="AO495" s="2">
        <f t="shared" si="59"/>
        <v>3</v>
      </c>
      <c r="AP495" s="2">
        <f t="shared" si="60"/>
        <v>3</v>
      </c>
      <c r="AQ495" s="3">
        <f t="shared" si="61"/>
        <v>1</v>
      </c>
      <c r="AR495" s="1" t="str">
        <f>INDEX(IOS!$B:$B,MATCH(D495,IOS!A:A,0))&amp;B495</f>
        <v>O.D.5</v>
      </c>
      <c r="AS495" s="1">
        <f t="shared" si="62"/>
        <v>0</v>
      </c>
      <c r="AT495" s="1" t="str">
        <f>IF(ISBLANK(W495),"",IF(ISERROR(MATCH(W495,HQLATABLE!$A:$A,0)),0,1))</f>
        <v/>
      </c>
      <c r="AU495" s="1" t="str">
        <f t="shared" si="63"/>
        <v>Blank</v>
      </c>
      <c r="AV495" s="1" t="str">
        <f t="shared" si="64"/>
        <v>Blank</v>
      </c>
      <c r="AW495" s="1">
        <f t="shared" si="65"/>
        <v>0</v>
      </c>
      <c r="AX495" s="1">
        <f t="shared" si="66"/>
        <v>0</v>
      </c>
      <c r="AY495" s="1"/>
      <c r="AZ495" s="1">
        <f>IF(COUNTIFS('PID CHECK'!$B:$B,AR495)=1,0,IF(COUNTIFS(AR$1:AR494,AR495)=1,0,1))</f>
        <v>0</v>
      </c>
      <c r="BA495" s="1"/>
      <c r="BB495" s="1"/>
    </row>
    <row r="496" spans="1:54">
      <c r="A496">
        <v>495</v>
      </c>
      <c r="B496" t="s">
        <v>82</v>
      </c>
      <c r="C496" t="s">
        <v>164</v>
      </c>
      <c r="D496" t="s">
        <v>153</v>
      </c>
      <c r="E496" t="s">
        <v>47</v>
      </c>
      <c r="F496" t="s">
        <v>50</v>
      </c>
      <c r="H496" t="s">
        <v>1007</v>
      </c>
      <c r="J496" t="s">
        <v>49</v>
      </c>
      <c r="K496" t="s">
        <v>50</v>
      </c>
      <c r="L496" t="s">
        <v>762</v>
      </c>
      <c r="M496" t="s">
        <v>762</v>
      </c>
      <c r="N496">
        <v>50.48</v>
      </c>
      <c r="R496" t="s">
        <v>1008</v>
      </c>
      <c r="S496" t="s">
        <v>1008</v>
      </c>
      <c r="Z496" t="s">
        <v>84</v>
      </c>
      <c r="AA496" t="s">
        <v>156</v>
      </c>
      <c r="AC496" t="s">
        <v>883</v>
      </c>
      <c r="AD496" t="s">
        <v>50</v>
      </c>
      <c r="AH496">
        <v>3</v>
      </c>
      <c r="AM496">
        <v>43465</v>
      </c>
      <c r="AN496">
        <v>43469</v>
      </c>
      <c r="AO496" s="2">
        <f t="shared" si="59"/>
        <v>3</v>
      </c>
      <c r="AP496" s="2">
        <f t="shared" si="60"/>
        <v>3</v>
      </c>
      <c r="AQ496" s="3">
        <f t="shared" si="61"/>
        <v>1</v>
      </c>
      <c r="AR496" s="1" t="str">
        <f>INDEX(IOS!$B:$B,MATCH(D496,IOS!A:A,0))&amp;B496</f>
        <v>O.D.5</v>
      </c>
      <c r="AS496" s="1">
        <f t="shared" si="62"/>
        <v>0</v>
      </c>
      <c r="AT496" s="1" t="str">
        <f>IF(ISBLANK(W496),"",IF(ISERROR(MATCH(W496,HQLATABLE!$A:$A,0)),0,1))</f>
        <v/>
      </c>
      <c r="AU496" s="1" t="str">
        <f t="shared" si="63"/>
        <v>Blank</v>
      </c>
      <c r="AV496" s="1" t="str">
        <f t="shared" si="64"/>
        <v>Blank</v>
      </c>
      <c r="AW496" s="1">
        <f t="shared" si="65"/>
        <v>0</v>
      </c>
      <c r="AX496" s="1">
        <f t="shared" si="66"/>
        <v>0</v>
      </c>
      <c r="AY496" s="1"/>
      <c r="AZ496" s="1">
        <f>IF(COUNTIFS('PID CHECK'!$B:$B,AR496)=1,0,IF(COUNTIFS(AR$1:AR495,AR496)=1,0,1))</f>
        <v>0</v>
      </c>
      <c r="BA496" s="1"/>
      <c r="BB496" s="1"/>
    </row>
    <row r="497" spans="1:54">
      <c r="A497">
        <v>496</v>
      </c>
      <c r="B497" t="s">
        <v>82</v>
      </c>
      <c r="C497" t="s">
        <v>164</v>
      </c>
      <c r="D497" t="s">
        <v>153</v>
      </c>
      <c r="E497" t="s">
        <v>47</v>
      </c>
      <c r="F497" t="s">
        <v>50</v>
      </c>
      <c r="H497" t="s">
        <v>1038</v>
      </c>
      <c r="J497" t="s">
        <v>49</v>
      </c>
      <c r="K497" t="s">
        <v>50</v>
      </c>
      <c r="L497" t="s">
        <v>762</v>
      </c>
      <c r="M497" t="s">
        <v>762</v>
      </c>
      <c r="N497">
        <v>0.25</v>
      </c>
      <c r="R497" t="s">
        <v>1039</v>
      </c>
      <c r="S497" t="s">
        <v>1039</v>
      </c>
      <c r="Z497" t="s">
        <v>84</v>
      </c>
      <c r="AA497" t="s">
        <v>154</v>
      </c>
      <c r="AC497" t="s">
        <v>883</v>
      </c>
      <c r="AD497" t="s">
        <v>50</v>
      </c>
      <c r="AH497">
        <v>3</v>
      </c>
      <c r="AM497">
        <v>43465</v>
      </c>
      <c r="AN497">
        <v>43469</v>
      </c>
      <c r="AO497" s="2">
        <f t="shared" si="59"/>
        <v>44</v>
      </c>
      <c r="AP497" s="2">
        <f t="shared" si="60"/>
        <v>44</v>
      </c>
      <c r="AQ497" s="3">
        <f t="shared" si="61"/>
        <v>0</v>
      </c>
      <c r="AR497" s="1" t="str">
        <f>INDEX(IOS!$B:$B,MATCH(D497,IOS!A:A,0))&amp;B497</f>
        <v>O.D.5</v>
      </c>
      <c r="AS497" s="1">
        <f t="shared" si="62"/>
        <v>0</v>
      </c>
      <c r="AT497" s="1" t="str">
        <f>IF(ISBLANK(W497),"",IF(ISERROR(MATCH(W497,HQLATABLE!$A:$A,0)),0,1))</f>
        <v/>
      </c>
      <c r="AU497" s="1" t="str">
        <f t="shared" si="63"/>
        <v>Blank</v>
      </c>
      <c r="AV497" s="1" t="str">
        <f t="shared" si="64"/>
        <v>Blank</v>
      </c>
      <c r="AW497" s="1">
        <f t="shared" si="65"/>
        <v>0</v>
      </c>
      <c r="AX497" s="1">
        <f t="shared" si="66"/>
        <v>0</v>
      </c>
      <c r="AY497" s="1"/>
      <c r="AZ497" s="1">
        <f>IF(COUNTIFS('PID CHECK'!$B:$B,AR497)=1,0,IF(COUNTIFS(AR$1:AR496,AR497)=1,0,1))</f>
        <v>0</v>
      </c>
      <c r="BA497" s="1"/>
      <c r="BB497" s="1"/>
    </row>
    <row r="498" spans="1:54">
      <c r="A498">
        <v>497</v>
      </c>
      <c r="B498" t="s">
        <v>82</v>
      </c>
      <c r="C498" t="s">
        <v>164</v>
      </c>
      <c r="D498" t="s">
        <v>153</v>
      </c>
      <c r="E498" t="s">
        <v>47</v>
      </c>
      <c r="F498" t="s">
        <v>50</v>
      </c>
      <c r="H498" t="s">
        <v>1009</v>
      </c>
      <c r="J498" t="s">
        <v>49</v>
      </c>
      <c r="K498" t="s">
        <v>50</v>
      </c>
      <c r="L498" t="s">
        <v>762</v>
      </c>
      <c r="M498" t="s">
        <v>762</v>
      </c>
      <c r="N498">
        <v>0.1</v>
      </c>
      <c r="R498" t="s">
        <v>1010</v>
      </c>
      <c r="S498" t="s">
        <v>1010</v>
      </c>
      <c r="Z498" t="s">
        <v>84</v>
      </c>
      <c r="AA498" t="s">
        <v>154</v>
      </c>
      <c r="AC498" t="s">
        <v>883</v>
      </c>
      <c r="AD498" t="s">
        <v>50</v>
      </c>
      <c r="AH498">
        <v>3</v>
      </c>
      <c r="AM498">
        <v>43465</v>
      </c>
      <c r="AN498">
        <v>43469</v>
      </c>
      <c r="AO498" s="2">
        <f t="shared" si="59"/>
        <v>45</v>
      </c>
      <c r="AP498" s="2">
        <f t="shared" si="60"/>
        <v>45</v>
      </c>
      <c r="AQ498" s="3">
        <f t="shared" si="61"/>
        <v>0</v>
      </c>
      <c r="AR498" s="1" t="str">
        <f>INDEX(IOS!$B:$B,MATCH(D498,IOS!A:A,0))&amp;B498</f>
        <v>O.D.5</v>
      </c>
      <c r="AS498" s="1">
        <f t="shared" si="62"/>
        <v>0</v>
      </c>
      <c r="AT498" s="1" t="str">
        <f>IF(ISBLANK(W498),"",IF(ISERROR(MATCH(W498,HQLATABLE!$A:$A,0)),0,1))</f>
        <v/>
      </c>
      <c r="AU498" s="1" t="str">
        <f t="shared" si="63"/>
        <v>Blank</v>
      </c>
      <c r="AV498" s="1" t="str">
        <f t="shared" si="64"/>
        <v>Blank</v>
      </c>
      <c r="AW498" s="1">
        <f t="shared" si="65"/>
        <v>0</v>
      </c>
      <c r="AX498" s="1">
        <f t="shared" si="66"/>
        <v>0</v>
      </c>
      <c r="AY498" s="1"/>
      <c r="AZ498" s="1">
        <f>IF(COUNTIFS('PID CHECK'!$B:$B,AR498)=1,0,IF(COUNTIFS(AR$1:AR497,AR498)=1,0,1))</f>
        <v>0</v>
      </c>
      <c r="BA498" s="1"/>
      <c r="BB498" s="1"/>
    </row>
    <row r="499" spans="1:54">
      <c r="A499">
        <v>498</v>
      </c>
      <c r="B499" t="s">
        <v>82</v>
      </c>
      <c r="C499" t="s">
        <v>164</v>
      </c>
      <c r="D499" t="s">
        <v>153</v>
      </c>
      <c r="E499" t="s">
        <v>47</v>
      </c>
      <c r="F499" t="s">
        <v>50</v>
      </c>
      <c r="H499" t="s">
        <v>1011</v>
      </c>
      <c r="J499" t="s">
        <v>49</v>
      </c>
      <c r="K499" t="s">
        <v>50</v>
      </c>
      <c r="L499" t="s">
        <v>762</v>
      </c>
      <c r="M499" t="s">
        <v>762</v>
      </c>
      <c r="N499">
        <v>0.75</v>
      </c>
      <c r="R499" t="s">
        <v>1012</v>
      </c>
      <c r="S499" t="s">
        <v>1012</v>
      </c>
      <c r="Z499" t="s">
        <v>84</v>
      </c>
      <c r="AA499" t="s">
        <v>154</v>
      </c>
      <c r="AC499" t="s">
        <v>883</v>
      </c>
      <c r="AD499" t="s">
        <v>50</v>
      </c>
      <c r="AH499">
        <v>3</v>
      </c>
      <c r="AM499">
        <v>43465</v>
      </c>
      <c r="AN499">
        <v>43469</v>
      </c>
      <c r="AO499" s="2">
        <f t="shared" si="59"/>
        <v>46</v>
      </c>
      <c r="AP499" s="2">
        <f t="shared" si="60"/>
        <v>46</v>
      </c>
      <c r="AQ499" s="3">
        <f t="shared" si="61"/>
        <v>0</v>
      </c>
      <c r="AR499" s="1" t="str">
        <f>INDEX(IOS!$B:$B,MATCH(D499,IOS!A:A,0))&amp;B499</f>
        <v>O.D.5</v>
      </c>
      <c r="AS499" s="1">
        <f t="shared" si="62"/>
        <v>0</v>
      </c>
      <c r="AT499" s="1" t="str">
        <f>IF(ISBLANK(W499),"",IF(ISERROR(MATCH(W499,HQLATABLE!$A:$A,0)),0,1))</f>
        <v/>
      </c>
      <c r="AU499" s="1" t="str">
        <f t="shared" si="63"/>
        <v>Blank</v>
      </c>
      <c r="AV499" s="1" t="str">
        <f t="shared" si="64"/>
        <v>Blank</v>
      </c>
      <c r="AW499" s="1">
        <f t="shared" si="65"/>
        <v>0</v>
      </c>
      <c r="AX499" s="1">
        <f t="shared" si="66"/>
        <v>0</v>
      </c>
      <c r="AY499" s="1"/>
      <c r="AZ499" s="1">
        <f>IF(COUNTIFS('PID CHECK'!$B:$B,AR499)=1,0,IF(COUNTIFS(AR$1:AR498,AR499)=1,0,1))</f>
        <v>0</v>
      </c>
      <c r="BA499" s="1"/>
      <c r="BB499" s="1"/>
    </row>
    <row r="500" spans="1:54">
      <c r="A500">
        <v>499</v>
      </c>
      <c r="B500" t="s">
        <v>82</v>
      </c>
      <c r="C500" t="s">
        <v>164</v>
      </c>
      <c r="D500" t="s">
        <v>153</v>
      </c>
      <c r="E500" t="s">
        <v>47</v>
      </c>
      <c r="F500" t="s">
        <v>50</v>
      </c>
      <c r="H500" t="s">
        <v>1013</v>
      </c>
      <c r="J500" t="s">
        <v>49</v>
      </c>
      <c r="K500" t="s">
        <v>50</v>
      </c>
      <c r="L500" t="s">
        <v>762</v>
      </c>
      <c r="M500" t="s">
        <v>762</v>
      </c>
      <c r="N500">
        <v>0.02</v>
      </c>
      <c r="R500" t="s">
        <v>1014</v>
      </c>
      <c r="S500" t="s">
        <v>1014</v>
      </c>
      <c r="Z500" t="s">
        <v>84</v>
      </c>
      <c r="AA500" t="s">
        <v>154</v>
      </c>
      <c r="AC500" t="s">
        <v>883</v>
      </c>
      <c r="AD500" t="s">
        <v>50</v>
      </c>
      <c r="AH500">
        <v>3</v>
      </c>
      <c r="AM500">
        <v>43465</v>
      </c>
      <c r="AN500">
        <v>43469</v>
      </c>
      <c r="AO500" s="2">
        <f t="shared" si="59"/>
        <v>4</v>
      </c>
      <c r="AP500" s="2">
        <f t="shared" si="60"/>
        <v>4</v>
      </c>
      <c r="AQ500" s="3">
        <f t="shared" si="61"/>
        <v>1</v>
      </c>
      <c r="AR500" s="1" t="str">
        <f>INDEX(IOS!$B:$B,MATCH(D500,IOS!A:A,0))&amp;B500</f>
        <v>O.D.5</v>
      </c>
      <c r="AS500" s="1">
        <f t="shared" si="62"/>
        <v>0</v>
      </c>
      <c r="AT500" s="1" t="str">
        <f>IF(ISBLANK(W500),"",IF(ISERROR(MATCH(W500,HQLATABLE!$A:$A,0)),0,1))</f>
        <v/>
      </c>
      <c r="AU500" s="1" t="str">
        <f t="shared" si="63"/>
        <v>Blank</v>
      </c>
      <c r="AV500" s="1" t="str">
        <f t="shared" si="64"/>
        <v>Blank</v>
      </c>
      <c r="AW500" s="1">
        <f t="shared" si="65"/>
        <v>0</v>
      </c>
      <c r="AX500" s="1">
        <f t="shared" si="66"/>
        <v>0</v>
      </c>
      <c r="AY500" s="1"/>
      <c r="AZ500" s="1">
        <f>IF(COUNTIFS('PID CHECK'!$B:$B,AR500)=1,0,IF(COUNTIFS(AR$1:AR499,AR500)=1,0,1))</f>
        <v>0</v>
      </c>
      <c r="BA500" s="1"/>
      <c r="BB500" s="1"/>
    </row>
    <row r="501" spans="1:54">
      <c r="A501">
        <v>500</v>
      </c>
      <c r="B501" t="s">
        <v>82</v>
      </c>
      <c r="C501" t="s">
        <v>164</v>
      </c>
      <c r="D501" t="s">
        <v>153</v>
      </c>
      <c r="E501" t="s">
        <v>47</v>
      </c>
      <c r="F501" t="s">
        <v>50</v>
      </c>
      <c r="H501" t="s">
        <v>1013</v>
      </c>
      <c r="J501" t="s">
        <v>49</v>
      </c>
      <c r="K501" t="s">
        <v>50</v>
      </c>
      <c r="L501" t="s">
        <v>762</v>
      </c>
      <c r="M501" t="s">
        <v>762</v>
      </c>
      <c r="N501">
        <v>42.26</v>
      </c>
      <c r="R501" t="s">
        <v>1014</v>
      </c>
      <c r="S501" t="s">
        <v>1014</v>
      </c>
      <c r="Z501" t="s">
        <v>84</v>
      </c>
      <c r="AA501" t="s">
        <v>156</v>
      </c>
      <c r="AC501" t="s">
        <v>883</v>
      </c>
      <c r="AD501" t="s">
        <v>50</v>
      </c>
      <c r="AH501">
        <v>3</v>
      </c>
      <c r="AM501">
        <v>43465</v>
      </c>
      <c r="AN501">
        <v>43469</v>
      </c>
      <c r="AO501" s="2">
        <f t="shared" si="59"/>
        <v>4</v>
      </c>
      <c r="AP501" s="2">
        <f t="shared" si="60"/>
        <v>4</v>
      </c>
      <c r="AQ501" s="3">
        <f t="shared" si="61"/>
        <v>1</v>
      </c>
      <c r="AR501" s="1" t="str">
        <f>INDEX(IOS!$B:$B,MATCH(D501,IOS!A:A,0))&amp;B501</f>
        <v>O.D.5</v>
      </c>
      <c r="AS501" s="1">
        <f t="shared" si="62"/>
        <v>0</v>
      </c>
      <c r="AT501" s="1" t="str">
        <f>IF(ISBLANK(W501),"",IF(ISERROR(MATCH(W501,HQLATABLE!$A:$A,0)),0,1))</f>
        <v/>
      </c>
      <c r="AU501" s="1" t="str">
        <f t="shared" si="63"/>
        <v>Blank</v>
      </c>
      <c r="AV501" s="1" t="str">
        <f t="shared" si="64"/>
        <v>Blank</v>
      </c>
      <c r="AW501" s="1">
        <f t="shared" si="65"/>
        <v>0</v>
      </c>
      <c r="AX501" s="1">
        <f t="shared" si="66"/>
        <v>0</v>
      </c>
      <c r="AY501" s="1"/>
      <c r="AZ501" s="1">
        <f>IF(COUNTIFS('PID CHECK'!$B:$B,AR501)=1,0,IF(COUNTIFS(AR$1:AR500,AR501)=1,0,1))</f>
        <v>0</v>
      </c>
      <c r="BA501" s="1"/>
      <c r="BB501" s="1"/>
    </row>
    <row r="502" spans="1:54">
      <c r="A502">
        <v>501</v>
      </c>
      <c r="B502" t="s">
        <v>82</v>
      </c>
      <c r="C502" t="s">
        <v>164</v>
      </c>
      <c r="D502" t="s">
        <v>153</v>
      </c>
      <c r="E502" t="s">
        <v>47</v>
      </c>
      <c r="F502" t="s">
        <v>50</v>
      </c>
      <c r="H502" t="s">
        <v>1040</v>
      </c>
      <c r="J502" t="s">
        <v>49</v>
      </c>
      <c r="K502" t="s">
        <v>50</v>
      </c>
      <c r="L502" t="s">
        <v>762</v>
      </c>
      <c r="M502" t="s">
        <v>762</v>
      </c>
      <c r="N502">
        <v>0.25</v>
      </c>
      <c r="R502" t="s">
        <v>1041</v>
      </c>
      <c r="S502" t="s">
        <v>1041</v>
      </c>
      <c r="Z502" t="s">
        <v>84</v>
      </c>
      <c r="AA502" t="s">
        <v>154</v>
      </c>
      <c r="AC502" t="s">
        <v>883</v>
      </c>
      <c r="AD502" t="s">
        <v>50</v>
      </c>
      <c r="AH502">
        <v>3</v>
      </c>
      <c r="AM502">
        <v>43465</v>
      </c>
      <c r="AN502">
        <v>43469</v>
      </c>
      <c r="AO502" s="2">
        <f t="shared" si="59"/>
        <v>50</v>
      </c>
      <c r="AP502" s="2">
        <f t="shared" si="60"/>
        <v>50</v>
      </c>
      <c r="AQ502" s="3">
        <f t="shared" si="61"/>
        <v>0</v>
      </c>
      <c r="AR502" s="1" t="str">
        <f>INDEX(IOS!$B:$B,MATCH(D502,IOS!A:A,0))&amp;B502</f>
        <v>O.D.5</v>
      </c>
      <c r="AS502" s="1">
        <f t="shared" si="62"/>
        <v>0</v>
      </c>
      <c r="AT502" s="1" t="str">
        <f>IF(ISBLANK(W502),"",IF(ISERROR(MATCH(W502,HQLATABLE!$A:$A,0)),0,1))</f>
        <v/>
      </c>
      <c r="AU502" s="1" t="str">
        <f t="shared" si="63"/>
        <v>Blank</v>
      </c>
      <c r="AV502" s="1" t="str">
        <f t="shared" si="64"/>
        <v>Blank</v>
      </c>
      <c r="AW502" s="1">
        <f t="shared" si="65"/>
        <v>0</v>
      </c>
      <c r="AX502" s="1">
        <f t="shared" si="66"/>
        <v>0</v>
      </c>
      <c r="AY502" s="1"/>
      <c r="AZ502" s="1">
        <f>IF(COUNTIFS('PID CHECK'!$B:$B,AR502)=1,0,IF(COUNTIFS(AR$1:AR501,AR502)=1,0,1))</f>
        <v>0</v>
      </c>
      <c r="BA502" s="1"/>
      <c r="BB502" s="1"/>
    </row>
    <row r="503" spans="1:54">
      <c r="A503">
        <v>502</v>
      </c>
      <c r="B503" t="s">
        <v>82</v>
      </c>
      <c r="C503" t="s">
        <v>164</v>
      </c>
      <c r="D503" t="s">
        <v>153</v>
      </c>
      <c r="E503" t="s">
        <v>47</v>
      </c>
      <c r="F503" t="s">
        <v>50</v>
      </c>
      <c r="H503" t="s">
        <v>1040</v>
      </c>
      <c r="J503" t="s">
        <v>49</v>
      </c>
      <c r="K503" t="s">
        <v>50</v>
      </c>
      <c r="L503" t="s">
        <v>762</v>
      </c>
      <c r="M503" t="s">
        <v>762</v>
      </c>
      <c r="N503">
        <v>89.94</v>
      </c>
      <c r="R503" t="s">
        <v>1041</v>
      </c>
      <c r="S503" t="s">
        <v>1041</v>
      </c>
      <c r="Z503" t="s">
        <v>84</v>
      </c>
      <c r="AA503" t="s">
        <v>156</v>
      </c>
      <c r="AC503" t="s">
        <v>883</v>
      </c>
      <c r="AD503" t="s">
        <v>50</v>
      </c>
      <c r="AH503">
        <v>3</v>
      </c>
      <c r="AM503">
        <v>43465</v>
      </c>
      <c r="AN503">
        <v>43469</v>
      </c>
      <c r="AO503" s="2">
        <f t="shared" si="59"/>
        <v>50</v>
      </c>
      <c r="AP503" s="2">
        <f t="shared" si="60"/>
        <v>50</v>
      </c>
      <c r="AQ503" s="3">
        <f t="shared" si="61"/>
        <v>0</v>
      </c>
      <c r="AR503" s="1" t="str">
        <f>INDEX(IOS!$B:$B,MATCH(D503,IOS!A:A,0))&amp;B503</f>
        <v>O.D.5</v>
      </c>
      <c r="AS503" s="1">
        <f t="shared" si="62"/>
        <v>0</v>
      </c>
      <c r="AT503" s="1" t="str">
        <f>IF(ISBLANK(W503),"",IF(ISERROR(MATCH(W503,HQLATABLE!$A:$A,0)),0,1))</f>
        <v/>
      </c>
      <c r="AU503" s="1" t="str">
        <f t="shared" si="63"/>
        <v>Blank</v>
      </c>
      <c r="AV503" s="1" t="str">
        <f t="shared" si="64"/>
        <v>Blank</v>
      </c>
      <c r="AW503" s="1">
        <f t="shared" si="65"/>
        <v>0</v>
      </c>
      <c r="AX503" s="1">
        <f t="shared" si="66"/>
        <v>0</v>
      </c>
      <c r="AY503" s="1"/>
      <c r="AZ503" s="1">
        <f>IF(COUNTIFS('PID CHECK'!$B:$B,AR503)=1,0,IF(COUNTIFS(AR$1:AR502,AR503)=1,0,1))</f>
        <v>0</v>
      </c>
      <c r="BA503" s="1"/>
      <c r="BB503" s="1"/>
    </row>
    <row r="504" spans="1:54">
      <c r="A504">
        <v>503</v>
      </c>
      <c r="B504" t="s">
        <v>82</v>
      </c>
      <c r="C504" t="s">
        <v>164</v>
      </c>
      <c r="D504" t="s">
        <v>153</v>
      </c>
      <c r="E504" t="s">
        <v>47</v>
      </c>
      <c r="F504" t="s">
        <v>50</v>
      </c>
      <c r="H504" t="s">
        <v>1052</v>
      </c>
      <c r="J504" t="s">
        <v>49</v>
      </c>
      <c r="K504" t="s">
        <v>50</v>
      </c>
      <c r="L504" t="s">
        <v>762</v>
      </c>
      <c r="M504" t="s">
        <v>762</v>
      </c>
      <c r="N504">
        <v>0.26</v>
      </c>
      <c r="R504" t="s">
        <v>1053</v>
      </c>
      <c r="S504" t="s">
        <v>1053</v>
      </c>
      <c r="Z504" t="s">
        <v>84</v>
      </c>
      <c r="AA504" t="s">
        <v>154</v>
      </c>
      <c r="AC504" t="s">
        <v>883</v>
      </c>
      <c r="AD504" t="s">
        <v>50</v>
      </c>
      <c r="AH504">
        <v>3</v>
      </c>
      <c r="AM504">
        <v>43465</v>
      </c>
      <c r="AN504">
        <v>43469</v>
      </c>
      <c r="AO504" s="2">
        <f t="shared" si="59"/>
        <v>51</v>
      </c>
      <c r="AP504" s="2">
        <f t="shared" si="60"/>
        <v>51</v>
      </c>
      <c r="AQ504" s="3">
        <f t="shared" si="61"/>
        <v>0</v>
      </c>
      <c r="AR504" s="1" t="str">
        <f>INDEX(IOS!$B:$B,MATCH(D504,IOS!A:A,0))&amp;B504</f>
        <v>O.D.5</v>
      </c>
      <c r="AS504" s="1">
        <f t="shared" si="62"/>
        <v>0</v>
      </c>
      <c r="AT504" s="1" t="str">
        <f>IF(ISBLANK(W504),"",IF(ISERROR(MATCH(W504,HQLATABLE!$A:$A,0)),0,1))</f>
        <v/>
      </c>
      <c r="AU504" s="1" t="str">
        <f t="shared" si="63"/>
        <v>Blank</v>
      </c>
      <c r="AV504" s="1" t="str">
        <f t="shared" si="64"/>
        <v>Blank</v>
      </c>
      <c r="AW504" s="1">
        <f t="shared" si="65"/>
        <v>0</v>
      </c>
      <c r="AX504" s="1">
        <f t="shared" si="66"/>
        <v>0</v>
      </c>
      <c r="AY504" s="1"/>
      <c r="AZ504" s="1">
        <f>IF(COUNTIFS('PID CHECK'!$B:$B,AR504)=1,0,IF(COUNTIFS(AR$1:AR503,AR504)=1,0,1))</f>
        <v>0</v>
      </c>
      <c r="BA504" s="1"/>
      <c r="BB504" s="1"/>
    </row>
    <row r="505" spans="1:54">
      <c r="A505">
        <v>504</v>
      </c>
      <c r="B505" t="s">
        <v>82</v>
      </c>
      <c r="C505" t="s">
        <v>164</v>
      </c>
      <c r="D505" t="s">
        <v>153</v>
      </c>
      <c r="E505" t="s">
        <v>47</v>
      </c>
      <c r="F505" t="s">
        <v>50</v>
      </c>
      <c r="H505" t="s">
        <v>1052</v>
      </c>
      <c r="J505" t="s">
        <v>49</v>
      </c>
      <c r="K505" t="s">
        <v>50</v>
      </c>
      <c r="L505" t="s">
        <v>762</v>
      </c>
      <c r="M505" t="s">
        <v>762</v>
      </c>
      <c r="N505">
        <v>12.52</v>
      </c>
      <c r="R505" t="s">
        <v>1053</v>
      </c>
      <c r="S505" t="s">
        <v>1053</v>
      </c>
      <c r="Z505" t="s">
        <v>84</v>
      </c>
      <c r="AA505" t="s">
        <v>156</v>
      </c>
      <c r="AC505" t="s">
        <v>883</v>
      </c>
      <c r="AD505" t="s">
        <v>50</v>
      </c>
      <c r="AH505">
        <v>3</v>
      </c>
      <c r="AM505">
        <v>43465</v>
      </c>
      <c r="AN505">
        <v>43469</v>
      </c>
      <c r="AO505" s="2">
        <f t="shared" si="59"/>
        <v>51</v>
      </c>
      <c r="AP505" s="2">
        <f t="shared" si="60"/>
        <v>51</v>
      </c>
      <c r="AQ505" s="3">
        <f t="shared" si="61"/>
        <v>0</v>
      </c>
      <c r="AR505" s="1" t="str">
        <f>INDEX(IOS!$B:$B,MATCH(D505,IOS!A:A,0))&amp;B505</f>
        <v>O.D.5</v>
      </c>
      <c r="AS505" s="1">
        <f t="shared" si="62"/>
        <v>0</v>
      </c>
      <c r="AT505" s="1" t="str">
        <f>IF(ISBLANK(W505),"",IF(ISERROR(MATCH(W505,HQLATABLE!$A:$A,0)),0,1))</f>
        <v/>
      </c>
      <c r="AU505" s="1" t="str">
        <f t="shared" si="63"/>
        <v>Blank</v>
      </c>
      <c r="AV505" s="1" t="str">
        <f t="shared" si="64"/>
        <v>Blank</v>
      </c>
      <c r="AW505" s="1">
        <f t="shared" si="65"/>
        <v>0</v>
      </c>
      <c r="AX505" s="1">
        <f t="shared" si="66"/>
        <v>0</v>
      </c>
      <c r="AY505" s="1"/>
      <c r="AZ505" s="1">
        <f>IF(COUNTIFS('PID CHECK'!$B:$B,AR505)=1,0,IF(COUNTIFS(AR$1:AR504,AR505)=1,0,1))</f>
        <v>0</v>
      </c>
      <c r="BA505" s="1"/>
      <c r="BB505" s="1"/>
    </row>
    <row r="506" spans="1:54">
      <c r="A506">
        <v>505</v>
      </c>
      <c r="B506" t="s">
        <v>82</v>
      </c>
      <c r="C506" t="s">
        <v>164</v>
      </c>
      <c r="D506" t="s">
        <v>153</v>
      </c>
      <c r="E506" t="s">
        <v>47</v>
      </c>
      <c r="F506" t="s">
        <v>50</v>
      </c>
      <c r="H506" t="s">
        <v>1042</v>
      </c>
      <c r="J506" t="s">
        <v>49</v>
      </c>
      <c r="K506" t="s">
        <v>50</v>
      </c>
      <c r="L506" t="s">
        <v>762</v>
      </c>
      <c r="M506" t="s">
        <v>762</v>
      </c>
      <c r="N506">
        <v>0.23</v>
      </c>
      <c r="R506" t="s">
        <v>1043</v>
      </c>
      <c r="S506" t="s">
        <v>1043</v>
      </c>
      <c r="Z506" t="s">
        <v>84</v>
      </c>
      <c r="AA506" t="s">
        <v>154</v>
      </c>
      <c r="AC506" t="s">
        <v>883</v>
      </c>
      <c r="AD506" t="s">
        <v>50</v>
      </c>
      <c r="AH506">
        <v>3</v>
      </c>
      <c r="AM506">
        <v>43465</v>
      </c>
      <c r="AN506">
        <v>43469</v>
      </c>
      <c r="AO506" s="2">
        <f t="shared" si="59"/>
        <v>52</v>
      </c>
      <c r="AP506" s="2">
        <f t="shared" si="60"/>
        <v>52</v>
      </c>
      <c r="AQ506" s="3">
        <f t="shared" si="61"/>
        <v>0</v>
      </c>
      <c r="AR506" s="1" t="str">
        <f>INDEX(IOS!$B:$B,MATCH(D506,IOS!A:A,0))&amp;B506</f>
        <v>O.D.5</v>
      </c>
      <c r="AS506" s="1">
        <f t="shared" si="62"/>
        <v>0</v>
      </c>
      <c r="AT506" s="1" t="str">
        <f>IF(ISBLANK(W506),"",IF(ISERROR(MATCH(W506,HQLATABLE!$A:$A,0)),0,1))</f>
        <v/>
      </c>
      <c r="AU506" s="1" t="str">
        <f t="shared" si="63"/>
        <v>Blank</v>
      </c>
      <c r="AV506" s="1" t="str">
        <f t="shared" si="64"/>
        <v>Blank</v>
      </c>
      <c r="AW506" s="1">
        <f t="shared" si="65"/>
        <v>0</v>
      </c>
      <c r="AX506" s="1">
        <f t="shared" si="66"/>
        <v>0</v>
      </c>
      <c r="AY506" s="1"/>
      <c r="AZ506" s="1">
        <f>IF(COUNTIFS('PID CHECK'!$B:$B,AR506)=1,0,IF(COUNTIFS(AR$1:AR505,AR506)=1,0,1))</f>
        <v>0</v>
      </c>
      <c r="BA506" s="1"/>
      <c r="BB506" s="1"/>
    </row>
    <row r="507" spans="1:54">
      <c r="A507">
        <v>506</v>
      </c>
      <c r="B507" t="s">
        <v>82</v>
      </c>
      <c r="C507" t="s">
        <v>164</v>
      </c>
      <c r="D507" t="s">
        <v>153</v>
      </c>
      <c r="E507" t="s">
        <v>47</v>
      </c>
      <c r="F507" t="s">
        <v>50</v>
      </c>
      <c r="H507" t="s">
        <v>1015</v>
      </c>
      <c r="J507" t="s">
        <v>49</v>
      </c>
      <c r="K507" t="s">
        <v>50</v>
      </c>
      <c r="L507" t="s">
        <v>762</v>
      </c>
      <c r="M507" t="s">
        <v>762</v>
      </c>
      <c r="N507">
        <v>0.28999999999999998</v>
      </c>
      <c r="R507" t="s">
        <v>1016</v>
      </c>
      <c r="S507" t="s">
        <v>1016</v>
      </c>
      <c r="Z507" t="s">
        <v>84</v>
      </c>
      <c r="AA507" t="s">
        <v>154</v>
      </c>
      <c r="AC507" t="s">
        <v>883</v>
      </c>
      <c r="AD507" t="s">
        <v>50</v>
      </c>
      <c r="AH507">
        <v>3</v>
      </c>
      <c r="AM507">
        <v>43465</v>
      </c>
      <c r="AN507">
        <v>43469</v>
      </c>
      <c r="AO507" s="2">
        <f t="shared" si="59"/>
        <v>53</v>
      </c>
      <c r="AP507" s="2">
        <f t="shared" si="60"/>
        <v>53</v>
      </c>
      <c r="AQ507" s="3">
        <f t="shared" si="61"/>
        <v>0</v>
      </c>
      <c r="AR507" s="1" t="str">
        <f>INDEX(IOS!$B:$B,MATCH(D507,IOS!A:A,0))&amp;B507</f>
        <v>O.D.5</v>
      </c>
      <c r="AS507" s="1">
        <f t="shared" si="62"/>
        <v>0</v>
      </c>
      <c r="AT507" s="1" t="str">
        <f>IF(ISBLANK(W507),"",IF(ISERROR(MATCH(W507,HQLATABLE!$A:$A,0)),0,1))</f>
        <v/>
      </c>
      <c r="AU507" s="1" t="str">
        <f t="shared" si="63"/>
        <v>Blank</v>
      </c>
      <c r="AV507" s="1" t="str">
        <f t="shared" si="64"/>
        <v>Blank</v>
      </c>
      <c r="AW507" s="1">
        <f t="shared" si="65"/>
        <v>0</v>
      </c>
      <c r="AX507" s="1">
        <f t="shared" si="66"/>
        <v>0</v>
      </c>
      <c r="AY507" s="1"/>
      <c r="AZ507" s="1">
        <f>IF(COUNTIFS('PID CHECK'!$B:$B,AR507)=1,0,IF(COUNTIFS(AR$1:AR506,AR507)=1,0,1))</f>
        <v>0</v>
      </c>
      <c r="BA507" s="1"/>
      <c r="BB507" s="1"/>
    </row>
    <row r="508" spans="1:54">
      <c r="A508">
        <v>507</v>
      </c>
      <c r="B508" t="s">
        <v>82</v>
      </c>
      <c r="C508" t="s">
        <v>164</v>
      </c>
      <c r="D508" t="s">
        <v>153</v>
      </c>
      <c r="E508" t="s">
        <v>47</v>
      </c>
      <c r="F508" t="s">
        <v>50</v>
      </c>
      <c r="H508" t="s">
        <v>92</v>
      </c>
      <c r="J508" t="s">
        <v>49</v>
      </c>
      <c r="K508" t="s">
        <v>50</v>
      </c>
      <c r="L508" t="s">
        <v>762</v>
      </c>
      <c r="M508" t="s">
        <v>762</v>
      </c>
      <c r="N508">
        <v>0</v>
      </c>
      <c r="R508" t="s">
        <v>93</v>
      </c>
      <c r="S508" t="s">
        <v>93</v>
      </c>
      <c r="Z508" t="s">
        <v>84</v>
      </c>
      <c r="AA508" t="s">
        <v>154</v>
      </c>
      <c r="AC508" t="s">
        <v>883</v>
      </c>
      <c r="AD508" t="s">
        <v>50</v>
      </c>
      <c r="AH508">
        <v>3</v>
      </c>
      <c r="AM508">
        <v>43465</v>
      </c>
      <c r="AN508">
        <v>43469</v>
      </c>
      <c r="AO508" s="2">
        <f t="shared" si="59"/>
        <v>56</v>
      </c>
      <c r="AP508" s="2">
        <f t="shared" si="60"/>
        <v>56</v>
      </c>
      <c r="AQ508" s="3">
        <f t="shared" si="61"/>
        <v>0</v>
      </c>
      <c r="AR508" s="1" t="str">
        <f>INDEX(IOS!$B:$B,MATCH(D508,IOS!A:A,0))&amp;B508</f>
        <v>O.D.5</v>
      </c>
      <c r="AS508" s="1">
        <f t="shared" si="62"/>
        <v>0</v>
      </c>
      <c r="AT508" s="1" t="str">
        <f>IF(ISBLANK(W508),"",IF(ISERROR(MATCH(W508,HQLATABLE!$A:$A,0)),0,1))</f>
        <v/>
      </c>
      <c r="AU508" s="1" t="str">
        <f t="shared" si="63"/>
        <v>Blank</v>
      </c>
      <c r="AV508" s="1" t="str">
        <f t="shared" si="64"/>
        <v>Blank</v>
      </c>
      <c r="AW508" s="1">
        <f t="shared" si="65"/>
        <v>0</v>
      </c>
      <c r="AX508" s="1">
        <f t="shared" si="66"/>
        <v>0</v>
      </c>
      <c r="AY508" s="1"/>
      <c r="AZ508" s="1">
        <f>IF(COUNTIFS('PID CHECK'!$B:$B,AR508)=1,0,IF(COUNTIFS(AR$1:AR507,AR508)=1,0,1))</f>
        <v>0</v>
      </c>
      <c r="BA508" s="1"/>
      <c r="BB508" s="1"/>
    </row>
    <row r="509" spans="1:54">
      <c r="A509">
        <v>508</v>
      </c>
      <c r="B509" t="s">
        <v>82</v>
      </c>
      <c r="C509" t="s">
        <v>164</v>
      </c>
      <c r="D509" t="s">
        <v>153</v>
      </c>
      <c r="E509" t="s">
        <v>47</v>
      </c>
      <c r="F509" t="s">
        <v>50</v>
      </c>
      <c r="H509" t="s">
        <v>92</v>
      </c>
      <c r="J509" t="s">
        <v>49</v>
      </c>
      <c r="K509" t="s">
        <v>50</v>
      </c>
      <c r="L509" t="s">
        <v>762</v>
      </c>
      <c r="M509" t="s">
        <v>762</v>
      </c>
      <c r="N509">
        <v>0.26</v>
      </c>
      <c r="R509" t="s">
        <v>93</v>
      </c>
      <c r="S509" t="s">
        <v>93</v>
      </c>
      <c r="Z509" t="s">
        <v>84</v>
      </c>
      <c r="AA509" t="s">
        <v>156</v>
      </c>
      <c r="AC509" t="s">
        <v>883</v>
      </c>
      <c r="AD509" t="s">
        <v>50</v>
      </c>
      <c r="AH509">
        <v>3</v>
      </c>
      <c r="AM509">
        <v>43465</v>
      </c>
      <c r="AN509">
        <v>43469</v>
      </c>
      <c r="AO509" s="2">
        <f t="shared" si="59"/>
        <v>56</v>
      </c>
      <c r="AP509" s="2">
        <f t="shared" si="60"/>
        <v>56</v>
      </c>
      <c r="AQ509" s="3">
        <f t="shared" si="61"/>
        <v>0</v>
      </c>
      <c r="AR509" s="1" t="str">
        <f>INDEX(IOS!$B:$B,MATCH(D509,IOS!A:A,0))&amp;B509</f>
        <v>O.D.5</v>
      </c>
      <c r="AS509" s="1">
        <f t="shared" si="62"/>
        <v>0</v>
      </c>
      <c r="AT509" s="1" t="str">
        <f>IF(ISBLANK(W509),"",IF(ISERROR(MATCH(W509,HQLATABLE!$A:$A,0)),0,1))</f>
        <v/>
      </c>
      <c r="AU509" s="1" t="str">
        <f t="shared" si="63"/>
        <v>Blank</v>
      </c>
      <c r="AV509" s="1" t="str">
        <f t="shared" si="64"/>
        <v>Blank</v>
      </c>
      <c r="AW509" s="1">
        <f t="shared" si="65"/>
        <v>0</v>
      </c>
      <c r="AX509" s="1">
        <f t="shared" si="66"/>
        <v>0</v>
      </c>
      <c r="AY509" s="1"/>
      <c r="AZ509" s="1">
        <f>IF(COUNTIFS('PID CHECK'!$B:$B,AR509)=1,0,IF(COUNTIFS(AR$1:AR508,AR509)=1,0,1))</f>
        <v>0</v>
      </c>
      <c r="BA509" s="1"/>
      <c r="BB509" s="1"/>
    </row>
    <row r="510" spans="1:54">
      <c r="A510">
        <v>509</v>
      </c>
      <c r="B510" t="s">
        <v>82</v>
      </c>
      <c r="C510" t="s">
        <v>164</v>
      </c>
      <c r="D510" t="s">
        <v>153</v>
      </c>
      <c r="E510" t="s">
        <v>47</v>
      </c>
      <c r="F510" t="s">
        <v>50</v>
      </c>
      <c r="H510" t="s">
        <v>1048</v>
      </c>
      <c r="J510" t="s">
        <v>49</v>
      </c>
      <c r="K510" t="s">
        <v>50</v>
      </c>
      <c r="L510" t="s">
        <v>762</v>
      </c>
      <c r="M510" t="s">
        <v>762</v>
      </c>
      <c r="N510">
        <v>0.5</v>
      </c>
      <c r="R510" t="s">
        <v>1049</v>
      </c>
      <c r="S510" t="s">
        <v>1049</v>
      </c>
      <c r="Z510" t="s">
        <v>84</v>
      </c>
      <c r="AA510" t="s">
        <v>154</v>
      </c>
      <c r="AC510" t="s">
        <v>883</v>
      </c>
      <c r="AD510" t="s">
        <v>50</v>
      </c>
      <c r="AH510">
        <v>3</v>
      </c>
      <c r="AM510">
        <v>43465</v>
      </c>
      <c r="AN510">
        <v>43469</v>
      </c>
      <c r="AO510" s="2">
        <f t="shared" si="59"/>
        <v>57</v>
      </c>
      <c r="AP510" s="2">
        <f t="shared" si="60"/>
        <v>57</v>
      </c>
      <c r="AQ510" s="3">
        <f t="shared" si="61"/>
        <v>0</v>
      </c>
      <c r="AR510" s="1" t="str">
        <f>INDEX(IOS!$B:$B,MATCH(D510,IOS!A:A,0))&amp;B510</f>
        <v>O.D.5</v>
      </c>
      <c r="AS510" s="1">
        <f t="shared" si="62"/>
        <v>0</v>
      </c>
      <c r="AT510" s="1" t="str">
        <f>IF(ISBLANK(W510),"",IF(ISERROR(MATCH(W510,HQLATABLE!$A:$A,0)),0,1))</f>
        <v/>
      </c>
      <c r="AU510" s="1" t="str">
        <f t="shared" si="63"/>
        <v>Blank</v>
      </c>
      <c r="AV510" s="1" t="str">
        <f t="shared" si="64"/>
        <v>Blank</v>
      </c>
      <c r="AW510" s="1">
        <f t="shared" si="65"/>
        <v>0</v>
      </c>
      <c r="AX510" s="1">
        <f t="shared" si="66"/>
        <v>0</v>
      </c>
      <c r="AY510" s="1"/>
      <c r="AZ510" s="1">
        <f>IF(COUNTIFS('PID CHECK'!$B:$B,AR510)=1,0,IF(COUNTIFS(AR$1:AR509,AR510)=1,0,1))</f>
        <v>0</v>
      </c>
      <c r="BA510" s="1"/>
      <c r="BB510" s="1"/>
    </row>
    <row r="511" spans="1:54">
      <c r="A511">
        <v>510</v>
      </c>
      <c r="B511" t="s">
        <v>82</v>
      </c>
      <c r="C511" t="s">
        <v>164</v>
      </c>
      <c r="D511" t="s">
        <v>153</v>
      </c>
      <c r="E511" t="s">
        <v>47</v>
      </c>
      <c r="F511" t="s">
        <v>50</v>
      </c>
      <c r="H511" t="s">
        <v>1062</v>
      </c>
      <c r="J511" t="s">
        <v>49</v>
      </c>
      <c r="K511" t="s">
        <v>50</v>
      </c>
      <c r="L511" t="s">
        <v>762</v>
      </c>
      <c r="M511" t="s">
        <v>762</v>
      </c>
      <c r="N511">
        <v>0.16</v>
      </c>
      <c r="R511" t="s">
        <v>1063</v>
      </c>
      <c r="S511" t="s">
        <v>1063</v>
      </c>
      <c r="Z511" t="s">
        <v>84</v>
      </c>
      <c r="AA511" t="s">
        <v>154</v>
      </c>
      <c r="AC511" t="s">
        <v>883</v>
      </c>
      <c r="AD511" t="s">
        <v>50</v>
      </c>
      <c r="AH511">
        <v>3</v>
      </c>
      <c r="AM511">
        <v>43465</v>
      </c>
      <c r="AN511">
        <v>43469</v>
      </c>
      <c r="AO511" s="2">
        <f t="shared" si="59"/>
        <v>58</v>
      </c>
      <c r="AP511" s="2">
        <f t="shared" si="60"/>
        <v>58</v>
      </c>
      <c r="AQ511" s="3">
        <f t="shared" si="61"/>
        <v>0</v>
      </c>
      <c r="AR511" s="1" t="str">
        <f>INDEX(IOS!$B:$B,MATCH(D511,IOS!A:A,0))&amp;B511</f>
        <v>O.D.5</v>
      </c>
      <c r="AS511" s="1">
        <f t="shared" si="62"/>
        <v>0</v>
      </c>
      <c r="AT511" s="1" t="str">
        <f>IF(ISBLANK(W511),"",IF(ISERROR(MATCH(W511,HQLATABLE!$A:$A,0)),0,1))</f>
        <v/>
      </c>
      <c r="AU511" s="1" t="str">
        <f t="shared" si="63"/>
        <v>Blank</v>
      </c>
      <c r="AV511" s="1" t="str">
        <f t="shared" si="64"/>
        <v>Blank</v>
      </c>
      <c r="AW511" s="1">
        <f t="shared" si="65"/>
        <v>0</v>
      </c>
      <c r="AX511" s="1">
        <f t="shared" si="66"/>
        <v>0</v>
      </c>
      <c r="AY511" s="1"/>
      <c r="AZ511" s="1">
        <f>IF(COUNTIFS('PID CHECK'!$B:$B,AR511)=1,0,IF(COUNTIFS(AR$1:AR510,AR511)=1,0,1))</f>
        <v>0</v>
      </c>
      <c r="BA511" s="1"/>
      <c r="BB511" s="1"/>
    </row>
    <row r="512" spans="1:54">
      <c r="A512">
        <v>511</v>
      </c>
      <c r="B512" t="s">
        <v>82</v>
      </c>
      <c r="C512" t="s">
        <v>164</v>
      </c>
      <c r="D512" t="s">
        <v>153</v>
      </c>
      <c r="E512" t="s">
        <v>47</v>
      </c>
      <c r="F512" t="s">
        <v>50</v>
      </c>
      <c r="H512" t="s">
        <v>1062</v>
      </c>
      <c r="J512" t="s">
        <v>49</v>
      </c>
      <c r="K512" t="s">
        <v>50</v>
      </c>
      <c r="L512" t="s">
        <v>762</v>
      </c>
      <c r="M512" t="s">
        <v>762</v>
      </c>
      <c r="N512">
        <v>25.7</v>
      </c>
      <c r="R512" t="s">
        <v>1063</v>
      </c>
      <c r="S512" t="s">
        <v>1063</v>
      </c>
      <c r="Z512" t="s">
        <v>84</v>
      </c>
      <c r="AA512" t="s">
        <v>156</v>
      </c>
      <c r="AC512" t="s">
        <v>883</v>
      </c>
      <c r="AD512" t="s">
        <v>50</v>
      </c>
      <c r="AH512">
        <v>3</v>
      </c>
      <c r="AM512">
        <v>43465</v>
      </c>
      <c r="AN512">
        <v>43469</v>
      </c>
      <c r="AO512" s="2">
        <f t="shared" si="59"/>
        <v>58</v>
      </c>
      <c r="AP512" s="2">
        <f t="shared" si="60"/>
        <v>58</v>
      </c>
      <c r="AQ512" s="3">
        <f t="shared" si="61"/>
        <v>0</v>
      </c>
      <c r="AR512" s="1" t="str">
        <f>INDEX(IOS!$B:$B,MATCH(D512,IOS!A:A,0))&amp;B512</f>
        <v>O.D.5</v>
      </c>
      <c r="AS512" s="1">
        <f t="shared" si="62"/>
        <v>0</v>
      </c>
      <c r="AT512" s="1" t="str">
        <f>IF(ISBLANK(W512),"",IF(ISERROR(MATCH(W512,HQLATABLE!$A:$A,0)),0,1))</f>
        <v/>
      </c>
      <c r="AU512" s="1" t="str">
        <f t="shared" si="63"/>
        <v>Blank</v>
      </c>
      <c r="AV512" s="1" t="str">
        <f t="shared" si="64"/>
        <v>Blank</v>
      </c>
      <c r="AW512" s="1">
        <f t="shared" si="65"/>
        <v>0</v>
      </c>
      <c r="AX512" s="1">
        <f t="shared" si="66"/>
        <v>0</v>
      </c>
      <c r="AY512" s="1"/>
      <c r="AZ512" s="1">
        <f>IF(COUNTIFS('PID CHECK'!$B:$B,AR512)=1,0,IF(COUNTIFS(AR$1:AR511,AR512)=1,0,1))</f>
        <v>0</v>
      </c>
      <c r="BA512" s="1"/>
      <c r="BB512" s="1"/>
    </row>
    <row r="513" spans="1:54">
      <c r="A513">
        <v>512</v>
      </c>
      <c r="B513" t="s">
        <v>82</v>
      </c>
      <c r="C513" t="s">
        <v>164</v>
      </c>
      <c r="D513" t="s">
        <v>153</v>
      </c>
      <c r="E513" t="s">
        <v>47</v>
      </c>
      <c r="F513" t="s">
        <v>50</v>
      </c>
      <c r="H513" t="s">
        <v>1017</v>
      </c>
      <c r="J513" t="s">
        <v>49</v>
      </c>
      <c r="K513" t="s">
        <v>50</v>
      </c>
      <c r="L513" t="s">
        <v>762</v>
      </c>
      <c r="M513" t="s">
        <v>762</v>
      </c>
      <c r="N513">
        <v>0.57999999999999996</v>
      </c>
      <c r="R513" t="s">
        <v>1018</v>
      </c>
      <c r="S513" t="s">
        <v>1018</v>
      </c>
      <c r="Z513" t="s">
        <v>84</v>
      </c>
      <c r="AA513" t="s">
        <v>154</v>
      </c>
      <c r="AC513" t="s">
        <v>883</v>
      </c>
      <c r="AD513" t="s">
        <v>50</v>
      </c>
      <c r="AH513">
        <v>3</v>
      </c>
      <c r="AM513">
        <v>43465</v>
      </c>
      <c r="AN513">
        <v>43469</v>
      </c>
      <c r="AO513" s="2">
        <f t="shared" si="59"/>
        <v>59</v>
      </c>
      <c r="AP513" s="2">
        <f t="shared" si="60"/>
        <v>59</v>
      </c>
      <c r="AQ513" s="3">
        <f t="shared" si="61"/>
        <v>0</v>
      </c>
      <c r="AR513" s="1" t="str">
        <f>INDEX(IOS!$B:$B,MATCH(D513,IOS!A:A,0))&amp;B513</f>
        <v>O.D.5</v>
      </c>
      <c r="AS513" s="1">
        <f t="shared" si="62"/>
        <v>0</v>
      </c>
      <c r="AT513" s="1" t="str">
        <f>IF(ISBLANK(W513),"",IF(ISERROR(MATCH(W513,HQLATABLE!$A:$A,0)),0,1))</f>
        <v/>
      </c>
      <c r="AU513" s="1" t="str">
        <f t="shared" si="63"/>
        <v>Blank</v>
      </c>
      <c r="AV513" s="1" t="str">
        <f t="shared" si="64"/>
        <v>Blank</v>
      </c>
      <c r="AW513" s="1">
        <f t="shared" si="65"/>
        <v>0</v>
      </c>
      <c r="AX513" s="1">
        <f t="shared" si="66"/>
        <v>0</v>
      </c>
      <c r="AY513" s="1"/>
      <c r="AZ513" s="1">
        <f>IF(COUNTIFS('PID CHECK'!$B:$B,AR513)=1,0,IF(COUNTIFS(AR$1:AR512,AR513)=1,0,1))</f>
        <v>0</v>
      </c>
      <c r="BA513" s="1"/>
      <c r="BB513" s="1"/>
    </row>
    <row r="514" spans="1:54">
      <c r="A514">
        <v>513</v>
      </c>
      <c r="B514" t="s">
        <v>82</v>
      </c>
      <c r="C514" t="s">
        <v>164</v>
      </c>
      <c r="D514" t="s">
        <v>153</v>
      </c>
      <c r="E514" t="s">
        <v>47</v>
      </c>
      <c r="F514" t="s">
        <v>50</v>
      </c>
      <c r="H514" t="s">
        <v>1017</v>
      </c>
      <c r="J514" t="s">
        <v>49</v>
      </c>
      <c r="K514" t="s">
        <v>50</v>
      </c>
      <c r="L514" t="s">
        <v>762</v>
      </c>
      <c r="M514" t="s">
        <v>762</v>
      </c>
      <c r="N514">
        <v>0.23</v>
      </c>
      <c r="R514" t="s">
        <v>1018</v>
      </c>
      <c r="S514" t="s">
        <v>1018</v>
      </c>
      <c r="Z514" t="s">
        <v>162</v>
      </c>
      <c r="AA514" t="s">
        <v>154</v>
      </c>
      <c r="AC514" t="s">
        <v>883</v>
      </c>
      <c r="AD514" t="s">
        <v>50</v>
      </c>
      <c r="AH514">
        <v>4</v>
      </c>
      <c r="AM514">
        <v>43465</v>
      </c>
      <c r="AN514">
        <v>43469</v>
      </c>
      <c r="AO514" s="2">
        <f t="shared" si="59"/>
        <v>59</v>
      </c>
      <c r="AP514" s="2">
        <f t="shared" si="60"/>
        <v>59</v>
      </c>
      <c r="AQ514" s="3">
        <f t="shared" si="61"/>
        <v>0</v>
      </c>
      <c r="AR514" s="1" t="str">
        <f>INDEX(IOS!$B:$B,MATCH(D514,IOS!A:A,0))&amp;B514</f>
        <v>O.D.5</v>
      </c>
      <c r="AS514" s="1">
        <f t="shared" si="62"/>
        <v>0</v>
      </c>
      <c r="AT514" s="1" t="str">
        <f>IF(ISBLANK(W514),"",IF(ISERROR(MATCH(W514,HQLATABLE!$A:$A,0)),0,1))</f>
        <v/>
      </c>
      <c r="AU514" s="1" t="str">
        <f t="shared" si="63"/>
        <v>Blank</v>
      </c>
      <c r="AV514" s="1" t="str">
        <f t="shared" si="64"/>
        <v>Blank</v>
      </c>
      <c r="AW514" s="1">
        <f t="shared" si="65"/>
        <v>0</v>
      </c>
      <c r="AX514" s="1">
        <f t="shared" si="66"/>
        <v>0</v>
      </c>
      <c r="AY514" s="1"/>
      <c r="AZ514" s="1">
        <f>IF(COUNTIFS('PID CHECK'!$B:$B,AR514)=1,0,IF(COUNTIFS(AR$1:AR513,AR514)=1,0,1))</f>
        <v>0</v>
      </c>
      <c r="BA514" s="1"/>
      <c r="BB514" s="1"/>
    </row>
    <row r="515" spans="1:54">
      <c r="A515">
        <v>514</v>
      </c>
      <c r="B515" t="s">
        <v>82</v>
      </c>
      <c r="C515" t="s">
        <v>164</v>
      </c>
      <c r="D515" t="s">
        <v>153</v>
      </c>
      <c r="E515" t="s">
        <v>47</v>
      </c>
      <c r="F515" t="s">
        <v>50</v>
      </c>
      <c r="H515" t="s">
        <v>1017</v>
      </c>
      <c r="J515" t="s">
        <v>49</v>
      </c>
      <c r="K515" t="s">
        <v>50</v>
      </c>
      <c r="L515" t="s">
        <v>762</v>
      </c>
      <c r="M515" t="s">
        <v>762</v>
      </c>
      <c r="N515">
        <v>156.32</v>
      </c>
      <c r="R515" t="s">
        <v>1018</v>
      </c>
      <c r="S515" t="s">
        <v>1018</v>
      </c>
      <c r="Z515" t="s">
        <v>84</v>
      </c>
      <c r="AA515" t="s">
        <v>156</v>
      </c>
      <c r="AC515" t="s">
        <v>883</v>
      </c>
      <c r="AD515" t="s">
        <v>50</v>
      </c>
      <c r="AH515">
        <v>3</v>
      </c>
      <c r="AM515">
        <v>43465</v>
      </c>
      <c r="AN515">
        <v>43469</v>
      </c>
      <c r="AO515" s="2">
        <f t="shared" ref="AO515:AO578" si="67">VALUE(MID(R515,FIND("P",R515)+1,FIND("D",R515)-1-FIND("P",R515)))</f>
        <v>59</v>
      </c>
      <c r="AP515" s="2">
        <f t="shared" ref="AP515:AP578" si="68">IFERROR(VALUE(MID(S515,FIND("P",S515)+1,FIND("D",S515)-1-FIND("P",S515))),99999)</f>
        <v>59</v>
      </c>
      <c r="AQ515" s="3">
        <f t="shared" ref="AQ515:AQ578" si="69">IF(AO515&lt;=30,1,0)</f>
        <v>0</v>
      </c>
      <c r="AR515" s="1" t="str">
        <f>INDEX(IOS!$B:$B,MATCH(D515,IOS!A:A,0))&amp;B515</f>
        <v>O.D.5</v>
      </c>
      <c r="AS515" s="1">
        <f t="shared" ref="AS515:AS578" si="70">IF(F515="","Blank",IF(F515="True",1,0))</f>
        <v>0</v>
      </c>
      <c r="AT515" s="1" t="str">
        <f>IF(ISBLANK(W515),"",IF(ISERROR(MATCH(W515,HQLATABLE!$A:$A,0)),0,1))</f>
        <v/>
      </c>
      <c r="AU515" s="1" t="str">
        <f t="shared" ref="AU515:AU578" si="71">IF(V515="","Blank",IF(V515="True",1,0))</f>
        <v>Blank</v>
      </c>
      <c r="AV515" s="1" t="str">
        <f t="shared" ref="AV515:AV578" si="72">IF(AG515="","Blank",IF(AG515="True",1,0))</f>
        <v>Blank</v>
      </c>
      <c r="AW515" s="1">
        <f t="shared" ref="AW515:AW578" si="73">IF(X515="",0,IF(OR(X515&gt;=N515),-1,1))</f>
        <v>0</v>
      </c>
      <c r="AX515" s="1">
        <f t="shared" ref="AX515:AX578" si="74">IF(AC515="","Blank",IF(AC515="True",1,0))</f>
        <v>0</v>
      </c>
      <c r="AY515" s="1"/>
      <c r="AZ515" s="1">
        <f>IF(COUNTIFS('PID CHECK'!$B:$B,AR515)=1,0,IF(COUNTIFS(AR$1:AR514,AR515)=1,0,1))</f>
        <v>0</v>
      </c>
      <c r="BA515" s="1"/>
      <c r="BB515" s="1"/>
    </row>
    <row r="516" spans="1:54">
      <c r="A516">
        <v>515</v>
      </c>
      <c r="B516" t="s">
        <v>82</v>
      </c>
      <c r="C516" t="s">
        <v>164</v>
      </c>
      <c r="D516" t="s">
        <v>153</v>
      </c>
      <c r="E516" t="s">
        <v>47</v>
      </c>
      <c r="F516" t="s">
        <v>50</v>
      </c>
      <c r="H516" t="s">
        <v>94</v>
      </c>
      <c r="J516" t="s">
        <v>49</v>
      </c>
      <c r="K516" t="s">
        <v>50</v>
      </c>
      <c r="L516" t="s">
        <v>762</v>
      </c>
      <c r="M516" t="s">
        <v>762</v>
      </c>
      <c r="N516">
        <v>1.01</v>
      </c>
      <c r="R516" t="s">
        <v>95</v>
      </c>
      <c r="S516" t="s">
        <v>96</v>
      </c>
      <c r="Z516" t="s">
        <v>84</v>
      </c>
      <c r="AA516" t="s">
        <v>154</v>
      </c>
      <c r="AC516" t="s">
        <v>883</v>
      </c>
      <c r="AD516" t="s">
        <v>50</v>
      </c>
      <c r="AH516">
        <v>3</v>
      </c>
      <c r="AM516">
        <v>43465</v>
      </c>
      <c r="AN516">
        <v>43469</v>
      </c>
      <c r="AO516" s="2">
        <f t="shared" si="67"/>
        <v>61</v>
      </c>
      <c r="AP516" s="2">
        <f t="shared" si="68"/>
        <v>67</v>
      </c>
      <c r="AQ516" s="3">
        <f t="shared" si="69"/>
        <v>0</v>
      </c>
      <c r="AR516" s="1" t="str">
        <f>INDEX(IOS!$B:$B,MATCH(D516,IOS!A:A,0))&amp;B516</f>
        <v>O.D.5</v>
      </c>
      <c r="AS516" s="1">
        <f t="shared" si="70"/>
        <v>0</v>
      </c>
      <c r="AT516" s="1" t="str">
        <f>IF(ISBLANK(W516),"",IF(ISERROR(MATCH(W516,HQLATABLE!$A:$A,0)),0,1))</f>
        <v/>
      </c>
      <c r="AU516" s="1" t="str">
        <f t="shared" si="71"/>
        <v>Blank</v>
      </c>
      <c r="AV516" s="1" t="str">
        <f t="shared" si="72"/>
        <v>Blank</v>
      </c>
      <c r="AW516" s="1">
        <f t="shared" si="73"/>
        <v>0</v>
      </c>
      <c r="AX516" s="1">
        <f t="shared" si="74"/>
        <v>0</v>
      </c>
      <c r="AY516" s="1"/>
      <c r="AZ516" s="1">
        <f>IF(COUNTIFS('PID CHECK'!$B:$B,AR516)=1,0,IF(COUNTIFS(AR$1:AR515,AR516)=1,0,1))</f>
        <v>0</v>
      </c>
      <c r="BA516" s="1"/>
      <c r="BB516" s="1"/>
    </row>
    <row r="517" spans="1:54">
      <c r="A517">
        <v>516</v>
      </c>
      <c r="B517" t="s">
        <v>82</v>
      </c>
      <c r="C517" t="s">
        <v>164</v>
      </c>
      <c r="D517" t="s">
        <v>153</v>
      </c>
      <c r="E517" t="s">
        <v>47</v>
      </c>
      <c r="F517" t="s">
        <v>50</v>
      </c>
      <c r="H517" t="s">
        <v>94</v>
      </c>
      <c r="J517" t="s">
        <v>49</v>
      </c>
      <c r="K517" t="s">
        <v>50</v>
      </c>
      <c r="L517" t="s">
        <v>762</v>
      </c>
      <c r="M517" t="s">
        <v>762</v>
      </c>
      <c r="N517">
        <v>156.87</v>
      </c>
      <c r="R517" t="s">
        <v>95</v>
      </c>
      <c r="S517" t="s">
        <v>96</v>
      </c>
      <c r="Z517" t="s">
        <v>84</v>
      </c>
      <c r="AA517" t="s">
        <v>156</v>
      </c>
      <c r="AC517" t="s">
        <v>883</v>
      </c>
      <c r="AD517" t="s">
        <v>50</v>
      </c>
      <c r="AH517">
        <v>3</v>
      </c>
      <c r="AM517">
        <v>43465</v>
      </c>
      <c r="AN517">
        <v>43469</v>
      </c>
      <c r="AO517" s="2">
        <f t="shared" si="67"/>
        <v>61</v>
      </c>
      <c r="AP517" s="2">
        <f t="shared" si="68"/>
        <v>67</v>
      </c>
      <c r="AQ517" s="3">
        <f t="shared" si="69"/>
        <v>0</v>
      </c>
      <c r="AR517" s="1" t="str">
        <f>INDEX(IOS!$B:$B,MATCH(D517,IOS!A:A,0))&amp;B517</f>
        <v>O.D.5</v>
      </c>
      <c r="AS517" s="1">
        <f t="shared" si="70"/>
        <v>0</v>
      </c>
      <c r="AT517" s="1" t="str">
        <f>IF(ISBLANK(W517),"",IF(ISERROR(MATCH(W517,HQLATABLE!$A:$A,0)),0,1))</f>
        <v/>
      </c>
      <c r="AU517" s="1" t="str">
        <f t="shared" si="71"/>
        <v>Blank</v>
      </c>
      <c r="AV517" s="1" t="str">
        <f t="shared" si="72"/>
        <v>Blank</v>
      </c>
      <c r="AW517" s="1">
        <f t="shared" si="73"/>
        <v>0</v>
      </c>
      <c r="AX517" s="1">
        <f t="shared" si="74"/>
        <v>0</v>
      </c>
      <c r="AY517" s="1"/>
      <c r="AZ517" s="1">
        <f>IF(COUNTIFS('PID CHECK'!$B:$B,AR517)=1,0,IF(COUNTIFS(AR$1:AR516,AR517)=1,0,1))</f>
        <v>0</v>
      </c>
      <c r="BA517" s="1"/>
      <c r="BB517" s="1"/>
    </row>
    <row r="518" spans="1:54">
      <c r="A518">
        <v>517</v>
      </c>
      <c r="B518" t="s">
        <v>82</v>
      </c>
      <c r="C518" t="s">
        <v>164</v>
      </c>
      <c r="D518" t="s">
        <v>153</v>
      </c>
      <c r="E518" t="s">
        <v>47</v>
      </c>
      <c r="F518" t="s">
        <v>50</v>
      </c>
      <c r="H518" t="s">
        <v>97</v>
      </c>
      <c r="J518" t="s">
        <v>49</v>
      </c>
      <c r="K518" t="s">
        <v>50</v>
      </c>
      <c r="L518" t="s">
        <v>762</v>
      </c>
      <c r="M518" t="s">
        <v>762</v>
      </c>
      <c r="N518">
        <v>1.36</v>
      </c>
      <c r="R518" t="s">
        <v>98</v>
      </c>
      <c r="S518" t="s">
        <v>99</v>
      </c>
      <c r="Z518" t="s">
        <v>84</v>
      </c>
      <c r="AA518" t="s">
        <v>154</v>
      </c>
      <c r="AC518" t="s">
        <v>883</v>
      </c>
      <c r="AD518" t="s">
        <v>50</v>
      </c>
      <c r="AH518">
        <v>3</v>
      </c>
      <c r="AM518">
        <v>43465</v>
      </c>
      <c r="AN518">
        <v>43469</v>
      </c>
      <c r="AO518" s="2">
        <f t="shared" si="67"/>
        <v>68</v>
      </c>
      <c r="AP518" s="2">
        <f t="shared" si="68"/>
        <v>74</v>
      </c>
      <c r="AQ518" s="3">
        <f t="shared" si="69"/>
        <v>0</v>
      </c>
      <c r="AR518" s="1" t="str">
        <f>INDEX(IOS!$B:$B,MATCH(D518,IOS!A:A,0))&amp;B518</f>
        <v>O.D.5</v>
      </c>
      <c r="AS518" s="1">
        <f t="shared" si="70"/>
        <v>0</v>
      </c>
      <c r="AT518" s="1" t="str">
        <f>IF(ISBLANK(W518),"",IF(ISERROR(MATCH(W518,HQLATABLE!$A:$A,0)),0,1))</f>
        <v/>
      </c>
      <c r="AU518" s="1" t="str">
        <f t="shared" si="71"/>
        <v>Blank</v>
      </c>
      <c r="AV518" s="1" t="str">
        <f t="shared" si="72"/>
        <v>Blank</v>
      </c>
      <c r="AW518" s="1">
        <f t="shared" si="73"/>
        <v>0</v>
      </c>
      <c r="AX518" s="1">
        <f t="shared" si="74"/>
        <v>0</v>
      </c>
      <c r="AY518" s="1"/>
      <c r="AZ518" s="1">
        <f>IF(COUNTIFS('PID CHECK'!$B:$B,AR518)=1,0,IF(COUNTIFS(AR$1:AR517,AR518)=1,0,1))</f>
        <v>0</v>
      </c>
      <c r="BA518" s="1"/>
      <c r="BB518" s="1"/>
    </row>
    <row r="519" spans="1:54">
      <c r="A519">
        <v>518</v>
      </c>
      <c r="B519" t="s">
        <v>82</v>
      </c>
      <c r="C519" t="s">
        <v>164</v>
      </c>
      <c r="D519" t="s">
        <v>153</v>
      </c>
      <c r="E519" t="s">
        <v>47</v>
      </c>
      <c r="F519" t="s">
        <v>50</v>
      </c>
      <c r="H519" t="s">
        <v>97</v>
      </c>
      <c r="J519" t="s">
        <v>49</v>
      </c>
      <c r="K519" t="s">
        <v>50</v>
      </c>
      <c r="L519" t="s">
        <v>762</v>
      </c>
      <c r="M519" t="s">
        <v>762</v>
      </c>
      <c r="N519">
        <v>0.24</v>
      </c>
      <c r="R519" t="s">
        <v>98</v>
      </c>
      <c r="S519" t="s">
        <v>99</v>
      </c>
      <c r="Z519" t="s">
        <v>162</v>
      </c>
      <c r="AA519" t="s">
        <v>154</v>
      </c>
      <c r="AC519" t="s">
        <v>883</v>
      </c>
      <c r="AD519" t="s">
        <v>50</v>
      </c>
      <c r="AH519">
        <v>4</v>
      </c>
      <c r="AM519">
        <v>43465</v>
      </c>
      <c r="AN519">
        <v>43469</v>
      </c>
      <c r="AO519" s="2">
        <f t="shared" si="67"/>
        <v>68</v>
      </c>
      <c r="AP519" s="2">
        <f t="shared" si="68"/>
        <v>74</v>
      </c>
      <c r="AQ519" s="3">
        <f t="shared" si="69"/>
        <v>0</v>
      </c>
      <c r="AR519" s="1" t="str">
        <f>INDEX(IOS!$B:$B,MATCH(D519,IOS!A:A,0))&amp;B519</f>
        <v>O.D.5</v>
      </c>
      <c r="AS519" s="1">
        <f t="shared" si="70"/>
        <v>0</v>
      </c>
      <c r="AT519" s="1" t="str">
        <f>IF(ISBLANK(W519),"",IF(ISERROR(MATCH(W519,HQLATABLE!$A:$A,0)),0,1))</f>
        <v/>
      </c>
      <c r="AU519" s="1" t="str">
        <f t="shared" si="71"/>
        <v>Blank</v>
      </c>
      <c r="AV519" s="1" t="str">
        <f t="shared" si="72"/>
        <v>Blank</v>
      </c>
      <c r="AW519" s="1">
        <f t="shared" si="73"/>
        <v>0</v>
      </c>
      <c r="AX519" s="1">
        <f t="shared" si="74"/>
        <v>0</v>
      </c>
      <c r="AY519" s="1"/>
      <c r="AZ519" s="1">
        <f>IF(COUNTIFS('PID CHECK'!$B:$B,AR519)=1,0,IF(COUNTIFS(AR$1:AR518,AR519)=1,0,1))</f>
        <v>0</v>
      </c>
      <c r="BA519" s="1"/>
      <c r="BB519" s="1"/>
    </row>
    <row r="520" spans="1:54">
      <c r="A520">
        <v>519</v>
      </c>
      <c r="B520" t="s">
        <v>82</v>
      </c>
      <c r="C520" t="s">
        <v>164</v>
      </c>
      <c r="D520" t="s">
        <v>153</v>
      </c>
      <c r="E520" t="s">
        <v>47</v>
      </c>
      <c r="F520" t="s">
        <v>50</v>
      </c>
      <c r="H520" t="s">
        <v>97</v>
      </c>
      <c r="J520" t="s">
        <v>49</v>
      </c>
      <c r="K520" t="s">
        <v>50</v>
      </c>
      <c r="L520" t="s">
        <v>762</v>
      </c>
      <c r="M520" t="s">
        <v>762</v>
      </c>
      <c r="N520">
        <v>303.16000000000003</v>
      </c>
      <c r="R520" t="s">
        <v>98</v>
      </c>
      <c r="S520" t="s">
        <v>99</v>
      </c>
      <c r="Z520" t="s">
        <v>84</v>
      </c>
      <c r="AA520" t="s">
        <v>156</v>
      </c>
      <c r="AC520" t="s">
        <v>883</v>
      </c>
      <c r="AD520" t="s">
        <v>50</v>
      </c>
      <c r="AH520">
        <v>3</v>
      </c>
      <c r="AM520">
        <v>43465</v>
      </c>
      <c r="AN520">
        <v>43469</v>
      </c>
      <c r="AO520" s="2">
        <f t="shared" si="67"/>
        <v>68</v>
      </c>
      <c r="AP520" s="2">
        <f t="shared" si="68"/>
        <v>74</v>
      </c>
      <c r="AQ520" s="3">
        <f t="shared" si="69"/>
        <v>0</v>
      </c>
      <c r="AR520" s="1" t="str">
        <f>INDEX(IOS!$B:$B,MATCH(D520,IOS!A:A,0))&amp;B520</f>
        <v>O.D.5</v>
      </c>
      <c r="AS520" s="1">
        <f t="shared" si="70"/>
        <v>0</v>
      </c>
      <c r="AT520" s="1" t="str">
        <f>IF(ISBLANK(W520),"",IF(ISERROR(MATCH(W520,HQLATABLE!$A:$A,0)),0,1))</f>
        <v/>
      </c>
      <c r="AU520" s="1" t="str">
        <f t="shared" si="71"/>
        <v>Blank</v>
      </c>
      <c r="AV520" s="1" t="str">
        <f t="shared" si="72"/>
        <v>Blank</v>
      </c>
      <c r="AW520" s="1">
        <f t="shared" si="73"/>
        <v>0</v>
      </c>
      <c r="AX520" s="1">
        <f t="shared" si="74"/>
        <v>0</v>
      </c>
      <c r="AY520" s="1"/>
      <c r="AZ520" s="1">
        <f>IF(COUNTIFS('PID CHECK'!$B:$B,AR520)=1,0,IF(COUNTIFS(AR$1:AR519,AR520)=1,0,1))</f>
        <v>0</v>
      </c>
      <c r="BA520" s="1"/>
      <c r="BB520" s="1"/>
    </row>
    <row r="521" spans="1:54">
      <c r="A521">
        <v>520</v>
      </c>
      <c r="B521" t="s">
        <v>82</v>
      </c>
      <c r="C521" t="s">
        <v>164</v>
      </c>
      <c r="D521" t="s">
        <v>153</v>
      </c>
      <c r="E521" t="s">
        <v>47</v>
      </c>
      <c r="F521" t="s">
        <v>50</v>
      </c>
      <c r="H521" t="s">
        <v>100</v>
      </c>
      <c r="J521" t="s">
        <v>49</v>
      </c>
      <c r="K521" t="s">
        <v>50</v>
      </c>
      <c r="L521" t="s">
        <v>762</v>
      </c>
      <c r="M521" t="s">
        <v>762</v>
      </c>
      <c r="N521">
        <v>2.08</v>
      </c>
      <c r="R521" t="s">
        <v>101</v>
      </c>
      <c r="S521" t="s">
        <v>102</v>
      </c>
      <c r="Z521" t="s">
        <v>84</v>
      </c>
      <c r="AA521" t="s">
        <v>154</v>
      </c>
      <c r="AC521" t="s">
        <v>883</v>
      </c>
      <c r="AD521" t="s">
        <v>50</v>
      </c>
      <c r="AH521">
        <v>3</v>
      </c>
      <c r="AM521">
        <v>43465</v>
      </c>
      <c r="AN521">
        <v>43469</v>
      </c>
      <c r="AO521" s="2">
        <f t="shared" si="67"/>
        <v>75</v>
      </c>
      <c r="AP521" s="2">
        <f t="shared" si="68"/>
        <v>82</v>
      </c>
      <c r="AQ521" s="3">
        <f t="shared" si="69"/>
        <v>0</v>
      </c>
      <c r="AR521" s="1" t="str">
        <f>INDEX(IOS!$B:$B,MATCH(D521,IOS!A:A,0))&amp;B521</f>
        <v>O.D.5</v>
      </c>
      <c r="AS521" s="1">
        <f t="shared" si="70"/>
        <v>0</v>
      </c>
      <c r="AT521" s="1" t="str">
        <f>IF(ISBLANK(W521),"",IF(ISERROR(MATCH(W521,HQLATABLE!$A:$A,0)),0,1))</f>
        <v/>
      </c>
      <c r="AU521" s="1" t="str">
        <f t="shared" si="71"/>
        <v>Blank</v>
      </c>
      <c r="AV521" s="1" t="str">
        <f t="shared" si="72"/>
        <v>Blank</v>
      </c>
      <c r="AW521" s="1">
        <f t="shared" si="73"/>
        <v>0</v>
      </c>
      <c r="AX521" s="1">
        <f t="shared" si="74"/>
        <v>0</v>
      </c>
      <c r="AY521" s="1"/>
      <c r="AZ521" s="1">
        <f>IF(COUNTIFS('PID CHECK'!$B:$B,AR521)=1,0,IF(COUNTIFS(AR$1:AR520,AR521)=1,0,1))</f>
        <v>0</v>
      </c>
      <c r="BA521" s="1"/>
      <c r="BB521" s="1"/>
    </row>
    <row r="522" spans="1:54">
      <c r="A522">
        <v>521</v>
      </c>
      <c r="B522" t="s">
        <v>82</v>
      </c>
      <c r="C522" t="s">
        <v>164</v>
      </c>
      <c r="D522" t="s">
        <v>153</v>
      </c>
      <c r="E522" t="s">
        <v>47</v>
      </c>
      <c r="F522" t="s">
        <v>50</v>
      </c>
      <c r="H522" t="s">
        <v>100</v>
      </c>
      <c r="J522" t="s">
        <v>49</v>
      </c>
      <c r="K522" t="s">
        <v>50</v>
      </c>
      <c r="L522" t="s">
        <v>762</v>
      </c>
      <c r="M522" t="s">
        <v>762</v>
      </c>
      <c r="N522">
        <v>0.66</v>
      </c>
      <c r="R522" t="s">
        <v>101</v>
      </c>
      <c r="S522" t="s">
        <v>102</v>
      </c>
      <c r="Z522" t="s">
        <v>84</v>
      </c>
      <c r="AA522" t="s">
        <v>156</v>
      </c>
      <c r="AC522" t="s">
        <v>883</v>
      </c>
      <c r="AD522" t="s">
        <v>50</v>
      </c>
      <c r="AH522">
        <v>3</v>
      </c>
      <c r="AM522">
        <v>43465</v>
      </c>
      <c r="AN522">
        <v>43469</v>
      </c>
      <c r="AO522" s="2">
        <f t="shared" si="67"/>
        <v>75</v>
      </c>
      <c r="AP522" s="2">
        <f t="shared" si="68"/>
        <v>82</v>
      </c>
      <c r="AQ522" s="3">
        <f t="shared" si="69"/>
        <v>0</v>
      </c>
      <c r="AR522" s="1" t="str">
        <f>INDEX(IOS!$B:$B,MATCH(D522,IOS!A:A,0))&amp;B522</f>
        <v>O.D.5</v>
      </c>
      <c r="AS522" s="1">
        <f t="shared" si="70"/>
        <v>0</v>
      </c>
      <c r="AT522" s="1" t="str">
        <f>IF(ISBLANK(W522),"",IF(ISERROR(MATCH(W522,HQLATABLE!$A:$A,0)),0,1))</f>
        <v/>
      </c>
      <c r="AU522" s="1" t="str">
        <f t="shared" si="71"/>
        <v>Blank</v>
      </c>
      <c r="AV522" s="1" t="str">
        <f t="shared" si="72"/>
        <v>Blank</v>
      </c>
      <c r="AW522" s="1">
        <f t="shared" si="73"/>
        <v>0</v>
      </c>
      <c r="AX522" s="1">
        <f t="shared" si="74"/>
        <v>0</v>
      </c>
      <c r="AY522" s="1"/>
      <c r="AZ522" s="1">
        <f>IF(COUNTIFS('PID CHECK'!$B:$B,AR522)=1,0,IF(COUNTIFS(AR$1:AR521,AR522)=1,0,1))</f>
        <v>0</v>
      </c>
      <c r="BA522" s="1"/>
      <c r="BB522" s="1"/>
    </row>
    <row r="523" spans="1:54">
      <c r="A523">
        <v>522</v>
      </c>
      <c r="B523" t="s">
        <v>82</v>
      </c>
      <c r="C523" t="s">
        <v>164</v>
      </c>
      <c r="D523" t="s">
        <v>153</v>
      </c>
      <c r="E523" t="s">
        <v>47</v>
      </c>
      <c r="F523" t="s">
        <v>50</v>
      </c>
      <c r="H523" t="s">
        <v>103</v>
      </c>
      <c r="J523" t="s">
        <v>49</v>
      </c>
      <c r="K523" t="s">
        <v>50</v>
      </c>
      <c r="L523" t="s">
        <v>762</v>
      </c>
      <c r="M523" t="s">
        <v>762</v>
      </c>
      <c r="N523">
        <v>0.52</v>
      </c>
      <c r="R523" t="s">
        <v>104</v>
      </c>
      <c r="S523" t="s">
        <v>104</v>
      </c>
      <c r="Z523" t="s">
        <v>84</v>
      </c>
      <c r="AA523" t="s">
        <v>154</v>
      </c>
      <c r="AC523" t="s">
        <v>883</v>
      </c>
      <c r="AD523" t="s">
        <v>50</v>
      </c>
      <c r="AH523">
        <v>3</v>
      </c>
      <c r="AM523">
        <v>43465</v>
      </c>
      <c r="AN523">
        <v>43469</v>
      </c>
      <c r="AO523" s="2">
        <f t="shared" si="67"/>
        <v>7</v>
      </c>
      <c r="AP523" s="2">
        <f t="shared" si="68"/>
        <v>7</v>
      </c>
      <c r="AQ523" s="3">
        <f t="shared" si="69"/>
        <v>1</v>
      </c>
      <c r="AR523" s="1" t="str">
        <f>INDEX(IOS!$B:$B,MATCH(D523,IOS!A:A,0))&amp;B523</f>
        <v>O.D.5</v>
      </c>
      <c r="AS523" s="1">
        <f t="shared" si="70"/>
        <v>0</v>
      </c>
      <c r="AT523" s="1" t="str">
        <f>IF(ISBLANK(W523),"",IF(ISERROR(MATCH(W523,HQLATABLE!$A:$A,0)),0,1))</f>
        <v/>
      </c>
      <c r="AU523" s="1" t="str">
        <f t="shared" si="71"/>
        <v>Blank</v>
      </c>
      <c r="AV523" s="1" t="str">
        <f t="shared" si="72"/>
        <v>Blank</v>
      </c>
      <c r="AW523" s="1">
        <f t="shared" si="73"/>
        <v>0</v>
      </c>
      <c r="AX523" s="1">
        <f t="shared" si="74"/>
        <v>0</v>
      </c>
      <c r="AY523" s="1"/>
      <c r="AZ523" s="1">
        <f>IF(COUNTIFS('PID CHECK'!$B:$B,AR523)=1,0,IF(COUNTIFS(AR$1:AR522,AR523)=1,0,1))</f>
        <v>0</v>
      </c>
      <c r="BA523" s="1"/>
      <c r="BB523" s="1"/>
    </row>
    <row r="524" spans="1:54">
      <c r="A524">
        <v>523</v>
      </c>
      <c r="B524" t="s">
        <v>82</v>
      </c>
      <c r="C524" t="s">
        <v>164</v>
      </c>
      <c r="D524" t="s">
        <v>153</v>
      </c>
      <c r="E524" t="s">
        <v>47</v>
      </c>
      <c r="F524" t="s">
        <v>50</v>
      </c>
      <c r="H524" t="s">
        <v>103</v>
      </c>
      <c r="J524" t="s">
        <v>49</v>
      </c>
      <c r="K524" t="s">
        <v>50</v>
      </c>
      <c r="L524" t="s">
        <v>762</v>
      </c>
      <c r="M524" t="s">
        <v>762</v>
      </c>
      <c r="N524">
        <v>326.27</v>
      </c>
      <c r="R524" t="s">
        <v>104</v>
      </c>
      <c r="S524" t="s">
        <v>104</v>
      </c>
      <c r="Z524" t="s">
        <v>84</v>
      </c>
      <c r="AA524" t="s">
        <v>156</v>
      </c>
      <c r="AC524" t="s">
        <v>883</v>
      </c>
      <c r="AD524" t="s">
        <v>50</v>
      </c>
      <c r="AH524">
        <v>3</v>
      </c>
      <c r="AM524">
        <v>43465</v>
      </c>
      <c r="AN524">
        <v>43469</v>
      </c>
      <c r="AO524" s="2">
        <f t="shared" si="67"/>
        <v>7</v>
      </c>
      <c r="AP524" s="2">
        <f t="shared" si="68"/>
        <v>7</v>
      </c>
      <c r="AQ524" s="3">
        <f t="shared" si="69"/>
        <v>1</v>
      </c>
      <c r="AR524" s="1" t="str">
        <f>INDEX(IOS!$B:$B,MATCH(D524,IOS!A:A,0))&amp;B524</f>
        <v>O.D.5</v>
      </c>
      <c r="AS524" s="1">
        <f t="shared" si="70"/>
        <v>0</v>
      </c>
      <c r="AT524" s="1" t="str">
        <f>IF(ISBLANK(W524),"",IF(ISERROR(MATCH(W524,HQLATABLE!$A:$A,0)),0,1))</f>
        <v/>
      </c>
      <c r="AU524" s="1" t="str">
        <f t="shared" si="71"/>
        <v>Blank</v>
      </c>
      <c r="AV524" s="1" t="str">
        <f t="shared" si="72"/>
        <v>Blank</v>
      </c>
      <c r="AW524" s="1">
        <f t="shared" si="73"/>
        <v>0</v>
      </c>
      <c r="AX524" s="1">
        <f t="shared" si="74"/>
        <v>0</v>
      </c>
      <c r="AY524" s="1"/>
      <c r="AZ524" s="1">
        <f>IF(COUNTIFS('PID CHECK'!$B:$B,AR524)=1,0,IF(COUNTIFS(AR$1:AR523,AR524)=1,0,1))</f>
        <v>0</v>
      </c>
      <c r="BA524" s="1"/>
      <c r="BB524" s="1"/>
    </row>
    <row r="525" spans="1:54">
      <c r="A525">
        <v>524</v>
      </c>
      <c r="B525" t="s">
        <v>82</v>
      </c>
      <c r="C525" t="s">
        <v>164</v>
      </c>
      <c r="D525" t="s">
        <v>153</v>
      </c>
      <c r="E525" t="s">
        <v>47</v>
      </c>
      <c r="F525" t="s">
        <v>50</v>
      </c>
      <c r="H525" t="s">
        <v>105</v>
      </c>
      <c r="J525" t="s">
        <v>49</v>
      </c>
      <c r="K525" t="s">
        <v>50</v>
      </c>
      <c r="L525" t="s">
        <v>762</v>
      </c>
      <c r="M525" t="s">
        <v>762</v>
      </c>
      <c r="N525">
        <v>1.2</v>
      </c>
      <c r="R525" t="s">
        <v>106</v>
      </c>
      <c r="S525" t="s">
        <v>107</v>
      </c>
      <c r="Z525" t="s">
        <v>84</v>
      </c>
      <c r="AA525" t="s">
        <v>154</v>
      </c>
      <c r="AC525" t="s">
        <v>883</v>
      </c>
      <c r="AD525" t="s">
        <v>50</v>
      </c>
      <c r="AH525">
        <v>3</v>
      </c>
      <c r="AM525">
        <v>43465</v>
      </c>
      <c r="AN525">
        <v>43469</v>
      </c>
      <c r="AO525" s="2">
        <f t="shared" si="67"/>
        <v>83</v>
      </c>
      <c r="AP525" s="2">
        <f t="shared" si="68"/>
        <v>90</v>
      </c>
      <c r="AQ525" s="3">
        <f t="shared" si="69"/>
        <v>0</v>
      </c>
      <c r="AR525" s="1" t="str">
        <f>INDEX(IOS!$B:$B,MATCH(D525,IOS!A:A,0))&amp;B525</f>
        <v>O.D.5</v>
      </c>
      <c r="AS525" s="1">
        <f t="shared" si="70"/>
        <v>0</v>
      </c>
      <c r="AT525" s="1" t="str">
        <f>IF(ISBLANK(W525),"",IF(ISERROR(MATCH(W525,HQLATABLE!$A:$A,0)),0,1))</f>
        <v/>
      </c>
      <c r="AU525" s="1" t="str">
        <f t="shared" si="71"/>
        <v>Blank</v>
      </c>
      <c r="AV525" s="1" t="str">
        <f t="shared" si="72"/>
        <v>Blank</v>
      </c>
      <c r="AW525" s="1">
        <f t="shared" si="73"/>
        <v>0</v>
      </c>
      <c r="AX525" s="1">
        <f t="shared" si="74"/>
        <v>0</v>
      </c>
      <c r="AY525" s="1"/>
      <c r="AZ525" s="1">
        <f>IF(COUNTIFS('PID CHECK'!$B:$B,AR525)=1,0,IF(COUNTIFS(AR$1:AR524,AR525)=1,0,1))</f>
        <v>0</v>
      </c>
      <c r="BA525" s="1"/>
      <c r="BB525" s="1"/>
    </row>
    <row r="526" spans="1:54">
      <c r="A526">
        <v>525</v>
      </c>
      <c r="B526" t="s">
        <v>82</v>
      </c>
      <c r="C526" t="s">
        <v>164</v>
      </c>
      <c r="D526" t="s">
        <v>153</v>
      </c>
      <c r="E526" t="s">
        <v>47</v>
      </c>
      <c r="F526" t="s">
        <v>50</v>
      </c>
      <c r="H526" t="s">
        <v>105</v>
      </c>
      <c r="J526" t="s">
        <v>49</v>
      </c>
      <c r="K526" t="s">
        <v>50</v>
      </c>
      <c r="L526" t="s">
        <v>762</v>
      </c>
      <c r="M526" t="s">
        <v>762</v>
      </c>
      <c r="N526">
        <v>39.42</v>
      </c>
      <c r="R526" t="s">
        <v>106</v>
      </c>
      <c r="S526" t="s">
        <v>107</v>
      </c>
      <c r="Z526" t="s">
        <v>84</v>
      </c>
      <c r="AA526" t="s">
        <v>156</v>
      </c>
      <c r="AC526" t="s">
        <v>883</v>
      </c>
      <c r="AD526" t="s">
        <v>50</v>
      </c>
      <c r="AH526">
        <v>3</v>
      </c>
      <c r="AM526">
        <v>43465</v>
      </c>
      <c r="AN526">
        <v>43469</v>
      </c>
      <c r="AO526" s="2">
        <f t="shared" si="67"/>
        <v>83</v>
      </c>
      <c r="AP526" s="2">
        <f t="shared" si="68"/>
        <v>90</v>
      </c>
      <c r="AQ526" s="3">
        <f t="shared" si="69"/>
        <v>0</v>
      </c>
      <c r="AR526" s="1" t="str">
        <f>INDEX(IOS!$B:$B,MATCH(D526,IOS!A:A,0))&amp;B526</f>
        <v>O.D.5</v>
      </c>
      <c r="AS526" s="1">
        <f t="shared" si="70"/>
        <v>0</v>
      </c>
      <c r="AT526" s="1" t="str">
        <f>IF(ISBLANK(W526),"",IF(ISERROR(MATCH(W526,HQLATABLE!$A:$A,0)),0,1))</f>
        <v/>
      </c>
      <c r="AU526" s="1" t="str">
        <f t="shared" si="71"/>
        <v>Blank</v>
      </c>
      <c r="AV526" s="1" t="str">
        <f t="shared" si="72"/>
        <v>Blank</v>
      </c>
      <c r="AW526" s="1">
        <f t="shared" si="73"/>
        <v>0</v>
      </c>
      <c r="AX526" s="1">
        <f t="shared" si="74"/>
        <v>0</v>
      </c>
      <c r="AY526" s="1"/>
      <c r="AZ526" s="1">
        <f>IF(COUNTIFS('PID CHECK'!$B:$B,AR526)=1,0,IF(COUNTIFS(AR$1:AR525,AR526)=1,0,1))</f>
        <v>0</v>
      </c>
      <c r="BA526" s="1"/>
      <c r="BB526" s="1"/>
    </row>
    <row r="527" spans="1:54">
      <c r="A527">
        <v>526</v>
      </c>
      <c r="B527" t="s">
        <v>82</v>
      </c>
      <c r="C527" t="s">
        <v>164</v>
      </c>
      <c r="D527" t="s">
        <v>153</v>
      </c>
      <c r="E527" t="s">
        <v>47</v>
      </c>
      <c r="F527" t="s">
        <v>50</v>
      </c>
      <c r="H527" t="s">
        <v>1064</v>
      </c>
      <c r="J527" t="s">
        <v>49</v>
      </c>
      <c r="K527" t="s">
        <v>50</v>
      </c>
      <c r="L527" t="s">
        <v>762</v>
      </c>
      <c r="M527" t="s">
        <v>762</v>
      </c>
      <c r="N527">
        <v>15.79</v>
      </c>
      <c r="R527" t="s">
        <v>1065</v>
      </c>
      <c r="S527" t="s">
        <v>1065</v>
      </c>
      <c r="Z527" t="s">
        <v>84</v>
      </c>
      <c r="AA527" t="s">
        <v>156</v>
      </c>
      <c r="AC527" t="s">
        <v>883</v>
      </c>
      <c r="AD527" t="s">
        <v>50</v>
      </c>
      <c r="AH527">
        <v>3</v>
      </c>
      <c r="AM527">
        <v>43465</v>
      </c>
      <c r="AN527">
        <v>43469</v>
      </c>
      <c r="AO527" s="2">
        <f t="shared" si="67"/>
        <v>8</v>
      </c>
      <c r="AP527" s="2">
        <f t="shared" si="68"/>
        <v>8</v>
      </c>
      <c r="AQ527" s="3">
        <f t="shared" si="69"/>
        <v>1</v>
      </c>
      <c r="AR527" s="1" t="str">
        <f>INDEX(IOS!$B:$B,MATCH(D527,IOS!A:A,0))&amp;B527</f>
        <v>O.D.5</v>
      </c>
      <c r="AS527" s="1">
        <f t="shared" si="70"/>
        <v>0</v>
      </c>
      <c r="AT527" s="1" t="str">
        <f>IF(ISBLANK(W527),"",IF(ISERROR(MATCH(W527,HQLATABLE!$A:$A,0)),0,1))</f>
        <v/>
      </c>
      <c r="AU527" s="1" t="str">
        <f t="shared" si="71"/>
        <v>Blank</v>
      </c>
      <c r="AV527" s="1" t="str">
        <f t="shared" si="72"/>
        <v>Blank</v>
      </c>
      <c r="AW527" s="1">
        <f t="shared" si="73"/>
        <v>0</v>
      </c>
      <c r="AX527" s="1">
        <f t="shared" si="74"/>
        <v>0</v>
      </c>
      <c r="AY527" s="1"/>
      <c r="AZ527" s="1">
        <f>IF(COUNTIFS('PID CHECK'!$B:$B,AR527)=1,0,IF(COUNTIFS(AR$1:AR526,AR527)=1,0,1))</f>
        <v>0</v>
      </c>
      <c r="BA527" s="1"/>
      <c r="BB527" s="1"/>
    </row>
    <row r="528" spans="1:54">
      <c r="A528">
        <v>527</v>
      </c>
      <c r="B528" t="s">
        <v>82</v>
      </c>
      <c r="C528" t="s">
        <v>164</v>
      </c>
      <c r="D528" t="s">
        <v>153</v>
      </c>
      <c r="E528" t="s">
        <v>47</v>
      </c>
      <c r="F528" t="s">
        <v>50</v>
      </c>
      <c r="H528" t="s">
        <v>108</v>
      </c>
      <c r="J528" t="s">
        <v>49</v>
      </c>
      <c r="K528" t="s">
        <v>50</v>
      </c>
      <c r="L528" t="s">
        <v>762</v>
      </c>
      <c r="M528" t="s">
        <v>762</v>
      </c>
      <c r="N528">
        <v>6.18</v>
      </c>
      <c r="R528" t="s">
        <v>109</v>
      </c>
      <c r="S528" t="s">
        <v>110</v>
      </c>
      <c r="Z528" t="s">
        <v>84</v>
      </c>
      <c r="AA528" t="s">
        <v>154</v>
      </c>
      <c r="AC528" t="s">
        <v>883</v>
      </c>
      <c r="AD528" t="s">
        <v>50</v>
      </c>
      <c r="AH528">
        <v>3</v>
      </c>
      <c r="AM528">
        <v>43465</v>
      </c>
      <c r="AN528">
        <v>43469</v>
      </c>
      <c r="AO528" s="2">
        <f t="shared" si="67"/>
        <v>91</v>
      </c>
      <c r="AP528" s="2">
        <f t="shared" si="68"/>
        <v>120</v>
      </c>
      <c r="AQ528" s="3">
        <f t="shared" si="69"/>
        <v>0</v>
      </c>
      <c r="AR528" s="1" t="str">
        <f>INDEX(IOS!$B:$B,MATCH(D528,IOS!A:A,0))&amp;B528</f>
        <v>O.D.5</v>
      </c>
      <c r="AS528" s="1">
        <f t="shared" si="70"/>
        <v>0</v>
      </c>
      <c r="AT528" s="1" t="str">
        <f>IF(ISBLANK(W528),"",IF(ISERROR(MATCH(W528,HQLATABLE!$A:$A,0)),0,1))</f>
        <v/>
      </c>
      <c r="AU528" s="1" t="str">
        <f t="shared" si="71"/>
        <v>Blank</v>
      </c>
      <c r="AV528" s="1" t="str">
        <f t="shared" si="72"/>
        <v>Blank</v>
      </c>
      <c r="AW528" s="1">
        <f t="shared" si="73"/>
        <v>0</v>
      </c>
      <c r="AX528" s="1">
        <f t="shared" si="74"/>
        <v>0</v>
      </c>
      <c r="AY528" s="1"/>
      <c r="AZ528" s="1">
        <f>IF(COUNTIFS('PID CHECK'!$B:$B,AR528)=1,0,IF(COUNTIFS(AR$1:AR527,AR528)=1,0,1))</f>
        <v>0</v>
      </c>
      <c r="BA528" s="1"/>
      <c r="BB528" s="1"/>
    </row>
    <row r="529" spans="1:54">
      <c r="A529">
        <v>528</v>
      </c>
      <c r="B529" t="s">
        <v>82</v>
      </c>
      <c r="C529" t="s">
        <v>164</v>
      </c>
      <c r="D529" t="s">
        <v>153</v>
      </c>
      <c r="E529" t="s">
        <v>47</v>
      </c>
      <c r="F529" t="s">
        <v>50</v>
      </c>
      <c r="H529" t="s">
        <v>108</v>
      </c>
      <c r="J529" t="s">
        <v>49</v>
      </c>
      <c r="K529" t="s">
        <v>50</v>
      </c>
      <c r="L529" t="s">
        <v>762</v>
      </c>
      <c r="M529" t="s">
        <v>762</v>
      </c>
      <c r="N529">
        <v>0.09</v>
      </c>
      <c r="R529" t="s">
        <v>109</v>
      </c>
      <c r="S529" t="s">
        <v>110</v>
      </c>
      <c r="Z529" t="s">
        <v>162</v>
      </c>
      <c r="AA529" t="s">
        <v>154</v>
      </c>
      <c r="AC529" t="s">
        <v>883</v>
      </c>
      <c r="AD529" t="s">
        <v>50</v>
      </c>
      <c r="AH529">
        <v>4</v>
      </c>
      <c r="AM529">
        <v>43465</v>
      </c>
      <c r="AN529">
        <v>43469</v>
      </c>
      <c r="AO529" s="2">
        <f t="shared" si="67"/>
        <v>91</v>
      </c>
      <c r="AP529" s="2">
        <f t="shared" si="68"/>
        <v>120</v>
      </c>
      <c r="AQ529" s="3">
        <f t="shared" si="69"/>
        <v>0</v>
      </c>
      <c r="AR529" s="1" t="str">
        <f>INDEX(IOS!$B:$B,MATCH(D529,IOS!A:A,0))&amp;B529</f>
        <v>O.D.5</v>
      </c>
      <c r="AS529" s="1">
        <f t="shared" si="70"/>
        <v>0</v>
      </c>
      <c r="AT529" s="1" t="str">
        <f>IF(ISBLANK(W529),"",IF(ISERROR(MATCH(W529,HQLATABLE!$A:$A,0)),0,1))</f>
        <v/>
      </c>
      <c r="AU529" s="1" t="str">
        <f t="shared" si="71"/>
        <v>Blank</v>
      </c>
      <c r="AV529" s="1" t="str">
        <f t="shared" si="72"/>
        <v>Blank</v>
      </c>
      <c r="AW529" s="1">
        <f t="shared" si="73"/>
        <v>0</v>
      </c>
      <c r="AX529" s="1">
        <f t="shared" si="74"/>
        <v>0</v>
      </c>
      <c r="AY529" s="1"/>
      <c r="AZ529" s="1">
        <f>IF(COUNTIFS('PID CHECK'!$B:$B,AR529)=1,0,IF(COUNTIFS(AR$1:AR528,AR529)=1,0,1))</f>
        <v>0</v>
      </c>
      <c r="BA529" s="1"/>
      <c r="BB529" s="1"/>
    </row>
    <row r="530" spans="1:54">
      <c r="A530">
        <v>529</v>
      </c>
      <c r="B530" t="s">
        <v>82</v>
      </c>
      <c r="C530" t="s">
        <v>164</v>
      </c>
      <c r="D530" t="s">
        <v>153</v>
      </c>
      <c r="E530" t="s">
        <v>47</v>
      </c>
      <c r="F530" t="s">
        <v>50</v>
      </c>
      <c r="H530" t="s">
        <v>108</v>
      </c>
      <c r="J530" t="s">
        <v>49</v>
      </c>
      <c r="K530" t="s">
        <v>50</v>
      </c>
      <c r="L530" t="s">
        <v>762</v>
      </c>
      <c r="M530" t="s">
        <v>762</v>
      </c>
      <c r="N530">
        <v>111.56</v>
      </c>
      <c r="R530" t="s">
        <v>109</v>
      </c>
      <c r="S530" t="s">
        <v>110</v>
      </c>
      <c r="Z530" t="s">
        <v>84</v>
      </c>
      <c r="AA530" t="s">
        <v>156</v>
      </c>
      <c r="AC530" t="s">
        <v>883</v>
      </c>
      <c r="AD530" t="s">
        <v>50</v>
      </c>
      <c r="AH530">
        <v>3</v>
      </c>
      <c r="AM530">
        <v>43465</v>
      </c>
      <c r="AN530">
        <v>43469</v>
      </c>
      <c r="AO530" s="2">
        <f t="shared" si="67"/>
        <v>91</v>
      </c>
      <c r="AP530" s="2">
        <f t="shared" si="68"/>
        <v>120</v>
      </c>
      <c r="AQ530" s="3">
        <f t="shared" si="69"/>
        <v>0</v>
      </c>
      <c r="AR530" s="1" t="str">
        <f>INDEX(IOS!$B:$B,MATCH(D530,IOS!A:A,0))&amp;B530</f>
        <v>O.D.5</v>
      </c>
      <c r="AS530" s="1">
        <f t="shared" si="70"/>
        <v>0</v>
      </c>
      <c r="AT530" s="1" t="str">
        <f>IF(ISBLANK(W530),"",IF(ISERROR(MATCH(W530,HQLATABLE!$A:$A,0)),0,1))</f>
        <v/>
      </c>
      <c r="AU530" s="1" t="str">
        <f t="shared" si="71"/>
        <v>Blank</v>
      </c>
      <c r="AV530" s="1" t="str">
        <f t="shared" si="72"/>
        <v>Blank</v>
      </c>
      <c r="AW530" s="1">
        <f t="shared" si="73"/>
        <v>0</v>
      </c>
      <c r="AX530" s="1">
        <f t="shared" si="74"/>
        <v>0</v>
      </c>
      <c r="AY530" s="1"/>
      <c r="AZ530" s="1">
        <f>IF(COUNTIFS('PID CHECK'!$B:$B,AR530)=1,0,IF(COUNTIFS(AR$1:AR529,AR530)=1,0,1))</f>
        <v>0</v>
      </c>
      <c r="BA530" s="1"/>
      <c r="BB530" s="1"/>
    </row>
    <row r="531" spans="1:54">
      <c r="A531">
        <v>530</v>
      </c>
      <c r="B531" t="s">
        <v>82</v>
      </c>
      <c r="C531" t="s">
        <v>164</v>
      </c>
      <c r="D531" t="s">
        <v>153</v>
      </c>
      <c r="E531" t="s">
        <v>47</v>
      </c>
      <c r="F531" t="s">
        <v>50</v>
      </c>
      <c r="H531" t="s">
        <v>108</v>
      </c>
      <c r="J531" t="s">
        <v>49</v>
      </c>
      <c r="K531" t="s">
        <v>50</v>
      </c>
      <c r="L531" t="s">
        <v>762</v>
      </c>
      <c r="M531" t="s">
        <v>762</v>
      </c>
      <c r="N531">
        <v>0.26</v>
      </c>
      <c r="R531" t="s">
        <v>109</v>
      </c>
      <c r="S531" t="s">
        <v>110</v>
      </c>
      <c r="Z531" t="s">
        <v>162</v>
      </c>
      <c r="AA531" t="s">
        <v>156</v>
      </c>
      <c r="AC531" t="s">
        <v>883</v>
      </c>
      <c r="AD531" t="s">
        <v>50</v>
      </c>
      <c r="AH531">
        <v>4</v>
      </c>
      <c r="AM531">
        <v>43465</v>
      </c>
      <c r="AN531">
        <v>43469</v>
      </c>
      <c r="AO531" s="2">
        <f t="shared" si="67"/>
        <v>91</v>
      </c>
      <c r="AP531" s="2">
        <f t="shared" si="68"/>
        <v>120</v>
      </c>
      <c r="AQ531" s="3">
        <f t="shared" si="69"/>
        <v>0</v>
      </c>
      <c r="AR531" s="1" t="str">
        <f>INDEX(IOS!$B:$B,MATCH(D531,IOS!A:A,0))&amp;B531</f>
        <v>O.D.5</v>
      </c>
      <c r="AS531" s="1">
        <f t="shared" si="70"/>
        <v>0</v>
      </c>
      <c r="AT531" s="1" t="str">
        <f>IF(ISBLANK(W531),"",IF(ISERROR(MATCH(W531,HQLATABLE!$A:$A,0)),0,1))</f>
        <v/>
      </c>
      <c r="AU531" s="1" t="str">
        <f t="shared" si="71"/>
        <v>Blank</v>
      </c>
      <c r="AV531" s="1" t="str">
        <f t="shared" si="72"/>
        <v>Blank</v>
      </c>
      <c r="AW531" s="1">
        <f t="shared" si="73"/>
        <v>0</v>
      </c>
      <c r="AX531" s="1">
        <f t="shared" si="74"/>
        <v>0</v>
      </c>
      <c r="AY531" s="1"/>
      <c r="AZ531" s="1">
        <f>IF(COUNTIFS('PID CHECK'!$B:$B,AR531)=1,0,IF(COUNTIFS(AR$1:AR530,AR531)=1,0,1))</f>
        <v>0</v>
      </c>
      <c r="BA531" s="1"/>
      <c r="BB531" s="1"/>
    </row>
    <row r="532" spans="1:54">
      <c r="A532">
        <v>531</v>
      </c>
      <c r="B532" t="s">
        <v>82</v>
      </c>
      <c r="C532" t="s">
        <v>164</v>
      </c>
      <c r="D532" t="s">
        <v>153</v>
      </c>
      <c r="E532" t="s">
        <v>47</v>
      </c>
      <c r="F532" t="s">
        <v>50</v>
      </c>
      <c r="H532" t="s">
        <v>1044</v>
      </c>
      <c r="J532" t="s">
        <v>49</v>
      </c>
      <c r="K532" t="s">
        <v>50</v>
      </c>
      <c r="L532" t="s">
        <v>762</v>
      </c>
      <c r="M532" t="s">
        <v>762</v>
      </c>
      <c r="N532">
        <v>0.7</v>
      </c>
      <c r="R532" t="s">
        <v>1045</v>
      </c>
      <c r="S532" t="s">
        <v>1045</v>
      </c>
      <c r="Z532" t="s">
        <v>84</v>
      </c>
      <c r="AA532" t="s">
        <v>154</v>
      </c>
      <c r="AC532" t="s">
        <v>883</v>
      </c>
      <c r="AD532" t="s">
        <v>50</v>
      </c>
      <c r="AH532">
        <v>3</v>
      </c>
      <c r="AM532">
        <v>43465</v>
      </c>
      <c r="AN532">
        <v>43469</v>
      </c>
      <c r="AO532" s="2">
        <f t="shared" si="67"/>
        <v>9</v>
      </c>
      <c r="AP532" s="2">
        <f t="shared" si="68"/>
        <v>9</v>
      </c>
      <c r="AQ532" s="3">
        <f t="shared" si="69"/>
        <v>1</v>
      </c>
      <c r="AR532" s="1" t="str">
        <f>INDEX(IOS!$B:$B,MATCH(D532,IOS!A:A,0))&amp;B532</f>
        <v>O.D.5</v>
      </c>
      <c r="AS532" s="1">
        <f t="shared" si="70"/>
        <v>0</v>
      </c>
      <c r="AT532" s="1" t="str">
        <f>IF(ISBLANK(W532),"",IF(ISERROR(MATCH(W532,HQLATABLE!$A:$A,0)),0,1))</f>
        <v/>
      </c>
      <c r="AU532" s="1" t="str">
        <f t="shared" si="71"/>
        <v>Blank</v>
      </c>
      <c r="AV532" s="1" t="str">
        <f t="shared" si="72"/>
        <v>Blank</v>
      </c>
      <c r="AW532" s="1">
        <f t="shared" si="73"/>
        <v>0</v>
      </c>
      <c r="AX532" s="1">
        <f t="shared" si="74"/>
        <v>0</v>
      </c>
      <c r="AY532" s="1"/>
      <c r="AZ532" s="1">
        <f>IF(COUNTIFS('PID CHECK'!$B:$B,AR532)=1,0,IF(COUNTIFS(AR$1:AR531,AR532)=1,0,1))</f>
        <v>0</v>
      </c>
      <c r="BA532" s="1"/>
      <c r="BB532" s="1"/>
    </row>
    <row r="533" spans="1:54">
      <c r="A533">
        <v>532</v>
      </c>
      <c r="B533" t="s">
        <v>82</v>
      </c>
      <c r="C533" t="s">
        <v>164</v>
      </c>
      <c r="D533" t="s">
        <v>153</v>
      </c>
      <c r="E533" t="s">
        <v>47</v>
      </c>
      <c r="F533" t="s">
        <v>50</v>
      </c>
      <c r="H533" t="s">
        <v>1044</v>
      </c>
      <c r="J533" t="s">
        <v>49</v>
      </c>
      <c r="K533" t="s">
        <v>50</v>
      </c>
      <c r="L533" t="s">
        <v>762</v>
      </c>
      <c r="M533" t="s">
        <v>762</v>
      </c>
      <c r="N533">
        <v>308</v>
      </c>
      <c r="R533" t="s">
        <v>1045</v>
      </c>
      <c r="S533" t="s">
        <v>1045</v>
      </c>
      <c r="Z533" t="s">
        <v>84</v>
      </c>
      <c r="AA533" t="s">
        <v>156</v>
      </c>
      <c r="AC533" t="s">
        <v>883</v>
      </c>
      <c r="AD533" t="s">
        <v>50</v>
      </c>
      <c r="AH533">
        <v>3</v>
      </c>
      <c r="AM533">
        <v>43465</v>
      </c>
      <c r="AN533">
        <v>43469</v>
      </c>
      <c r="AO533" s="2">
        <f t="shared" si="67"/>
        <v>9</v>
      </c>
      <c r="AP533" s="2">
        <f t="shared" si="68"/>
        <v>9</v>
      </c>
      <c r="AQ533" s="3">
        <f t="shared" si="69"/>
        <v>1</v>
      </c>
      <c r="AR533" s="1" t="str">
        <f>INDEX(IOS!$B:$B,MATCH(D533,IOS!A:A,0))&amp;B533</f>
        <v>O.D.5</v>
      </c>
      <c r="AS533" s="1">
        <f t="shared" si="70"/>
        <v>0</v>
      </c>
      <c r="AT533" s="1" t="str">
        <f>IF(ISBLANK(W533),"",IF(ISERROR(MATCH(W533,HQLATABLE!$A:$A,0)),0,1))</f>
        <v/>
      </c>
      <c r="AU533" s="1" t="str">
        <f t="shared" si="71"/>
        <v>Blank</v>
      </c>
      <c r="AV533" s="1" t="str">
        <f t="shared" si="72"/>
        <v>Blank</v>
      </c>
      <c r="AW533" s="1">
        <f t="shared" si="73"/>
        <v>0</v>
      </c>
      <c r="AX533" s="1">
        <f t="shared" si="74"/>
        <v>0</v>
      </c>
      <c r="AY533" s="1"/>
      <c r="AZ533" s="1">
        <f>IF(COUNTIFS('PID CHECK'!$B:$B,AR533)=1,0,IF(COUNTIFS(AR$1:AR532,AR533)=1,0,1))</f>
        <v>0</v>
      </c>
      <c r="BA533" s="1"/>
      <c r="BB533" s="1"/>
    </row>
    <row r="534" spans="1:54">
      <c r="A534">
        <v>533</v>
      </c>
      <c r="B534" t="s">
        <v>111</v>
      </c>
      <c r="C534" t="s">
        <v>165</v>
      </c>
      <c r="D534" t="s">
        <v>153</v>
      </c>
      <c r="E534" t="s">
        <v>47</v>
      </c>
      <c r="F534" t="s">
        <v>50</v>
      </c>
      <c r="H534" t="s">
        <v>48</v>
      </c>
      <c r="J534" t="s">
        <v>49</v>
      </c>
      <c r="K534" t="s">
        <v>50</v>
      </c>
      <c r="L534" t="s">
        <v>762</v>
      </c>
      <c r="M534" t="s">
        <v>762</v>
      </c>
      <c r="N534">
        <v>3.51</v>
      </c>
      <c r="R534" t="s">
        <v>51</v>
      </c>
      <c r="S534" t="s">
        <v>52</v>
      </c>
      <c r="Z534" t="s">
        <v>84</v>
      </c>
      <c r="AA534" t="s">
        <v>154</v>
      </c>
      <c r="AC534" t="s">
        <v>883</v>
      </c>
      <c r="AD534" t="s">
        <v>50</v>
      </c>
      <c r="AH534">
        <v>3</v>
      </c>
      <c r="AM534">
        <v>43465</v>
      </c>
      <c r="AN534">
        <v>43469</v>
      </c>
      <c r="AO534" s="2">
        <f t="shared" si="67"/>
        <v>0</v>
      </c>
      <c r="AP534" s="2">
        <f t="shared" si="68"/>
        <v>0</v>
      </c>
      <c r="AQ534" s="3">
        <f t="shared" si="69"/>
        <v>1</v>
      </c>
      <c r="AR534" s="1" t="str">
        <f>INDEX(IOS!$B:$B,MATCH(D534,IOS!A:A,0))&amp;B534</f>
        <v>O.D.6</v>
      </c>
      <c r="AS534" s="1">
        <f t="shared" si="70"/>
        <v>0</v>
      </c>
      <c r="AT534" s="1" t="str">
        <f>IF(ISBLANK(W534),"",IF(ISERROR(MATCH(W534,HQLATABLE!$A:$A,0)),0,1))</f>
        <v/>
      </c>
      <c r="AU534" s="1" t="str">
        <f t="shared" si="71"/>
        <v>Blank</v>
      </c>
      <c r="AV534" s="1" t="str">
        <f t="shared" si="72"/>
        <v>Blank</v>
      </c>
      <c r="AW534" s="1">
        <f t="shared" si="73"/>
        <v>0</v>
      </c>
      <c r="AX534" s="1">
        <f t="shared" si="74"/>
        <v>0</v>
      </c>
      <c r="AY534" s="1"/>
      <c r="AZ534" s="1">
        <f>IF(COUNTIFS('PID CHECK'!$B:$B,AR534)=1,0,IF(COUNTIFS(AR$1:AR533,AR534)=1,0,1))</f>
        <v>0</v>
      </c>
      <c r="BA534" s="1"/>
      <c r="BB534" s="1"/>
    </row>
    <row r="535" spans="1:54">
      <c r="A535">
        <v>534</v>
      </c>
      <c r="B535" t="s">
        <v>111</v>
      </c>
      <c r="C535" t="s">
        <v>165</v>
      </c>
      <c r="D535" t="s">
        <v>153</v>
      </c>
      <c r="E535" t="s">
        <v>47</v>
      </c>
      <c r="F535" t="s">
        <v>50</v>
      </c>
      <c r="H535" t="s">
        <v>48</v>
      </c>
      <c r="J535" t="s">
        <v>49</v>
      </c>
      <c r="K535" t="s">
        <v>50</v>
      </c>
      <c r="L535" t="s">
        <v>762</v>
      </c>
      <c r="M535" t="s">
        <v>762</v>
      </c>
      <c r="N535">
        <v>143.69</v>
      </c>
      <c r="R535" t="s">
        <v>51</v>
      </c>
      <c r="S535" t="s">
        <v>52</v>
      </c>
      <c r="Z535" t="s">
        <v>84</v>
      </c>
      <c r="AA535" t="s">
        <v>156</v>
      </c>
      <c r="AC535" t="s">
        <v>883</v>
      </c>
      <c r="AD535" t="s">
        <v>50</v>
      </c>
      <c r="AH535">
        <v>3</v>
      </c>
      <c r="AM535">
        <v>43465</v>
      </c>
      <c r="AN535">
        <v>43469</v>
      </c>
      <c r="AO535" s="2">
        <f t="shared" si="67"/>
        <v>0</v>
      </c>
      <c r="AP535" s="2">
        <f t="shared" si="68"/>
        <v>0</v>
      </c>
      <c r="AQ535" s="3">
        <f t="shared" si="69"/>
        <v>1</v>
      </c>
      <c r="AR535" s="1" t="str">
        <f>INDEX(IOS!$B:$B,MATCH(D535,IOS!A:A,0))&amp;B535</f>
        <v>O.D.6</v>
      </c>
      <c r="AS535" s="1">
        <f t="shared" si="70"/>
        <v>0</v>
      </c>
      <c r="AT535" s="1" t="str">
        <f>IF(ISBLANK(W535),"",IF(ISERROR(MATCH(W535,HQLATABLE!$A:$A,0)),0,1))</f>
        <v/>
      </c>
      <c r="AU535" s="1" t="str">
        <f t="shared" si="71"/>
        <v>Blank</v>
      </c>
      <c r="AV535" s="1" t="str">
        <f t="shared" si="72"/>
        <v>Blank</v>
      </c>
      <c r="AW535" s="1">
        <f t="shared" si="73"/>
        <v>0</v>
      </c>
      <c r="AX535" s="1">
        <f t="shared" si="74"/>
        <v>0</v>
      </c>
      <c r="AY535" s="1"/>
      <c r="AZ535" s="1">
        <f>IF(COUNTIFS('PID CHECK'!$B:$B,AR535)=1,0,IF(COUNTIFS(AR$1:AR534,AR535)=1,0,1))</f>
        <v>0</v>
      </c>
      <c r="BA535" s="1"/>
      <c r="BB535" s="1"/>
    </row>
    <row r="536" spans="1:54">
      <c r="A536">
        <v>535</v>
      </c>
      <c r="B536" t="s">
        <v>118</v>
      </c>
      <c r="C536" t="s">
        <v>166</v>
      </c>
      <c r="D536" t="s">
        <v>153</v>
      </c>
      <c r="E536" t="s">
        <v>47</v>
      </c>
      <c r="F536" t="s">
        <v>50</v>
      </c>
      <c r="H536" t="s">
        <v>48</v>
      </c>
      <c r="J536" t="s">
        <v>49</v>
      </c>
      <c r="K536" t="s">
        <v>50</v>
      </c>
      <c r="L536" t="s">
        <v>762</v>
      </c>
      <c r="M536" t="s">
        <v>762</v>
      </c>
      <c r="N536">
        <v>70.7</v>
      </c>
      <c r="R536" t="s">
        <v>51</v>
      </c>
      <c r="S536" t="s">
        <v>52</v>
      </c>
      <c r="Z536" t="s">
        <v>122</v>
      </c>
      <c r="AA536" t="s">
        <v>154</v>
      </c>
      <c r="AC536" t="s">
        <v>883</v>
      </c>
      <c r="AD536" t="s">
        <v>50</v>
      </c>
      <c r="AH536">
        <v>1</v>
      </c>
      <c r="AM536">
        <v>43465</v>
      </c>
      <c r="AN536">
        <v>43469</v>
      </c>
      <c r="AO536" s="2">
        <f t="shared" si="67"/>
        <v>0</v>
      </c>
      <c r="AP536" s="2">
        <f t="shared" si="68"/>
        <v>0</v>
      </c>
      <c r="AQ536" s="3">
        <f t="shared" si="69"/>
        <v>1</v>
      </c>
      <c r="AR536" s="1" t="str">
        <f>INDEX(IOS!$B:$B,MATCH(D536,IOS!A:A,0))&amp;B536</f>
        <v>O.D.7</v>
      </c>
      <c r="AS536" s="1">
        <f t="shared" si="70"/>
        <v>0</v>
      </c>
      <c r="AT536" s="1" t="str">
        <f>IF(ISBLANK(W536),"",IF(ISERROR(MATCH(W536,HQLATABLE!$A:$A,0)),0,1))</f>
        <v/>
      </c>
      <c r="AU536" s="1" t="str">
        <f t="shared" si="71"/>
        <v>Blank</v>
      </c>
      <c r="AV536" s="1" t="str">
        <f t="shared" si="72"/>
        <v>Blank</v>
      </c>
      <c r="AW536" s="1">
        <f t="shared" si="73"/>
        <v>0</v>
      </c>
      <c r="AX536" s="1">
        <f t="shared" si="74"/>
        <v>0</v>
      </c>
      <c r="AY536" s="1"/>
      <c r="AZ536" s="1">
        <f>IF(COUNTIFS('PID CHECK'!$B:$B,AR536)=1,0,IF(COUNTIFS(AR$1:AR535,AR536)=1,0,1))</f>
        <v>0</v>
      </c>
      <c r="BA536" s="1"/>
      <c r="BB536" s="1"/>
    </row>
    <row r="537" spans="1:54">
      <c r="A537">
        <v>536</v>
      </c>
      <c r="B537" t="s">
        <v>118</v>
      </c>
      <c r="C537" t="s">
        <v>166</v>
      </c>
      <c r="D537" t="s">
        <v>153</v>
      </c>
      <c r="E537" t="s">
        <v>47</v>
      </c>
      <c r="F537" t="s">
        <v>50</v>
      </c>
      <c r="H537" t="s">
        <v>48</v>
      </c>
      <c r="J537" t="s">
        <v>49</v>
      </c>
      <c r="K537" t="s">
        <v>50</v>
      </c>
      <c r="L537" t="s">
        <v>762</v>
      </c>
      <c r="M537" t="s">
        <v>762</v>
      </c>
      <c r="N537">
        <v>0</v>
      </c>
      <c r="R537" t="s">
        <v>51</v>
      </c>
      <c r="S537" t="s">
        <v>52</v>
      </c>
      <c r="Z537" t="s">
        <v>84</v>
      </c>
      <c r="AA537" t="s">
        <v>154</v>
      </c>
      <c r="AC537" t="s">
        <v>883</v>
      </c>
      <c r="AD537" t="s">
        <v>50</v>
      </c>
      <c r="AH537">
        <v>3</v>
      </c>
      <c r="AM537">
        <v>43465</v>
      </c>
      <c r="AN537">
        <v>43469</v>
      </c>
      <c r="AO537" s="2">
        <f t="shared" si="67"/>
        <v>0</v>
      </c>
      <c r="AP537" s="2">
        <f t="shared" si="68"/>
        <v>0</v>
      </c>
      <c r="AQ537" s="3">
        <f t="shared" si="69"/>
        <v>1</v>
      </c>
      <c r="AR537" s="1" t="str">
        <f>INDEX(IOS!$B:$B,MATCH(D537,IOS!A:A,0))&amp;B537</f>
        <v>O.D.7</v>
      </c>
      <c r="AS537" s="1">
        <f t="shared" si="70"/>
        <v>0</v>
      </c>
      <c r="AT537" s="1" t="str">
        <f>IF(ISBLANK(W537),"",IF(ISERROR(MATCH(W537,HQLATABLE!$A:$A,0)),0,1))</f>
        <v/>
      </c>
      <c r="AU537" s="1" t="str">
        <f t="shared" si="71"/>
        <v>Blank</v>
      </c>
      <c r="AV537" s="1" t="str">
        <f t="shared" si="72"/>
        <v>Blank</v>
      </c>
      <c r="AW537" s="1">
        <f t="shared" si="73"/>
        <v>0</v>
      </c>
      <c r="AX537" s="1">
        <f t="shared" si="74"/>
        <v>0</v>
      </c>
      <c r="AY537" s="1"/>
      <c r="AZ537" s="1">
        <f>IF(COUNTIFS('PID CHECK'!$B:$B,AR537)=1,0,IF(COUNTIFS(AR$1:AR536,AR537)=1,0,1))</f>
        <v>0</v>
      </c>
      <c r="BA537" s="1"/>
      <c r="BB537" s="1"/>
    </row>
    <row r="538" spans="1:54">
      <c r="A538">
        <v>537</v>
      </c>
      <c r="B538" t="s">
        <v>118</v>
      </c>
      <c r="C538" t="s">
        <v>166</v>
      </c>
      <c r="D538" t="s">
        <v>153</v>
      </c>
      <c r="E538" t="s">
        <v>47</v>
      </c>
      <c r="F538" t="s">
        <v>50</v>
      </c>
      <c r="H538" t="s">
        <v>67</v>
      </c>
      <c r="J538" t="s">
        <v>49</v>
      </c>
      <c r="K538" t="s">
        <v>50</v>
      </c>
      <c r="L538" t="s">
        <v>762</v>
      </c>
      <c r="M538" t="s">
        <v>762</v>
      </c>
      <c r="N538">
        <v>459.27</v>
      </c>
      <c r="R538" t="s">
        <v>68</v>
      </c>
      <c r="S538" t="s">
        <v>69</v>
      </c>
      <c r="Z538" t="s">
        <v>116</v>
      </c>
      <c r="AA538" t="s">
        <v>154</v>
      </c>
      <c r="AC538" t="s">
        <v>883</v>
      </c>
      <c r="AD538" t="s">
        <v>50</v>
      </c>
      <c r="AH538">
        <v>11</v>
      </c>
      <c r="AM538">
        <v>43465</v>
      </c>
      <c r="AN538">
        <v>43469</v>
      </c>
      <c r="AO538" s="2">
        <f t="shared" si="67"/>
        <v>121</v>
      </c>
      <c r="AP538" s="2">
        <f t="shared" si="68"/>
        <v>150</v>
      </c>
      <c r="AQ538" s="3">
        <f t="shared" si="69"/>
        <v>0</v>
      </c>
      <c r="AR538" s="1" t="str">
        <f>INDEX(IOS!$B:$B,MATCH(D538,IOS!A:A,0))&amp;B538</f>
        <v>O.D.7</v>
      </c>
      <c r="AS538" s="1">
        <f t="shared" si="70"/>
        <v>0</v>
      </c>
      <c r="AT538" s="1" t="str">
        <f>IF(ISBLANK(W538),"",IF(ISERROR(MATCH(W538,HQLATABLE!$A:$A,0)),0,1))</f>
        <v/>
      </c>
      <c r="AU538" s="1" t="str">
        <f t="shared" si="71"/>
        <v>Blank</v>
      </c>
      <c r="AV538" s="1" t="str">
        <f t="shared" si="72"/>
        <v>Blank</v>
      </c>
      <c r="AW538" s="1">
        <f t="shared" si="73"/>
        <v>0</v>
      </c>
      <c r="AX538" s="1">
        <f t="shared" si="74"/>
        <v>0</v>
      </c>
      <c r="AY538" s="1"/>
      <c r="AZ538" s="1">
        <f>IF(COUNTIFS('PID CHECK'!$B:$B,AR538)=1,0,IF(COUNTIFS(AR$1:AR537,AR538)=1,0,1))</f>
        <v>0</v>
      </c>
      <c r="BA538" s="1"/>
      <c r="BB538" s="1"/>
    </row>
    <row r="539" spans="1:54">
      <c r="A539">
        <v>538</v>
      </c>
      <c r="B539" t="s">
        <v>118</v>
      </c>
      <c r="C539" t="s">
        <v>166</v>
      </c>
      <c r="D539" t="s">
        <v>153</v>
      </c>
      <c r="E539" t="s">
        <v>47</v>
      </c>
      <c r="F539" t="s">
        <v>50</v>
      </c>
      <c r="H539" t="s">
        <v>73</v>
      </c>
      <c r="J539" t="s">
        <v>49</v>
      </c>
      <c r="K539" t="s">
        <v>50</v>
      </c>
      <c r="L539" t="s">
        <v>762</v>
      </c>
      <c r="M539" t="s">
        <v>762</v>
      </c>
      <c r="N539">
        <v>859.1</v>
      </c>
      <c r="R539" t="s">
        <v>74</v>
      </c>
      <c r="S539" t="s">
        <v>75</v>
      </c>
      <c r="Z539" t="s">
        <v>116</v>
      </c>
      <c r="AA539" t="s">
        <v>154</v>
      </c>
      <c r="AC539" t="s">
        <v>883</v>
      </c>
      <c r="AD539" t="s">
        <v>50</v>
      </c>
      <c r="AH539">
        <v>11</v>
      </c>
      <c r="AM539">
        <v>43465</v>
      </c>
      <c r="AN539">
        <v>43469</v>
      </c>
      <c r="AO539" s="2">
        <f t="shared" si="67"/>
        <v>151</v>
      </c>
      <c r="AP539" s="2">
        <f t="shared" si="68"/>
        <v>180</v>
      </c>
      <c r="AQ539" s="3">
        <f t="shared" si="69"/>
        <v>0</v>
      </c>
      <c r="AR539" s="1" t="str">
        <f>INDEX(IOS!$B:$B,MATCH(D539,IOS!A:A,0))&amp;B539</f>
        <v>O.D.7</v>
      </c>
      <c r="AS539" s="1">
        <f t="shared" si="70"/>
        <v>0</v>
      </c>
      <c r="AT539" s="1" t="str">
        <f>IF(ISBLANK(W539),"",IF(ISERROR(MATCH(W539,HQLATABLE!$A:$A,0)),0,1))</f>
        <v/>
      </c>
      <c r="AU539" s="1" t="str">
        <f t="shared" si="71"/>
        <v>Blank</v>
      </c>
      <c r="AV539" s="1" t="str">
        <f t="shared" si="72"/>
        <v>Blank</v>
      </c>
      <c r="AW539" s="1">
        <f t="shared" si="73"/>
        <v>0</v>
      </c>
      <c r="AX539" s="1">
        <f t="shared" si="74"/>
        <v>0</v>
      </c>
      <c r="AY539" s="1"/>
      <c r="AZ539" s="1">
        <f>IF(COUNTIFS('PID CHECK'!$B:$B,AR539)=1,0,IF(COUNTIFS(AR$1:AR538,AR539)=1,0,1))</f>
        <v>0</v>
      </c>
      <c r="BA539" s="1"/>
      <c r="BB539" s="1"/>
    </row>
    <row r="540" spans="1:54">
      <c r="A540">
        <v>539</v>
      </c>
      <c r="B540" t="s">
        <v>118</v>
      </c>
      <c r="C540" t="s">
        <v>166</v>
      </c>
      <c r="D540" t="s">
        <v>153</v>
      </c>
      <c r="E540" t="s">
        <v>47</v>
      </c>
      <c r="F540" t="s">
        <v>50</v>
      </c>
      <c r="H540" t="s">
        <v>1050</v>
      </c>
      <c r="J540" t="s">
        <v>49</v>
      </c>
      <c r="K540" t="s">
        <v>50</v>
      </c>
      <c r="L540" t="s">
        <v>762</v>
      </c>
      <c r="M540" t="s">
        <v>762</v>
      </c>
      <c r="N540">
        <v>1590.76</v>
      </c>
      <c r="R540" t="s">
        <v>1051</v>
      </c>
      <c r="S540" t="s">
        <v>1051</v>
      </c>
      <c r="Z540" t="s">
        <v>116</v>
      </c>
      <c r="AA540" t="s">
        <v>154</v>
      </c>
      <c r="AC540" t="s">
        <v>883</v>
      </c>
      <c r="AD540" t="s">
        <v>50</v>
      </c>
      <c r="AH540">
        <v>11</v>
      </c>
      <c r="AM540">
        <v>43465</v>
      </c>
      <c r="AN540">
        <v>43469</v>
      </c>
      <c r="AO540" s="2">
        <f t="shared" si="67"/>
        <v>15</v>
      </c>
      <c r="AP540" s="2">
        <f t="shared" si="68"/>
        <v>15</v>
      </c>
      <c r="AQ540" s="3">
        <f t="shared" si="69"/>
        <v>1</v>
      </c>
      <c r="AR540" s="1" t="str">
        <f>INDEX(IOS!$B:$B,MATCH(D540,IOS!A:A,0))&amp;B540</f>
        <v>O.D.7</v>
      </c>
      <c r="AS540" s="1">
        <f t="shared" si="70"/>
        <v>0</v>
      </c>
      <c r="AT540" s="1" t="str">
        <f>IF(ISBLANK(W540),"",IF(ISERROR(MATCH(W540,HQLATABLE!$A:$A,0)),0,1))</f>
        <v/>
      </c>
      <c r="AU540" s="1" t="str">
        <f t="shared" si="71"/>
        <v>Blank</v>
      </c>
      <c r="AV540" s="1" t="str">
        <f t="shared" si="72"/>
        <v>Blank</v>
      </c>
      <c r="AW540" s="1">
        <f t="shared" si="73"/>
        <v>0</v>
      </c>
      <c r="AX540" s="1">
        <f t="shared" si="74"/>
        <v>0</v>
      </c>
      <c r="AY540" s="1"/>
      <c r="AZ540" s="1">
        <f>IF(COUNTIFS('PID CHECK'!$B:$B,AR540)=1,0,IF(COUNTIFS(AR$1:AR539,AR540)=1,0,1))</f>
        <v>0</v>
      </c>
      <c r="BA540" s="1"/>
      <c r="BB540" s="1"/>
    </row>
    <row r="541" spans="1:54">
      <c r="A541">
        <v>540</v>
      </c>
      <c r="B541" t="s">
        <v>118</v>
      </c>
      <c r="C541" t="s">
        <v>166</v>
      </c>
      <c r="D541" t="s">
        <v>153</v>
      </c>
      <c r="E541" t="s">
        <v>47</v>
      </c>
      <c r="F541" t="s">
        <v>50</v>
      </c>
      <c r="H541" t="s">
        <v>87</v>
      </c>
      <c r="J541" t="s">
        <v>49</v>
      </c>
      <c r="K541" t="s">
        <v>50</v>
      </c>
      <c r="L541" t="s">
        <v>762</v>
      </c>
      <c r="M541" t="s">
        <v>762</v>
      </c>
      <c r="N541">
        <v>682.81</v>
      </c>
      <c r="R541" t="s">
        <v>88</v>
      </c>
      <c r="S541" t="s">
        <v>89</v>
      </c>
      <c r="Z541" t="s">
        <v>116</v>
      </c>
      <c r="AA541" t="s">
        <v>154</v>
      </c>
      <c r="AC541" t="s">
        <v>883</v>
      </c>
      <c r="AD541" t="s">
        <v>50</v>
      </c>
      <c r="AH541">
        <v>11</v>
      </c>
      <c r="AM541">
        <v>43465</v>
      </c>
      <c r="AN541">
        <v>43469</v>
      </c>
      <c r="AO541" s="2">
        <f t="shared" si="67"/>
        <v>181</v>
      </c>
      <c r="AP541" s="2">
        <f t="shared" si="68"/>
        <v>270</v>
      </c>
      <c r="AQ541" s="3">
        <f t="shared" si="69"/>
        <v>0</v>
      </c>
      <c r="AR541" s="1" t="str">
        <f>INDEX(IOS!$B:$B,MATCH(D541,IOS!A:A,0))&amp;B541</f>
        <v>O.D.7</v>
      </c>
      <c r="AS541" s="1">
        <f t="shared" si="70"/>
        <v>0</v>
      </c>
      <c r="AT541" s="1" t="str">
        <f>IF(ISBLANK(W541),"",IF(ISERROR(MATCH(W541,HQLATABLE!$A:$A,0)),0,1))</f>
        <v/>
      </c>
      <c r="AU541" s="1" t="str">
        <f t="shared" si="71"/>
        <v>Blank</v>
      </c>
      <c r="AV541" s="1" t="str">
        <f t="shared" si="72"/>
        <v>Blank</v>
      </c>
      <c r="AW541" s="1">
        <f t="shared" si="73"/>
        <v>0</v>
      </c>
      <c r="AX541" s="1">
        <f t="shared" si="74"/>
        <v>0</v>
      </c>
      <c r="AY541" s="1"/>
      <c r="AZ541" s="1">
        <f>IF(COUNTIFS('PID CHECK'!$B:$B,AR541)=1,0,IF(COUNTIFS(AR$1:AR540,AR541)=1,0,1))</f>
        <v>0</v>
      </c>
      <c r="BA541" s="1"/>
      <c r="BB541" s="1"/>
    </row>
    <row r="542" spans="1:54">
      <c r="A542">
        <v>541</v>
      </c>
      <c r="B542" t="s">
        <v>118</v>
      </c>
      <c r="C542" t="s">
        <v>166</v>
      </c>
      <c r="D542" t="s">
        <v>153</v>
      </c>
      <c r="E542" t="s">
        <v>47</v>
      </c>
      <c r="F542" t="s">
        <v>50</v>
      </c>
      <c r="H542" t="s">
        <v>999</v>
      </c>
      <c r="J542" t="s">
        <v>49</v>
      </c>
      <c r="K542" t="s">
        <v>50</v>
      </c>
      <c r="L542" t="s">
        <v>762</v>
      </c>
      <c r="M542" t="s">
        <v>762</v>
      </c>
      <c r="N542">
        <v>300.43</v>
      </c>
      <c r="R542" t="s">
        <v>1000</v>
      </c>
      <c r="S542" t="s">
        <v>1000</v>
      </c>
      <c r="Z542" t="s">
        <v>116</v>
      </c>
      <c r="AA542" t="s">
        <v>154</v>
      </c>
      <c r="AC542" t="s">
        <v>883</v>
      </c>
      <c r="AD542" t="s">
        <v>50</v>
      </c>
      <c r="AH542">
        <v>11</v>
      </c>
      <c r="AM542">
        <v>43465</v>
      </c>
      <c r="AN542">
        <v>43469</v>
      </c>
      <c r="AO542" s="2">
        <f t="shared" si="67"/>
        <v>18</v>
      </c>
      <c r="AP542" s="2">
        <f t="shared" si="68"/>
        <v>18</v>
      </c>
      <c r="AQ542" s="3">
        <f t="shared" si="69"/>
        <v>1</v>
      </c>
      <c r="AR542" s="1" t="str">
        <f>INDEX(IOS!$B:$B,MATCH(D542,IOS!A:A,0))&amp;B542</f>
        <v>O.D.7</v>
      </c>
      <c r="AS542" s="1">
        <f t="shared" si="70"/>
        <v>0</v>
      </c>
      <c r="AT542" s="1" t="str">
        <f>IF(ISBLANK(W542),"",IF(ISERROR(MATCH(W542,HQLATABLE!$A:$A,0)),0,1))</f>
        <v/>
      </c>
      <c r="AU542" s="1" t="str">
        <f t="shared" si="71"/>
        <v>Blank</v>
      </c>
      <c r="AV542" s="1" t="str">
        <f t="shared" si="72"/>
        <v>Blank</v>
      </c>
      <c r="AW542" s="1">
        <f t="shared" si="73"/>
        <v>0</v>
      </c>
      <c r="AX542" s="1">
        <f t="shared" si="74"/>
        <v>0</v>
      </c>
      <c r="AY542" s="1"/>
      <c r="AZ542" s="1">
        <f>IF(COUNTIFS('PID CHECK'!$B:$B,AR542)=1,0,IF(COUNTIFS(AR$1:AR541,AR542)=1,0,1))</f>
        <v>0</v>
      </c>
      <c r="BA542" s="1"/>
      <c r="BB542" s="1"/>
    </row>
    <row r="543" spans="1:54">
      <c r="A543">
        <v>542</v>
      </c>
      <c r="B543" t="s">
        <v>118</v>
      </c>
      <c r="C543" t="s">
        <v>166</v>
      </c>
      <c r="D543" t="s">
        <v>153</v>
      </c>
      <c r="E543" t="s">
        <v>47</v>
      </c>
      <c r="F543" t="s">
        <v>50</v>
      </c>
      <c r="H543" t="s">
        <v>1001</v>
      </c>
      <c r="J543" t="s">
        <v>49</v>
      </c>
      <c r="K543" t="s">
        <v>50</v>
      </c>
      <c r="L543" t="s">
        <v>762</v>
      </c>
      <c r="M543" t="s">
        <v>762</v>
      </c>
      <c r="N543">
        <v>198.26</v>
      </c>
      <c r="R543" t="s">
        <v>1002</v>
      </c>
      <c r="S543" t="s">
        <v>1002</v>
      </c>
      <c r="Z543" t="s">
        <v>116</v>
      </c>
      <c r="AA543" t="s">
        <v>154</v>
      </c>
      <c r="AC543" t="s">
        <v>883</v>
      </c>
      <c r="AD543" t="s">
        <v>50</v>
      </c>
      <c r="AH543">
        <v>11</v>
      </c>
      <c r="AM543">
        <v>43465</v>
      </c>
      <c r="AN543">
        <v>43469</v>
      </c>
      <c r="AO543" s="2">
        <f t="shared" si="67"/>
        <v>24</v>
      </c>
      <c r="AP543" s="2">
        <f t="shared" si="68"/>
        <v>24</v>
      </c>
      <c r="AQ543" s="3">
        <f t="shared" si="69"/>
        <v>1</v>
      </c>
      <c r="AR543" s="1" t="str">
        <f>INDEX(IOS!$B:$B,MATCH(D543,IOS!A:A,0))&amp;B543</f>
        <v>O.D.7</v>
      </c>
      <c r="AS543" s="1">
        <f t="shared" si="70"/>
        <v>0</v>
      </c>
      <c r="AT543" s="1" t="str">
        <f>IF(ISBLANK(W543),"",IF(ISERROR(MATCH(W543,HQLATABLE!$A:$A,0)),0,1))</f>
        <v/>
      </c>
      <c r="AU543" s="1" t="str">
        <f t="shared" si="71"/>
        <v>Blank</v>
      </c>
      <c r="AV543" s="1" t="str">
        <f t="shared" si="72"/>
        <v>Blank</v>
      </c>
      <c r="AW543" s="1">
        <f t="shared" si="73"/>
        <v>0</v>
      </c>
      <c r="AX543" s="1">
        <f t="shared" si="74"/>
        <v>0</v>
      </c>
      <c r="AY543" s="1"/>
      <c r="AZ543" s="1">
        <f>IF(COUNTIFS('PID CHECK'!$B:$B,AR543)=1,0,IF(COUNTIFS(AR$1:AR542,AR543)=1,0,1))</f>
        <v>0</v>
      </c>
      <c r="BA543" s="1"/>
      <c r="BB543" s="1"/>
    </row>
    <row r="544" spans="1:54">
      <c r="A544">
        <v>543</v>
      </c>
      <c r="B544" t="s">
        <v>118</v>
      </c>
      <c r="C544" t="s">
        <v>166</v>
      </c>
      <c r="D544" t="s">
        <v>153</v>
      </c>
      <c r="E544" t="s">
        <v>47</v>
      </c>
      <c r="F544" t="s">
        <v>50</v>
      </c>
      <c r="H544" t="s">
        <v>79</v>
      </c>
      <c r="J544" t="s">
        <v>49</v>
      </c>
      <c r="K544" t="s">
        <v>50</v>
      </c>
      <c r="L544" t="s">
        <v>762</v>
      </c>
      <c r="M544" t="s">
        <v>762</v>
      </c>
      <c r="N544">
        <v>1005.83</v>
      </c>
      <c r="R544" t="s">
        <v>80</v>
      </c>
      <c r="S544" t="s">
        <v>81</v>
      </c>
      <c r="Z544" t="s">
        <v>116</v>
      </c>
      <c r="AA544" t="s">
        <v>154</v>
      </c>
      <c r="AC544" t="s">
        <v>883</v>
      </c>
      <c r="AD544" t="s">
        <v>50</v>
      </c>
      <c r="AH544">
        <v>11</v>
      </c>
      <c r="AM544">
        <v>43465</v>
      </c>
      <c r="AN544">
        <v>43469</v>
      </c>
      <c r="AO544" s="2">
        <f t="shared" si="67"/>
        <v>271</v>
      </c>
      <c r="AP544" s="2">
        <f t="shared" si="68"/>
        <v>365</v>
      </c>
      <c r="AQ544" s="3">
        <f t="shared" si="69"/>
        <v>0</v>
      </c>
      <c r="AR544" s="1" t="str">
        <f>INDEX(IOS!$B:$B,MATCH(D544,IOS!A:A,0))&amp;B544</f>
        <v>O.D.7</v>
      </c>
      <c r="AS544" s="1">
        <f t="shared" si="70"/>
        <v>0</v>
      </c>
      <c r="AT544" s="1" t="str">
        <f>IF(ISBLANK(W544),"",IF(ISERROR(MATCH(W544,HQLATABLE!$A:$A,0)),0,1))</f>
        <v/>
      </c>
      <c r="AU544" s="1" t="str">
        <f t="shared" si="71"/>
        <v>Blank</v>
      </c>
      <c r="AV544" s="1" t="str">
        <f t="shared" si="72"/>
        <v>Blank</v>
      </c>
      <c r="AW544" s="1">
        <f t="shared" si="73"/>
        <v>0</v>
      </c>
      <c r="AX544" s="1">
        <f t="shared" si="74"/>
        <v>0</v>
      </c>
      <c r="AY544" s="1"/>
      <c r="AZ544" s="1">
        <f>IF(COUNTIFS('PID CHECK'!$B:$B,AR544)=1,0,IF(COUNTIFS(AR$1:AR543,AR544)=1,0,1))</f>
        <v>0</v>
      </c>
      <c r="BA544" s="1"/>
      <c r="BB544" s="1"/>
    </row>
    <row r="545" spans="1:54">
      <c r="A545">
        <v>544</v>
      </c>
      <c r="B545" t="s">
        <v>118</v>
      </c>
      <c r="C545" t="s">
        <v>166</v>
      </c>
      <c r="D545" t="s">
        <v>153</v>
      </c>
      <c r="E545" t="s">
        <v>47</v>
      </c>
      <c r="F545" t="s">
        <v>50</v>
      </c>
      <c r="H545" t="s">
        <v>958</v>
      </c>
      <c r="J545" t="s">
        <v>49</v>
      </c>
      <c r="K545" t="s">
        <v>50</v>
      </c>
      <c r="L545" t="s">
        <v>762</v>
      </c>
      <c r="M545" t="s">
        <v>762</v>
      </c>
      <c r="N545">
        <v>111.48</v>
      </c>
      <c r="R545" t="s">
        <v>959</v>
      </c>
      <c r="S545" t="s">
        <v>959</v>
      </c>
      <c r="Z545" t="s">
        <v>116</v>
      </c>
      <c r="AA545" t="s">
        <v>154</v>
      </c>
      <c r="AC545" t="s">
        <v>883</v>
      </c>
      <c r="AD545" t="s">
        <v>50</v>
      </c>
      <c r="AH545">
        <v>11</v>
      </c>
      <c r="AM545">
        <v>43465</v>
      </c>
      <c r="AN545">
        <v>43469</v>
      </c>
      <c r="AO545" s="2">
        <f t="shared" si="67"/>
        <v>28</v>
      </c>
      <c r="AP545" s="2">
        <f t="shared" si="68"/>
        <v>28</v>
      </c>
      <c r="AQ545" s="3">
        <f t="shared" si="69"/>
        <v>1</v>
      </c>
      <c r="AR545" s="1" t="str">
        <f>INDEX(IOS!$B:$B,MATCH(D545,IOS!A:A,0))&amp;B545</f>
        <v>O.D.7</v>
      </c>
      <c r="AS545" s="1">
        <f t="shared" si="70"/>
        <v>0</v>
      </c>
      <c r="AT545" s="1" t="str">
        <f>IF(ISBLANK(W545),"",IF(ISERROR(MATCH(W545,HQLATABLE!$A:$A,0)),0,1))</f>
        <v/>
      </c>
      <c r="AU545" s="1" t="str">
        <f t="shared" si="71"/>
        <v>Blank</v>
      </c>
      <c r="AV545" s="1" t="str">
        <f t="shared" si="72"/>
        <v>Blank</v>
      </c>
      <c r="AW545" s="1">
        <f t="shared" si="73"/>
        <v>0</v>
      </c>
      <c r="AX545" s="1">
        <f t="shared" si="74"/>
        <v>0</v>
      </c>
      <c r="AY545" s="1"/>
      <c r="AZ545" s="1">
        <f>IF(COUNTIFS('PID CHECK'!$B:$B,AR545)=1,0,IF(COUNTIFS(AR$1:AR544,AR545)=1,0,1))</f>
        <v>0</v>
      </c>
      <c r="BA545" s="1"/>
      <c r="BB545" s="1"/>
    </row>
    <row r="546" spans="1:54">
      <c r="A546">
        <v>545</v>
      </c>
      <c r="B546" t="s">
        <v>118</v>
      </c>
      <c r="C546" t="s">
        <v>166</v>
      </c>
      <c r="D546" t="s">
        <v>153</v>
      </c>
      <c r="E546" t="s">
        <v>47</v>
      </c>
      <c r="F546" t="s">
        <v>50</v>
      </c>
      <c r="H546" t="s">
        <v>1046</v>
      </c>
      <c r="J546" t="s">
        <v>49</v>
      </c>
      <c r="K546" t="s">
        <v>50</v>
      </c>
      <c r="L546" t="s">
        <v>762</v>
      </c>
      <c r="M546" t="s">
        <v>762</v>
      </c>
      <c r="N546">
        <v>28.71</v>
      </c>
      <c r="R546" t="s">
        <v>1047</v>
      </c>
      <c r="S546" t="s">
        <v>1047</v>
      </c>
      <c r="Z546" t="s">
        <v>116</v>
      </c>
      <c r="AA546" t="s">
        <v>154</v>
      </c>
      <c r="AC546" t="s">
        <v>883</v>
      </c>
      <c r="AD546" t="s">
        <v>50</v>
      </c>
      <c r="AH546">
        <v>11</v>
      </c>
      <c r="AM546">
        <v>43465</v>
      </c>
      <c r="AN546">
        <v>43469</v>
      </c>
      <c r="AO546" s="2">
        <f t="shared" si="67"/>
        <v>29</v>
      </c>
      <c r="AP546" s="2">
        <f t="shared" si="68"/>
        <v>29</v>
      </c>
      <c r="AQ546" s="3">
        <f t="shared" si="69"/>
        <v>1</v>
      </c>
      <c r="AR546" s="1" t="str">
        <f>INDEX(IOS!$B:$B,MATCH(D546,IOS!A:A,0))&amp;B546</f>
        <v>O.D.7</v>
      </c>
      <c r="AS546" s="1">
        <f t="shared" si="70"/>
        <v>0</v>
      </c>
      <c r="AT546" s="1" t="str">
        <f>IF(ISBLANK(W546),"",IF(ISERROR(MATCH(W546,HQLATABLE!$A:$A,0)),0,1))</f>
        <v/>
      </c>
      <c r="AU546" s="1" t="str">
        <f t="shared" si="71"/>
        <v>Blank</v>
      </c>
      <c r="AV546" s="1" t="str">
        <f t="shared" si="72"/>
        <v>Blank</v>
      </c>
      <c r="AW546" s="1">
        <f t="shared" si="73"/>
        <v>0</v>
      </c>
      <c r="AX546" s="1">
        <f t="shared" si="74"/>
        <v>0</v>
      </c>
      <c r="AY546" s="1"/>
      <c r="AZ546" s="1">
        <f>IF(COUNTIFS('PID CHECK'!$B:$B,AR546)=1,0,IF(COUNTIFS(AR$1:AR545,AR546)=1,0,1))</f>
        <v>0</v>
      </c>
      <c r="BA546" s="1"/>
      <c r="BB546" s="1"/>
    </row>
    <row r="547" spans="1:54">
      <c r="A547">
        <v>546</v>
      </c>
      <c r="B547" t="s">
        <v>118</v>
      </c>
      <c r="C547" t="s">
        <v>166</v>
      </c>
      <c r="D547" t="s">
        <v>153</v>
      </c>
      <c r="E547" t="s">
        <v>47</v>
      </c>
      <c r="F547" t="s">
        <v>50</v>
      </c>
      <c r="H547" t="s">
        <v>1026</v>
      </c>
      <c r="J547" t="s">
        <v>49</v>
      </c>
      <c r="K547" t="s">
        <v>50</v>
      </c>
      <c r="L547" t="s">
        <v>762</v>
      </c>
      <c r="M547" t="s">
        <v>762</v>
      </c>
      <c r="N547">
        <v>193.44</v>
      </c>
      <c r="R547" t="s">
        <v>1027</v>
      </c>
      <c r="S547" t="s">
        <v>1027</v>
      </c>
      <c r="Z547" t="s">
        <v>116</v>
      </c>
      <c r="AA547" t="s">
        <v>154</v>
      </c>
      <c r="AC547" t="s">
        <v>883</v>
      </c>
      <c r="AD547" t="s">
        <v>50</v>
      </c>
      <c r="AH547">
        <v>11</v>
      </c>
      <c r="AM547">
        <v>43465</v>
      </c>
      <c r="AN547">
        <v>43469</v>
      </c>
      <c r="AO547" s="2">
        <f t="shared" si="67"/>
        <v>30</v>
      </c>
      <c r="AP547" s="2">
        <f t="shared" si="68"/>
        <v>30</v>
      </c>
      <c r="AQ547" s="3">
        <f t="shared" si="69"/>
        <v>1</v>
      </c>
      <c r="AR547" s="1" t="str">
        <f>INDEX(IOS!$B:$B,MATCH(D547,IOS!A:A,0))&amp;B547</f>
        <v>O.D.7</v>
      </c>
      <c r="AS547" s="1">
        <f t="shared" si="70"/>
        <v>0</v>
      </c>
      <c r="AT547" s="1" t="str">
        <f>IF(ISBLANK(W547),"",IF(ISERROR(MATCH(W547,HQLATABLE!$A:$A,0)),0,1))</f>
        <v/>
      </c>
      <c r="AU547" s="1" t="str">
        <f t="shared" si="71"/>
        <v>Blank</v>
      </c>
      <c r="AV547" s="1" t="str">
        <f t="shared" si="72"/>
        <v>Blank</v>
      </c>
      <c r="AW547" s="1">
        <f t="shared" si="73"/>
        <v>0</v>
      </c>
      <c r="AX547" s="1">
        <f t="shared" si="74"/>
        <v>0</v>
      </c>
      <c r="AY547" s="1"/>
      <c r="AZ547" s="1">
        <f>IF(COUNTIFS('PID CHECK'!$B:$B,AR547)=1,0,IF(COUNTIFS(AR$1:AR546,AR547)=1,0,1))</f>
        <v>0</v>
      </c>
      <c r="BA547" s="1"/>
      <c r="BB547" s="1"/>
    </row>
    <row r="548" spans="1:54">
      <c r="A548">
        <v>547</v>
      </c>
      <c r="B548" t="s">
        <v>118</v>
      </c>
      <c r="C548" t="s">
        <v>166</v>
      </c>
      <c r="D548" t="s">
        <v>153</v>
      </c>
      <c r="E548" t="s">
        <v>47</v>
      </c>
      <c r="F548" t="s">
        <v>50</v>
      </c>
      <c r="H548" t="s">
        <v>1011</v>
      </c>
      <c r="J548" t="s">
        <v>49</v>
      </c>
      <c r="K548" t="s">
        <v>50</v>
      </c>
      <c r="L548" t="s">
        <v>762</v>
      </c>
      <c r="M548" t="s">
        <v>762</v>
      </c>
      <c r="N548">
        <v>1151.54</v>
      </c>
      <c r="R548" t="s">
        <v>1012</v>
      </c>
      <c r="S548" t="s">
        <v>1012</v>
      </c>
      <c r="Z548" t="s">
        <v>116</v>
      </c>
      <c r="AA548" t="s">
        <v>154</v>
      </c>
      <c r="AC548" t="s">
        <v>883</v>
      </c>
      <c r="AD548" t="s">
        <v>50</v>
      </c>
      <c r="AH548">
        <v>11</v>
      </c>
      <c r="AM548">
        <v>43465</v>
      </c>
      <c r="AN548">
        <v>43469</v>
      </c>
      <c r="AO548" s="2">
        <f t="shared" si="67"/>
        <v>46</v>
      </c>
      <c r="AP548" s="2">
        <f t="shared" si="68"/>
        <v>46</v>
      </c>
      <c r="AQ548" s="3">
        <f t="shared" si="69"/>
        <v>0</v>
      </c>
      <c r="AR548" s="1" t="str">
        <f>INDEX(IOS!$B:$B,MATCH(D548,IOS!A:A,0))&amp;B548</f>
        <v>O.D.7</v>
      </c>
      <c r="AS548" s="1">
        <f t="shared" si="70"/>
        <v>0</v>
      </c>
      <c r="AT548" s="1" t="str">
        <f>IF(ISBLANK(W548),"",IF(ISERROR(MATCH(W548,HQLATABLE!$A:$A,0)),0,1))</f>
        <v/>
      </c>
      <c r="AU548" s="1" t="str">
        <f t="shared" si="71"/>
        <v>Blank</v>
      </c>
      <c r="AV548" s="1" t="str">
        <f t="shared" si="72"/>
        <v>Blank</v>
      </c>
      <c r="AW548" s="1">
        <f t="shared" si="73"/>
        <v>0</v>
      </c>
      <c r="AX548" s="1">
        <f t="shared" si="74"/>
        <v>0</v>
      </c>
      <c r="AY548" s="1"/>
      <c r="AZ548" s="1">
        <f>IF(COUNTIFS('PID CHECK'!$B:$B,AR548)=1,0,IF(COUNTIFS(AR$1:AR547,AR548)=1,0,1))</f>
        <v>0</v>
      </c>
      <c r="BA548" s="1"/>
      <c r="BB548" s="1"/>
    </row>
    <row r="549" spans="1:54">
      <c r="A549">
        <v>548</v>
      </c>
      <c r="B549" t="s">
        <v>118</v>
      </c>
      <c r="C549" t="s">
        <v>166</v>
      </c>
      <c r="D549" t="s">
        <v>153</v>
      </c>
      <c r="E549" t="s">
        <v>47</v>
      </c>
      <c r="F549" t="s">
        <v>50</v>
      </c>
      <c r="H549" t="s">
        <v>1015</v>
      </c>
      <c r="J549" t="s">
        <v>49</v>
      </c>
      <c r="K549" t="s">
        <v>50</v>
      </c>
      <c r="L549" t="s">
        <v>762</v>
      </c>
      <c r="M549" t="s">
        <v>762</v>
      </c>
      <c r="N549">
        <v>10.59</v>
      </c>
      <c r="R549" t="s">
        <v>1016</v>
      </c>
      <c r="S549" t="s">
        <v>1016</v>
      </c>
      <c r="Z549" t="s">
        <v>116</v>
      </c>
      <c r="AA549" t="s">
        <v>154</v>
      </c>
      <c r="AC549" t="s">
        <v>883</v>
      </c>
      <c r="AD549" t="s">
        <v>50</v>
      </c>
      <c r="AH549">
        <v>11</v>
      </c>
      <c r="AM549">
        <v>43465</v>
      </c>
      <c r="AN549">
        <v>43469</v>
      </c>
      <c r="AO549" s="2">
        <f t="shared" si="67"/>
        <v>53</v>
      </c>
      <c r="AP549" s="2">
        <f t="shared" si="68"/>
        <v>53</v>
      </c>
      <c r="AQ549" s="3">
        <f t="shared" si="69"/>
        <v>0</v>
      </c>
      <c r="AR549" s="1" t="str">
        <f>INDEX(IOS!$B:$B,MATCH(D549,IOS!A:A,0))&amp;B549</f>
        <v>O.D.7</v>
      </c>
      <c r="AS549" s="1">
        <f t="shared" si="70"/>
        <v>0</v>
      </c>
      <c r="AT549" s="1" t="str">
        <f>IF(ISBLANK(W549),"",IF(ISERROR(MATCH(W549,HQLATABLE!$A:$A,0)),0,1))</f>
        <v/>
      </c>
      <c r="AU549" s="1" t="str">
        <f t="shared" si="71"/>
        <v>Blank</v>
      </c>
      <c r="AV549" s="1" t="str">
        <f t="shared" si="72"/>
        <v>Blank</v>
      </c>
      <c r="AW549" s="1">
        <f t="shared" si="73"/>
        <v>0</v>
      </c>
      <c r="AX549" s="1">
        <f t="shared" si="74"/>
        <v>0</v>
      </c>
      <c r="AY549" s="1"/>
      <c r="AZ549" s="1">
        <f>IF(COUNTIFS('PID CHECK'!$B:$B,AR549)=1,0,IF(COUNTIFS(AR$1:AR548,AR549)=1,0,1))</f>
        <v>0</v>
      </c>
      <c r="BA549" s="1"/>
      <c r="BB549" s="1"/>
    </row>
    <row r="550" spans="1:54">
      <c r="A550">
        <v>549</v>
      </c>
      <c r="B550" t="s">
        <v>118</v>
      </c>
      <c r="C550" t="s">
        <v>166</v>
      </c>
      <c r="D550" t="s">
        <v>153</v>
      </c>
      <c r="E550" t="s">
        <v>47</v>
      </c>
      <c r="F550" t="s">
        <v>50</v>
      </c>
      <c r="H550" t="s">
        <v>1017</v>
      </c>
      <c r="J550" t="s">
        <v>49</v>
      </c>
      <c r="K550" t="s">
        <v>50</v>
      </c>
      <c r="L550" t="s">
        <v>762</v>
      </c>
      <c r="M550" t="s">
        <v>762</v>
      </c>
      <c r="N550">
        <v>601.54999999999995</v>
      </c>
      <c r="R550" t="s">
        <v>1018</v>
      </c>
      <c r="S550" t="s">
        <v>1018</v>
      </c>
      <c r="Z550" t="s">
        <v>116</v>
      </c>
      <c r="AA550" t="s">
        <v>154</v>
      </c>
      <c r="AC550" t="s">
        <v>883</v>
      </c>
      <c r="AD550" t="s">
        <v>50</v>
      </c>
      <c r="AH550">
        <v>11</v>
      </c>
      <c r="AM550">
        <v>43465</v>
      </c>
      <c r="AN550">
        <v>43469</v>
      </c>
      <c r="AO550" s="2">
        <f t="shared" si="67"/>
        <v>59</v>
      </c>
      <c r="AP550" s="2">
        <f t="shared" si="68"/>
        <v>59</v>
      </c>
      <c r="AQ550" s="3">
        <f t="shared" si="69"/>
        <v>0</v>
      </c>
      <c r="AR550" s="1" t="str">
        <f>INDEX(IOS!$B:$B,MATCH(D550,IOS!A:A,0))&amp;B550</f>
        <v>O.D.7</v>
      </c>
      <c r="AS550" s="1">
        <f t="shared" si="70"/>
        <v>0</v>
      </c>
      <c r="AT550" s="1" t="str">
        <f>IF(ISBLANK(W550),"",IF(ISERROR(MATCH(W550,HQLATABLE!$A:$A,0)),0,1))</f>
        <v/>
      </c>
      <c r="AU550" s="1" t="str">
        <f t="shared" si="71"/>
        <v>Blank</v>
      </c>
      <c r="AV550" s="1" t="str">
        <f t="shared" si="72"/>
        <v>Blank</v>
      </c>
      <c r="AW550" s="1">
        <f t="shared" si="73"/>
        <v>0</v>
      </c>
      <c r="AX550" s="1">
        <f t="shared" si="74"/>
        <v>0</v>
      </c>
      <c r="AY550" s="1"/>
      <c r="AZ550" s="1">
        <f>IF(COUNTIFS('PID CHECK'!$B:$B,AR550)=1,0,IF(COUNTIFS(AR$1:AR549,AR550)=1,0,1))</f>
        <v>0</v>
      </c>
      <c r="BA550" s="1"/>
      <c r="BB550" s="1"/>
    </row>
    <row r="551" spans="1:54">
      <c r="A551">
        <v>550</v>
      </c>
      <c r="B551" t="s">
        <v>118</v>
      </c>
      <c r="C551" t="s">
        <v>166</v>
      </c>
      <c r="D551" t="s">
        <v>153</v>
      </c>
      <c r="E551" t="s">
        <v>47</v>
      </c>
      <c r="F551" t="s">
        <v>50</v>
      </c>
      <c r="H551" t="s">
        <v>97</v>
      </c>
      <c r="J551" t="s">
        <v>49</v>
      </c>
      <c r="K551" t="s">
        <v>50</v>
      </c>
      <c r="L551" t="s">
        <v>762</v>
      </c>
      <c r="M551" t="s">
        <v>762</v>
      </c>
      <c r="N551">
        <v>548.47</v>
      </c>
      <c r="R551" t="s">
        <v>98</v>
      </c>
      <c r="S551" t="s">
        <v>99</v>
      </c>
      <c r="Z551" t="s">
        <v>116</v>
      </c>
      <c r="AA551" t="s">
        <v>154</v>
      </c>
      <c r="AC551" t="s">
        <v>883</v>
      </c>
      <c r="AD551" t="s">
        <v>50</v>
      </c>
      <c r="AH551">
        <v>11</v>
      </c>
      <c r="AM551">
        <v>43465</v>
      </c>
      <c r="AN551">
        <v>43469</v>
      </c>
      <c r="AO551" s="2">
        <f t="shared" si="67"/>
        <v>68</v>
      </c>
      <c r="AP551" s="2">
        <f t="shared" si="68"/>
        <v>74</v>
      </c>
      <c r="AQ551" s="3">
        <f t="shared" si="69"/>
        <v>0</v>
      </c>
      <c r="AR551" s="1" t="str">
        <f>INDEX(IOS!$B:$B,MATCH(D551,IOS!A:A,0))&amp;B551</f>
        <v>O.D.7</v>
      </c>
      <c r="AS551" s="1">
        <f t="shared" si="70"/>
        <v>0</v>
      </c>
      <c r="AT551" s="1" t="str">
        <f>IF(ISBLANK(W551),"",IF(ISERROR(MATCH(W551,HQLATABLE!$A:$A,0)),0,1))</f>
        <v/>
      </c>
      <c r="AU551" s="1" t="str">
        <f t="shared" si="71"/>
        <v>Blank</v>
      </c>
      <c r="AV551" s="1" t="str">
        <f t="shared" si="72"/>
        <v>Blank</v>
      </c>
      <c r="AW551" s="1">
        <f t="shared" si="73"/>
        <v>0</v>
      </c>
      <c r="AX551" s="1">
        <f t="shared" si="74"/>
        <v>0</v>
      </c>
      <c r="AY551" s="1"/>
      <c r="AZ551" s="1">
        <f>IF(COUNTIFS('PID CHECK'!$B:$B,AR551)=1,0,IF(COUNTIFS(AR$1:AR550,AR551)=1,0,1))</f>
        <v>0</v>
      </c>
      <c r="BA551" s="1"/>
      <c r="BB551" s="1"/>
    </row>
    <row r="552" spans="1:54">
      <c r="A552">
        <v>551</v>
      </c>
      <c r="B552" t="s">
        <v>118</v>
      </c>
      <c r="C552" t="s">
        <v>166</v>
      </c>
      <c r="D552" t="s">
        <v>153</v>
      </c>
      <c r="E552" t="s">
        <v>47</v>
      </c>
      <c r="F552" t="s">
        <v>50</v>
      </c>
      <c r="H552" t="s">
        <v>100</v>
      </c>
      <c r="J552" t="s">
        <v>49</v>
      </c>
      <c r="K552" t="s">
        <v>50</v>
      </c>
      <c r="L552" t="s">
        <v>762</v>
      </c>
      <c r="M552" t="s">
        <v>762</v>
      </c>
      <c r="N552">
        <v>142.44999999999999</v>
      </c>
      <c r="R552" t="s">
        <v>101</v>
      </c>
      <c r="S552" t="s">
        <v>102</v>
      </c>
      <c r="Z552" t="s">
        <v>116</v>
      </c>
      <c r="AA552" t="s">
        <v>154</v>
      </c>
      <c r="AC552" t="s">
        <v>883</v>
      </c>
      <c r="AD552" t="s">
        <v>50</v>
      </c>
      <c r="AH552">
        <v>11</v>
      </c>
      <c r="AM552">
        <v>43465</v>
      </c>
      <c r="AN552">
        <v>43469</v>
      </c>
      <c r="AO552" s="2">
        <f t="shared" si="67"/>
        <v>75</v>
      </c>
      <c r="AP552" s="2">
        <f t="shared" si="68"/>
        <v>82</v>
      </c>
      <c r="AQ552" s="3">
        <f t="shared" si="69"/>
        <v>0</v>
      </c>
      <c r="AR552" s="1" t="str">
        <f>INDEX(IOS!$B:$B,MATCH(D552,IOS!A:A,0))&amp;B552</f>
        <v>O.D.7</v>
      </c>
      <c r="AS552" s="1">
        <f t="shared" si="70"/>
        <v>0</v>
      </c>
      <c r="AT552" s="1" t="str">
        <f>IF(ISBLANK(W552),"",IF(ISERROR(MATCH(W552,HQLATABLE!$A:$A,0)),0,1))</f>
        <v/>
      </c>
      <c r="AU552" s="1" t="str">
        <f t="shared" si="71"/>
        <v>Blank</v>
      </c>
      <c r="AV552" s="1" t="str">
        <f t="shared" si="72"/>
        <v>Blank</v>
      </c>
      <c r="AW552" s="1">
        <f t="shared" si="73"/>
        <v>0</v>
      </c>
      <c r="AX552" s="1">
        <f t="shared" si="74"/>
        <v>0</v>
      </c>
      <c r="AY552" s="1"/>
      <c r="AZ552" s="1">
        <f>IF(COUNTIFS('PID CHECK'!$B:$B,AR552)=1,0,IF(COUNTIFS(AR$1:AR551,AR552)=1,0,1))</f>
        <v>0</v>
      </c>
      <c r="BA552" s="1"/>
      <c r="BB552" s="1"/>
    </row>
    <row r="553" spans="1:54">
      <c r="A553">
        <v>552</v>
      </c>
      <c r="B553" t="s">
        <v>118</v>
      </c>
      <c r="C553" t="s">
        <v>166</v>
      </c>
      <c r="D553" t="s">
        <v>153</v>
      </c>
      <c r="E553" t="s">
        <v>47</v>
      </c>
      <c r="F553" t="s">
        <v>50</v>
      </c>
      <c r="H553" t="s">
        <v>105</v>
      </c>
      <c r="J553" t="s">
        <v>49</v>
      </c>
      <c r="K553" t="s">
        <v>50</v>
      </c>
      <c r="L553" t="s">
        <v>762</v>
      </c>
      <c r="M553" t="s">
        <v>762</v>
      </c>
      <c r="N553">
        <v>638.96</v>
      </c>
      <c r="R553" t="s">
        <v>106</v>
      </c>
      <c r="S553" t="s">
        <v>107</v>
      </c>
      <c r="Z553" t="s">
        <v>116</v>
      </c>
      <c r="AA553" t="s">
        <v>154</v>
      </c>
      <c r="AC553" t="s">
        <v>883</v>
      </c>
      <c r="AD553" t="s">
        <v>50</v>
      </c>
      <c r="AH553">
        <v>11</v>
      </c>
      <c r="AM553">
        <v>43465</v>
      </c>
      <c r="AN553">
        <v>43469</v>
      </c>
      <c r="AO553" s="2">
        <f t="shared" si="67"/>
        <v>83</v>
      </c>
      <c r="AP553" s="2">
        <f t="shared" si="68"/>
        <v>90</v>
      </c>
      <c r="AQ553" s="3">
        <f t="shared" si="69"/>
        <v>0</v>
      </c>
      <c r="AR553" s="1" t="str">
        <f>INDEX(IOS!$B:$B,MATCH(D553,IOS!A:A,0))&amp;B553</f>
        <v>O.D.7</v>
      </c>
      <c r="AS553" s="1">
        <f t="shared" si="70"/>
        <v>0</v>
      </c>
      <c r="AT553" s="1" t="str">
        <f>IF(ISBLANK(W553),"",IF(ISERROR(MATCH(W553,HQLATABLE!$A:$A,0)),0,1))</f>
        <v/>
      </c>
      <c r="AU553" s="1" t="str">
        <f t="shared" si="71"/>
        <v>Blank</v>
      </c>
      <c r="AV553" s="1" t="str">
        <f t="shared" si="72"/>
        <v>Blank</v>
      </c>
      <c r="AW553" s="1">
        <f t="shared" si="73"/>
        <v>0</v>
      </c>
      <c r="AX553" s="1">
        <f t="shared" si="74"/>
        <v>0</v>
      </c>
      <c r="AY553" s="1"/>
      <c r="AZ553" s="1">
        <f>IF(COUNTIFS('PID CHECK'!$B:$B,AR553)=1,0,IF(COUNTIFS(AR$1:AR552,AR553)=1,0,1))</f>
        <v>0</v>
      </c>
      <c r="BA553" s="1"/>
      <c r="BB553" s="1"/>
    </row>
    <row r="554" spans="1:54">
      <c r="A554">
        <v>553</v>
      </c>
      <c r="B554" t="s">
        <v>118</v>
      </c>
      <c r="C554" t="s">
        <v>166</v>
      </c>
      <c r="D554" t="s">
        <v>153</v>
      </c>
      <c r="E554" t="s">
        <v>47</v>
      </c>
      <c r="F554" t="s">
        <v>50</v>
      </c>
      <c r="H554" t="s">
        <v>108</v>
      </c>
      <c r="J554" t="s">
        <v>49</v>
      </c>
      <c r="K554" t="s">
        <v>50</v>
      </c>
      <c r="L554" t="s">
        <v>762</v>
      </c>
      <c r="M554" t="s">
        <v>762</v>
      </c>
      <c r="N554">
        <v>1081.22</v>
      </c>
      <c r="R554" t="s">
        <v>109</v>
      </c>
      <c r="S554" t="s">
        <v>110</v>
      </c>
      <c r="Z554" t="s">
        <v>116</v>
      </c>
      <c r="AA554" t="s">
        <v>154</v>
      </c>
      <c r="AC554" t="s">
        <v>883</v>
      </c>
      <c r="AD554" t="s">
        <v>50</v>
      </c>
      <c r="AH554">
        <v>11</v>
      </c>
      <c r="AM554">
        <v>43465</v>
      </c>
      <c r="AN554">
        <v>43469</v>
      </c>
      <c r="AO554" s="2">
        <f t="shared" si="67"/>
        <v>91</v>
      </c>
      <c r="AP554" s="2">
        <f t="shared" si="68"/>
        <v>120</v>
      </c>
      <c r="AQ554" s="3">
        <f t="shared" si="69"/>
        <v>0</v>
      </c>
      <c r="AR554" s="1" t="str">
        <f>INDEX(IOS!$B:$B,MATCH(D554,IOS!A:A,0))&amp;B554</f>
        <v>O.D.7</v>
      </c>
      <c r="AS554" s="1">
        <f t="shared" si="70"/>
        <v>0</v>
      </c>
      <c r="AT554" s="1" t="str">
        <f>IF(ISBLANK(W554),"",IF(ISERROR(MATCH(W554,HQLATABLE!$A:$A,0)),0,1))</f>
        <v/>
      </c>
      <c r="AU554" s="1" t="str">
        <f t="shared" si="71"/>
        <v>Blank</v>
      </c>
      <c r="AV554" s="1" t="str">
        <f t="shared" si="72"/>
        <v>Blank</v>
      </c>
      <c r="AW554" s="1">
        <f t="shared" si="73"/>
        <v>0</v>
      </c>
      <c r="AX554" s="1">
        <f t="shared" si="74"/>
        <v>0</v>
      </c>
      <c r="AY554" s="1"/>
      <c r="AZ554" s="1">
        <f>IF(COUNTIFS('PID CHECK'!$B:$B,AR554)=1,0,IF(COUNTIFS(AR$1:AR553,AR554)=1,0,1))</f>
        <v>0</v>
      </c>
      <c r="BA554" s="1"/>
      <c r="BB554" s="1"/>
    </row>
    <row r="555" spans="1:54">
      <c r="A555">
        <v>554</v>
      </c>
      <c r="B555" t="s">
        <v>129</v>
      </c>
      <c r="C555" t="s">
        <v>167</v>
      </c>
      <c r="D555" t="s">
        <v>153</v>
      </c>
      <c r="E555" t="s">
        <v>47</v>
      </c>
      <c r="F555" t="s">
        <v>50</v>
      </c>
      <c r="H555" t="s">
        <v>48</v>
      </c>
      <c r="J555" t="s">
        <v>49</v>
      </c>
      <c r="K555" t="s">
        <v>50</v>
      </c>
      <c r="L555" t="s">
        <v>762</v>
      </c>
      <c r="M555" t="s">
        <v>762</v>
      </c>
      <c r="N555">
        <v>2989.07</v>
      </c>
      <c r="R555" t="s">
        <v>51</v>
      </c>
      <c r="S555" t="s">
        <v>52</v>
      </c>
      <c r="Z555" t="s">
        <v>122</v>
      </c>
      <c r="AA555" t="s">
        <v>154</v>
      </c>
      <c r="AC555" t="s">
        <v>883</v>
      </c>
      <c r="AD555" t="s">
        <v>50</v>
      </c>
      <c r="AH555">
        <v>1</v>
      </c>
      <c r="AM555">
        <v>43465</v>
      </c>
      <c r="AN555">
        <v>43469</v>
      </c>
      <c r="AO555" s="2">
        <f t="shared" si="67"/>
        <v>0</v>
      </c>
      <c r="AP555" s="2">
        <f t="shared" si="68"/>
        <v>0</v>
      </c>
      <c r="AQ555" s="3">
        <f t="shared" si="69"/>
        <v>1</v>
      </c>
      <c r="AR555" s="1" t="str">
        <f>INDEX(IOS!$B:$B,MATCH(D555,IOS!A:A,0))&amp;B555</f>
        <v>O.D.9</v>
      </c>
      <c r="AS555" s="1">
        <f t="shared" si="70"/>
        <v>0</v>
      </c>
      <c r="AT555" s="1" t="str">
        <f>IF(ISBLANK(W555),"",IF(ISERROR(MATCH(W555,HQLATABLE!$A:$A,0)),0,1))</f>
        <v/>
      </c>
      <c r="AU555" s="1" t="str">
        <f t="shared" si="71"/>
        <v>Blank</v>
      </c>
      <c r="AV555" s="1" t="str">
        <f t="shared" si="72"/>
        <v>Blank</v>
      </c>
      <c r="AW555" s="1">
        <f t="shared" si="73"/>
        <v>0</v>
      </c>
      <c r="AX555" s="1">
        <f t="shared" si="74"/>
        <v>0</v>
      </c>
      <c r="AY555" s="1"/>
      <c r="AZ555" s="1">
        <f>IF(COUNTIFS('PID CHECK'!$B:$B,AR555)=1,0,IF(COUNTIFS(AR$1:AR554,AR555)=1,0,1))</f>
        <v>0</v>
      </c>
      <c r="BA555" s="1"/>
      <c r="BB555" s="1"/>
    </row>
    <row r="556" spans="1:54">
      <c r="A556">
        <v>555</v>
      </c>
      <c r="B556" t="s">
        <v>129</v>
      </c>
      <c r="C556" t="s">
        <v>167</v>
      </c>
      <c r="D556" t="s">
        <v>153</v>
      </c>
      <c r="E556" t="s">
        <v>47</v>
      </c>
      <c r="F556" t="s">
        <v>50</v>
      </c>
      <c r="H556" t="s">
        <v>48</v>
      </c>
      <c r="J556" t="s">
        <v>49</v>
      </c>
      <c r="K556" t="s">
        <v>50</v>
      </c>
      <c r="L556" t="s">
        <v>762</v>
      </c>
      <c r="M556" t="s">
        <v>762</v>
      </c>
      <c r="N556">
        <v>957.38</v>
      </c>
      <c r="R556" t="s">
        <v>51</v>
      </c>
      <c r="S556" t="s">
        <v>52</v>
      </c>
      <c r="Z556" t="s">
        <v>84</v>
      </c>
      <c r="AA556" t="s">
        <v>154</v>
      </c>
      <c r="AC556" t="s">
        <v>883</v>
      </c>
      <c r="AD556" t="s">
        <v>50</v>
      </c>
      <c r="AH556">
        <v>3</v>
      </c>
      <c r="AM556">
        <v>43465</v>
      </c>
      <c r="AN556">
        <v>43469</v>
      </c>
      <c r="AO556" s="2">
        <f t="shared" si="67"/>
        <v>0</v>
      </c>
      <c r="AP556" s="2">
        <f t="shared" si="68"/>
        <v>0</v>
      </c>
      <c r="AQ556" s="3">
        <f t="shared" si="69"/>
        <v>1</v>
      </c>
      <c r="AR556" s="1" t="str">
        <f>INDEX(IOS!$B:$B,MATCH(D556,IOS!A:A,0))&amp;B556</f>
        <v>O.D.9</v>
      </c>
      <c r="AS556" s="1">
        <f t="shared" si="70"/>
        <v>0</v>
      </c>
      <c r="AT556" s="1" t="str">
        <f>IF(ISBLANK(W556),"",IF(ISERROR(MATCH(W556,HQLATABLE!$A:$A,0)),0,1))</f>
        <v/>
      </c>
      <c r="AU556" s="1" t="str">
        <f t="shared" si="71"/>
        <v>Blank</v>
      </c>
      <c r="AV556" s="1" t="str">
        <f t="shared" si="72"/>
        <v>Blank</v>
      </c>
      <c r="AW556" s="1">
        <f t="shared" si="73"/>
        <v>0</v>
      </c>
      <c r="AX556" s="1">
        <f t="shared" si="74"/>
        <v>0</v>
      </c>
      <c r="AY556" s="1"/>
      <c r="AZ556" s="1">
        <f>IF(COUNTIFS('PID CHECK'!$B:$B,AR556)=1,0,IF(COUNTIFS(AR$1:AR555,AR556)=1,0,1))</f>
        <v>0</v>
      </c>
      <c r="BA556" s="1"/>
      <c r="BB556" s="1"/>
    </row>
    <row r="557" spans="1:54">
      <c r="A557">
        <v>556</v>
      </c>
      <c r="B557" t="s">
        <v>129</v>
      </c>
      <c r="C557" t="s">
        <v>167</v>
      </c>
      <c r="D557" t="s">
        <v>153</v>
      </c>
      <c r="E557" t="s">
        <v>47</v>
      </c>
      <c r="F557" t="s">
        <v>50</v>
      </c>
      <c r="H557" t="s">
        <v>48</v>
      </c>
      <c r="J557" t="s">
        <v>49</v>
      </c>
      <c r="K557" t="s">
        <v>50</v>
      </c>
      <c r="L557" t="s">
        <v>762</v>
      </c>
      <c r="M557" t="s">
        <v>762</v>
      </c>
      <c r="N557">
        <v>117.22</v>
      </c>
      <c r="R557" t="s">
        <v>51</v>
      </c>
      <c r="S557" t="s">
        <v>52</v>
      </c>
      <c r="Z557" t="s">
        <v>84</v>
      </c>
      <c r="AA557" t="s">
        <v>156</v>
      </c>
      <c r="AC557" t="s">
        <v>883</v>
      </c>
      <c r="AD557" t="s">
        <v>50</v>
      </c>
      <c r="AH557">
        <v>3</v>
      </c>
      <c r="AM557">
        <v>43465</v>
      </c>
      <c r="AN557">
        <v>43469</v>
      </c>
      <c r="AO557" s="2">
        <f t="shared" si="67"/>
        <v>0</v>
      </c>
      <c r="AP557" s="2">
        <f t="shared" si="68"/>
        <v>0</v>
      </c>
      <c r="AQ557" s="3">
        <f t="shared" si="69"/>
        <v>1</v>
      </c>
      <c r="AR557" s="1" t="str">
        <f>INDEX(IOS!$B:$B,MATCH(D557,IOS!A:A,0))&amp;B557</f>
        <v>O.D.9</v>
      </c>
      <c r="AS557" s="1">
        <f t="shared" si="70"/>
        <v>0</v>
      </c>
      <c r="AT557" s="1" t="str">
        <f>IF(ISBLANK(W557),"",IF(ISERROR(MATCH(W557,HQLATABLE!$A:$A,0)),0,1))</f>
        <v/>
      </c>
      <c r="AU557" s="1" t="str">
        <f t="shared" si="71"/>
        <v>Blank</v>
      </c>
      <c r="AV557" s="1" t="str">
        <f t="shared" si="72"/>
        <v>Blank</v>
      </c>
      <c r="AW557" s="1">
        <f t="shared" si="73"/>
        <v>0</v>
      </c>
      <c r="AX557" s="1">
        <f t="shared" si="74"/>
        <v>0</v>
      </c>
      <c r="AY557" s="1"/>
      <c r="AZ557" s="1">
        <f>IF(COUNTIFS('PID CHECK'!$B:$B,AR557)=1,0,IF(COUNTIFS(AR$1:AR556,AR557)=1,0,1))</f>
        <v>0</v>
      </c>
      <c r="BA557" s="1"/>
      <c r="BB557" s="1"/>
    </row>
    <row r="558" spans="1:54">
      <c r="A558">
        <v>557</v>
      </c>
      <c r="B558" t="s">
        <v>142</v>
      </c>
      <c r="C558" t="s">
        <v>157</v>
      </c>
      <c r="D558" t="s">
        <v>153</v>
      </c>
      <c r="E558" t="s">
        <v>47</v>
      </c>
      <c r="F558" t="s">
        <v>50</v>
      </c>
      <c r="H558" t="s">
        <v>48</v>
      </c>
      <c r="J558" t="s">
        <v>49</v>
      </c>
      <c r="K558" t="s">
        <v>53</v>
      </c>
      <c r="L558" t="s">
        <v>762</v>
      </c>
      <c r="M558" t="s">
        <v>762</v>
      </c>
      <c r="N558">
        <v>0.2</v>
      </c>
      <c r="R558" t="s">
        <v>51</v>
      </c>
      <c r="S558" t="s">
        <v>52</v>
      </c>
      <c r="Z558" t="s">
        <v>759</v>
      </c>
      <c r="AA558" t="s">
        <v>154</v>
      </c>
      <c r="AC558" t="s">
        <v>883</v>
      </c>
      <c r="AD558" t="s">
        <v>50</v>
      </c>
      <c r="AH558">
        <v>10</v>
      </c>
      <c r="AM558">
        <v>43465</v>
      </c>
      <c r="AN558">
        <v>43469</v>
      </c>
      <c r="AO558" s="2">
        <f t="shared" si="67"/>
        <v>0</v>
      </c>
      <c r="AP558" s="2">
        <f t="shared" si="68"/>
        <v>0</v>
      </c>
      <c r="AQ558" s="3">
        <f t="shared" si="69"/>
        <v>1</v>
      </c>
      <c r="AR558" s="1" t="str">
        <f>INDEX(IOS!$B:$B,MATCH(D558,IOS!A:A,0))&amp;B558</f>
        <v>O.D.10</v>
      </c>
      <c r="AS558" s="1">
        <f t="shared" si="70"/>
        <v>0</v>
      </c>
      <c r="AT558" s="1" t="str">
        <f>IF(ISBLANK(W558),"",IF(ISERROR(MATCH(W558,HQLATABLE!$A:$A,0)),0,1))</f>
        <v/>
      </c>
      <c r="AU558" s="1" t="str">
        <f t="shared" si="71"/>
        <v>Blank</v>
      </c>
      <c r="AV558" s="1" t="str">
        <f t="shared" si="72"/>
        <v>Blank</v>
      </c>
      <c r="AW558" s="1">
        <f t="shared" si="73"/>
        <v>0</v>
      </c>
      <c r="AX558" s="1">
        <f t="shared" si="74"/>
        <v>0</v>
      </c>
      <c r="AY558" s="1"/>
      <c r="AZ558" s="1">
        <f>IF(COUNTIFS('PID CHECK'!$B:$B,AR558)=1,0,IF(COUNTIFS(AR$1:AR557,AR558)=1,0,1))</f>
        <v>0</v>
      </c>
      <c r="BA558" s="1"/>
      <c r="BB558" s="1"/>
    </row>
    <row r="559" spans="1:54">
      <c r="A559">
        <v>558</v>
      </c>
      <c r="B559" t="s">
        <v>71</v>
      </c>
      <c r="C559" t="s">
        <v>159</v>
      </c>
      <c r="D559" t="s">
        <v>153</v>
      </c>
      <c r="E559" t="s">
        <v>47</v>
      </c>
      <c r="F559" t="s">
        <v>50</v>
      </c>
      <c r="H559" t="s">
        <v>48</v>
      </c>
      <c r="J559" t="s">
        <v>49</v>
      </c>
      <c r="K559" t="s">
        <v>53</v>
      </c>
      <c r="L559" t="s">
        <v>762</v>
      </c>
      <c r="M559" t="s">
        <v>762</v>
      </c>
      <c r="N559">
        <v>4.5599999999999996</v>
      </c>
      <c r="R559" t="s">
        <v>51</v>
      </c>
      <c r="S559" t="s">
        <v>52</v>
      </c>
      <c r="Z559" t="s">
        <v>122</v>
      </c>
      <c r="AA559" t="s">
        <v>154</v>
      </c>
      <c r="AC559" t="s">
        <v>883</v>
      </c>
      <c r="AD559" t="s">
        <v>50</v>
      </c>
      <c r="AH559">
        <v>1</v>
      </c>
      <c r="AM559">
        <v>43465</v>
      </c>
      <c r="AN559">
        <v>43469</v>
      </c>
      <c r="AO559" s="2">
        <f t="shared" si="67"/>
        <v>0</v>
      </c>
      <c r="AP559" s="2">
        <f t="shared" si="68"/>
        <v>0</v>
      </c>
      <c r="AQ559" s="3">
        <f t="shared" si="69"/>
        <v>1</v>
      </c>
      <c r="AR559" s="1" t="str">
        <f>INDEX(IOS!$B:$B,MATCH(D559,IOS!A:A,0))&amp;B559</f>
        <v>O.D.2</v>
      </c>
      <c r="AS559" s="1">
        <f t="shared" si="70"/>
        <v>0</v>
      </c>
      <c r="AT559" s="1" t="str">
        <f>IF(ISBLANK(W559),"",IF(ISERROR(MATCH(W559,HQLATABLE!$A:$A,0)),0,1))</f>
        <v/>
      </c>
      <c r="AU559" s="1" t="str">
        <f t="shared" si="71"/>
        <v>Blank</v>
      </c>
      <c r="AV559" s="1" t="str">
        <f t="shared" si="72"/>
        <v>Blank</v>
      </c>
      <c r="AW559" s="1">
        <f t="shared" si="73"/>
        <v>0</v>
      </c>
      <c r="AX559" s="1">
        <f t="shared" si="74"/>
        <v>0</v>
      </c>
      <c r="AY559" s="1"/>
      <c r="AZ559" s="1">
        <f>IF(COUNTIFS('PID CHECK'!$B:$B,AR559)=1,0,IF(COUNTIFS(AR$1:AR558,AR559)=1,0,1))</f>
        <v>0</v>
      </c>
      <c r="BA559" s="1"/>
      <c r="BB559" s="1"/>
    </row>
    <row r="560" spans="1:54">
      <c r="A560">
        <v>559</v>
      </c>
      <c r="B560" t="s">
        <v>71</v>
      </c>
      <c r="C560" t="s">
        <v>159</v>
      </c>
      <c r="D560" t="s">
        <v>153</v>
      </c>
      <c r="E560" t="s">
        <v>47</v>
      </c>
      <c r="F560" t="s">
        <v>50</v>
      </c>
      <c r="H560" t="s">
        <v>995</v>
      </c>
      <c r="J560" t="s">
        <v>49</v>
      </c>
      <c r="K560" t="s">
        <v>53</v>
      </c>
      <c r="L560" t="s">
        <v>762</v>
      </c>
      <c r="M560" t="s">
        <v>762</v>
      </c>
      <c r="N560">
        <v>0.03</v>
      </c>
      <c r="R560" t="s">
        <v>996</v>
      </c>
      <c r="S560" t="s">
        <v>996</v>
      </c>
      <c r="Z560" t="s">
        <v>122</v>
      </c>
      <c r="AA560" t="s">
        <v>154</v>
      </c>
      <c r="AC560" t="s">
        <v>883</v>
      </c>
      <c r="AD560" t="s">
        <v>50</v>
      </c>
      <c r="AH560">
        <v>1</v>
      </c>
      <c r="AM560">
        <v>43465</v>
      </c>
      <c r="AN560">
        <v>43469</v>
      </c>
      <c r="AO560" s="2">
        <f t="shared" si="67"/>
        <v>10</v>
      </c>
      <c r="AP560" s="2">
        <f t="shared" si="68"/>
        <v>10</v>
      </c>
      <c r="AQ560" s="3">
        <f t="shared" si="69"/>
        <v>1</v>
      </c>
      <c r="AR560" s="1" t="str">
        <f>INDEX(IOS!$B:$B,MATCH(D560,IOS!A:A,0))&amp;B560</f>
        <v>O.D.2</v>
      </c>
      <c r="AS560" s="1">
        <f t="shared" si="70"/>
        <v>0</v>
      </c>
      <c r="AT560" s="1" t="str">
        <f>IF(ISBLANK(W560),"",IF(ISERROR(MATCH(W560,HQLATABLE!$A:$A,0)),0,1))</f>
        <v/>
      </c>
      <c r="AU560" s="1" t="str">
        <f t="shared" si="71"/>
        <v>Blank</v>
      </c>
      <c r="AV560" s="1" t="str">
        <f t="shared" si="72"/>
        <v>Blank</v>
      </c>
      <c r="AW560" s="1">
        <f t="shared" si="73"/>
        <v>0</v>
      </c>
      <c r="AX560" s="1">
        <f t="shared" si="74"/>
        <v>0</v>
      </c>
      <c r="AY560" s="1"/>
      <c r="AZ560" s="1">
        <f>IF(COUNTIFS('PID CHECK'!$B:$B,AR560)=1,0,IF(COUNTIFS(AR$1:AR559,AR560)=1,0,1))</f>
        <v>0</v>
      </c>
      <c r="BA560" s="1"/>
      <c r="BB560" s="1"/>
    </row>
    <row r="561" spans="1:54">
      <c r="A561">
        <v>560</v>
      </c>
      <c r="B561" t="s">
        <v>71</v>
      </c>
      <c r="C561" t="s">
        <v>159</v>
      </c>
      <c r="D561" t="s">
        <v>153</v>
      </c>
      <c r="E561" t="s">
        <v>47</v>
      </c>
      <c r="F561" t="s">
        <v>50</v>
      </c>
      <c r="H561" t="s">
        <v>1019</v>
      </c>
      <c r="J561" t="s">
        <v>49</v>
      </c>
      <c r="K561" t="s">
        <v>53</v>
      </c>
      <c r="L561" t="s">
        <v>762</v>
      </c>
      <c r="M561" t="s">
        <v>762</v>
      </c>
      <c r="N561">
        <v>0.13</v>
      </c>
      <c r="R561" t="s">
        <v>1020</v>
      </c>
      <c r="S561" t="s">
        <v>1020</v>
      </c>
      <c r="Z561" t="s">
        <v>122</v>
      </c>
      <c r="AA561" t="s">
        <v>154</v>
      </c>
      <c r="AC561" t="s">
        <v>883</v>
      </c>
      <c r="AD561" t="s">
        <v>50</v>
      </c>
      <c r="AH561">
        <v>1</v>
      </c>
      <c r="AM561">
        <v>43465</v>
      </c>
      <c r="AN561">
        <v>43469</v>
      </c>
      <c r="AO561" s="2">
        <f t="shared" si="67"/>
        <v>11</v>
      </c>
      <c r="AP561" s="2">
        <f t="shared" si="68"/>
        <v>11</v>
      </c>
      <c r="AQ561" s="3">
        <f t="shared" si="69"/>
        <v>1</v>
      </c>
      <c r="AR561" s="1" t="str">
        <f>INDEX(IOS!$B:$B,MATCH(D561,IOS!A:A,0))&amp;B561</f>
        <v>O.D.2</v>
      </c>
      <c r="AS561" s="1">
        <f t="shared" si="70"/>
        <v>0</v>
      </c>
      <c r="AT561" s="1" t="str">
        <f>IF(ISBLANK(W561),"",IF(ISERROR(MATCH(W561,HQLATABLE!$A:$A,0)),0,1))</f>
        <v/>
      </c>
      <c r="AU561" s="1" t="str">
        <f t="shared" si="71"/>
        <v>Blank</v>
      </c>
      <c r="AV561" s="1" t="str">
        <f t="shared" si="72"/>
        <v>Blank</v>
      </c>
      <c r="AW561" s="1">
        <f t="shared" si="73"/>
        <v>0</v>
      </c>
      <c r="AX561" s="1">
        <f t="shared" si="74"/>
        <v>0</v>
      </c>
      <c r="AY561" s="1"/>
      <c r="AZ561" s="1">
        <f>IF(COUNTIFS('PID CHECK'!$B:$B,AR561)=1,0,IF(COUNTIFS(AR$1:AR560,AR561)=1,0,1))</f>
        <v>0</v>
      </c>
      <c r="BA561" s="1"/>
      <c r="BB561" s="1"/>
    </row>
    <row r="562" spans="1:54">
      <c r="A562">
        <v>561</v>
      </c>
      <c r="B562" t="s">
        <v>71</v>
      </c>
      <c r="C562" t="s">
        <v>159</v>
      </c>
      <c r="D562" t="s">
        <v>153</v>
      </c>
      <c r="E562" t="s">
        <v>47</v>
      </c>
      <c r="F562" t="s">
        <v>50</v>
      </c>
      <c r="H562" t="s">
        <v>67</v>
      </c>
      <c r="J562" t="s">
        <v>49</v>
      </c>
      <c r="K562" t="s">
        <v>53</v>
      </c>
      <c r="L562" t="s">
        <v>762</v>
      </c>
      <c r="M562" t="s">
        <v>762</v>
      </c>
      <c r="N562">
        <v>3.63</v>
      </c>
      <c r="R562" t="s">
        <v>68</v>
      </c>
      <c r="S562" t="s">
        <v>69</v>
      </c>
      <c r="Z562" t="s">
        <v>122</v>
      </c>
      <c r="AA562" t="s">
        <v>154</v>
      </c>
      <c r="AC562" t="s">
        <v>883</v>
      </c>
      <c r="AD562" t="s">
        <v>50</v>
      </c>
      <c r="AH562">
        <v>1</v>
      </c>
      <c r="AM562">
        <v>43465</v>
      </c>
      <c r="AN562">
        <v>43469</v>
      </c>
      <c r="AO562" s="2">
        <f t="shared" si="67"/>
        <v>121</v>
      </c>
      <c r="AP562" s="2">
        <f t="shared" si="68"/>
        <v>150</v>
      </c>
      <c r="AQ562" s="3">
        <f t="shared" si="69"/>
        <v>0</v>
      </c>
      <c r="AR562" s="1" t="str">
        <f>INDEX(IOS!$B:$B,MATCH(D562,IOS!A:A,0))&amp;B562</f>
        <v>O.D.2</v>
      </c>
      <c r="AS562" s="1">
        <f t="shared" si="70"/>
        <v>0</v>
      </c>
      <c r="AT562" s="1" t="str">
        <f>IF(ISBLANK(W562),"",IF(ISERROR(MATCH(W562,HQLATABLE!$A:$A,0)),0,1))</f>
        <v/>
      </c>
      <c r="AU562" s="1" t="str">
        <f t="shared" si="71"/>
        <v>Blank</v>
      </c>
      <c r="AV562" s="1" t="str">
        <f t="shared" si="72"/>
        <v>Blank</v>
      </c>
      <c r="AW562" s="1">
        <f t="shared" si="73"/>
        <v>0</v>
      </c>
      <c r="AX562" s="1">
        <f t="shared" si="74"/>
        <v>0</v>
      </c>
      <c r="AY562" s="1"/>
      <c r="AZ562" s="1">
        <f>IF(COUNTIFS('PID CHECK'!$B:$B,AR562)=1,0,IF(COUNTIFS(AR$1:AR561,AR562)=1,0,1))</f>
        <v>0</v>
      </c>
      <c r="BA562" s="1"/>
      <c r="BB562" s="1"/>
    </row>
    <row r="563" spans="1:54">
      <c r="A563">
        <v>562</v>
      </c>
      <c r="B563" t="s">
        <v>71</v>
      </c>
      <c r="C563" t="s">
        <v>159</v>
      </c>
      <c r="D563" t="s">
        <v>153</v>
      </c>
      <c r="E563" t="s">
        <v>47</v>
      </c>
      <c r="F563" t="s">
        <v>50</v>
      </c>
      <c r="H563" t="s">
        <v>67</v>
      </c>
      <c r="J563" t="s">
        <v>49</v>
      </c>
      <c r="K563" t="s">
        <v>53</v>
      </c>
      <c r="L563" t="s">
        <v>762</v>
      </c>
      <c r="M563" t="s">
        <v>762</v>
      </c>
      <c r="N563">
        <v>2.75</v>
      </c>
      <c r="R563" t="s">
        <v>68</v>
      </c>
      <c r="S563" t="s">
        <v>69</v>
      </c>
      <c r="Z563" t="s">
        <v>122</v>
      </c>
      <c r="AA563" t="s">
        <v>156</v>
      </c>
      <c r="AC563" t="s">
        <v>883</v>
      </c>
      <c r="AD563" t="s">
        <v>50</v>
      </c>
      <c r="AH563">
        <v>1</v>
      </c>
      <c r="AM563">
        <v>43465</v>
      </c>
      <c r="AN563">
        <v>43469</v>
      </c>
      <c r="AO563" s="2">
        <f t="shared" si="67"/>
        <v>121</v>
      </c>
      <c r="AP563" s="2">
        <f t="shared" si="68"/>
        <v>150</v>
      </c>
      <c r="AQ563" s="3">
        <f t="shared" si="69"/>
        <v>0</v>
      </c>
      <c r="AR563" s="1" t="str">
        <f>INDEX(IOS!$B:$B,MATCH(D563,IOS!A:A,0))&amp;B563</f>
        <v>O.D.2</v>
      </c>
      <c r="AS563" s="1">
        <f t="shared" si="70"/>
        <v>0</v>
      </c>
      <c r="AT563" s="1" t="str">
        <f>IF(ISBLANK(W563),"",IF(ISERROR(MATCH(W563,HQLATABLE!$A:$A,0)),0,1))</f>
        <v/>
      </c>
      <c r="AU563" s="1" t="str">
        <f t="shared" si="71"/>
        <v>Blank</v>
      </c>
      <c r="AV563" s="1" t="str">
        <f t="shared" si="72"/>
        <v>Blank</v>
      </c>
      <c r="AW563" s="1">
        <f t="shared" si="73"/>
        <v>0</v>
      </c>
      <c r="AX563" s="1">
        <f t="shared" si="74"/>
        <v>0</v>
      </c>
      <c r="AY563" s="1"/>
      <c r="AZ563" s="1">
        <f>IF(COUNTIFS('PID CHECK'!$B:$B,AR563)=1,0,IF(COUNTIFS(AR$1:AR562,AR563)=1,0,1))</f>
        <v>0</v>
      </c>
      <c r="BA563" s="1"/>
      <c r="BB563" s="1"/>
    </row>
    <row r="564" spans="1:54">
      <c r="A564">
        <v>563</v>
      </c>
      <c r="B564" t="s">
        <v>71</v>
      </c>
      <c r="C564" t="s">
        <v>159</v>
      </c>
      <c r="D564" t="s">
        <v>153</v>
      </c>
      <c r="E564" t="s">
        <v>47</v>
      </c>
      <c r="F564" t="s">
        <v>50</v>
      </c>
      <c r="H564" t="s">
        <v>85</v>
      </c>
      <c r="J564" t="s">
        <v>49</v>
      </c>
      <c r="K564" t="s">
        <v>53</v>
      </c>
      <c r="L564" t="s">
        <v>762</v>
      </c>
      <c r="M564" t="s">
        <v>762</v>
      </c>
      <c r="N564">
        <v>7.0000000000000007E-2</v>
      </c>
      <c r="R564" t="s">
        <v>86</v>
      </c>
      <c r="S564" t="s">
        <v>86</v>
      </c>
      <c r="Z564" t="s">
        <v>122</v>
      </c>
      <c r="AA564" t="s">
        <v>154</v>
      </c>
      <c r="AC564" t="s">
        <v>883</v>
      </c>
      <c r="AD564" t="s">
        <v>50</v>
      </c>
      <c r="AH564">
        <v>1</v>
      </c>
      <c r="AM564">
        <v>43465</v>
      </c>
      <c r="AN564">
        <v>43469</v>
      </c>
      <c r="AO564" s="2">
        <f t="shared" si="67"/>
        <v>14</v>
      </c>
      <c r="AP564" s="2">
        <f t="shared" si="68"/>
        <v>14</v>
      </c>
      <c r="AQ564" s="3">
        <f t="shared" si="69"/>
        <v>1</v>
      </c>
      <c r="AR564" s="1" t="str">
        <f>INDEX(IOS!$B:$B,MATCH(D564,IOS!A:A,0))&amp;B564</f>
        <v>O.D.2</v>
      </c>
      <c r="AS564" s="1">
        <f t="shared" si="70"/>
        <v>0</v>
      </c>
      <c r="AT564" s="1" t="str">
        <f>IF(ISBLANK(W564),"",IF(ISERROR(MATCH(W564,HQLATABLE!$A:$A,0)),0,1))</f>
        <v/>
      </c>
      <c r="AU564" s="1" t="str">
        <f t="shared" si="71"/>
        <v>Blank</v>
      </c>
      <c r="AV564" s="1" t="str">
        <f t="shared" si="72"/>
        <v>Blank</v>
      </c>
      <c r="AW564" s="1">
        <f t="shared" si="73"/>
        <v>0</v>
      </c>
      <c r="AX564" s="1">
        <f t="shared" si="74"/>
        <v>0</v>
      </c>
      <c r="AY564" s="1"/>
      <c r="AZ564" s="1">
        <f>IF(COUNTIFS('PID CHECK'!$B:$B,AR564)=1,0,IF(COUNTIFS(AR$1:AR563,AR564)=1,0,1))</f>
        <v>0</v>
      </c>
      <c r="BA564" s="1"/>
      <c r="BB564" s="1"/>
    </row>
    <row r="565" spans="1:54">
      <c r="A565">
        <v>564</v>
      </c>
      <c r="B565" t="s">
        <v>71</v>
      </c>
      <c r="C565" t="s">
        <v>159</v>
      </c>
      <c r="D565" t="s">
        <v>153</v>
      </c>
      <c r="E565" t="s">
        <v>47</v>
      </c>
      <c r="F565" t="s">
        <v>50</v>
      </c>
      <c r="H565" t="s">
        <v>73</v>
      </c>
      <c r="J565" t="s">
        <v>49</v>
      </c>
      <c r="K565" t="s">
        <v>53</v>
      </c>
      <c r="L565" t="s">
        <v>762</v>
      </c>
      <c r="M565" t="s">
        <v>762</v>
      </c>
      <c r="N565">
        <v>2.72</v>
      </c>
      <c r="R565" t="s">
        <v>74</v>
      </c>
      <c r="S565" t="s">
        <v>75</v>
      </c>
      <c r="Z565" t="s">
        <v>122</v>
      </c>
      <c r="AA565" t="s">
        <v>154</v>
      </c>
      <c r="AC565" t="s">
        <v>883</v>
      </c>
      <c r="AD565" t="s">
        <v>50</v>
      </c>
      <c r="AH565">
        <v>1</v>
      </c>
      <c r="AM565">
        <v>43465</v>
      </c>
      <c r="AN565">
        <v>43469</v>
      </c>
      <c r="AO565" s="2">
        <f t="shared" si="67"/>
        <v>151</v>
      </c>
      <c r="AP565" s="2">
        <f t="shared" si="68"/>
        <v>180</v>
      </c>
      <c r="AQ565" s="3">
        <f t="shared" si="69"/>
        <v>0</v>
      </c>
      <c r="AR565" s="1" t="str">
        <f>INDEX(IOS!$B:$B,MATCH(D565,IOS!A:A,0))&amp;B565</f>
        <v>O.D.2</v>
      </c>
      <c r="AS565" s="1">
        <f t="shared" si="70"/>
        <v>0</v>
      </c>
      <c r="AT565" s="1" t="str">
        <f>IF(ISBLANK(W565),"",IF(ISERROR(MATCH(W565,HQLATABLE!$A:$A,0)),0,1))</f>
        <v/>
      </c>
      <c r="AU565" s="1" t="str">
        <f t="shared" si="71"/>
        <v>Blank</v>
      </c>
      <c r="AV565" s="1" t="str">
        <f t="shared" si="72"/>
        <v>Blank</v>
      </c>
      <c r="AW565" s="1">
        <f t="shared" si="73"/>
        <v>0</v>
      </c>
      <c r="AX565" s="1">
        <f t="shared" si="74"/>
        <v>0</v>
      </c>
      <c r="AY565" s="1"/>
      <c r="AZ565" s="1">
        <f>IF(COUNTIFS('PID CHECK'!$B:$B,AR565)=1,0,IF(COUNTIFS(AR$1:AR564,AR565)=1,0,1))</f>
        <v>0</v>
      </c>
      <c r="BA565" s="1"/>
      <c r="BB565" s="1"/>
    </row>
    <row r="566" spans="1:54">
      <c r="A566">
        <v>565</v>
      </c>
      <c r="B566" t="s">
        <v>71</v>
      </c>
      <c r="C566" t="s">
        <v>159</v>
      </c>
      <c r="D566" t="s">
        <v>153</v>
      </c>
      <c r="E566" t="s">
        <v>47</v>
      </c>
      <c r="F566" t="s">
        <v>50</v>
      </c>
      <c r="H566" t="s">
        <v>73</v>
      </c>
      <c r="J566" t="s">
        <v>49</v>
      </c>
      <c r="K566" t="s">
        <v>53</v>
      </c>
      <c r="L566" t="s">
        <v>762</v>
      </c>
      <c r="M566" t="s">
        <v>762</v>
      </c>
      <c r="N566">
        <v>0.75</v>
      </c>
      <c r="R566" t="s">
        <v>74</v>
      </c>
      <c r="S566" t="s">
        <v>75</v>
      </c>
      <c r="Z566" t="s">
        <v>122</v>
      </c>
      <c r="AA566" t="s">
        <v>156</v>
      </c>
      <c r="AC566" t="s">
        <v>883</v>
      </c>
      <c r="AD566" t="s">
        <v>50</v>
      </c>
      <c r="AH566">
        <v>1</v>
      </c>
      <c r="AM566">
        <v>43465</v>
      </c>
      <c r="AN566">
        <v>43469</v>
      </c>
      <c r="AO566" s="2">
        <f t="shared" si="67"/>
        <v>151</v>
      </c>
      <c r="AP566" s="2">
        <f t="shared" si="68"/>
        <v>180</v>
      </c>
      <c r="AQ566" s="3">
        <f t="shared" si="69"/>
        <v>0</v>
      </c>
      <c r="AR566" s="1" t="str">
        <f>INDEX(IOS!$B:$B,MATCH(D566,IOS!A:A,0))&amp;B566</f>
        <v>O.D.2</v>
      </c>
      <c r="AS566" s="1">
        <f t="shared" si="70"/>
        <v>0</v>
      </c>
      <c r="AT566" s="1" t="str">
        <f>IF(ISBLANK(W566),"",IF(ISERROR(MATCH(W566,HQLATABLE!$A:$A,0)),0,1))</f>
        <v/>
      </c>
      <c r="AU566" s="1" t="str">
        <f t="shared" si="71"/>
        <v>Blank</v>
      </c>
      <c r="AV566" s="1" t="str">
        <f t="shared" si="72"/>
        <v>Blank</v>
      </c>
      <c r="AW566" s="1">
        <f t="shared" si="73"/>
        <v>0</v>
      </c>
      <c r="AX566" s="1">
        <f t="shared" si="74"/>
        <v>0</v>
      </c>
      <c r="AY566" s="1"/>
      <c r="AZ566" s="1">
        <f>IF(COUNTIFS('PID CHECK'!$B:$B,AR566)=1,0,IF(COUNTIFS(AR$1:AR565,AR566)=1,0,1))</f>
        <v>0</v>
      </c>
      <c r="BA566" s="1"/>
      <c r="BB566" s="1"/>
    </row>
    <row r="567" spans="1:54">
      <c r="A567">
        <v>566</v>
      </c>
      <c r="B567" t="s">
        <v>71</v>
      </c>
      <c r="C567" t="s">
        <v>159</v>
      </c>
      <c r="D567" t="s">
        <v>153</v>
      </c>
      <c r="E567" t="s">
        <v>47</v>
      </c>
      <c r="F567" t="s">
        <v>50</v>
      </c>
      <c r="H567" t="s">
        <v>1050</v>
      </c>
      <c r="J567" t="s">
        <v>49</v>
      </c>
      <c r="K567" t="s">
        <v>53</v>
      </c>
      <c r="L567" t="s">
        <v>762</v>
      </c>
      <c r="M567" t="s">
        <v>762</v>
      </c>
      <c r="N567">
        <v>0.05</v>
      </c>
      <c r="R567" t="s">
        <v>1051</v>
      </c>
      <c r="S567" t="s">
        <v>1051</v>
      </c>
      <c r="Z567" t="s">
        <v>122</v>
      </c>
      <c r="AA567" t="s">
        <v>154</v>
      </c>
      <c r="AC567" t="s">
        <v>883</v>
      </c>
      <c r="AD567" t="s">
        <v>50</v>
      </c>
      <c r="AH567">
        <v>1</v>
      </c>
      <c r="AM567">
        <v>43465</v>
      </c>
      <c r="AN567">
        <v>43469</v>
      </c>
      <c r="AO567" s="2">
        <f t="shared" si="67"/>
        <v>15</v>
      </c>
      <c r="AP567" s="2">
        <f t="shared" si="68"/>
        <v>15</v>
      </c>
      <c r="AQ567" s="3">
        <f t="shared" si="69"/>
        <v>1</v>
      </c>
      <c r="AR567" s="1" t="str">
        <f>INDEX(IOS!$B:$B,MATCH(D567,IOS!A:A,0))&amp;B567</f>
        <v>O.D.2</v>
      </c>
      <c r="AS567" s="1">
        <f t="shared" si="70"/>
        <v>0</v>
      </c>
      <c r="AT567" s="1" t="str">
        <f>IF(ISBLANK(W567),"",IF(ISERROR(MATCH(W567,HQLATABLE!$A:$A,0)),0,1))</f>
        <v/>
      </c>
      <c r="AU567" s="1" t="str">
        <f t="shared" si="71"/>
        <v>Blank</v>
      </c>
      <c r="AV567" s="1" t="str">
        <f t="shared" si="72"/>
        <v>Blank</v>
      </c>
      <c r="AW567" s="1">
        <f t="shared" si="73"/>
        <v>0</v>
      </c>
      <c r="AX567" s="1">
        <f t="shared" si="74"/>
        <v>0</v>
      </c>
      <c r="AY567" s="1"/>
      <c r="AZ567" s="1">
        <f>IF(COUNTIFS('PID CHECK'!$B:$B,AR567)=1,0,IF(COUNTIFS(AR$1:AR566,AR567)=1,0,1))</f>
        <v>0</v>
      </c>
      <c r="BA567" s="1"/>
      <c r="BB567" s="1"/>
    </row>
    <row r="568" spans="1:54">
      <c r="A568">
        <v>567</v>
      </c>
      <c r="B568" t="s">
        <v>71</v>
      </c>
      <c r="C568" t="s">
        <v>159</v>
      </c>
      <c r="D568" t="s">
        <v>153</v>
      </c>
      <c r="E568" t="s">
        <v>47</v>
      </c>
      <c r="F568" t="s">
        <v>50</v>
      </c>
      <c r="H568" t="s">
        <v>1050</v>
      </c>
      <c r="J568" t="s">
        <v>49</v>
      </c>
      <c r="K568" t="s">
        <v>53</v>
      </c>
      <c r="L568" t="s">
        <v>762</v>
      </c>
      <c r="M568" t="s">
        <v>762</v>
      </c>
      <c r="N568">
        <v>1.62</v>
      </c>
      <c r="R568" t="s">
        <v>1051</v>
      </c>
      <c r="S568" t="s">
        <v>1051</v>
      </c>
      <c r="Z568" t="s">
        <v>122</v>
      </c>
      <c r="AA568" t="s">
        <v>156</v>
      </c>
      <c r="AC568" t="s">
        <v>883</v>
      </c>
      <c r="AD568" t="s">
        <v>50</v>
      </c>
      <c r="AH568">
        <v>1</v>
      </c>
      <c r="AM568">
        <v>43465</v>
      </c>
      <c r="AN568">
        <v>43469</v>
      </c>
      <c r="AO568" s="2">
        <f t="shared" si="67"/>
        <v>15</v>
      </c>
      <c r="AP568" s="2">
        <f t="shared" si="68"/>
        <v>15</v>
      </c>
      <c r="AQ568" s="3">
        <f t="shared" si="69"/>
        <v>1</v>
      </c>
      <c r="AR568" s="1" t="str">
        <f>INDEX(IOS!$B:$B,MATCH(D568,IOS!A:A,0))&amp;B568</f>
        <v>O.D.2</v>
      </c>
      <c r="AS568" s="1">
        <f t="shared" si="70"/>
        <v>0</v>
      </c>
      <c r="AT568" s="1" t="str">
        <f>IF(ISBLANK(W568),"",IF(ISERROR(MATCH(W568,HQLATABLE!$A:$A,0)),0,1))</f>
        <v/>
      </c>
      <c r="AU568" s="1" t="str">
        <f t="shared" si="71"/>
        <v>Blank</v>
      </c>
      <c r="AV568" s="1" t="str">
        <f t="shared" si="72"/>
        <v>Blank</v>
      </c>
      <c r="AW568" s="1">
        <f t="shared" si="73"/>
        <v>0</v>
      </c>
      <c r="AX568" s="1">
        <f t="shared" si="74"/>
        <v>0</v>
      </c>
      <c r="AY568" s="1"/>
      <c r="AZ568" s="1">
        <f>IF(COUNTIFS('PID CHECK'!$B:$B,AR568)=1,0,IF(COUNTIFS(AR$1:AR567,AR568)=1,0,1))</f>
        <v>0</v>
      </c>
      <c r="BA568" s="1"/>
      <c r="BB568" s="1"/>
    </row>
    <row r="569" spans="1:54">
      <c r="A569">
        <v>568</v>
      </c>
      <c r="B569" t="s">
        <v>71</v>
      </c>
      <c r="C569" t="s">
        <v>159</v>
      </c>
      <c r="D569" t="s">
        <v>153</v>
      </c>
      <c r="E569" t="s">
        <v>47</v>
      </c>
      <c r="F569" t="s">
        <v>50</v>
      </c>
      <c r="H569" t="s">
        <v>1032</v>
      </c>
      <c r="J569" t="s">
        <v>49</v>
      </c>
      <c r="K569" t="s">
        <v>53</v>
      </c>
      <c r="L569" t="s">
        <v>762</v>
      </c>
      <c r="M569" t="s">
        <v>762</v>
      </c>
      <c r="N569">
        <v>7.0000000000000007E-2</v>
      </c>
      <c r="R569" t="s">
        <v>1033</v>
      </c>
      <c r="S569" t="s">
        <v>1033</v>
      </c>
      <c r="Z569" t="s">
        <v>122</v>
      </c>
      <c r="AA569" t="s">
        <v>154</v>
      </c>
      <c r="AC569" t="s">
        <v>883</v>
      </c>
      <c r="AD569" t="s">
        <v>50</v>
      </c>
      <c r="AH569">
        <v>1</v>
      </c>
      <c r="AM569">
        <v>43465</v>
      </c>
      <c r="AN569">
        <v>43469</v>
      </c>
      <c r="AO569" s="2">
        <f t="shared" si="67"/>
        <v>16</v>
      </c>
      <c r="AP569" s="2">
        <f t="shared" si="68"/>
        <v>16</v>
      </c>
      <c r="AQ569" s="3">
        <f t="shared" si="69"/>
        <v>1</v>
      </c>
      <c r="AR569" s="1" t="str">
        <f>INDEX(IOS!$B:$B,MATCH(D569,IOS!A:A,0))&amp;B569</f>
        <v>O.D.2</v>
      </c>
      <c r="AS569" s="1">
        <f t="shared" si="70"/>
        <v>0</v>
      </c>
      <c r="AT569" s="1" t="str">
        <f>IF(ISBLANK(W569),"",IF(ISERROR(MATCH(W569,HQLATABLE!$A:$A,0)),0,1))</f>
        <v/>
      </c>
      <c r="AU569" s="1" t="str">
        <f t="shared" si="71"/>
        <v>Blank</v>
      </c>
      <c r="AV569" s="1" t="str">
        <f t="shared" si="72"/>
        <v>Blank</v>
      </c>
      <c r="AW569" s="1">
        <f t="shared" si="73"/>
        <v>0</v>
      </c>
      <c r="AX569" s="1">
        <f t="shared" si="74"/>
        <v>0</v>
      </c>
      <c r="AY569" s="1"/>
      <c r="AZ569" s="1">
        <f>IF(COUNTIFS('PID CHECK'!$B:$B,AR569)=1,0,IF(COUNTIFS(AR$1:AR568,AR569)=1,0,1))</f>
        <v>0</v>
      </c>
      <c r="BA569" s="1"/>
      <c r="BB569" s="1"/>
    </row>
    <row r="570" spans="1:54">
      <c r="A570">
        <v>569</v>
      </c>
      <c r="B570" t="s">
        <v>71</v>
      </c>
      <c r="C570" t="s">
        <v>159</v>
      </c>
      <c r="D570" t="s">
        <v>153</v>
      </c>
      <c r="E570" t="s">
        <v>47</v>
      </c>
      <c r="F570" t="s">
        <v>50</v>
      </c>
      <c r="H570" t="s">
        <v>997</v>
      </c>
      <c r="J570" t="s">
        <v>49</v>
      </c>
      <c r="K570" t="s">
        <v>53</v>
      </c>
      <c r="L570" t="s">
        <v>762</v>
      </c>
      <c r="M570" t="s">
        <v>762</v>
      </c>
      <c r="N570">
        <v>0.11</v>
      </c>
      <c r="R570" t="s">
        <v>998</v>
      </c>
      <c r="S570" t="s">
        <v>998</v>
      </c>
      <c r="Z570" t="s">
        <v>122</v>
      </c>
      <c r="AA570" t="s">
        <v>154</v>
      </c>
      <c r="AC570" t="s">
        <v>883</v>
      </c>
      <c r="AD570" t="s">
        <v>50</v>
      </c>
      <c r="AH570">
        <v>1</v>
      </c>
      <c r="AM570">
        <v>43465</v>
      </c>
      <c r="AN570">
        <v>43469</v>
      </c>
      <c r="AO570" s="2">
        <f t="shared" si="67"/>
        <v>17</v>
      </c>
      <c r="AP570" s="2">
        <f t="shared" si="68"/>
        <v>17</v>
      </c>
      <c r="AQ570" s="3">
        <f t="shared" si="69"/>
        <v>1</v>
      </c>
      <c r="AR570" s="1" t="str">
        <f>INDEX(IOS!$B:$B,MATCH(D570,IOS!A:A,0))&amp;B570</f>
        <v>O.D.2</v>
      </c>
      <c r="AS570" s="1">
        <f t="shared" si="70"/>
        <v>0</v>
      </c>
      <c r="AT570" s="1" t="str">
        <f>IF(ISBLANK(W570),"",IF(ISERROR(MATCH(W570,HQLATABLE!$A:$A,0)),0,1))</f>
        <v/>
      </c>
      <c r="AU570" s="1" t="str">
        <f t="shared" si="71"/>
        <v>Blank</v>
      </c>
      <c r="AV570" s="1" t="str">
        <f t="shared" si="72"/>
        <v>Blank</v>
      </c>
      <c r="AW570" s="1">
        <f t="shared" si="73"/>
        <v>0</v>
      </c>
      <c r="AX570" s="1">
        <f t="shared" si="74"/>
        <v>0</v>
      </c>
      <c r="AY570" s="1"/>
      <c r="AZ570" s="1">
        <f>IF(COUNTIFS('PID CHECK'!$B:$B,AR570)=1,0,IF(COUNTIFS(AR$1:AR569,AR570)=1,0,1))</f>
        <v>0</v>
      </c>
      <c r="BA570" s="1"/>
      <c r="BB570" s="1"/>
    </row>
    <row r="571" spans="1:54">
      <c r="A571">
        <v>570</v>
      </c>
      <c r="B571" t="s">
        <v>71</v>
      </c>
      <c r="C571" t="s">
        <v>159</v>
      </c>
      <c r="D571" t="s">
        <v>153</v>
      </c>
      <c r="E571" t="s">
        <v>47</v>
      </c>
      <c r="F571" t="s">
        <v>50</v>
      </c>
      <c r="H571" t="s">
        <v>87</v>
      </c>
      <c r="J571" t="s">
        <v>49</v>
      </c>
      <c r="K571" t="s">
        <v>53</v>
      </c>
      <c r="L571" t="s">
        <v>762</v>
      </c>
      <c r="M571" t="s">
        <v>762</v>
      </c>
      <c r="N571">
        <v>6.27</v>
      </c>
      <c r="R571" t="s">
        <v>88</v>
      </c>
      <c r="S571" t="s">
        <v>89</v>
      </c>
      <c r="Z571" t="s">
        <v>122</v>
      </c>
      <c r="AA571" t="s">
        <v>154</v>
      </c>
      <c r="AC571" t="s">
        <v>883</v>
      </c>
      <c r="AD571" t="s">
        <v>50</v>
      </c>
      <c r="AH571">
        <v>1</v>
      </c>
      <c r="AM571">
        <v>43465</v>
      </c>
      <c r="AN571">
        <v>43469</v>
      </c>
      <c r="AO571" s="2">
        <f t="shared" si="67"/>
        <v>181</v>
      </c>
      <c r="AP571" s="2">
        <f t="shared" si="68"/>
        <v>270</v>
      </c>
      <c r="AQ571" s="3">
        <f t="shared" si="69"/>
        <v>0</v>
      </c>
      <c r="AR571" s="1" t="str">
        <f>INDEX(IOS!$B:$B,MATCH(D571,IOS!A:A,0))&amp;B571</f>
        <v>O.D.2</v>
      </c>
      <c r="AS571" s="1">
        <f t="shared" si="70"/>
        <v>0</v>
      </c>
      <c r="AT571" s="1" t="str">
        <f>IF(ISBLANK(W571),"",IF(ISERROR(MATCH(W571,HQLATABLE!$A:$A,0)),0,1))</f>
        <v/>
      </c>
      <c r="AU571" s="1" t="str">
        <f t="shared" si="71"/>
        <v>Blank</v>
      </c>
      <c r="AV571" s="1" t="str">
        <f t="shared" si="72"/>
        <v>Blank</v>
      </c>
      <c r="AW571" s="1">
        <f t="shared" si="73"/>
        <v>0</v>
      </c>
      <c r="AX571" s="1">
        <f t="shared" si="74"/>
        <v>0</v>
      </c>
      <c r="AY571" s="1"/>
      <c r="AZ571" s="1">
        <f>IF(COUNTIFS('PID CHECK'!$B:$B,AR571)=1,0,IF(COUNTIFS(AR$1:AR570,AR571)=1,0,1))</f>
        <v>0</v>
      </c>
      <c r="BA571" s="1"/>
      <c r="BB571" s="1"/>
    </row>
    <row r="572" spans="1:54">
      <c r="A572">
        <v>571</v>
      </c>
      <c r="B572" t="s">
        <v>71</v>
      </c>
      <c r="C572" t="s">
        <v>159</v>
      </c>
      <c r="D572" t="s">
        <v>153</v>
      </c>
      <c r="E572" t="s">
        <v>47</v>
      </c>
      <c r="F572" t="s">
        <v>50</v>
      </c>
      <c r="H572" t="s">
        <v>87</v>
      </c>
      <c r="J572" t="s">
        <v>49</v>
      </c>
      <c r="K572" t="s">
        <v>53</v>
      </c>
      <c r="L572" t="s">
        <v>762</v>
      </c>
      <c r="M572" t="s">
        <v>762</v>
      </c>
      <c r="N572">
        <v>1.79</v>
      </c>
      <c r="R572" t="s">
        <v>88</v>
      </c>
      <c r="S572" t="s">
        <v>89</v>
      </c>
      <c r="Z572" t="s">
        <v>122</v>
      </c>
      <c r="AA572" t="s">
        <v>156</v>
      </c>
      <c r="AC572" t="s">
        <v>883</v>
      </c>
      <c r="AD572" t="s">
        <v>50</v>
      </c>
      <c r="AH572">
        <v>1</v>
      </c>
      <c r="AM572">
        <v>43465</v>
      </c>
      <c r="AN572">
        <v>43469</v>
      </c>
      <c r="AO572" s="2">
        <f t="shared" si="67"/>
        <v>181</v>
      </c>
      <c r="AP572" s="2">
        <f t="shared" si="68"/>
        <v>270</v>
      </c>
      <c r="AQ572" s="3">
        <f t="shared" si="69"/>
        <v>0</v>
      </c>
      <c r="AR572" s="1" t="str">
        <f>INDEX(IOS!$B:$B,MATCH(D572,IOS!A:A,0))&amp;B572</f>
        <v>O.D.2</v>
      </c>
      <c r="AS572" s="1">
        <f t="shared" si="70"/>
        <v>0</v>
      </c>
      <c r="AT572" s="1" t="str">
        <f>IF(ISBLANK(W572),"",IF(ISERROR(MATCH(W572,HQLATABLE!$A:$A,0)),0,1))</f>
        <v/>
      </c>
      <c r="AU572" s="1" t="str">
        <f t="shared" si="71"/>
        <v>Blank</v>
      </c>
      <c r="AV572" s="1" t="str">
        <f t="shared" si="72"/>
        <v>Blank</v>
      </c>
      <c r="AW572" s="1">
        <f t="shared" si="73"/>
        <v>0</v>
      </c>
      <c r="AX572" s="1">
        <f t="shared" si="74"/>
        <v>0</v>
      </c>
      <c r="AY572" s="1"/>
      <c r="AZ572" s="1">
        <f>IF(COUNTIFS('PID CHECK'!$B:$B,AR572)=1,0,IF(COUNTIFS(AR$1:AR571,AR572)=1,0,1))</f>
        <v>0</v>
      </c>
      <c r="BA572" s="1"/>
      <c r="BB572" s="1"/>
    </row>
    <row r="573" spans="1:54">
      <c r="A573">
        <v>572</v>
      </c>
      <c r="B573" t="s">
        <v>71</v>
      </c>
      <c r="C573" t="s">
        <v>159</v>
      </c>
      <c r="D573" t="s">
        <v>153</v>
      </c>
      <c r="E573" t="s">
        <v>47</v>
      </c>
      <c r="F573" t="s">
        <v>50</v>
      </c>
      <c r="H573" t="s">
        <v>999</v>
      </c>
      <c r="J573" t="s">
        <v>49</v>
      </c>
      <c r="K573" t="s">
        <v>53</v>
      </c>
      <c r="L573" t="s">
        <v>762</v>
      </c>
      <c r="M573" t="s">
        <v>762</v>
      </c>
      <c r="N573">
        <v>0.05</v>
      </c>
      <c r="R573" t="s">
        <v>1000</v>
      </c>
      <c r="S573" t="s">
        <v>1000</v>
      </c>
      <c r="Z573" t="s">
        <v>122</v>
      </c>
      <c r="AA573" t="s">
        <v>154</v>
      </c>
      <c r="AC573" t="s">
        <v>883</v>
      </c>
      <c r="AD573" t="s">
        <v>50</v>
      </c>
      <c r="AH573">
        <v>1</v>
      </c>
      <c r="AM573">
        <v>43465</v>
      </c>
      <c r="AN573">
        <v>43469</v>
      </c>
      <c r="AO573" s="2">
        <f t="shared" si="67"/>
        <v>18</v>
      </c>
      <c r="AP573" s="2">
        <f t="shared" si="68"/>
        <v>18</v>
      </c>
      <c r="AQ573" s="3">
        <f t="shared" si="69"/>
        <v>1</v>
      </c>
      <c r="AR573" s="1" t="str">
        <f>INDEX(IOS!$B:$B,MATCH(D573,IOS!A:A,0))&amp;B573</f>
        <v>O.D.2</v>
      </c>
      <c r="AS573" s="1">
        <f t="shared" si="70"/>
        <v>0</v>
      </c>
      <c r="AT573" s="1" t="str">
        <f>IF(ISBLANK(W573),"",IF(ISERROR(MATCH(W573,HQLATABLE!$A:$A,0)),0,1))</f>
        <v/>
      </c>
      <c r="AU573" s="1" t="str">
        <f t="shared" si="71"/>
        <v>Blank</v>
      </c>
      <c r="AV573" s="1" t="str">
        <f t="shared" si="72"/>
        <v>Blank</v>
      </c>
      <c r="AW573" s="1">
        <f t="shared" si="73"/>
        <v>0</v>
      </c>
      <c r="AX573" s="1">
        <f t="shared" si="74"/>
        <v>0</v>
      </c>
      <c r="AY573" s="1"/>
      <c r="AZ573" s="1">
        <f>IF(COUNTIFS('PID CHECK'!$B:$B,AR573)=1,0,IF(COUNTIFS(AR$1:AR572,AR573)=1,0,1))</f>
        <v>0</v>
      </c>
      <c r="BA573" s="1"/>
      <c r="BB573" s="1"/>
    </row>
    <row r="574" spans="1:54">
      <c r="A574">
        <v>573</v>
      </c>
      <c r="B574" t="s">
        <v>71</v>
      </c>
      <c r="C574" t="s">
        <v>159</v>
      </c>
      <c r="D574" t="s">
        <v>153</v>
      </c>
      <c r="E574" t="s">
        <v>47</v>
      </c>
      <c r="F574" t="s">
        <v>50</v>
      </c>
      <c r="H574" t="s">
        <v>1034</v>
      </c>
      <c r="J574" t="s">
        <v>49</v>
      </c>
      <c r="K574" t="s">
        <v>53</v>
      </c>
      <c r="L574" t="s">
        <v>762</v>
      </c>
      <c r="M574" t="s">
        <v>762</v>
      </c>
      <c r="N574">
        <v>0.12</v>
      </c>
      <c r="R574" t="s">
        <v>1035</v>
      </c>
      <c r="S574" t="s">
        <v>1035</v>
      </c>
      <c r="Z574" t="s">
        <v>122</v>
      </c>
      <c r="AA574" t="s">
        <v>154</v>
      </c>
      <c r="AC574" t="s">
        <v>883</v>
      </c>
      <c r="AD574" t="s">
        <v>50</v>
      </c>
      <c r="AH574">
        <v>1</v>
      </c>
      <c r="AM574">
        <v>43465</v>
      </c>
      <c r="AN574">
        <v>43469</v>
      </c>
      <c r="AO574" s="2">
        <f t="shared" si="67"/>
        <v>22</v>
      </c>
      <c r="AP574" s="2">
        <f t="shared" si="68"/>
        <v>22</v>
      </c>
      <c r="AQ574" s="3">
        <f t="shared" si="69"/>
        <v>1</v>
      </c>
      <c r="AR574" s="1" t="str">
        <f>INDEX(IOS!$B:$B,MATCH(D574,IOS!A:A,0))&amp;B574</f>
        <v>O.D.2</v>
      </c>
      <c r="AS574" s="1">
        <f t="shared" si="70"/>
        <v>0</v>
      </c>
      <c r="AT574" s="1" t="str">
        <f>IF(ISBLANK(W574),"",IF(ISERROR(MATCH(W574,HQLATABLE!$A:$A,0)),0,1))</f>
        <v/>
      </c>
      <c r="AU574" s="1" t="str">
        <f t="shared" si="71"/>
        <v>Blank</v>
      </c>
      <c r="AV574" s="1" t="str">
        <f t="shared" si="72"/>
        <v>Blank</v>
      </c>
      <c r="AW574" s="1">
        <f t="shared" si="73"/>
        <v>0</v>
      </c>
      <c r="AX574" s="1">
        <f t="shared" si="74"/>
        <v>0</v>
      </c>
      <c r="AY574" s="1"/>
      <c r="AZ574" s="1">
        <f>IF(COUNTIFS('PID CHECK'!$B:$B,AR574)=1,0,IF(COUNTIFS(AR$1:AR573,AR574)=1,0,1))</f>
        <v>0</v>
      </c>
      <c r="BA574" s="1"/>
      <c r="BB574" s="1"/>
    </row>
    <row r="575" spans="1:54">
      <c r="A575">
        <v>574</v>
      </c>
      <c r="B575" t="s">
        <v>71</v>
      </c>
      <c r="C575" t="s">
        <v>159</v>
      </c>
      <c r="D575" t="s">
        <v>153</v>
      </c>
      <c r="E575" t="s">
        <v>47</v>
      </c>
      <c r="F575" t="s">
        <v>50</v>
      </c>
      <c r="H575" t="s">
        <v>1054</v>
      </c>
      <c r="J575" t="s">
        <v>49</v>
      </c>
      <c r="K575" t="s">
        <v>53</v>
      </c>
      <c r="L575" t="s">
        <v>762</v>
      </c>
      <c r="M575" t="s">
        <v>762</v>
      </c>
      <c r="N575">
        <v>0.14000000000000001</v>
      </c>
      <c r="R575" t="s">
        <v>1055</v>
      </c>
      <c r="S575" t="s">
        <v>1055</v>
      </c>
      <c r="Z575" t="s">
        <v>122</v>
      </c>
      <c r="AA575" t="s">
        <v>154</v>
      </c>
      <c r="AC575" t="s">
        <v>883</v>
      </c>
      <c r="AD575" t="s">
        <v>50</v>
      </c>
      <c r="AH575">
        <v>1</v>
      </c>
      <c r="AM575">
        <v>43465</v>
      </c>
      <c r="AN575">
        <v>43469</v>
      </c>
      <c r="AO575" s="2">
        <f t="shared" si="67"/>
        <v>23</v>
      </c>
      <c r="AP575" s="2">
        <f t="shared" si="68"/>
        <v>23</v>
      </c>
      <c r="AQ575" s="3">
        <f t="shared" si="69"/>
        <v>1</v>
      </c>
      <c r="AR575" s="1" t="str">
        <f>INDEX(IOS!$B:$B,MATCH(D575,IOS!A:A,0))&amp;B575</f>
        <v>O.D.2</v>
      </c>
      <c r="AS575" s="1">
        <f t="shared" si="70"/>
        <v>0</v>
      </c>
      <c r="AT575" s="1" t="str">
        <f>IF(ISBLANK(W575),"",IF(ISERROR(MATCH(W575,HQLATABLE!$A:$A,0)),0,1))</f>
        <v/>
      </c>
      <c r="AU575" s="1" t="str">
        <f t="shared" si="71"/>
        <v>Blank</v>
      </c>
      <c r="AV575" s="1" t="str">
        <f t="shared" si="72"/>
        <v>Blank</v>
      </c>
      <c r="AW575" s="1">
        <f t="shared" si="73"/>
        <v>0</v>
      </c>
      <c r="AX575" s="1">
        <f t="shared" si="74"/>
        <v>0</v>
      </c>
      <c r="AY575" s="1"/>
      <c r="AZ575" s="1">
        <f>IF(COUNTIFS('PID CHECK'!$B:$B,AR575)=1,0,IF(COUNTIFS(AR$1:AR574,AR575)=1,0,1))</f>
        <v>0</v>
      </c>
      <c r="BA575" s="1"/>
      <c r="BB575" s="1"/>
    </row>
    <row r="576" spans="1:54">
      <c r="A576">
        <v>575</v>
      </c>
      <c r="B576" t="s">
        <v>71</v>
      </c>
      <c r="C576" t="s">
        <v>159</v>
      </c>
      <c r="D576" t="s">
        <v>153</v>
      </c>
      <c r="E576" t="s">
        <v>47</v>
      </c>
      <c r="F576" t="s">
        <v>50</v>
      </c>
      <c r="H576" t="s">
        <v>1001</v>
      </c>
      <c r="J576" t="s">
        <v>49</v>
      </c>
      <c r="K576" t="s">
        <v>53</v>
      </c>
      <c r="L576" t="s">
        <v>762</v>
      </c>
      <c r="M576" t="s">
        <v>762</v>
      </c>
      <c r="N576">
        <v>0.08</v>
      </c>
      <c r="R576" t="s">
        <v>1002</v>
      </c>
      <c r="S576" t="s">
        <v>1002</v>
      </c>
      <c r="Z576" t="s">
        <v>122</v>
      </c>
      <c r="AA576" t="s">
        <v>154</v>
      </c>
      <c r="AC576" t="s">
        <v>883</v>
      </c>
      <c r="AD576" t="s">
        <v>50</v>
      </c>
      <c r="AH576">
        <v>1</v>
      </c>
      <c r="AM576">
        <v>43465</v>
      </c>
      <c r="AN576">
        <v>43469</v>
      </c>
      <c r="AO576" s="2">
        <f t="shared" si="67"/>
        <v>24</v>
      </c>
      <c r="AP576" s="2">
        <f t="shared" si="68"/>
        <v>24</v>
      </c>
      <c r="AQ576" s="3">
        <f t="shared" si="69"/>
        <v>1</v>
      </c>
      <c r="AR576" s="1" t="str">
        <f>INDEX(IOS!$B:$B,MATCH(D576,IOS!A:A,0))&amp;B576</f>
        <v>O.D.2</v>
      </c>
      <c r="AS576" s="1">
        <f t="shared" si="70"/>
        <v>0</v>
      </c>
      <c r="AT576" s="1" t="str">
        <f>IF(ISBLANK(W576),"",IF(ISERROR(MATCH(W576,HQLATABLE!$A:$A,0)),0,1))</f>
        <v/>
      </c>
      <c r="AU576" s="1" t="str">
        <f t="shared" si="71"/>
        <v>Blank</v>
      </c>
      <c r="AV576" s="1" t="str">
        <f t="shared" si="72"/>
        <v>Blank</v>
      </c>
      <c r="AW576" s="1">
        <f t="shared" si="73"/>
        <v>0</v>
      </c>
      <c r="AX576" s="1">
        <f t="shared" si="74"/>
        <v>0</v>
      </c>
      <c r="AY576" s="1"/>
      <c r="AZ576" s="1">
        <f>IF(COUNTIFS('PID CHECK'!$B:$B,AR576)=1,0,IF(COUNTIFS(AR$1:AR575,AR576)=1,0,1))</f>
        <v>0</v>
      </c>
      <c r="BA576" s="1"/>
      <c r="BB576" s="1"/>
    </row>
    <row r="577" spans="1:54">
      <c r="A577">
        <v>576</v>
      </c>
      <c r="B577" t="s">
        <v>71</v>
      </c>
      <c r="C577" t="s">
        <v>159</v>
      </c>
      <c r="D577" t="s">
        <v>153</v>
      </c>
      <c r="E577" t="s">
        <v>47</v>
      </c>
      <c r="F577" t="s">
        <v>50</v>
      </c>
      <c r="H577" t="s">
        <v>1028</v>
      </c>
      <c r="J577" t="s">
        <v>49</v>
      </c>
      <c r="K577" t="s">
        <v>53</v>
      </c>
      <c r="L577" t="s">
        <v>762</v>
      </c>
      <c r="M577" t="s">
        <v>762</v>
      </c>
      <c r="N577">
        <v>0.04</v>
      </c>
      <c r="R577" t="s">
        <v>1029</v>
      </c>
      <c r="S577" t="s">
        <v>1029</v>
      </c>
      <c r="Z577" t="s">
        <v>122</v>
      </c>
      <c r="AA577" t="s">
        <v>154</v>
      </c>
      <c r="AC577" t="s">
        <v>883</v>
      </c>
      <c r="AD577" t="s">
        <v>50</v>
      </c>
      <c r="AH577">
        <v>1</v>
      </c>
      <c r="AM577">
        <v>43465</v>
      </c>
      <c r="AN577">
        <v>43469</v>
      </c>
      <c r="AO577" s="2">
        <f t="shared" si="67"/>
        <v>25</v>
      </c>
      <c r="AP577" s="2">
        <f t="shared" si="68"/>
        <v>25</v>
      </c>
      <c r="AQ577" s="3">
        <f t="shared" si="69"/>
        <v>1</v>
      </c>
      <c r="AR577" s="1" t="str">
        <f>INDEX(IOS!$B:$B,MATCH(D577,IOS!A:A,0))&amp;B577</f>
        <v>O.D.2</v>
      </c>
      <c r="AS577" s="1">
        <f t="shared" si="70"/>
        <v>0</v>
      </c>
      <c r="AT577" s="1" t="str">
        <f>IF(ISBLANK(W577),"",IF(ISERROR(MATCH(W577,HQLATABLE!$A:$A,0)),0,1))</f>
        <v/>
      </c>
      <c r="AU577" s="1" t="str">
        <f t="shared" si="71"/>
        <v>Blank</v>
      </c>
      <c r="AV577" s="1" t="str">
        <f t="shared" si="72"/>
        <v>Blank</v>
      </c>
      <c r="AW577" s="1">
        <f t="shared" si="73"/>
        <v>0</v>
      </c>
      <c r="AX577" s="1">
        <f t="shared" si="74"/>
        <v>0</v>
      </c>
      <c r="AY577" s="1"/>
      <c r="AZ577" s="1">
        <f>IF(COUNTIFS('PID CHECK'!$B:$B,AR577)=1,0,IF(COUNTIFS(AR$1:AR576,AR577)=1,0,1))</f>
        <v>0</v>
      </c>
      <c r="BA577" s="1"/>
      <c r="BB577" s="1"/>
    </row>
    <row r="578" spans="1:54">
      <c r="A578">
        <v>577</v>
      </c>
      <c r="B578" t="s">
        <v>71</v>
      </c>
      <c r="C578" t="s">
        <v>159</v>
      </c>
      <c r="D578" t="s">
        <v>153</v>
      </c>
      <c r="E578" t="s">
        <v>47</v>
      </c>
      <c r="F578" t="s">
        <v>50</v>
      </c>
      <c r="H578" t="s">
        <v>79</v>
      </c>
      <c r="J578" t="s">
        <v>49</v>
      </c>
      <c r="K578" t="s">
        <v>53</v>
      </c>
      <c r="L578" t="s">
        <v>762</v>
      </c>
      <c r="M578" t="s">
        <v>762</v>
      </c>
      <c r="N578">
        <v>8.33</v>
      </c>
      <c r="R578" t="s">
        <v>80</v>
      </c>
      <c r="S578" t="s">
        <v>81</v>
      </c>
      <c r="Z578" t="s">
        <v>122</v>
      </c>
      <c r="AA578" t="s">
        <v>154</v>
      </c>
      <c r="AC578" t="s">
        <v>883</v>
      </c>
      <c r="AD578" t="s">
        <v>50</v>
      </c>
      <c r="AH578">
        <v>1</v>
      </c>
      <c r="AM578">
        <v>43465</v>
      </c>
      <c r="AN578">
        <v>43469</v>
      </c>
      <c r="AO578" s="2">
        <f t="shared" si="67"/>
        <v>271</v>
      </c>
      <c r="AP578" s="2">
        <f t="shared" si="68"/>
        <v>365</v>
      </c>
      <c r="AQ578" s="3">
        <f t="shared" si="69"/>
        <v>0</v>
      </c>
      <c r="AR578" s="1" t="str">
        <f>INDEX(IOS!$B:$B,MATCH(D578,IOS!A:A,0))&amp;B578</f>
        <v>O.D.2</v>
      </c>
      <c r="AS578" s="1">
        <f t="shared" si="70"/>
        <v>0</v>
      </c>
      <c r="AT578" s="1" t="str">
        <f>IF(ISBLANK(W578),"",IF(ISERROR(MATCH(W578,HQLATABLE!$A:$A,0)),0,1))</f>
        <v/>
      </c>
      <c r="AU578" s="1" t="str">
        <f t="shared" si="71"/>
        <v>Blank</v>
      </c>
      <c r="AV578" s="1" t="str">
        <f t="shared" si="72"/>
        <v>Blank</v>
      </c>
      <c r="AW578" s="1">
        <f t="shared" si="73"/>
        <v>0</v>
      </c>
      <c r="AX578" s="1">
        <f t="shared" si="74"/>
        <v>0</v>
      </c>
      <c r="AY578" s="1"/>
      <c r="AZ578" s="1">
        <f>IF(COUNTIFS('PID CHECK'!$B:$B,AR578)=1,0,IF(COUNTIFS(AR$1:AR577,AR578)=1,0,1))</f>
        <v>0</v>
      </c>
      <c r="BA578" s="1"/>
      <c r="BB578" s="1"/>
    </row>
    <row r="579" spans="1:54">
      <c r="A579">
        <v>578</v>
      </c>
      <c r="B579" t="s">
        <v>71</v>
      </c>
      <c r="C579" t="s">
        <v>159</v>
      </c>
      <c r="D579" t="s">
        <v>153</v>
      </c>
      <c r="E579" t="s">
        <v>47</v>
      </c>
      <c r="F579" t="s">
        <v>50</v>
      </c>
      <c r="H579" t="s">
        <v>79</v>
      </c>
      <c r="J579" t="s">
        <v>49</v>
      </c>
      <c r="K579" t="s">
        <v>53</v>
      </c>
      <c r="L579" t="s">
        <v>762</v>
      </c>
      <c r="M579" t="s">
        <v>762</v>
      </c>
      <c r="N579">
        <v>1</v>
      </c>
      <c r="R579" t="s">
        <v>80</v>
      </c>
      <c r="S579" t="s">
        <v>81</v>
      </c>
      <c r="Z579" t="s">
        <v>122</v>
      </c>
      <c r="AA579" t="s">
        <v>156</v>
      </c>
      <c r="AC579" t="s">
        <v>883</v>
      </c>
      <c r="AD579" t="s">
        <v>50</v>
      </c>
      <c r="AH579">
        <v>1</v>
      </c>
      <c r="AM579">
        <v>43465</v>
      </c>
      <c r="AN579">
        <v>43469</v>
      </c>
      <c r="AO579" s="2">
        <f t="shared" ref="AO579:AO642" si="75">VALUE(MID(R579,FIND("P",R579)+1,FIND("D",R579)-1-FIND("P",R579)))</f>
        <v>271</v>
      </c>
      <c r="AP579" s="2">
        <f t="shared" ref="AP579:AP642" si="76">IFERROR(VALUE(MID(S579,FIND("P",S579)+1,FIND("D",S579)-1-FIND("P",S579))),99999)</f>
        <v>365</v>
      </c>
      <c r="AQ579" s="3">
        <f t="shared" ref="AQ579:AQ642" si="77">IF(AO579&lt;=30,1,0)</f>
        <v>0</v>
      </c>
      <c r="AR579" s="1" t="str">
        <f>INDEX(IOS!$B:$B,MATCH(D579,IOS!A:A,0))&amp;B579</f>
        <v>O.D.2</v>
      </c>
      <c r="AS579" s="1">
        <f t="shared" ref="AS579:AS642" si="78">IF(F579="","Blank",IF(F579="True",1,0))</f>
        <v>0</v>
      </c>
      <c r="AT579" s="1" t="str">
        <f>IF(ISBLANK(W579),"",IF(ISERROR(MATCH(W579,HQLATABLE!$A:$A,0)),0,1))</f>
        <v/>
      </c>
      <c r="AU579" s="1" t="str">
        <f t="shared" ref="AU579:AU642" si="79">IF(V579="","Blank",IF(V579="True",1,0))</f>
        <v>Blank</v>
      </c>
      <c r="AV579" s="1" t="str">
        <f t="shared" ref="AV579:AV642" si="80">IF(AG579="","Blank",IF(AG579="True",1,0))</f>
        <v>Blank</v>
      </c>
      <c r="AW579" s="1">
        <f t="shared" ref="AW579:AW642" si="81">IF(X579="",0,IF(OR(X579&gt;=N579),-1,1))</f>
        <v>0</v>
      </c>
      <c r="AX579" s="1">
        <f t="shared" ref="AX579:AX642" si="82">IF(AC579="","Blank",IF(AC579="True",1,0))</f>
        <v>0</v>
      </c>
      <c r="AY579" s="1"/>
      <c r="AZ579" s="1">
        <f>IF(COUNTIFS('PID CHECK'!$B:$B,AR579)=1,0,IF(COUNTIFS(AR$1:AR578,AR579)=1,0,1))</f>
        <v>0</v>
      </c>
      <c r="BA579" s="1"/>
      <c r="BB579" s="1"/>
    </row>
    <row r="580" spans="1:54">
      <c r="A580">
        <v>579</v>
      </c>
      <c r="B580" t="s">
        <v>71</v>
      </c>
      <c r="C580" t="s">
        <v>159</v>
      </c>
      <c r="D580" t="s">
        <v>153</v>
      </c>
      <c r="E580" t="s">
        <v>47</v>
      </c>
      <c r="F580" t="s">
        <v>50</v>
      </c>
      <c r="H580" t="s">
        <v>958</v>
      </c>
      <c r="J580" t="s">
        <v>49</v>
      </c>
      <c r="K580" t="s">
        <v>53</v>
      </c>
      <c r="L580" t="s">
        <v>762</v>
      </c>
      <c r="M580" t="s">
        <v>762</v>
      </c>
      <c r="N580">
        <v>0.01</v>
      </c>
      <c r="R580" t="s">
        <v>959</v>
      </c>
      <c r="S580" t="s">
        <v>959</v>
      </c>
      <c r="Z580" t="s">
        <v>122</v>
      </c>
      <c r="AA580" t="s">
        <v>154</v>
      </c>
      <c r="AC580" t="s">
        <v>883</v>
      </c>
      <c r="AD580" t="s">
        <v>50</v>
      </c>
      <c r="AH580">
        <v>1</v>
      </c>
      <c r="AM580">
        <v>43465</v>
      </c>
      <c r="AN580">
        <v>43469</v>
      </c>
      <c r="AO580" s="2">
        <f t="shared" si="75"/>
        <v>28</v>
      </c>
      <c r="AP580" s="2">
        <f t="shared" si="76"/>
        <v>28</v>
      </c>
      <c r="AQ580" s="3">
        <f t="shared" si="77"/>
        <v>1</v>
      </c>
      <c r="AR580" s="1" t="str">
        <f>INDEX(IOS!$B:$B,MATCH(D580,IOS!A:A,0))&amp;B580</f>
        <v>O.D.2</v>
      </c>
      <c r="AS580" s="1">
        <f t="shared" si="78"/>
        <v>0</v>
      </c>
      <c r="AT580" s="1" t="str">
        <f>IF(ISBLANK(W580),"",IF(ISERROR(MATCH(W580,HQLATABLE!$A:$A,0)),0,1))</f>
        <v/>
      </c>
      <c r="AU580" s="1" t="str">
        <f t="shared" si="79"/>
        <v>Blank</v>
      </c>
      <c r="AV580" s="1" t="str">
        <f t="shared" si="80"/>
        <v>Blank</v>
      </c>
      <c r="AW580" s="1">
        <f t="shared" si="81"/>
        <v>0</v>
      </c>
      <c r="AX580" s="1">
        <f t="shared" si="82"/>
        <v>0</v>
      </c>
      <c r="AY580" s="1"/>
      <c r="AZ580" s="1">
        <f>IF(COUNTIFS('PID CHECK'!$B:$B,AR580)=1,0,IF(COUNTIFS(AR$1:AR579,AR580)=1,0,1))</f>
        <v>0</v>
      </c>
      <c r="BA580" s="1"/>
      <c r="BB580" s="1"/>
    </row>
    <row r="581" spans="1:54">
      <c r="A581">
        <v>580</v>
      </c>
      <c r="B581" t="s">
        <v>71</v>
      </c>
      <c r="C581" t="s">
        <v>159</v>
      </c>
      <c r="D581" t="s">
        <v>153</v>
      </c>
      <c r="E581" t="s">
        <v>47</v>
      </c>
      <c r="F581" t="s">
        <v>50</v>
      </c>
      <c r="H581" t="s">
        <v>1046</v>
      </c>
      <c r="J581" t="s">
        <v>49</v>
      </c>
      <c r="K581" t="s">
        <v>53</v>
      </c>
      <c r="L581" t="s">
        <v>762</v>
      </c>
      <c r="M581" t="s">
        <v>762</v>
      </c>
      <c r="N581">
        <v>0.03</v>
      </c>
      <c r="R581" t="s">
        <v>1047</v>
      </c>
      <c r="S581" t="s">
        <v>1047</v>
      </c>
      <c r="Z581" t="s">
        <v>122</v>
      </c>
      <c r="AA581" t="s">
        <v>154</v>
      </c>
      <c r="AC581" t="s">
        <v>883</v>
      </c>
      <c r="AD581" t="s">
        <v>50</v>
      </c>
      <c r="AH581">
        <v>1</v>
      </c>
      <c r="AM581">
        <v>43465</v>
      </c>
      <c r="AN581">
        <v>43469</v>
      </c>
      <c r="AO581" s="2">
        <f t="shared" si="75"/>
        <v>29</v>
      </c>
      <c r="AP581" s="2">
        <f t="shared" si="76"/>
        <v>29</v>
      </c>
      <c r="AQ581" s="3">
        <f t="shared" si="77"/>
        <v>1</v>
      </c>
      <c r="AR581" s="1" t="str">
        <f>INDEX(IOS!$B:$B,MATCH(D581,IOS!A:A,0))&amp;B581</f>
        <v>O.D.2</v>
      </c>
      <c r="AS581" s="1">
        <f t="shared" si="78"/>
        <v>0</v>
      </c>
      <c r="AT581" s="1" t="str">
        <f>IF(ISBLANK(W581),"",IF(ISERROR(MATCH(W581,HQLATABLE!$A:$A,0)),0,1))</f>
        <v/>
      </c>
      <c r="AU581" s="1" t="str">
        <f t="shared" si="79"/>
        <v>Blank</v>
      </c>
      <c r="AV581" s="1" t="str">
        <f t="shared" si="80"/>
        <v>Blank</v>
      </c>
      <c r="AW581" s="1">
        <f t="shared" si="81"/>
        <v>0</v>
      </c>
      <c r="AX581" s="1">
        <f t="shared" si="82"/>
        <v>0</v>
      </c>
      <c r="AY581" s="1"/>
      <c r="AZ581" s="1">
        <f>IF(COUNTIFS('PID CHECK'!$B:$B,AR581)=1,0,IF(COUNTIFS(AR$1:AR580,AR581)=1,0,1))</f>
        <v>0</v>
      </c>
      <c r="BA581" s="1"/>
      <c r="BB581" s="1"/>
    </row>
    <row r="582" spans="1:54">
      <c r="A582">
        <v>581</v>
      </c>
      <c r="B582" t="s">
        <v>71</v>
      </c>
      <c r="C582" t="s">
        <v>159</v>
      </c>
      <c r="D582" t="s">
        <v>153</v>
      </c>
      <c r="E582" t="s">
        <v>47</v>
      </c>
      <c r="F582" t="s">
        <v>50</v>
      </c>
      <c r="H582" t="s">
        <v>1046</v>
      </c>
      <c r="J582" t="s">
        <v>49</v>
      </c>
      <c r="K582" t="s">
        <v>53</v>
      </c>
      <c r="L582" t="s">
        <v>762</v>
      </c>
      <c r="M582" t="s">
        <v>762</v>
      </c>
      <c r="N582">
        <v>0.69</v>
      </c>
      <c r="R582" t="s">
        <v>1047</v>
      </c>
      <c r="S582" t="s">
        <v>1047</v>
      </c>
      <c r="Z582" t="s">
        <v>122</v>
      </c>
      <c r="AA582" t="s">
        <v>156</v>
      </c>
      <c r="AC582" t="s">
        <v>883</v>
      </c>
      <c r="AD582" t="s">
        <v>50</v>
      </c>
      <c r="AH582">
        <v>1</v>
      </c>
      <c r="AM582">
        <v>43465</v>
      </c>
      <c r="AN582">
        <v>43469</v>
      </c>
      <c r="AO582" s="2">
        <f t="shared" si="75"/>
        <v>29</v>
      </c>
      <c r="AP582" s="2">
        <f t="shared" si="76"/>
        <v>29</v>
      </c>
      <c r="AQ582" s="3">
        <f t="shared" si="77"/>
        <v>1</v>
      </c>
      <c r="AR582" s="1" t="str">
        <f>INDEX(IOS!$B:$B,MATCH(D582,IOS!A:A,0))&amp;B582</f>
        <v>O.D.2</v>
      </c>
      <c r="AS582" s="1">
        <f t="shared" si="78"/>
        <v>0</v>
      </c>
      <c r="AT582" s="1" t="str">
        <f>IF(ISBLANK(W582),"",IF(ISERROR(MATCH(W582,HQLATABLE!$A:$A,0)),0,1))</f>
        <v/>
      </c>
      <c r="AU582" s="1" t="str">
        <f t="shared" si="79"/>
        <v>Blank</v>
      </c>
      <c r="AV582" s="1" t="str">
        <f t="shared" si="80"/>
        <v>Blank</v>
      </c>
      <c r="AW582" s="1">
        <f t="shared" si="81"/>
        <v>0</v>
      </c>
      <c r="AX582" s="1">
        <f t="shared" si="82"/>
        <v>0</v>
      </c>
      <c r="AY582" s="1"/>
      <c r="AZ582" s="1">
        <f>IF(COUNTIFS('PID CHECK'!$B:$B,AR582)=1,0,IF(COUNTIFS(AR$1:AR581,AR582)=1,0,1))</f>
        <v>0</v>
      </c>
      <c r="BA582" s="1"/>
      <c r="BB582" s="1"/>
    </row>
    <row r="583" spans="1:54">
      <c r="A583">
        <v>582</v>
      </c>
      <c r="B583" t="s">
        <v>71</v>
      </c>
      <c r="C583" t="s">
        <v>159</v>
      </c>
      <c r="D583" t="s">
        <v>153</v>
      </c>
      <c r="E583" t="s">
        <v>47</v>
      </c>
      <c r="F583" t="s">
        <v>50</v>
      </c>
      <c r="H583" t="s">
        <v>1026</v>
      </c>
      <c r="J583" t="s">
        <v>49</v>
      </c>
      <c r="K583" t="s">
        <v>53</v>
      </c>
      <c r="L583" t="s">
        <v>762</v>
      </c>
      <c r="M583" t="s">
        <v>762</v>
      </c>
      <c r="N583">
        <v>0.5</v>
      </c>
      <c r="R583" t="s">
        <v>1027</v>
      </c>
      <c r="S583" t="s">
        <v>1027</v>
      </c>
      <c r="Z583" t="s">
        <v>122</v>
      </c>
      <c r="AA583" t="s">
        <v>154</v>
      </c>
      <c r="AC583" t="s">
        <v>883</v>
      </c>
      <c r="AD583" t="s">
        <v>50</v>
      </c>
      <c r="AH583">
        <v>1</v>
      </c>
      <c r="AM583">
        <v>43465</v>
      </c>
      <c r="AN583">
        <v>43469</v>
      </c>
      <c r="AO583" s="2">
        <f t="shared" si="75"/>
        <v>30</v>
      </c>
      <c r="AP583" s="2">
        <f t="shared" si="76"/>
        <v>30</v>
      </c>
      <c r="AQ583" s="3">
        <f t="shared" si="77"/>
        <v>1</v>
      </c>
      <c r="AR583" s="1" t="str">
        <f>INDEX(IOS!$B:$B,MATCH(D583,IOS!A:A,0))&amp;B583</f>
        <v>O.D.2</v>
      </c>
      <c r="AS583" s="1">
        <f t="shared" si="78"/>
        <v>0</v>
      </c>
      <c r="AT583" s="1" t="str">
        <f>IF(ISBLANK(W583),"",IF(ISERROR(MATCH(W583,HQLATABLE!$A:$A,0)),0,1))</f>
        <v/>
      </c>
      <c r="AU583" s="1" t="str">
        <f t="shared" si="79"/>
        <v>Blank</v>
      </c>
      <c r="AV583" s="1" t="str">
        <f t="shared" si="80"/>
        <v>Blank</v>
      </c>
      <c r="AW583" s="1">
        <f t="shared" si="81"/>
        <v>0</v>
      </c>
      <c r="AX583" s="1">
        <f t="shared" si="82"/>
        <v>0</v>
      </c>
      <c r="AY583" s="1"/>
      <c r="AZ583" s="1">
        <f>IF(COUNTIFS('PID CHECK'!$B:$B,AR583)=1,0,IF(COUNTIFS(AR$1:AR582,AR583)=1,0,1))</f>
        <v>0</v>
      </c>
      <c r="BA583" s="1"/>
      <c r="BB583" s="1"/>
    </row>
    <row r="584" spans="1:54">
      <c r="A584">
        <v>583</v>
      </c>
      <c r="B584" t="s">
        <v>71</v>
      </c>
      <c r="C584" t="s">
        <v>159</v>
      </c>
      <c r="D584" t="s">
        <v>153</v>
      </c>
      <c r="E584" t="s">
        <v>47</v>
      </c>
      <c r="F584" t="s">
        <v>50</v>
      </c>
      <c r="H584" t="s">
        <v>1026</v>
      </c>
      <c r="J584" t="s">
        <v>49</v>
      </c>
      <c r="K584" t="s">
        <v>53</v>
      </c>
      <c r="L584" t="s">
        <v>762</v>
      </c>
      <c r="M584" t="s">
        <v>762</v>
      </c>
      <c r="N584">
        <v>1.04</v>
      </c>
      <c r="R584" t="s">
        <v>1027</v>
      </c>
      <c r="S584" t="s">
        <v>1027</v>
      </c>
      <c r="Z584" t="s">
        <v>122</v>
      </c>
      <c r="AA584" t="s">
        <v>156</v>
      </c>
      <c r="AC584" t="s">
        <v>883</v>
      </c>
      <c r="AD584" t="s">
        <v>50</v>
      </c>
      <c r="AH584">
        <v>1</v>
      </c>
      <c r="AM584">
        <v>43465</v>
      </c>
      <c r="AN584">
        <v>43469</v>
      </c>
      <c r="AO584" s="2">
        <f t="shared" si="75"/>
        <v>30</v>
      </c>
      <c r="AP584" s="2">
        <f t="shared" si="76"/>
        <v>30</v>
      </c>
      <c r="AQ584" s="3">
        <f t="shared" si="77"/>
        <v>1</v>
      </c>
      <c r="AR584" s="1" t="str">
        <f>INDEX(IOS!$B:$B,MATCH(D584,IOS!A:A,0))&amp;B584</f>
        <v>O.D.2</v>
      </c>
      <c r="AS584" s="1">
        <f t="shared" si="78"/>
        <v>0</v>
      </c>
      <c r="AT584" s="1" t="str">
        <f>IF(ISBLANK(W584),"",IF(ISERROR(MATCH(W584,HQLATABLE!$A:$A,0)),0,1))</f>
        <v/>
      </c>
      <c r="AU584" s="1" t="str">
        <f t="shared" si="79"/>
        <v>Blank</v>
      </c>
      <c r="AV584" s="1" t="str">
        <f t="shared" si="80"/>
        <v>Blank</v>
      </c>
      <c r="AW584" s="1">
        <f t="shared" si="81"/>
        <v>0</v>
      </c>
      <c r="AX584" s="1">
        <f t="shared" si="82"/>
        <v>0</v>
      </c>
      <c r="AY584" s="1"/>
      <c r="AZ584" s="1">
        <f>IF(COUNTIFS('PID CHECK'!$B:$B,AR584)=1,0,IF(COUNTIFS(AR$1:AR583,AR584)=1,0,1))</f>
        <v>0</v>
      </c>
      <c r="BA584" s="1"/>
      <c r="BB584" s="1"/>
    </row>
    <row r="585" spans="1:54">
      <c r="A585">
        <v>584</v>
      </c>
      <c r="B585" t="s">
        <v>71</v>
      </c>
      <c r="C585" t="s">
        <v>159</v>
      </c>
      <c r="D585" t="s">
        <v>153</v>
      </c>
      <c r="E585" t="s">
        <v>47</v>
      </c>
      <c r="F585" t="s">
        <v>50</v>
      </c>
      <c r="H585" t="s">
        <v>1003</v>
      </c>
      <c r="J585" t="s">
        <v>49</v>
      </c>
      <c r="K585" t="s">
        <v>53</v>
      </c>
      <c r="L585" t="s">
        <v>762</v>
      </c>
      <c r="M585" t="s">
        <v>762</v>
      </c>
      <c r="N585">
        <v>0.03</v>
      </c>
      <c r="R585" t="s">
        <v>1004</v>
      </c>
      <c r="S585" t="s">
        <v>1004</v>
      </c>
      <c r="Z585" t="s">
        <v>122</v>
      </c>
      <c r="AA585" t="s">
        <v>154</v>
      </c>
      <c r="AC585" t="s">
        <v>883</v>
      </c>
      <c r="AD585" t="s">
        <v>50</v>
      </c>
      <c r="AH585">
        <v>1</v>
      </c>
      <c r="AM585">
        <v>43465</v>
      </c>
      <c r="AN585">
        <v>43469</v>
      </c>
      <c r="AO585" s="2">
        <f t="shared" si="75"/>
        <v>31</v>
      </c>
      <c r="AP585" s="2">
        <f t="shared" si="76"/>
        <v>31</v>
      </c>
      <c r="AQ585" s="3">
        <f t="shared" si="77"/>
        <v>0</v>
      </c>
      <c r="AR585" s="1" t="str">
        <f>INDEX(IOS!$B:$B,MATCH(D585,IOS!A:A,0))&amp;B585</f>
        <v>O.D.2</v>
      </c>
      <c r="AS585" s="1">
        <f t="shared" si="78"/>
        <v>0</v>
      </c>
      <c r="AT585" s="1" t="str">
        <f>IF(ISBLANK(W585),"",IF(ISERROR(MATCH(W585,HQLATABLE!$A:$A,0)),0,1))</f>
        <v/>
      </c>
      <c r="AU585" s="1" t="str">
        <f t="shared" si="79"/>
        <v>Blank</v>
      </c>
      <c r="AV585" s="1" t="str">
        <f t="shared" si="80"/>
        <v>Blank</v>
      </c>
      <c r="AW585" s="1">
        <f t="shared" si="81"/>
        <v>0</v>
      </c>
      <c r="AX585" s="1">
        <f t="shared" si="82"/>
        <v>0</v>
      </c>
      <c r="AY585" s="1"/>
      <c r="AZ585" s="1">
        <f>IF(COUNTIFS('PID CHECK'!$B:$B,AR585)=1,0,IF(COUNTIFS(AR$1:AR584,AR585)=1,0,1))</f>
        <v>0</v>
      </c>
      <c r="BA585" s="1"/>
      <c r="BB585" s="1"/>
    </row>
    <row r="586" spans="1:54">
      <c r="A586">
        <v>585</v>
      </c>
      <c r="B586" t="s">
        <v>71</v>
      </c>
      <c r="C586" t="s">
        <v>159</v>
      </c>
      <c r="D586" t="s">
        <v>153</v>
      </c>
      <c r="E586" t="s">
        <v>47</v>
      </c>
      <c r="F586" t="s">
        <v>50</v>
      </c>
      <c r="H586" t="s">
        <v>981</v>
      </c>
      <c r="J586" t="s">
        <v>49</v>
      </c>
      <c r="K586" t="s">
        <v>53</v>
      </c>
      <c r="L586" t="s">
        <v>762</v>
      </c>
      <c r="M586" t="s">
        <v>762</v>
      </c>
      <c r="N586">
        <v>0.03</v>
      </c>
      <c r="R586" t="s">
        <v>982</v>
      </c>
      <c r="S586" t="s">
        <v>982</v>
      </c>
      <c r="Z586" t="s">
        <v>122</v>
      </c>
      <c r="AA586" t="s">
        <v>154</v>
      </c>
      <c r="AC586" t="s">
        <v>883</v>
      </c>
      <c r="AD586" t="s">
        <v>50</v>
      </c>
      <c r="AH586">
        <v>1</v>
      </c>
      <c r="AM586">
        <v>43465</v>
      </c>
      <c r="AN586">
        <v>43469</v>
      </c>
      <c r="AO586" s="2">
        <f t="shared" si="75"/>
        <v>35</v>
      </c>
      <c r="AP586" s="2">
        <f t="shared" si="76"/>
        <v>35</v>
      </c>
      <c r="AQ586" s="3">
        <f t="shared" si="77"/>
        <v>0</v>
      </c>
      <c r="AR586" s="1" t="str">
        <f>INDEX(IOS!$B:$B,MATCH(D586,IOS!A:A,0))&amp;B586</f>
        <v>O.D.2</v>
      </c>
      <c r="AS586" s="1">
        <f t="shared" si="78"/>
        <v>0</v>
      </c>
      <c r="AT586" s="1" t="str">
        <f>IF(ISBLANK(W586),"",IF(ISERROR(MATCH(W586,HQLATABLE!$A:$A,0)),0,1))</f>
        <v/>
      </c>
      <c r="AU586" s="1" t="str">
        <f t="shared" si="79"/>
        <v>Blank</v>
      </c>
      <c r="AV586" s="1" t="str">
        <f t="shared" si="80"/>
        <v>Blank</v>
      </c>
      <c r="AW586" s="1">
        <f t="shared" si="81"/>
        <v>0</v>
      </c>
      <c r="AX586" s="1">
        <f t="shared" si="82"/>
        <v>0</v>
      </c>
      <c r="AY586" s="1"/>
      <c r="AZ586" s="1">
        <f>IF(COUNTIFS('PID CHECK'!$B:$B,AR586)=1,0,IF(COUNTIFS(AR$1:AR585,AR586)=1,0,1))</f>
        <v>0</v>
      </c>
      <c r="BA586" s="1"/>
      <c r="BB586" s="1"/>
    </row>
    <row r="587" spans="1:54">
      <c r="A587">
        <v>586</v>
      </c>
      <c r="B587" t="s">
        <v>71</v>
      </c>
      <c r="C587" t="s">
        <v>159</v>
      </c>
      <c r="D587" t="s">
        <v>153</v>
      </c>
      <c r="E587" t="s">
        <v>47</v>
      </c>
      <c r="F587" t="s">
        <v>50</v>
      </c>
      <c r="H587" t="s">
        <v>1056</v>
      </c>
      <c r="J587" t="s">
        <v>49</v>
      </c>
      <c r="K587" t="s">
        <v>53</v>
      </c>
      <c r="L587" t="s">
        <v>762</v>
      </c>
      <c r="M587" t="s">
        <v>762</v>
      </c>
      <c r="N587">
        <v>0.24</v>
      </c>
      <c r="R587" t="s">
        <v>1057</v>
      </c>
      <c r="S587" t="s">
        <v>1057</v>
      </c>
      <c r="Z587" t="s">
        <v>122</v>
      </c>
      <c r="AA587" t="s">
        <v>154</v>
      </c>
      <c r="AC587" t="s">
        <v>883</v>
      </c>
      <c r="AD587" t="s">
        <v>50</v>
      </c>
      <c r="AH587">
        <v>1</v>
      </c>
      <c r="AM587">
        <v>43465</v>
      </c>
      <c r="AN587">
        <v>43469</v>
      </c>
      <c r="AO587" s="2">
        <f t="shared" si="75"/>
        <v>36</v>
      </c>
      <c r="AP587" s="2">
        <f t="shared" si="76"/>
        <v>36</v>
      </c>
      <c r="AQ587" s="3">
        <f t="shared" si="77"/>
        <v>0</v>
      </c>
      <c r="AR587" s="1" t="str">
        <f>INDEX(IOS!$B:$B,MATCH(D587,IOS!A:A,0))&amp;B587</f>
        <v>O.D.2</v>
      </c>
      <c r="AS587" s="1">
        <f t="shared" si="78"/>
        <v>0</v>
      </c>
      <c r="AT587" s="1" t="str">
        <f>IF(ISBLANK(W587),"",IF(ISERROR(MATCH(W587,HQLATABLE!$A:$A,0)),0,1))</f>
        <v/>
      </c>
      <c r="AU587" s="1" t="str">
        <f t="shared" si="79"/>
        <v>Blank</v>
      </c>
      <c r="AV587" s="1" t="str">
        <f t="shared" si="80"/>
        <v>Blank</v>
      </c>
      <c r="AW587" s="1">
        <f t="shared" si="81"/>
        <v>0</v>
      </c>
      <c r="AX587" s="1">
        <f t="shared" si="82"/>
        <v>0</v>
      </c>
      <c r="AY587" s="1"/>
      <c r="AZ587" s="1">
        <f>IF(COUNTIFS('PID CHECK'!$B:$B,AR587)=1,0,IF(COUNTIFS(AR$1:AR586,AR587)=1,0,1))</f>
        <v>0</v>
      </c>
      <c r="BA587" s="1"/>
      <c r="BB587" s="1"/>
    </row>
    <row r="588" spans="1:54">
      <c r="A588">
        <v>587</v>
      </c>
      <c r="B588" t="s">
        <v>71</v>
      </c>
      <c r="C588" t="s">
        <v>159</v>
      </c>
      <c r="D588" t="s">
        <v>153</v>
      </c>
      <c r="E588" t="s">
        <v>47</v>
      </c>
      <c r="F588" t="s">
        <v>50</v>
      </c>
      <c r="H588" t="s">
        <v>1058</v>
      </c>
      <c r="J588" t="s">
        <v>49</v>
      </c>
      <c r="K588" t="s">
        <v>53</v>
      </c>
      <c r="L588" t="s">
        <v>762</v>
      </c>
      <c r="M588" t="s">
        <v>762</v>
      </c>
      <c r="N588">
        <v>0.1</v>
      </c>
      <c r="R588" t="s">
        <v>1059</v>
      </c>
      <c r="S588" t="s">
        <v>1059</v>
      </c>
      <c r="Z588" t="s">
        <v>122</v>
      </c>
      <c r="AA588" t="s">
        <v>154</v>
      </c>
      <c r="AC588" t="s">
        <v>883</v>
      </c>
      <c r="AD588" t="s">
        <v>50</v>
      </c>
      <c r="AH588">
        <v>1</v>
      </c>
      <c r="AM588">
        <v>43465</v>
      </c>
      <c r="AN588">
        <v>43469</v>
      </c>
      <c r="AO588" s="2">
        <f t="shared" si="75"/>
        <v>37</v>
      </c>
      <c r="AP588" s="2">
        <f t="shared" si="76"/>
        <v>37</v>
      </c>
      <c r="AQ588" s="3">
        <f t="shared" si="77"/>
        <v>0</v>
      </c>
      <c r="AR588" s="1" t="str">
        <f>INDEX(IOS!$B:$B,MATCH(D588,IOS!A:A,0))&amp;B588</f>
        <v>O.D.2</v>
      </c>
      <c r="AS588" s="1">
        <f t="shared" si="78"/>
        <v>0</v>
      </c>
      <c r="AT588" s="1" t="str">
        <f>IF(ISBLANK(W588),"",IF(ISERROR(MATCH(W588,HQLATABLE!$A:$A,0)),0,1))</f>
        <v/>
      </c>
      <c r="AU588" s="1" t="str">
        <f t="shared" si="79"/>
        <v>Blank</v>
      </c>
      <c r="AV588" s="1" t="str">
        <f t="shared" si="80"/>
        <v>Blank</v>
      </c>
      <c r="AW588" s="1">
        <f t="shared" si="81"/>
        <v>0</v>
      </c>
      <c r="AX588" s="1">
        <f t="shared" si="82"/>
        <v>0</v>
      </c>
      <c r="AY588" s="1"/>
      <c r="AZ588" s="1">
        <f>IF(COUNTIFS('PID CHECK'!$B:$B,AR588)=1,0,IF(COUNTIFS(AR$1:AR587,AR588)=1,0,1))</f>
        <v>0</v>
      </c>
      <c r="BA588" s="1"/>
      <c r="BB588" s="1"/>
    </row>
    <row r="589" spans="1:54">
      <c r="A589">
        <v>588</v>
      </c>
      <c r="B589" t="s">
        <v>71</v>
      </c>
      <c r="C589" t="s">
        <v>159</v>
      </c>
      <c r="D589" t="s">
        <v>153</v>
      </c>
      <c r="E589" t="s">
        <v>47</v>
      </c>
      <c r="F589" t="s">
        <v>50</v>
      </c>
      <c r="H589" t="s">
        <v>1023</v>
      </c>
      <c r="J589" t="s">
        <v>49</v>
      </c>
      <c r="K589" t="s">
        <v>53</v>
      </c>
      <c r="L589" t="s">
        <v>762</v>
      </c>
      <c r="M589" t="s">
        <v>762</v>
      </c>
      <c r="N589">
        <v>0.03</v>
      </c>
      <c r="R589" t="s">
        <v>1024</v>
      </c>
      <c r="S589" t="s">
        <v>1024</v>
      </c>
      <c r="Z589" t="s">
        <v>122</v>
      </c>
      <c r="AA589" t="s">
        <v>154</v>
      </c>
      <c r="AC589" t="s">
        <v>883</v>
      </c>
      <c r="AD589" t="s">
        <v>50</v>
      </c>
      <c r="AH589">
        <v>1</v>
      </c>
      <c r="AM589">
        <v>43465</v>
      </c>
      <c r="AN589">
        <v>43469</v>
      </c>
      <c r="AO589" s="2">
        <f t="shared" si="75"/>
        <v>39</v>
      </c>
      <c r="AP589" s="2">
        <f t="shared" si="76"/>
        <v>39</v>
      </c>
      <c r="AQ589" s="3">
        <f t="shared" si="77"/>
        <v>0</v>
      </c>
      <c r="AR589" s="1" t="str">
        <f>INDEX(IOS!$B:$B,MATCH(D589,IOS!A:A,0))&amp;B589</f>
        <v>O.D.2</v>
      </c>
      <c r="AS589" s="1">
        <f t="shared" si="78"/>
        <v>0</v>
      </c>
      <c r="AT589" s="1" t="str">
        <f>IF(ISBLANK(W589),"",IF(ISERROR(MATCH(W589,HQLATABLE!$A:$A,0)),0,1))</f>
        <v/>
      </c>
      <c r="AU589" s="1" t="str">
        <f t="shared" si="79"/>
        <v>Blank</v>
      </c>
      <c r="AV589" s="1" t="str">
        <f t="shared" si="80"/>
        <v>Blank</v>
      </c>
      <c r="AW589" s="1">
        <f t="shared" si="81"/>
        <v>0</v>
      </c>
      <c r="AX589" s="1">
        <f t="shared" si="82"/>
        <v>0</v>
      </c>
      <c r="AY589" s="1"/>
      <c r="AZ589" s="1">
        <f>IF(COUNTIFS('PID CHECK'!$B:$B,AR589)=1,0,IF(COUNTIFS(AR$1:AR588,AR589)=1,0,1))</f>
        <v>0</v>
      </c>
      <c r="BA589" s="1"/>
      <c r="BB589" s="1"/>
    </row>
    <row r="590" spans="1:54">
      <c r="A590">
        <v>589</v>
      </c>
      <c r="B590" t="s">
        <v>71</v>
      </c>
      <c r="C590" t="s">
        <v>159</v>
      </c>
      <c r="D590" t="s">
        <v>153</v>
      </c>
      <c r="E590" t="s">
        <v>47</v>
      </c>
      <c r="F590" t="s">
        <v>50</v>
      </c>
      <c r="H590" t="s">
        <v>1023</v>
      </c>
      <c r="J590" t="s">
        <v>49</v>
      </c>
      <c r="K590" t="s">
        <v>53</v>
      </c>
      <c r="L590" t="s">
        <v>762</v>
      </c>
      <c r="M590" t="s">
        <v>762</v>
      </c>
      <c r="N590">
        <v>0.52</v>
      </c>
      <c r="R590" t="s">
        <v>1024</v>
      </c>
      <c r="S590" t="s">
        <v>1024</v>
      </c>
      <c r="Z590" t="s">
        <v>122</v>
      </c>
      <c r="AA590" t="s">
        <v>156</v>
      </c>
      <c r="AC590" t="s">
        <v>883</v>
      </c>
      <c r="AD590" t="s">
        <v>50</v>
      </c>
      <c r="AH590">
        <v>1</v>
      </c>
      <c r="AM590">
        <v>43465</v>
      </c>
      <c r="AN590">
        <v>43469</v>
      </c>
      <c r="AO590" s="2">
        <f t="shared" si="75"/>
        <v>39</v>
      </c>
      <c r="AP590" s="2">
        <f t="shared" si="76"/>
        <v>39</v>
      </c>
      <c r="AQ590" s="3">
        <f t="shared" si="77"/>
        <v>0</v>
      </c>
      <c r="AR590" s="1" t="str">
        <f>INDEX(IOS!$B:$B,MATCH(D590,IOS!A:A,0))&amp;B590</f>
        <v>O.D.2</v>
      </c>
      <c r="AS590" s="1">
        <f t="shared" si="78"/>
        <v>0</v>
      </c>
      <c r="AT590" s="1" t="str">
        <f>IF(ISBLANK(W590),"",IF(ISERROR(MATCH(W590,HQLATABLE!$A:$A,0)),0,1))</f>
        <v/>
      </c>
      <c r="AU590" s="1" t="str">
        <f t="shared" si="79"/>
        <v>Blank</v>
      </c>
      <c r="AV590" s="1" t="str">
        <f t="shared" si="80"/>
        <v>Blank</v>
      </c>
      <c r="AW590" s="1">
        <f t="shared" si="81"/>
        <v>0</v>
      </c>
      <c r="AX590" s="1">
        <f t="shared" si="82"/>
        <v>0</v>
      </c>
      <c r="AY590" s="1"/>
      <c r="AZ590" s="1">
        <f>IF(COUNTIFS('PID CHECK'!$B:$B,AR590)=1,0,IF(COUNTIFS(AR$1:AR589,AR590)=1,0,1))</f>
        <v>0</v>
      </c>
      <c r="BA590" s="1"/>
      <c r="BB590" s="1"/>
    </row>
    <row r="591" spans="1:54">
      <c r="A591">
        <v>590</v>
      </c>
      <c r="B591" t="s">
        <v>71</v>
      </c>
      <c r="C591" t="s">
        <v>159</v>
      </c>
      <c r="D591" t="s">
        <v>153</v>
      </c>
      <c r="E591" t="s">
        <v>47</v>
      </c>
      <c r="F591" t="s">
        <v>50</v>
      </c>
      <c r="H591" t="s">
        <v>90</v>
      </c>
      <c r="J591" t="s">
        <v>49</v>
      </c>
      <c r="K591" t="s">
        <v>53</v>
      </c>
      <c r="L591" t="s">
        <v>762</v>
      </c>
      <c r="M591" t="s">
        <v>762</v>
      </c>
      <c r="N591">
        <v>0.11</v>
      </c>
      <c r="R591" t="s">
        <v>91</v>
      </c>
      <c r="S591" t="s">
        <v>91</v>
      </c>
      <c r="Z591" t="s">
        <v>122</v>
      </c>
      <c r="AA591" t="s">
        <v>154</v>
      </c>
      <c r="AC591" t="s">
        <v>883</v>
      </c>
      <c r="AD591" t="s">
        <v>50</v>
      </c>
      <c r="AH591">
        <v>1</v>
      </c>
      <c r="AM591">
        <v>43465</v>
      </c>
      <c r="AN591">
        <v>43469</v>
      </c>
      <c r="AO591" s="2">
        <f t="shared" si="75"/>
        <v>42</v>
      </c>
      <c r="AP591" s="2">
        <f t="shared" si="76"/>
        <v>42</v>
      </c>
      <c r="AQ591" s="3">
        <f t="shared" si="77"/>
        <v>0</v>
      </c>
      <c r="AR591" s="1" t="str">
        <f>INDEX(IOS!$B:$B,MATCH(D591,IOS!A:A,0))&amp;B591</f>
        <v>O.D.2</v>
      </c>
      <c r="AS591" s="1">
        <f t="shared" si="78"/>
        <v>0</v>
      </c>
      <c r="AT591" s="1" t="str">
        <f>IF(ISBLANK(W591),"",IF(ISERROR(MATCH(W591,HQLATABLE!$A:$A,0)),0,1))</f>
        <v/>
      </c>
      <c r="AU591" s="1" t="str">
        <f t="shared" si="79"/>
        <v>Blank</v>
      </c>
      <c r="AV591" s="1" t="str">
        <f t="shared" si="80"/>
        <v>Blank</v>
      </c>
      <c r="AW591" s="1">
        <f t="shared" si="81"/>
        <v>0</v>
      </c>
      <c r="AX591" s="1">
        <f t="shared" si="82"/>
        <v>0</v>
      </c>
      <c r="AY591" s="1"/>
      <c r="AZ591" s="1">
        <f>IF(COUNTIFS('PID CHECK'!$B:$B,AR591)=1,0,IF(COUNTIFS(AR$1:AR590,AR591)=1,0,1))</f>
        <v>0</v>
      </c>
      <c r="BA591" s="1"/>
      <c r="BB591" s="1"/>
    </row>
    <row r="592" spans="1:54">
      <c r="A592">
        <v>591</v>
      </c>
      <c r="B592" t="s">
        <v>71</v>
      </c>
      <c r="C592" t="s">
        <v>159</v>
      </c>
      <c r="D592" t="s">
        <v>153</v>
      </c>
      <c r="E592" t="s">
        <v>47</v>
      </c>
      <c r="F592" t="s">
        <v>50</v>
      </c>
      <c r="H592" t="s">
        <v>1060</v>
      </c>
      <c r="J592" t="s">
        <v>49</v>
      </c>
      <c r="K592" t="s">
        <v>53</v>
      </c>
      <c r="L592" t="s">
        <v>762</v>
      </c>
      <c r="M592" t="s">
        <v>762</v>
      </c>
      <c r="N592">
        <v>0.08</v>
      </c>
      <c r="R592" t="s">
        <v>1061</v>
      </c>
      <c r="S592" t="s">
        <v>1061</v>
      </c>
      <c r="Z592" t="s">
        <v>122</v>
      </c>
      <c r="AA592" t="s">
        <v>154</v>
      </c>
      <c r="AC592" t="s">
        <v>883</v>
      </c>
      <c r="AD592" t="s">
        <v>50</v>
      </c>
      <c r="AH592">
        <v>1</v>
      </c>
      <c r="AM592">
        <v>43465</v>
      </c>
      <c r="AN592">
        <v>43469</v>
      </c>
      <c r="AO592" s="2">
        <f t="shared" si="75"/>
        <v>43</v>
      </c>
      <c r="AP592" s="2">
        <f t="shared" si="76"/>
        <v>43</v>
      </c>
      <c r="AQ592" s="3">
        <f t="shared" si="77"/>
        <v>0</v>
      </c>
      <c r="AR592" s="1" t="str">
        <f>INDEX(IOS!$B:$B,MATCH(D592,IOS!A:A,0))&amp;B592</f>
        <v>O.D.2</v>
      </c>
      <c r="AS592" s="1">
        <f t="shared" si="78"/>
        <v>0</v>
      </c>
      <c r="AT592" s="1" t="str">
        <f>IF(ISBLANK(W592),"",IF(ISERROR(MATCH(W592,HQLATABLE!$A:$A,0)),0,1))</f>
        <v/>
      </c>
      <c r="AU592" s="1" t="str">
        <f t="shared" si="79"/>
        <v>Blank</v>
      </c>
      <c r="AV592" s="1" t="str">
        <f t="shared" si="80"/>
        <v>Blank</v>
      </c>
      <c r="AW592" s="1">
        <f t="shared" si="81"/>
        <v>0</v>
      </c>
      <c r="AX592" s="1">
        <f t="shared" si="82"/>
        <v>0</v>
      </c>
      <c r="AY592" s="1"/>
      <c r="AZ592" s="1">
        <f>IF(COUNTIFS('PID CHECK'!$B:$B,AR592)=1,0,IF(COUNTIFS(AR$1:AR591,AR592)=1,0,1))</f>
        <v>0</v>
      </c>
      <c r="BA592" s="1"/>
      <c r="BB592" s="1"/>
    </row>
    <row r="593" spans="1:54">
      <c r="A593">
        <v>592</v>
      </c>
      <c r="B593" t="s">
        <v>71</v>
      </c>
      <c r="C593" t="s">
        <v>159</v>
      </c>
      <c r="D593" t="s">
        <v>153</v>
      </c>
      <c r="E593" t="s">
        <v>47</v>
      </c>
      <c r="F593" t="s">
        <v>50</v>
      </c>
      <c r="H593" t="s">
        <v>1038</v>
      </c>
      <c r="J593" t="s">
        <v>49</v>
      </c>
      <c r="K593" t="s">
        <v>53</v>
      </c>
      <c r="L593" t="s">
        <v>762</v>
      </c>
      <c r="M593" t="s">
        <v>762</v>
      </c>
      <c r="N593">
        <v>0.27</v>
      </c>
      <c r="R593" t="s">
        <v>1039</v>
      </c>
      <c r="S593" t="s">
        <v>1039</v>
      </c>
      <c r="Z593" t="s">
        <v>122</v>
      </c>
      <c r="AA593" t="s">
        <v>154</v>
      </c>
      <c r="AC593" t="s">
        <v>883</v>
      </c>
      <c r="AD593" t="s">
        <v>50</v>
      </c>
      <c r="AH593">
        <v>1</v>
      </c>
      <c r="AM593">
        <v>43465</v>
      </c>
      <c r="AN593">
        <v>43469</v>
      </c>
      <c r="AO593" s="2">
        <f t="shared" si="75"/>
        <v>44</v>
      </c>
      <c r="AP593" s="2">
        <f t="shared" si="76"/>
        <v>44</v>
      </c>
      <c r="AQ593" s="3">
        <f t="shared" si="77"/>
        <v>0</v>
      </c>
      <c r="AR593" s="1" t="str">
        <f>INDEX(IOS!$B:$B,MATCH(D593,IOS!A:A,0))&amp;B593</f>
        <v>O.D.2</v>
      </c>
      <c r="AS593" s="1">
        <f t="shared" si="78"/>
        <v>0</v>
      </c>
      <c r="AT593" s="1" t="str">
        <f>IF(ISBLANK(W593),"",IF(ISERROR(MATCH(W593,HQLATABLE!$A:$A,0)),0,1))</f>
        <v/>
      </c>
      <c r="AU593" s="1" t="str">
        <f t="shared" si="79"/>
        <v>Blank</v>
      </c>
      <c r="AV593" s="1" t="str">
        <f t="shared" si="80"/>
        <v>Blank</v>
      </c>
      <c r="AW593" s="1">
        <f t="shared" si="81"/>
        <v>0</v>
      </c>
      <c r="AX593" s="1">
        <f t="shared" si="82"/>
        <v>0</v>
      </c>
      <c r="AY593" s="1"/>
      <c r="AZ593" s="1">
        <f>IF(COUNTIFS('PID CHECK'!$B:$B,AR593)=1,0,IF(COUNTIFS(AR$1:AR592,AR593)=1,0,1))</f>
        <v>0</v>
      </c>
      <c r="BA593" s="1"/>
      <c r="BB593" s="1"/>
    </row>
    <row r="594" spans="1:54">
      <c r="A594">
        <v>593</v>
      </c>
      <c r="B594" t="s">
        <v>71</v>
      </c>
      <c r="C594" t="s">
        <v>159</v>
      </c>
      <c r="D594" t="s">
        <v>153</v>
      </c>
      <c r="E594" t="s">
        <v>47</v>
      </c>
      <c r="F594" t="s">
        <v>50</v>
      </c>
      <c r="H594" t="s">
        <v>1009</v>
      </c>
      <c r="J594" t="s">
        <v>49</v>
      </c>
      <c r="K594" t="s">
        <v>53</v>
      </c>
      <c r="L594" t="s">
        <v>762</v>
      </c>
      <c r="M594" t="s">
        <v>762</v>
      </c>
      <c r="N594">
        <v>0.01</v>
      </c>
      <c r="R594" t="s">
        <v>1010</v>
      </c>
      <c r="S594" t="s">
        <v>1010</v>
      </c>
      <c r="Z594" t="s">
        <v>122</v>
      </c>
      <c r="AA594" t="s">
        <v>154</v>
      </c>
      <c r="AC594" t="s">
        <v>883</v>
      </c>
      <c r="AD594" t="s">
        <v>50</v>
      </c>
      <c r="AH594">
        <v>1</v>
      </c>
      <c r="AM594">
        <v>43465</v>
      </c>
      <c r="AN594">
        <v>43469</v>
      </c>
      <c r="AO594" s="2">
        <f t="shared" si="75"/>
        <v>45</v>
      </c>
      <c r="AP594" s="2">
        <f t="shared" si="76"/>
        <v>45</v>
      </c>
      <c r="AQ594" s="3">
        <f t="shared" si="77"/>
        <v>0</v>
      </c>
      <c r="AR594" s="1" t="str">
        <f>INDEX(IOS!$B:$B,MATCH(D594,IOS!A:A,0))&amp;B594</f>
        <v>O.D.2</v>
      </c>
      <c r="AS594" s="1">
        <f t="shared" si="78"/>
        <v>0</v>
      </c>
      <c r="AT594" s="1" t="str">
        <f>IF(ISBLANK(W594),"",IF(ISERROR(MATCH(W594,HQLATABLE!$A:$A,0)),0,1))</f>
        <v/>
      </c>
      <c r="AU594" s="1" t="str">
        <f t="shared" si="79"/>
        <v>Blank</v>
      </c>
      <c r="AV594" s="1" t="str">
        <f t="shared" si="80"/>
        <v>Blank</v>
      </c>
      <c r="AW594" s="1">
        <f t="shared" si="81"/>
        <v>0</v>
      </c>
      <c r="AX594" s="1">
        <f t="shared" si="82"/>
        <v>0</v>
      </c>
      <c r="AY594" s="1"/>
      <c r="AZ594" s="1">
        <f>IF(COUNTIFS('PID CHECK'!$B:$B,AR594)=1,0,IF(COUNTIFS(AR$1:AR593,AR594)=1,0,1))</f>
        <v>0</v>
      </c>
      <c r="BA594" s="1"/>
      <c r="BB594" s="1"/>
    </row>
    <row r="595" spans="1:54">
      <c r="A595">
        <v>594</v>
      </c>
      <c r="B595" t="s">
        <v>71</v>
      </c>
      <c r="C595" t="s">
        <v>159</v>
      </c>
      <c r="D595" t="s">
        <v>153</v>
      </c>
      <c r="E595" t="s">
        <v>47</v>
      </c>
      <c r="F595" t="s">
        <v>50</v>
      </c>
      <c r="H595" t="s">
        <v>1011</v>
      </c>
      <c r="J595" t="s">
        <v>49</v>
      </c>
      <c r="K595" t="s">
        <v>53</v>
      </c>
      <c r="L595" t="s">
        <v>762</v>
      </c>
      <c r="M595" t="s">
        <v>762</v>
      </c>
      <c r="N595">
        <v>0.09</v>
      </c>
      <c r="R595" t="s">
        <v>1012</v>
      </c>
      <c r="S595" t="s">
        <v>1012</v>
      </c>
      <c r="Z595" t="s">
        <v>122</v>
      </c>
      <c r="AA595" t="s">
        <v>154</v>
      </c>
      <c r="AC595" t="s">
        <v>883</v>
      </c>
      <c r="AD595" t="s">
        <v>50</v>
      </c>
      <c r="AH595">
        <v>1</v>
      </c>
      <c r="AM595">
        <v>43465</v>
      </c>
      <c r="AN595">
        <v>43469</v>
      </c>
      <c r="AO595" s="2">
        <f t="shared" si="75"/>
        <v>46</v>
      </c>
      <c r="AP595" s="2">
        <f t="shared" si="76"/>
        <v>46</v>
      </c>
      <c r="AQ595" s="3">
        <f t="shared" si="77"/>
        <v>0</v>
      </c>
      <c r="AR595" s="1" t="str">
        <f>INDEX(IOS!$B:$B,MATCH(D595,IOS!A:A,0))&amp;B595</f>
        <v>O.D.2</v>
      </c>
      <c r="AS595" s="1">
        <f t="shared" si="78"/>
        <v>0</v>
      </c>
      <c r="AT595" s="1" t="str">
        <f>IF(ISBLANK(W595),"",IF(ISERROR(MATCH(W595,HQLATABLE!$A:$A,0)),0,1))</f>
        <v/>
      </c>
      <c r="AU595" s="1" t="str">
        <f t="shared" si="79"/>
        <v>Blank</v>
      </c>
      <c r="AV595" s="1" t="str">
        <f t="shared" si="80"/>
        <v>Blank</v>
      </c>
      <c r="AW595" s="1">
        <f t="shared" si="81"/>
        <v>0</v>
      </c>
      <c r="AX595" s="1">
        <f t="shared" si="82"/>
        <v>0</v>
      </c>
      <c r="AY595" s="1"/>
      <c r="AZ595" s="1">
        <f>IF(COUNTIFS('PID CHECK'!$B:$B,AR595)=1,0,IF(COUNTIFS(AR$1:AR594,AR595)=1,0,1))</f>
        <v>0</v>
      </c>
      <c r="BA595" s="1"/>
      <c r="BB595" s="1"/>
    </row>
    <row r="596" spans="1:54">
      <c r="A596">
        <v>595</v>
      </c>
      <c r="B596" t="s">
        <v>71</v>
      </c>
      <c r="C596" t="s">
        <v>159</v>
      </c>
      <c r="D596" t="s">
        <v>153</v>
      </c>
      <c r="E596" t="s">
        <v>47</v>
      </c>
      <c r="F596" t="s">
        <v>50</v>
      </c>
      <c r="H596" t="s">
        <v>1013</v>
      </c>
      <c r="J596" t="s">
        <v>49</v>
      </c>
      <c r="K596" t="s">
        <v>53</v>
      </c>
      <c r="L596" t="s">
        <v>762</v>
      </c>
      <c r="M596" t="s">
        <v>762</v>
      </c>
      <c r="N596">
        <v>0.01</v>
      </c>
      <c r="R596" t="s">
        <v>1014</v>
      </c>
      <c r="S596" t="s">
        <v>1014</v>
      </c>
      <c r="Z596" t="s">
        <v>122</v>
      </c>
      <c r="AA596" t="s">
        <v>154</v>
      </c>
      <c r="AC596" t="s">
        <v>883</v>
      </c>
      <c r="AD596" t="s">
        <v>50</v>
      </c>
      <c r="AH596">
        <v>1</v>
      </c>
      <c r="AM596">
        <v>43465</v>
      </c>
      <c r="AN596">
        <v>43469</v>
      </c>
      <c r="AO596" s="2">
        <f t="shared" si="75"/>
        <v>4</v>
      </c>
      <c r="AP596" s="2">
        <f t="shared" si="76"/>
        <v>4</v>
      </c>
      <c r="AQ596" s="3">
        <f t="shared" si="77"/>
        <v>1</v>
      </c>
      <c r="AR596" s="1" t="str">
        <f>INDEX(IOS!$B:$B,MATCH(D596,IOS!A:A,0))&amp;B596</f>
        <v>O.D.2</v>
      </c>
      <c r="AS596" s="1">
        <f t="shared" si="78"/>
        <v>0</v>
      </c>
      <c r="AT596" s="1" t="str">
        <f>IF(ISBLANK(W596),"",IF(ISERROR(MATCH(W596,HQLATABLE!$A:$A,0)),0,1))</f>
        <v/>
      </c>
      <c r="AU596" s="1" t="str">
        <f t="shared" si="79"/>
        <v>Blank</v>
      </c>
      <c r="AV596" s="1" t="str">
        <f t="shared" si="80"/>
        <v>Blank</v>
      </c>
      <c r="AW596" s="1">
        <f t="shared" si="81"/>
        <v>0</v>
      </c>
      <c r="AX596" s="1">
        <f t="shared" si="82"/>
        <v>0</v>
      </c>
      <c r="AY596" s="1"/>
      <c r="AZ596" s="1">
        <f>IF(COUNTIFS('PID CHECK'!$B:$B,AR596)=1,0,IF(COUNTIFS(AR$1:AR595,AR596)=1,0,1))</f>
        <v>0</v>
      </c>
      <c r="BA596" s="1"/>
      <c r="BB596" s="1"/>
    </row>
    <row r="597" spans="1:54">
      <c r="A597">
        <v>596</v>
      </c>
      <c r="B597" t="s">
        <v>71</v>
      </c>
      <c r="C597" t="s">
        <v>159</v>
      </c>
      <c r="D597" t="s">
        <v>153</v>
      </c>
      <c r="E597" t="s">
        <v>47</v>
      </c>
      <c r="F597" t="s">
        <v>50</v>
      </c>
      <c r="H597" t="s">
        <v>1040</v>
      </c>
      <c r="J597" t="s">
        <v>49</v>
      </c>
      <c r="K597" t="s">
        <v>53</v>
      </c>
      <c r="L597" t="s">
        <v>762</v>
      </c>
      <c r="M597" t="s">
        <v>762</v>
      </c>
      <c r="N597">
        <v>0.08</v>
      </c>
      <c r="R597" t="s">
        <v>1041</v>
      </c>
      <c r="S597" t="s">
        <v>1041</v>
      </c>
      <c r="Z597" t="s">
        <v>122</v>
      </c>
      <c r="AA597" t="s">
        <v>154</v>
      </c>
      <c r="AC597" t="s">
        <v>883</v>
      </c>
      <c r="AD597" t="s">
        <v>50</v>
      </c>
      <c r="AH597">
        <v>1</v>
      </c>
      <c r="AM597">
        <v>43465</v>
      </c>
      <c r="AN597">
        <v>43469</v>
      </c>
      <c r="AO597" s="2">
        <f t="shared" si="75"/>
        <v>50</v>
      </c>
      <c r="AP597" s="2">
        <f t="shared" si="76"/>
        <v>50</v>
      </c>
      <c r="AQ597" s="3">
        <f t="shared" si="77"/>
        <v>0</v>
      </c>
      <c r="AR597" s="1" t="str">
        <f>INDEX(IOS!$B:$B,MATCH(D597,IOS!A:A,0))&amp;B597</f>
        <v>O.D.2</v>
      </c>
      <c r="AS597" s="1">
        <f t="shared" si="78"/>
        <v>0</v>
      </c>
      <c r="AT597" s="1" t="str">
        <f>IF(ISBLANK(W597),"",IF(ISERROR(MATCH(W597,HQLATABLE!$A:$A,0)),0,1))</f>
        <v/>
      </c>
      <c r="AU597" s="1" t="str">
        <f t="shared" si="79"/>
        <v>Blank</v>
      </c>
      <c r="AV597" s="1" t="str">
        <f t="shared" si="80"/>
        <v>Blank</v>
      </c>
      <c r="AW597" s="1">
        <f t="shared" si="81"/>
        <v>0</v>
      </c>
      <c r="AX597" s="1">
        <f t="shared" si="82"/>
        <v>0</v>
      </c>
      <c r="AY597" s="1"/>
      <c r="AZ597" s="1">
        <f>IF(COUNTIFS('PID CHECK'!$B:$B,AR597)=1,0,IF(COUNTIFS(AR$1:AR596,AR597)=1,0,1))</f>
        <v>0</v>
      </c>
      <c r="BA597" s="1"/>
      <c r="BB597" s="1"/>
    </row>
    <row r="598" spans="1:54">
      <c r="A598">
        <v>597</v>
      </c>
      <c r="B598" t="s">
        <v>71</v>
      </c>
      <c r="C598" t="s">
        <v>159</v>
      </c>
      <c r="D598" t="s">
        <v>153</v>
      </c>
      <c r="E598" t="s">
        <v>47</v>
      </c>
      <c r="F598" t="s">
        <v>50</v>
      </c>
      <c r="H598" t="s">
        <v>1052</v>
      </c>
      <c r="J598" t="s">
        <v>49</v>
      </c>
      <c r="K598" t="s">
        <v>53</v>
      </c>
      <c r="L598" t="s">
        <v>762</v>
      </c>
      <c r="M598" t="s">
        <v>762</v>
      </c>
      <c r="N598">
        <v>0.4</v>
      </c>
      <c r="R598" t="s">
        <v>1053</v>
      </c>
      <c r="S598" t="s">
        <v>1053</v>
      </c>
      <c r="Z598" t="s">
        <v>122</v>
      </c>
      <c r="AA598" t="s">
        <v>154</v>
      </c>
      <c r="AC598" t="s">
        <v>883</v>
      </c>
      <c r="AD598" t="s">
        <v>50</v>
      </c>
      <c r="AH598">
        <v>1</v>
      </c>
      <c r="AM598">
        <v>43465</v>
      </c>
      <c r="AN598">
        <v>43469</v>
      </c>
      <c r="AO598" s="2">
        <f t="shared" si="75"/>
        <v>51</v>
      </c>
      <c r="AP598" s="2">
        <f t="shared" si="76"/>
        <v>51</v>
      </c>
      <c r="AQ598" s="3">
        <f t="shared" si="77"/>
        <v>0</v>
      </c>
      <c r="AR598" s="1" t="str">
        <f>INDEX(IOS!$B:$B,MATCH(D598,IOS!A:A,0))&amp;B598</f>
        <v>O.D.2</v>
      </c>
      <c r="AS598" s="1">
        <f t="shared" si="78"/>
        <v>0</v>
      </c>
      <c r="AT598" s="1" t="str">
        <f>IF(ISBLANK(W598),"",IF(ISERROR(MATCH(W598,HQLATABLE!$A:$A,0)),0,1))</f>
        <v/>
      </c>
      <c r="AU598" s="1" t="str">
        <f t="shared" si="79"/>
        <v>Blank</v>
      </c>
      <c r="AV598" s="1" t="str">
        <f t="shared" si="80"/>
        <v>Blank</v>
      </c>
      <c r="AW598" s="1">
        <f t="shared" si="81"/>
        <v>0</v>
      </c>
      <c r="AX598" s="1">
        <f t="shared" si="82"/>
        <v>0</v>
      </c>
      <c r="AY598" s="1"/>
      <c r="AZ598" s="1">
        <f>IF(COUNTIFS('PID CHECK'!$B:$B,AR598)=1,0,IF(COUNTIFS(AR$1:AR597,AR598)=1,0,1))</f>
        <v>0</v>
      </c>
      <c r="BA598" s="1"/>
      <c r="BB598" s="1"/>
    </row>
    <row r="599" spans="1:54">
      <c r="A599">
        <v>598</v>
      </c>
      <c r="B599" t="s">
        <v>71</v>
      </c>
      <c r="C599" t="s">
        <v>159</v>
      </c>
      <c r="D599" t="s">
        <v>153</v>
      </c>
      <c r="E599" t="s">
        <v>47</v>
      </c>
      <c r="F599" t="s">
        <v>50</v>
      </c>
      <c r="H599" t="s">
        <v>1042</v>
      </c>
      <c r="J599" t="s">
        <v>49</v>
      </c>
      <c r="K599" t="s">
        <v>53</v>
      </c>
      <c r="L599" t="s">
        <v>762</v>
      </c>
      <c r="M599" t="s">
        <v>762</v>
      </c>
      <c r="N599">
        <v>0.19</v>
      </c>
      <c r="R599" t="s">
        <v>1043</v>
      </c>
      <c r="S599" t="s">
        <v>1043</v>
      </c>
      <c r="Z599" t="s">
        <v>122</v>
      </c>
      <c r="AA599" t="s">
        <v>154</v>
      </c>
      <c r="AC599" t="s">
        <v>883</v>
      </c>
      <c r="AD599" t="s">
        <v>50</v>
      </c>
      <c r="AH599">
        <v>1</v>
      </c>
      <c r="AM599">
        <v>43465</v>
      </c>
      <c r="AN599">
        <v>43469</v>
      </c>
      <c r="AO599" s="2">
        <f t="shared" si="75"/>
        <v>52</v>
      </c>
      <c r="AP599" s="2">
        <f t="shared" si="76"/>
        <v>52</v>
      </c>
      <c r="AQ599" s="3">
        <f t="shared" si="77"/>
        <v>0</v>
      </c>
      <c r="AR599" s="1" t="str">
        <f>INDEX(IOS!$B:$B,MATCH(D599,IOS!A:A,0))&amp;B599</f>
        <v>O.D.2</v>
      </c>
      <c r="AS599" s="1">
        <f t="shared" si="78"/>
        <v>0</v>
      </c>
      <c r="AT599" s="1" t="str">
        <f>IF(ISBLANK(W599),"",IF(ISERROR(MATCH(W599,HQLATABLE!$A:$A,0)),0,1))</f>
        <v/>
      </c>
      <c r="AU599" s="1" t="str">
        <f t="shared" si="79"/>
        <v>Blank</v>
      </c>
      <c r="AV599" s="1" t="str">
        <f t="shared" si="80"/>
        <v>Blank</v>
      </c>
      <c r="AW599" s="1">
        <f t="shared" si="81"/>
        <v>0</v>
      </c>
      <c r="AX599" s="1">
        <f t="shared" si="82"/>
        <v>0</v>
      </c>
      <c r="AY599" s="1"/>
      <c r="AZ599" s="1">
        <f>IF(COUNTIFS('PID CHECK'!$B:$B,AR599)=1,0,IF(COUNTIFS(AR$1:AR598,AR599)=1,0,1))</f>
        <v>0</v>
      </c>
      <c r="BA599" s="1"/>
      <c r="BB599" s="1"/>
    </row>
    <row r="600" spans="1:54">
      <c r="A600">
        <v>599</v>
      </c>
      <c r="B600" t="s">
        <v>71</v>
      </c>
      <c r="C600" t="s">
        <v>159</v>
      </c>
      <c r="D600" t="s">
        <v>153</v>
      </c>
      <c r="E600" t="s">
        <v>47</v>
      </c>
      <c r="F600" t="s">
        <v>50</v>
      </c>
      <c r="H600" t="s">
        <v>1015</v>
      </c>
      <c r="J600" t="s">
        <v>49</v>
      </c>
      <c r="K600" t="s">
        <v>53</v>
      </c>
      <c r="L600" t="s">
        <v>762</v>
      </c>
      <c r="M600" t="s">
        <v>762</v>
      </c>
      <c r="N600">
        <v>0.04</v>
      </c>
      <c r="R600" t="s">
        <v>1016</v>
      </c>
      <c r="S600" t="s">
        <v>1016</v>
      </c>
      <c r="Z600" t="s">
        <v>122</v>
      </c>
      <c r="AA600" t="s">
        <v>154</v>
      </c>
      <c r="AC600" t="s">
        <v>883</v>
      </c>
      <c r="AD600" t="s">
        <v>50</v>
      </c>
      <c r="AH600">
        <v>1</v>
      </c>
      <c r="AM600">
        <v>43465</v>
      </c>
      <c r="AN600">
        <v>43469</v>
      </c>
      <c r="AO600" s="2">
        <f t="shared" si="75"/>
        <v>53</v>
      </c>
      <c r="AP600" s="2">
        <f t="shared" si="76"/>
        <v>53</v>
      </c>
      <c r="AQ600" s="3">
        <f t="shared" si="77"/>
        <v>0</v>
      </c>
      <c r="AR600" s="1" t="str">
        <f>INDEX(IOS!$B:$B,MATCH(D600,IOS!A:A,0))&amp;B600</f>
        <v>O.D.2</v>
      </c>
      <c r="AS600" s="1">
        <f t="shared" si="78"/>
        <v>0</v>
      </c>
      <c r="AT600" s="1" t="str">
        <f>IF(ISBLANK(W600),"",IF(ISERROR(MATCH(W600,HQLATABLE!$A:$A,0)),0,1))</f>
        <v/>
      </c>
      <c r="AU600" s="1" t="str">
        <f t="shared" si="79"/>
        <v>Blank</v>
      </c>
      <c r="AV600" s="1" t="str">
        <f t="shared" si="80"/>
        <v>Blank</v>
      </c>
      <c r="AW600" s="1">
        <f t="shared" si="81"/>
        <v>0</v>
      </c>
      <c r="AX600" s="1">
        <f t="shared" si="82"/>
        <v>0</v>
      </c>
      <c r="AY600" s="1"/>
      <c r="AZ600" s="1">
        <f>IF(COUNTIFS('PID CHECK'!$B:$B,AR600)=1,0,IF(COUNTIFS(AR$1:AR599,AR600)=1,0,1))</f>
        <v>0</v>
      </c>
      <c r="BA600" s="1"/>
      <c r="BB600" s="1"/>
    </row>
    <row r="601" spans="1:54">
      <c r="A601">
        <v>600</v>
      </c>
      <c r="B601" t="s">
        <v>71</v>
      </c>
      <c r="C601" t="s">
        <v>159</v>
      </c>
      <c r="D601" t="s">
        <v>153</v>
      </c>
      <c r="E601" t="s">
        <v>47</v>
      </c>
      <c r="F601" t="s">
        <v>50</v>
      </c>
      <c r="H601" t="s">
        <v>92</v>
      </c>
      <c r="J601" t="s">
        <v>49</v>
      </c>
      <c r="K601" t="s">
        <v>53</v>
      </c>
      <c r="L601" t="s">
        <v>762</v>
      </c>
      <c r="M601" t="s">
        <v>762</v>
      </c>
      <c r="N601">
        <v>0.42</v>
      </c>
      <c r="R601" t="s">
        <v>93</v>
      </c>
      <c r="S601" t="s">
        <v>93</v>
      </c>
      <c r="Z601" t="s">
        <v>122</v>
      </c>
      <c r="AA601" t="s">
        <v>154</v>
      </c>
      <c r="AC601" t="s">
        <v>883</v>
      </c>
      <c r="AD601" t="s">
        <v>50</v>
      </c>
      <c r="AH601">
        <v>1</v>
      </c>
      <c r="AM601">
        <v>43465</v>
      </c>
      <c r="AN601">
        <v>43469</v>
      </c>
      <c r="AO601" s="2">
        <f t="shared" si="75"/>
        <v>56</v>
      </c>
      <c r="AP601" s="2">
        <f t="shared" si="76"/>
        <v>56</v>
      </c>
      <c r="AQ601" s="3">
        <f t="shared" si="77"/>
        <v>0</v>
      </c>
      <c r="AR601" s="1" t="str">
        <f>INDEX(IOS!$B:$B,MATCH(D601,IOS!A:A,0))&amp;B601</f>
        <v>O.D.2</v>
      </c>
      <c r="AS601" s="1">
        <f t="shared" si="78"/>
        <v>0</v>
      </c>
      <c r="AT601" s="1" t="str">
        <f>IF(ISBLANK(W601),"",IF(ISERROR(MATCH(W601,HQLATABLE!$A:$A,0)),0,1))</f>
        <v/>
      </c>
      <c r="AU601" s="1" t="str">
        <f t="shared" si="79"/>
        <v>Blank</v>
      </c>
      <c r="AV601" s="1" t="str">
        <f t="shared" si="80"/>
        <v>Blank</v>
      </c>
      <c r="AW601" s="1">
        <f t="shared" si="81"/>
        <v>0</v>
      </c>
      <c r="AX601" s="1">
        <f t="shared" si="82"/>
        <v>0</v>
      </c>
      <c r="AY601" s="1"/>
      <c r="AZ601" s="1">
        <f>IF(COUNTIFS('PID CHECK'!$B:$B,AR601)=1,0,IF(COUNTIFS(AR$1:AR600,AR601)=1,0,1))</f>
        <v>0</v>
      </c>
      <c r="BA601" s="1"/>
      <c r="BB601" s="1"/>
    </row>
    <row r="602" spans="1:54">
      <c r="A602">
        <v>601</v>
      </c>
      <c r="B602" t="s">
        <v>71</v>
      </c>
      <c r="C602" t="s">
        <v>159</v>
      </c>
      <c r="D602" t="s">
        <v>153</v>
      </c>
      <c r="E602" t="s">
        <v>47</v>
      </c>
      <c r="F602" t="s">
        <v>50</v>
      </c>
      <c r="H602" t="s">
        <v>1048</v>
      </c>
      <c r="J602" t="s">
        <v>49</v>
      </c>
      <c r="K602" t="s">
        <v>53</v>
      </c>
      <c r="L602" t="s">
        <v>762</v>
      </c>
      <c r="M602" t="s">
        <v>762</v>
      </c>
      <c r="N602">
        <v>0.15</v>
      </c>
      <c r="R602" t="s">
        <v>1049</v>
      </c>
      <c r="S602" t="s">
        <v>1049</v>
      </c>
      <c r="Z602" t="s">
        <v>122</v>
      </c>
      <c r="AA602" t="s">
        <v>154</v>
      </c>
      <c r="AC602" t="s">
        <v>883</v>
      </c>
      <c r="AD602" t="s">
        <v>50</v>
      </c>
      <c r="AH602">
        <v>1</v>
      </c>
      <c r="AM602">
        <v>43465</v>
      </c>
      <c r="AN602">
        <v>43469</v>
      </c>
      <c r="AO602" s="2">
        <f t="shared" si="75"/>
        <v>57</v>
      </c>
      <c r="AP602" s="2">
        <f t="shared" si="76"/>
        <v>57</v>
      </c>
      <c r="AQ602" s="3">
        <f t="shared" si="77"/>
        <v>0</v>
      </c>
      <c r="AR602" s="1" t="str">
        <f>INDEX(IOS!$B:$B,MATCH(D602,IOS!A:A,0))&amp;B602</f>
        <v>O.D.2</v>
      </c>
      <c r="AS602" s="1">
        <f t="shared" si="78"/>
        <v>0</v>
      </c>
      <c r="AT602" s="1" t="str">
        <f>IF(ISBLANK(W602),"",IF(ISERROR(MATCH(W602,HQLATABLE!$A:$A,0)),0,1))</f>
        <v/>
      </c>
      <c r="AU602" s="1" t="str">
        <f t="shared" si="79"/>
        <v>Blank</v>
      </c>
      <c r="AV602" s="1" t="str">
        <f t="shared" si="80"/>
        <v>Blank</v>
      </c>
      <c r="AW602" s="1">
        <f t="shared" si="81"/>
        <v>0</v>
      </c>
      <c r="AX602" s="1">
        <f t="shared" si="82"/>
        <v>0</v>
      </c>
      <c r="AY602" s="1"/>
      <c r="AZ602" s="1">
        <f>IF(COUNTIFS('PID CHECK'!$B:$B,AR602)=1,0,IF(COUNTIFS(AR$1:AR601,AR602)=1,0,1))</f>
        <v>0</v>
      </c>
      <c r="BA602" s="1"/>
      <c r="BB602" s="1"/>
    </row>
    <row r="603" spans="1:54">
      <c r="A603">
        <v>602</v>
      </c>
      <c r="B603" t="s">
        <v>71</v>
      </c>
      <c r="C603" t="s">
        <v>159</v>
      </c>
      <c r="D603" t="s">
        <v>153</v>
      </c>
      <c r="E603" t="s">
        <v>47</v>
      </c>
      <c r="F603" t="s">
        <v>50</v>
      </c>
      <c r="H603" t="s">
        <v>1062</v>
      </c>
      <c r="J603" t="s">
        <v>49</v>
      </c>
      <c r="K603" t="s">
        <v>53</v>
      </c>
      <c r="L603" t="s">
        <v>762</v>
      </c>
      <c r="M603" t="s">
        <v>762</v>
      </c>
      <c r="N603">
        <v>0.55000000000000004</v>
      </c>
      <c r="R603" t="s">
        <v>1063</v>
      </c>
      <c r="S603" t="s">
        <v>1063</v>
      </c>
      <c r="Z603" t="s">
        <v>122</v>
      </c>
      <c r="AA603" t="s">
        <v>154</v>
      </c>
      <c r="AC603" t="s">
        <v>883</v>
      </c>
      <c r="AD603" t="s">
        <v>50</v>
      </c>
      <c r="AH603">
        <v>1</v>
      </c>
      <c r="AM603">
        <v>43465</v>
      </c>
      <c r="AN603">
        <v>43469</v>
      </c>
      <c r="AO603" s="2">
        <f t="shared" si="75"/>
        <v>58</v>
      </c>
      <c r="AP603" s="2">
        <f t="shared" si="76"/>
        <v>58</v>
      </c>
      <c r="AQ603" s="3">
        <f t="shared" si="77"/>
        <v>0</v>
      </c>
      <c r="AR603" s="1" t="str">
        <f>INDEX(IOS!$B:$B,MATCH(D603,IOS!A:A,0))&amp;B603</f>
        <v>O.D.2</v>
      </c>
      <c r="AS603" s="1">
        <f t="shared" si="78"/>
        <v>0</v>
      </c>
      <c r="AT603" s="1" t="str">
        <f>IF(ISBLANK(W603),"",IF(ISERROR(MATCH(W603,HQLATABLE!$A:$A,0)),0,1))</f>
        <v/>
      </c>
      <c r="AU603" s="1" t="str">
        <f t="shared" si="79"/>
        <v>Blank</v>
      </c>
      <c r="AV603" s="1" t="str">
        <f t="shared" si="80"/>
        <v>Blank</v>
      </c>
      <c r="AW603" s="1">
        <f t="shared" si="81"/>
        <v>0</v>
      </c>
      <c r="AX603" s="1">
        <f t="shared" si="82"/>
        <v>0</v>
      </c>
      <c r="AY603" s="1"/>
      <c r="AZ603" s="1">
        <f>IF(COUNTIFS('PID CHECK'!$B:$B,AR603)=1,0,IF(COUNTIFS(AR$1:AR602,AR603)=1,0,1))</f>
        <v>0</v>
      </c>
      <c r="BA603" s="1"/>
      <c r="BB603" s="1"/>
    </row>
    <row r="604" spans="1:54">
      <c r="A604">
        <v>603</v>
      </c>
      <c r="B604" t="s">
        <v>71</v>
      </c>
      <c r="C604" t="s">
        <v>159</v>
      </c>
      <c r="D604" t="s">
        <v>153</v>
      </c>
      <c r="E604" t="s">
        <v>47</v>
      </c>
      <c r="F604" t="s">
        <v>50</v>
      </c>
      <c r="H604" t="s">
        <v>1017</v>
      </c>
      <c r="J604" t="s">
        <v>49</v>
      </c>
      <c r="K604" t="s">
        <v>53</v>
      </c>
      <c r="L604" t="s">
        <v>762</v>
      </c>
      <c r="M604" t="s">
        <v>762</v>
      </c>
      <c r="N604">
        <v>0.69</v>
      </c>
      <c r="R604" t="s">
        <v>1018</v>
      </c>
      <c r="S604" t="s">
        <v>1018</v>
      </c>
      <c r="Z604" t="s">
        <v>122</v>
      </c>
      <c r="AA604" t="s">
        <v>154</v>
      </c>
      <c r="AC604" t="s">
        <v>883</v>
      </c>
      <c r="AD604" t="s">
        <v>50</v>
      </c>
      <c r="AH604">
        <v>1</v>
      </c>
      <c r="AM604">
        <v>43465</v>
      </c>
      <c r="AN604">
        <v>43469</v>
      </c>
      <c r="AO604" s="2">
        <f t="shared" si="75"/>
        <v>59</v>
      </c>
      <c r="AP604" s="2">
        <f t="shared" si="76"/>
        <v>59</v>
      </c>
      <c r="AQ604" s="3">
        <f t="shared" si="77"/>
        <v>0</v>
      </c>
      <c r="AR604" s="1" t="str">
        <f>INDEX(IOS!$B:$B,MATCH(D604,IOS!A:A,0))&amp;B604</f>
        <v>O.D.2</v>
      </c>
      <c r="AS604" s="1">
        <f t="shared" si="78"/>
        <v>0</v>
      </c>
      <c r="AT604" s="1" t="str">
        <f>IF(ISBLANK(W604),"",IF(ISERROR(MATCH(W604,HQLATABLE!$A:$A,0)),0,1))</f>
        <v/>
      </c>
      <c r="AU604" s="1" t="str">
        <f t="shared" si="79"/>
        <v>Blank</v>
      </c>
      <c r="AV604" s="1" t="str">
        <f t="shared" si="80"/>
        <v>Blank</v>
      </c>
      <c r="AW604" s="1">
        <f t="shared" si="81"/>
        <v>0</v>
      </c>
      <c r="AX604" s="1">
        <f t="shared" si="82"/>
        <v>0</v>
      </c>
      <c r="AY604" s="1"/>
      <c r="AZ604" s="1">
        <f>IF(COUNTIFS('PID CHECK'!$B:$B,AR604)=1,0,IF(COUNTIFS(AR$1:AR603,AR604)=1,0,1))</f>
        <v>0</v>
      </c>
      <c r="BA604" s="1"/>
      <c r="BB604" s="1"/>
    </row>
    <row r="605" spans="1:54">
      <c r="A605">
        <v>604</v>
      </c>
      <c r="B605" t="s">
        <v>71</v>
      </c>
      <c r="C605" t="s">
        <v>159</v>
      </c>
      <c r="D605" t="s">
        <v>153</v>
      </c>
      <c r="E605" t="s">
        <v>47</v>
      </c>
      <c r="F605" t="s">
        <v>50</v>
      </c>
      <c r="H605" t="s">
        <v>94</v>
      </c>
      <c r="J605" t="s">
        <v>49</v>
      </c>
      <c r="K605" t="s">
        <v>53</v>
      </c>
      <c r="L605" t="s">
        <v>762</v>
      </c>
      <c r="M605" t="s">
        <v>762</v>
      </c>
      <c r="N605">
        <v>0.46</v>
      </c>
      <c r="R605" t="s">
        <v>95</v>
      </c>
      <c r="S605" t="s">
        <v>96</v>
      </c>
      <c r="Z605" t="s">
        <v>122</v>
      </c>
      <c r="AA605" t="s">
        <v>154</v>
      </c>
      <c r="AC605" t="s">
        <v>883</v>
      </c>
      <c r="AD605" t="s">
        <v>50</v>
      </c>
      <c r="AH605">
        <v>1</v>
      </c>
      <c r="AM605">
        <v>43465</v>
      </c>
      <c r="AN605">
        <v>43469</v>
      </c>
      <c r="AO605" s="2">
        <f t="shared" si="75"/>
        <v>61</v>
      </c>
      <c r="AP605" s="2">
        <f t="shared" si="76"/>
        <v>67</v>
      </c>
      <c r="AQ605" s="3">
        <f t="shared" si="77"/>
        <v>0</v>
      </c>
      <c r="AR605" s="1" t="str">
        <f>INDEX(IOS!$B:$B,MATCH(D605,IOS!A:A,0))&amp;B605</f>
        <v>O.D.2</v>
      </c>
      <c r="AS605" s="1">
        <f t="shared" si="78"/>
        <v>0</v>
      </c>
      <c r="AT605" s="1" t="str">
        <f>IF(ISBLANK(W605),"",IF(ISERROR(MATCH(W605,HQLATABLE!$A:$A,0)),0,1))</f>
        <v/>
      </c>
      <c r="AU605" s="1" t="str">
        <f t="shared" si="79"/>
        <v>Blank</v>
      </c>
      <c r="AV605" s="1" t="str">
        <f t="shared" si="80"/>
        <v>Blank</v>
      </c>
      <c r="AW605" s="1">
        <f t="shared" si="81"/>
        <v>0</v>
      </c>
      <c r="AX605" s="1">
        <f t="shared" si="82"/>
        <v>0</v>
      </c>
      <c r="AY605" s="1"/>
      <c r="AZ605" s="1">
        <f>IF(COUNTIFS('PID CHECK'!$B:$B,AR605)=1,0,IF(COUNTIFS(AR$1:AR604,AR605)=1,0,1))</f>
        <v>0</v>
      </c>
      <c r="BA605" s="1"/>
      <c r="BB605" s="1"/>
    </row>
    <row r="606" spans="1:54">
      <c r="A606">
        <v>605</v>
      </c>
      <c r="B606" t="s">
        <v>71</v>
      </c>
      <c r="C606" t="s">
        <v>159</v>
      </c>
      <c r="D606" t="s">
        <v>153</v>
      </c>
      <c r="E606" t="s">
        <v>47</v>
      </c>
      <c r="F606" t="s">
        <v>50</v>
      </c>
      <c r="H606" t="s">
        <v>97</v>
      </c>
      <c r="J606" t="s">
        <v>49</v>
      </c>
      <c r="K606" t="s">
        <v>53</v>
      </c>
      <c r="L606" t="s">
        <v>762</v>
      </c>
      <c r="M606" t="s">
        <v>762</v>
      </c>
      <c r="N606">
        <v>0.35</v>
      </c>
      <c r="R606" t="s">
        <v>98</v>
      </c>
      <c r="S606" t="s">
        <v>99</v>
      </c>
      <c r="Z606" t="s">
        <v>122</v>
      </c>
      <c r="AA606" t="s">
        <v>154</v>
      </c>
      <c r="AC606" t="s">
        <v>883</v>
      </c>
      <c r="AD606" t="s">
        <v>50</v>
      </c>
      <c r="AH606">
        <v>1</v>
      </c>
      <c r="AM606">
        <v>43465</v>
      </c>
      <c r="AN606">
        <v>43469</v>
      </c>
      <c r="AO606" s="2">
        <f t="shared" si="75"/>
        <v>68</v>
      </c>
      <c r="AP606" s="2">
        <f t="shared" si="76"/>
        <v>74</v>
      </c>
      <c r="AQ606" s="3">
        <f t="shared" si="77"/>
        <v>0</v>
      </c>
      <c r="AR606" s="1" t="str">
        <f>INDEX(IOS!$B:$B,MATCH(D606,IOS!A:A,0))&amp;B606</f>
        <v>O.D.2</v>
      </c>
      <c r="AS606" s="1">
        <f t="shared" si="78"/>
        <v>0</v>
      </c>
      <c r="AT606" s="1" t="str">
        <f>IF(ISBLANK(W606),"",IF(ISERROR(MATCH(W606,HQLATABLE!$A:$A,0)),0,1))</f>
        <v/>
      </c>
      <c r="AU606" s="1" t="str">
        <f t="shared" si="79"/>
        <v>Blank</v>
      </c>
      <c r="AV606" s="1" t="str">
        <f t="shared" si="80"/>
        <v>Blank</v>
      </c>
      <c r="AW606" s="1">
        <f t="shared" si="81"/>
        <v>0</v>
      </c>
      <c r="AX606" s="1">
        <f t="shared" si="82"/>
        <v>0</v>
      </c>
      <c r="AY606" s="1"/>
      <c r="AZ606" s="1">
        <f>IF(COUNTIFS('PID CHECK'!$B:$B,AR606)=1,0,IF(COUNTIFS(AR$1:AR605,AR606)=1,0,1))</f>
        <v>0</v>
      </c>
      <c r="BA606" s="1"/>
      <c r="BB606" s="1"/>
    </row>
    <row r="607" spans="1:54">
      <c r="A607">
        <v>606</v>
      </c>
      <c r="B607" t="s">
        <v>71</v>
      </c>
      <c r="C607" t="s">
        <v>159</v>
      </c>
      <c r="D607" t="s">
        <v>153</v>
      </c>
      <c r="E607" t="s">
        <v>47</v>
      </c>
      <c r="F607" t="s">
        <v>50</v>
      </c>
      <c r="H607" t="s">
        <v>100</v>
      </c>
      <c r="J607" t="s">
        <v>49</v>
      </c>
      <c r="K607" t="s">
        <v>53</v>
      </c>
      <c r="L607" t="s">
        <v>762</v>
      </c>
      <c r="M607" t="s">
        <v>762</v>
      </c>
      <c r="N607">
        <v>0.6</v>
      </c>
      <c r="R607" t="s">
        <v>101</v>
      </c>
      <c r="S607" t="s">
        <v>102</v>
      </c>
      <c r="Z607" t="s">
        <v>122</v>
      </c>
      <c r="AA607" t="s">
        <v>154</v>
      </c>
      <c r="AC607" t="s">
        <v>883</v>
      </c>
      <c r="AD607" t="s">
        <v>50</v>
      </c>
      <c r="AH607">
        <v>1</v>
      </c>
      <c r="AM607">
        <v>43465</v>
      </c>
      <c r="AN607">
        <v>43469</v>
      </c>
      <c r="AO607" s="2">
        <f t="shared" si="75"/>
        <v>75</v>
      </c>
      <c r="AP607" s="2">
        <f t="shared" si="76"/>
        <v>82</v>
      </c>
      <c r="AQ607" s="3">
        <f t="shared" si="77"/>
        <v>0</v>
      </c>
      <c r="AR607" s="1" t="str">
        <f>INDEX(IOS!$B:$B,MATCH(D607,IOS!A:A,0))&amp;B607</f>
        <v>O.D.2</v>
      </c>
      <c r="AS607" s="1">
        <f t="shared" si="78"/>
        <v>0</v>
      </c>
      <c r="AT607" s="1" t="str">
        <f>IF(ISBLANK(W607),"",IF(ISERROR(MATCH(W607,HQLATABLE!$A:$A,0)),0,1))</f>
        <v/>
      </c>
      <c r="AU607" s="1" t="str">
        <f t="shared" si="79"/>
        <v>Blank</v>
      </c>
      <c r="AV607" s="1" t="str">
        <f t="shared" si="80"/>
        <v>Blank</v>
      </c>
      <c r="AW607" s="1">
        <f t="shared" si="81"/>
        <v>0</v>
      </c>
      <c r="AX607" s="1">
        <f t="shared" si="82"/>
        <v>0</v>
      </c>
      <c r="AY607" s="1"/>
      <c r="AZ607" s="1">
        <f>IF(COUNTIFS('PID CHECK'!$B:$B,AR607)=1,0,IF(COUNTIFS(AR$1:AR606,AR607)=1,0,1))</f>
        <v>0</v>
      </c>
      <c r="BA607" s="1"/>
      <c r="BB607" s="1"/>
    </row>
    <row r="608" spans="1:54">
      <c r="A608">
        <v>607</v>
      </c>
      <c r="B608" t="s">
        <v>71</v>
      </c>
      <c r="C608" t="s">
        <v>159</v>
      </c>
      <c r="D608" t="s">
        <v>153</v>
      </c>
      <c r="E608" t="s">
        <v>47</v>
      </c>
      <c r="F608" t="s">
        <v>50</v>
      </c>
      <c r="H608" t="s">
        <v>103</v>
      </c>
      <c r="J608" t="s">
        <v>49</v>
      </c>
      <c r="K608" t="s">
        <v>53</v>
      </c>
      <c r="L608" t="s">
        <v>762</v>
      </c>
      <c r="M608" t="s">
        <v>762</v>
      </c>
      <c r="N608">
        <v>0.02</v>
      </c>
      <c r="R608" t="s">
        <v>104</v>
      </c>
      <c r="S608" t="s">
        <v>104</v>
      </c>
      <c r="Z608" t="s">
        <v>122</v>
      </c>
      <c r="AA608" t="s">
        <v>154</v>
      </c>
      <c r="AC608" t="s">
        <v>883</v>
      </c>
      <c r="AD608" t="s">
        <v>50</v>
      </c>
      <c r="AH608">
        <v>1</v>
      </c>
      <c r="AM608">
        <v>43465</v>
      </c>
      <c r="AN608">
        <v>43469</v>
      </c>
      <c r="AO608" s="2">
        <f t="shared" si="75"/>
        <v>7</v>
      </c>
      <c r="AP608" s="2">
        <f t="shared" si="76"/>
        <v>7</v>
      </c>
      <c r="AQ608" s="3">
        <f t="shared" si="77"/>
        <v>1</v>
      </c>
      <c r="AR608" s="1" t="str">
        <f>INDEX(IOS!$B:$B,MATCH(D608,IOS!A:A,0))&amp;B608</f>
        <v>O.D.2</v>
      </c>
      <c r="AS608" s="1">
        <f t="shared" si="78"/>
        <v>0</v>
      </c>
      <c r="AT608" s="1" t="str">
        <f>IF(ISBLANK(W608),"",IF(ISERROR(MATCH(W608,HQLATABLE!$A:$A,0)),0,1))</f>
        <v/>
      </c>
      <c r="AU608" s="1" t="str">
        <f t="shared" si="79"/>
        <v>Blank</v>
      </c>
      <c r="AV608" s="1" t="str">
        <f t="shared" si="80"/>
        <v>Blank</v>
      </c>
      <c r="AW608" s="1">
        <f t="shared" si="81"/>
        <v>0</v>
      </c>
      <c r="AX608" s="1">
        <f t="shared" si="82"/>
        <v>0</v>
      </c>
      <c r="AY608" s="1"/>
      <c r="AZ608" s="1">
        <f>IF(COUNTIFS('PID CHECK'!$B:$B,AR608)=1,0,IF(COUNTIFS(AR$1:AR607,AR608)=1,0,1))</f>
        <v>0</v>
      </c>
      <c r="BA608" s="1"/>
      <c r="BB608" s="1"/>
    </row>
    <row r="609" spans="1:54">
      <c r="A609">
        <v>608</v>
      </c>
      <c r="B609" t="s">
        <v>71</v>
      </c>
      <c r="C609" t="s">
        <v>159</v>
      </c>
      <c r="D609" t="s">
        <v>153</v>
      </c>
      <c r="E609" t="s">
        <v>47</v>
      </c>
      <c r="F609" t="s">
        <v>50</v>
      </c>
      <c r="H609" t="s">
        <v>105</v>
      </c>
      <c r="J609" t="s">
        <v>49</v>
      </c>
      <c r="K609" t="s">
        <v>53</v>
      </c>
      <c r="L609" t="s">
        <v>762</v>
      </c>
      <c r="M609" t="s">
        <v>762</v>
      </c>
      <c r="N609">
        <v>0.54</v>
      </c>
      <c r="R609" t="s">
        <v>106</v>
      </c>
      <c r="S609" t="s">
        <v>107</v>
      </c>
      <c r="Z609" t="s">
        <v>122</v>
      </c>
      <c r="AA609" t="s">
        <v>154</v>
      </c>
      <c r="AC609" t="s">
        <v>883</v>
      </c>
      <c r="AD609" t="s">
        <v>50</v>
      </c>
      <c r="AH609">
        <v>1</v>
      </c>
      <c r="AM609">
        <v>43465</v>
      </c>
      <c r="AN609">
        <v>43469</v>
      </c>
      <c r="AO609" s="2">
        <f t="shared" si="75"/>
        <v>83</v>
      </c>
      <c r="AP609" s="2">
        <f t="shared" si="76"/>
        <v>90</v>
      </c>
      <c r="AQ609" s="3">
        <f t="shared" si="77"/>
        <v>0</v>
      </c>
      <c r="AR609" s="1" t="str">
        <f>INDEX(IOS!$B:$B,MATCH(D609,IOS!A:A,0))&amp;B609</f>
        <v>O.D.2</v>
      </c>
      <c r="AS609" s="1">
        <f t="shared" si="78"/>
        <v>0</v>
      </c>
      <c r="AT609" s="1" t="str">
        <f>IF(ISBLANK(W609),"",IF(ISERROR(MATCH(W609,HQLATABLE!$A:$A,0)),0,1))</f>
        <v/>
      </c>
      <c r="AU609" s="1" t="str">
        <f t="shared" si="79"/>
        <v>Blank</v>
      </c>
      <c r="AV609" s="1" t="str">
        <f t="shared" si="80"/>
        <v>Blank</v>
      </c>
      <c r="AW609" s="1">
        <f t="shared" si="81"/>
        <v>0</v>
      </c>
      <c r="AX609" s="1">
        <f t="shared" si="82"/>
        <v>0</v>
      </c>
      <c r="AY609" s="1"/>
      <c r="AZ609" s="1">
        <f>IF(COUNTIFS('PID CHECK'!$B:$B,AR609)=1,0,IF(COUNTIFS(AR$1:AR608,AR609)=1,0,1))</f>
        <v>0</v>
      </c>
      <c r="BA609" s="1"/>
      <c r="BB609" s="1"/>
    </row>
    <row r="610" spans="1:54">
      <c r="A610">
        <v>609</v>
      </c>
      <c r="B610" t="s">
        <v>71</v>
      </c>
      <c r="C610" t="s">
        <v>159</v>
      </c>
      <c r="D610" t="s">
        <v>153</v>
      </c>
      <c r="E610" t="s">
        <v>47</v>
      </c>
      <c r="F610" t="s">
        <v>50</v>
      </c>
      <c r="H610" t="s">
        <v>105</v>
      </c>
      <c r="J610" t="s">
        <v>49</v>
      </c>
      <c r="K610" t="s">
        <v>53</v>
      </c>
      <c r="L610" t="s">
        <v>762</v>
      </c>
      <c r="M610" t="s">
        <v>762</v>
      </c>
      <c r="N610">
        <v>1.48</v>
      </c>
      <c r="R610" t="s">
        <v>106</v>
      </c>
      <c r="S610" t="s">
        <v>107</v>
      </c>
      <c r="Z610" t="s">
        <v>122</v>
      </c>
      <c r="AA610" t="s">
        <v>156</v>
      </c>
      <c r="AC610" t="s">
        <v>883</v>
      </c>
      <c r="AD610" t="s">
        <v>50</v>
      </c>
      <c r="AH610">
        <v>1</v>
      </c>
      <c r="AM610">
        <v>43465</v>
      </c>
      <c r="AN610">
        <v>43469</v>
      </c>
      <c r="AO610" s="2">
        <f t="shared" si="75"/>
        <v>83</v>
      </c>
      <c r="AP610" s="2">
        <f t="shared" si="76"/>
        <v>90</v>
      </c>
      <c r="AQ610" s="3">
        <f t="shared" si="77"/>
        <v>0</v>
      </c>
      <c r="AR610" s="1" t="str">
        <f>INDEX(IOS!$B:$B,MATCH(D610,IOS!A:A,0))&amp;B610</f>
        <v>O.D.2</v>
      </c>
      <c r="AS610" s="1">
        <f t="shared" si="78"/>
        <v>0</v>
      </c>
      <c r="AT610" s="1" t="str">
        <f>IF(ISBLANK(W610),"",IF(ISERROR(MATCH(W610,HQLATABLE!$A:$A,0)),0,1))</f>
        <v/>
      </c>
      <c r="AU610" s="1" t="str">
        <f t="shared" si="79"/>
        <v>Blank</v>
      </c>
      <c r="AV610" s="1" t="str">
        <f t="shared" si="80"/>
        <v>Blank</v>
      </c>
      <c r="AW610" s="1">
        <f t="shared" si="81"/>
        <v>0</v>
      </c>
      <c r="AX610" s="1">
        <f t="shared" si="82"/>
        <v>0</v>
      </c>
      <c r="AY610" s="1"/>
      <c r="AZ610" s="1">
        <f>IF(COUNTIFS('PID CHECK'!$B:$B,AR610)=1,0,IF(COUNTIFS(AR$1:AR609,AR610)=1,0,1))</f>
        <v>0</v>
      </c>
      <c r="BA610" s="1"/>
      <c r="BB610" s="1"/>
    </row>
    <row r="611" spans="1:54">
      <c r="A611">
        <v>610</v>
      </c>
      <c r="B611" t="s">
        <v>71</v>
      </c>
      <c r="C611" t="s">
        <v>159</v>
      </c>
      <c r="D611" t="s">
        <v>153</v>
      </c>
      <c r="E611" t="s">
        <v>47</v>
      </c>
      <c r="F611" t="s">
        <v>50</v>
      </c>
      <c r="H611" t="s">
        <v>1064</v>
      </c>
      <c r="J611" t="s">
        <v>49</v>
      </c>
      <c r="K611" t="s">
        <v>53</v>
      </c>
      <c r="L611" t="s">
        <v>762</v>
      </c>
      <c r="M611" t="s">
        <v>762</v>
      </c>
      <c r="N611">
        <v>0</v>
      </c>
      <c r="R611" t="s">
        <v>1065</v>
      </c>
      <c r="S611" t="s">
        <v>1065</v>
      </c>
      <c r="Z611" t="s">
        <v>122</v>
      </c>
      <c r="AA611" t="s">
        <v>154</v>
      </c>
      <c r="AC611" t="s">
        <v>883</v>
      </c>
      <c r="AD611" t="s">
        <v>50</v>
      </c>
      <c r="AH611">
        <v>1</v>
      </c>
      <c r="AM611">
        <v>43465</v>
      </c>
      <c r="AN611">
        <v>43469</v>
      </c>
      <c r="AO611" s="2">
        <f t="shared" si="75"/>
        <v>8</v>
      </c>
      <c r="AP611" s="2">
        <f t="shared" si="76"/>
        <v>8</v>
      </c>
      <c r="AQ611" s="3">
        <f t="shared" si="77"/>
        <v>1</v>
      </c>
      <c r="AR611" s="1" t="str">
        <f>INDEX(IOS!$B:$B,MATCH(D611,IOS!A:A,0))&amp;B611</f>
        <v>O.D.2</v>
      </c>
      <c r="AS611" s="1">
        <f t="shared" si="78"/>
        <v>0</v>
      </c>
      <c r="AT611" s="1" t="str">
        <f>IF(ISBLANK(W611),"",IF(ISERROR(MATCH(W611,HQLATABLE!$A:$A,0)),0,1))</f>
        <v/>
      </c>
      <c r="AU611" s="1" t="str">
        <f t="shared" si="79"/>
        <v>Blank</v>
      </c>
      <c r="AV611" s="1" t="str">
        <f t="shared" si="80"/>
        <v>Blank</v>
      </c>
      <c r="AW611" s="1">
        <f t="shared" si="81"/>
        <v>0</v>
      </c>
      <c r="AX611" s="1">
        <f t="shared" si="82"/>
        <v>0</v>
      </c>
      <c r="AY611" s="1"/>
      <c r="AZ611" s="1">
        <f>IF(COUNTIFS('PID CHECK'!$B:$B,AR611)=1,0,IF(COUNTIFS(AR$1:AR610,AR611)=1,0,1))</f>
        <v>0</v>
      </c>
      <c r="BA611" s="1"/>
      <c r="BB611" s="1"/>
    </row>
    <row r="612" spans="1:54">
      <c r="A612">
        <v>611</v>
      </c>
      <c r="B612" t="s">
        <v>71</v>
      </c>
      <c r="C612" t="s">
        <v>159</v>
      </c>
      <c r="D612" t="s">
        <v>153</v>
      </c>
      <c r="E612" t="s">
        <v>47</v>
      </c>
      <c r="F612" t="s">
        <v>50</v>
      </c>
      <c r="H612" t="s">
        <v>108</v>
      </c>
      <c r="J612" t="s">
        <v>49</v>
      </c>
      <c r="K612" t="s">
        <v>53</v>
      </c>
      <c r="L612" t="s">
        <v>762</v>
      </c>
      <c r="M612" t="s">
        <v>762</v>
      </c>
      <c r="N612">
        <v>2.59</v>
      </c>
      <c r="R612" t="s">
        <v>109</v>
      </c>
      <c r="S612" t="s">
        <v>110</v>
      </c>
      <c r="Z612" t="s">
        <v>122</v>
      </c>
      <c r="AA612" t="s">
        <v>154</v>
      </c>
      <c r="AC612" t="s">
        <v>883</v>
      </c>
      <c r="AD612" t="s">
        <v>50</v>
      </c>
      <c r="AH612">
        <v>1</v>
      </c>
      <c r="AM612">
        <v>43465</v>
      </c>
      <c r="AN612">
        <v>43469</v>
      </c>
      <c r="AO612" s="2">
        <f t="shared" si="75"/>
        <v>91</v>
      </c>
      <c r="AP612" s="2">
        <f t="shared" si="76"/>
        <v>120</v>
      </c>
      <c r="AQ612" s="3">
        <f t="shared" si="77"/>
        <v>0</v>
      </c>
      <c r="AR612" s="1" t="str">
        <f>INDEX(IOS!$B:$B,MATCH(D612,IOS!A:A,0))&amp;B612</f>
        <v>O.D.2</v>
      </c>
      <c r="AS612" s="1">
        <f t="shared" si="78"/>
        <v>0</v>
      </c>
      <c r="AT612" s="1" t="str">
        <f>IF(ISBLANK(W612),"",IF(ISERROR(MATCH(W612,HQLATABLE!$A:$A,0)),0,1))</f>
        <v/>
      </c>
      <c r="AU612" s="1" t="str">
        <f t="shared" si="79"/>
        <v>Blank</v>
      </c>
      <c r="AV612" s="1" t="str">
        <f t="shared" si="80"/>
        <v>Blank</v>
      </c>
      <c r="AW612" s="1">
        <f t="shared" si="81"/>
        <v>0</v>
      </c>
      <c r="AX612" s="1">
        <f t="shared" si="82"/>
        <v>0</v>
      </c>
      <c r="AY612" s="1"/>
      <c r="AZ612" s="1">
        <f>IF(COUNTIFS('PID CHECK'!$B:$B,AR612)=1,0,IF(COUNTIFS(AR$1:AR611,AR612)=1,0,1))</f>
        <v>0</v>
      </c>
      <c r="BA612" s="1"/>
      <c r="BB612" s="1"/>
    </row>
    <row r="613" spans="1:54">
      <c r="A613">
        <v>612</v>
      </c>
      <c r="B613" t="s">
        <v>71</v>
      </c>
      <c r="C613" t="s">
        <v>159</v>
      </c>
      <c r="D613" t="s">
        <v>153</v>
      </c>
      <c r="E613" t="s">
        <v>47</v>
      </c>
      <c r="F613" t="s">
        <v>50</v>
      </c>
      <c r="H613" t="s">
        <v>108</v>
      </c>
      <c r="J613" t="s">
        <v>49</v>
      </c>
      <c r="K613" t="s">
        <v>53</v>
      </c>
      <c r="L613" t="s">
        <v>762</v>
      </c>
      <c r="M613" t="s">
        <v>762</v>
      </c>
      <c r="N613">
        <v>0.27</v>
      </c>
      <c r="R613" t="s">
        <v>109</v>
      </c>
      <c r="S613" t="s">
        <v>110</v>
      </c>
      <c r="Z613" t="s">
        <v>122</v>
      </c>
      <c r="AA613" t="s">
        <v>156</v>
      </c>
      <c r="AC613" t="s">
        <v>883</v>
      </c>
      <c r="AD613" t="s">
        <v>50</v>
      </c>
      <c r="AH613">
        <v>1</v>
      </c>
      <c r="AM613">
        <v>43465</v>
      </c>
      <c r="AN613">
        <v>43469</v>
      </c>
      <c r="AO613" s="2">
        <f t="shared" si="75"/>
        <v>91</v>
      </c>
      <c r="AP613" s="2">
        <f t="shared" si="76"/>
        <v>120</v>
      </c>
      <c r="AQ613" s="3">
        <f t="shared" si="77"/>
        <v>0</v>
      </c>
      <c r="AR613" s="1" t="str">
        <f>INDEX(IOS!$B:$B,MATCH(D613,IOS!A:A,0))&amp;B613</f>
        <v>O.D.2</v>
      </c>
      <c r="AS613" s="1">
        <f t="shared" si="78"/>
        <v>0</v>
      </c>
      <c r="AT613" s="1" t="str">
        <f>IF(ISBLANK(W613),"",IF(ISERROR(MATCH(W613,HQLATABLE!$A:$A,0)),0,1))</f>
        <v/>
      </c>
      <c r="AU613" s="1" t="str">
        <f t="shared" si="79"/>
        <v>Blank</v>
      </c>
      <c r="AV613" s="1" t="str">
        <f t="shared" si="80"/>
        <v>Blank</v>
      </c>
      <c r="AW613" s="1">
        <f t="shared" si="81"/>
        <v>0</v>
      </c>
      <c r="AX613" s="1">
        <f t="shared" si="82"/>
        <v>0</v>
      </c>
      <c r="AY613" s="1"/>
      <c r="AZ613" s="1">
        <f>IF(COUNTIFS('PID CHECK'!$B:$B,AR613)=1,0,IF(COUNTIFS(AR$1:AR612,AR613)=1,0,1))</f>
        <v>0</v>
      </c>
      <c r="BA613" s="1"/>
      <c r="BB613" s="1"/>
    </row>
    <row r="614" spans="1:54">
      <c r="A614">
        <v>613</v>
      </c>
      <c r="B614" t="s">
        <v>71</v>
      </c>
      <c r="C614" t="s">
        <v>159</v>
      </c>
      <c r="D614" t="s">
        <v>153</v>
      </c>
      <c r="E614" t="s">
        <v>47</v>
      </c>
      <c r="F614" t="s">
        <v>50</v>
      </c>
      <c r="H614" t="s">
        <v>1044</v>
      </c>
      <c r="J614" t="s">
        <v>49</v>
      </c>
      <c r="K614" t="s">
        <v>53</v>
      </c>
      <c r="L614" t="s">
        <v>762</v>
      </c>
      <c r="M614" t="s">
        <v>762</v>
      </c>
      <c r="N614">
        <v>0.05</v>
      </c>
      <c r="R614" t="s">
        <v>1045</v>
      </c>
      <c r="S614" t="s">
        <v>1045</v>
      </c>
      <c r="Z614" t="s">
        <v>122</v>
      </c>
      <c r="AA614" t="s">
        <v>154</v>
      </c>
      <c r="AC614" t="s">
        <v>883</v>
      </c>
      <c r="AD614" t="s">
        <v>50</v>
      </c>
      <c r="AH614">
        <v>1</v>
      </c>
      <c r="AM614">
        <v>43465</v>
      </c>
      <c r="AN614">
        <v>43469</v>
      </c>
      <c r="AO614" s="2">
        <f t="shared" si="75"/>
        <v>9</v>
      </c>
      <c r="AP614" s="2">
        <f t="shared" si="76"/>
        <v>9</v>
      </c>
      <c r="AQ614" s="3">
        <f t="shared" si="77"/>
        <v>1</v>
      </c>
      <c r="AR614" s="1" t="str">
        <f>INDEX(IOS!$B:$B,MATCH(D614,IOS!A:A,0))&amp;B614</f>
        <v>O.D.2</v>
      </c>
      <c r="AS614" s="1">
        <f t="shared" si="78"/>
        <v>0</v>
      </c>
      <c r="AT614" s="1" t="str">
        <f>IF(ISBLANK(W614),"",IF(ISERROR(MATCH(W614,HQLATABLE!$A:$A,0)),0,1))</f>
        <v/>
      </c>
      <c r="AU614" s="1" t="str">
        <f t="shared" si="79"/>
        <v>Blank</v>
      </c>
      <c r="AV614" s="1" t="str">
        <f t="shared" si="80"/>
        <v>Blank</v>
      </c>
      <c r="AW614" s="1">
        <f t="shared" si="81"/>
        <v>0</v>
      </c>
      <c r="AX614" s="1">
        <f t="shared" si="82"/>
        <v>0</v>
      </c>
      <c r="AY614" s="1"/>
      <c r="AZ614" s="1">
        <f>IF(COUNTIFS('PID CHECK'!$B:$B,AR614)=1,0,IF(COUNTIFS(AR$1:AR613,AR614)=1,0,1))</f>
        <v>0</v>
      </c>
      <c r="BA614" s="1"/>
      <c r="BB614" s="1"/>
    </row>
    <row r="615" spans="1:54">
      <c r="A615">
        <v>614</v>
      </c>
      <c r="B615" t="s">
        <v>56</v>
      </c>
      <c r="C615" t="s">
        <v>160</v>
      </c>
      <c r="D615" t="s">
        <v>153</v>
      </c>
      <c r="E615" t="s">
        <v>47</v>
      </c>
      <c r="F615" t="s">
        <v>50</v>
      </c>
      <c r="H615" t="s">
        <v>48</v>
      </c>
      <c r="J615" t="s">
        <v>49</v>
      </c>
      <c r="K615" t="s">
        <v>53</v>
      </c>
      <c r="L615" t="s">
        <v>762</v>
      </c>
      <c r="M615" t="s">
        <v>762</v>
      </c>
      <c r="N615">
        <v>0.01</v>
      </c>
      <c r="R615" t="s">
        <v>51</v>
      </c>
      <c r="S615" t="s">
        <v>52</v>
      </c>
      <c r="Z615" t="s">
        <v>122</v>
      </c>
      <c r="AA615" t="s">
        <v>154</v>
      </c>
      <c r="AC615" t="s">
        <v>883</v>
      </c>
      <c r="AD615" t="s">
        <v>50</v>
      </c>
      <c r="AH615">
        <v>1</v>
      </c>
      <c r="AM615">
        <v>43465</v>
      </c>
      <c r="AN615">
        <v>43469</v>
      </c>
      <c r="AO615" s="2">
        <f t="shared" si="75"/>
        <v>0</v>
      </c>
      <c r="AP615" s="2">
        <f t="shared" si="76"/>
        <v>0</v>
      </c>
      <c r="AQ615" s="3">
        <f t="shared" si="77"/>
        <v>1</v>
      </c>
      <c r="AR615" s="1" t="str">
        <f>INDEX(IOS!$B:$B,MATCH(D615,IOS!A:A,0))&amp;B615</f>
        <v>O.D.3</v>
      </c>
      <c r="AS615" s="1">
        <f t="shared" si="78"/>
        <v>0</v>
      </c>
      <c r="AT615" s="1" t="str">
        <f>IF(ISBLANK(W615),"",IF(ISERROR(MATCH(W615,HQLATABLE!$A:$A,0)),0,1))</f>
        <v/>
      </c>
      <c r="AU615" s="1" t="str">
        <f t="shared" si="79"/>
        <v>Blank</v>
      </c>
      <c r="AV615" s="1" t="str">
        <f t="shared" si="80"/>
        <v>Blank</v>
      </c>
      <c r="AW615" s="1">
        <f t="shared" si="81"/>
        <v>0</v>
      </c>
      <c r="AX615" s="1">
        <f t="shared" si="82"/>
        <v>0</v>
      </c>
      <c r="AY615" s="1"/>
      <c r="AZ615" s="1">
        <f>IF(COUNTIFS('PID CHECK'!$B:$B,AR615)=1,0,IF(COUNTIFS(AR$1:AR614,AR615)=1,0,1))</f>
        <v>0</v>
      </c>
      <c r="BA615" s="1"/>
      <c r="BB615" s="1"/>
    </row>
    <row r="616" spans="1:54">
      <c r="A616">
        <v>615</v>
      </c>
      <c r="B616" t="s">
        <v>56</v>
      </c>
      <c r="C616" t="s">
        <v>160</v>
      </c>
      <c r="D616" t="s">
        <v>153</v>
      </c>
      <c r="E616" t="s">
        <v>47</v>
      </c>
      <c r="F616" t="s">
        <v>50</v>
      </c>
      <c r="H616" t="s">
        <v>67</v>
      </c>
      <c r="J616" t="s">
        <v>49</v>
      </c>
      <c r="K616" t="s">
        <v>53</v>
      </c>
      <c r="L616" t="s">
        <v>762</v>
      </c>
      <c r="M616" t="s">
        <v>762</v>
      </c>
      <c r="N616">
        <v>0.02</v>
      </c>
      <c r="R616" t="s">
        <v>68</v>
      </c>
      <c r="S616" t="s">
        <v>69</v>
      </c>
      <c r="Z616" t="s">
        <v>122</v>
      </c>
      <c r="AA616" t="s">
        <v>154</v>
      </c>
      <c r="AC616" t="s">
        <v>883</v>
      </c>
      <c r="AD616" t="s">
        <v>50</v>
      </c>
      <c r="AH616">
        <v>1</v>
      </c>
      <c r="AM616">
        <v>43465</v>
      </c>
      <c r="AN616">
        <v>43469</v>
      </c>
      <c r="AO616" s="2">
        <f t="shared" si="75"/>
        <v>121</v>
      </c>
      <c r="AP616" s="2">
        <f t="shared" si="76"/>
        <v>150</v>
      </c>
      <c r="AQ616" s="3">
        <f t="shared" si="77"/>
        <v>0</v>
      </c>
      <c r="AR616" s="1" t="str">
        <f>INDEX(IOS!$B:$B,MATCH(D616,IOS!A:A,0))&amp;B616</f>
        <v>O.D.3</v>
      </c>
      <c r="AS616" s="1">
        <f t="shared" si="78"/>
        <v>0</v>
      </c>
      <c r="AT616" s="1" t="str">
        <f>IF(ISBLANK(W616),"",IF(ISERROR(MATCH(W616,HQLATABLE!$A:$A,0)),0,1))</f>
        <v/>
      </c>
      <c r="AU616" s="1" t="str">
        <f t="shared" si="79"/>
        <v>Blank</v>
      </c>
      <c r="AV616" s="1" t="str">
        <f t="shared" si="80"/>
        <v>Blank</v>
      </c>
      <c r="AW616" s="1">
        <f t="shared" si="81"/>
        <v>0</v>
      </c>
      <c r="AX616" s="1">
        <f t="shared" si="82"/>
        <v>0</v>
      </c>
      <c r="AY616" s="1"/>
      <c r="AZ616" s="1">
        <f>IF(COUNTIFS('PID CHECK'!$B:$B,AR616)=1,0,IF(COUNTIFS(AR$1:AR615,AR616)=1,0,1))</f>
        <v>0</v>
      </c>
      <c r="BA616" s="1"/>
      <c r="BB616" s="1"/>
    </row>
    <row r="617" spans="1:54">
      <c r="A617">
        <v>616</v>
      </c>
      <c r="B617" t="s">
        <v>56</v>
      </c>
      <c r="C617" t="s">
        <v>160</v>
      </c>
      <c r="D617" t="s">
        <v>153</v>
      </c>
      <c r="E617" t="s">
        <v>47</v>
      </c>
      <c r="F617" t="s">
        <v>50</v>
      </c>
      <c r="H617" t="s">
        <v>73</v>
      </c>
      <c r="J617" t="s">
        <v>49</v>
      </c>
      <c r="K617" t="s">
        <v>53</v>
      </c>
      <c r="L617" t="s">
        <v>762</v>
      </c>
      <c r="M617" t="s">
        <v>762</v>
      </c>
      <c r="N617">
        <v>0.02</v>
      </c>
      <c r="R617" t="s">
        <v>74</v>
      </c>
      <c r="S617" t="s">
        <v>75</v>
      </c>
      <c r="Z617" t="s">
        <v>122</v>
      </c>
      <c r="AA617" t="s">
        <v>154</v>
      </c>
      <c r="AC617" t="s">
        <v>883</v>
      </c>
      <c r="AD617" t="s">
        <v>50</v>
      </c>
      <c r="AH617">
        <v>1</v>
      </c>
      <c r="AM617">
        <v>43465</v>
      </c>
      <c r="AN617">
        <v>43469</v>
      </c>
      <c r="AO617" s="2">
        <f t="shared" si="75"/>
        <v>151</v>
      </c>
      <c r="AP617" s="2">
        <f t="shared" si="76"/>
        <v>180</v>
      </c>
      <c r="AQ617" s="3">
        <f t="shared" si="77"/>
        <v>0</v>
      </c>
      <c r="AR617" s="1" t="str">
        <f>INDEX(IOS!$B:$B,MATCH(D617,IOS!A:A,0))&amp;B617</f>
        <v>O.D.3</v>
      </c>
      <c r="AS617" s="1">
        <f t="shared" si="78"/>
        <v>0</v>
      </c>
      <c r="AT617" s="1" t="str">
        <f>IF(ISBLANK(W617),"",IF(ISERROR(MATCH(W617,HQLATABLE!$A:$A,0)),0,1))</f>
        <v/>
      </c>
      <c r="AU617" s="1" t="str">
        <f t="shared" si="79"/>
        <v>Blank</v>
      </c>
      <c r="AV617" s="1" t="str">
        <f t="shared" si="80"/>
        <v>Blank</v>
      </c>
      <c r="AW617" s="1">
        <f t="shared" si="81"/>
        <v>0</v>
      </c>
      <c r="AX617" s="1">
        <f t="shared" si="82"/>
        <v>0</v>
      </c>
      <c r="AY617" s="1"/>
      <c r="AZ617" s="1">
        <f>IF(COUNTIFS('PID CHECK'!$B:$B,AR617)=1,0,IF(COUNTIFS(AR$1:AR616,AR617)=1,0,1))</f>
        <v>0</v>
      </c>
      <c r="BA617" s="1"/>
      <c r="BB617" s="1"/>
    </row>
    <row r="618" spans="1:54">
      <c r="A618">
        <v>617</v>
      </c>
      <c r="B618" t="s">
        <v>56</v>
      </c>
      <c r="C618" t="s">
        <v>160</v>
      </c>
      <c r="D618" t="s">
        <v>153</v>
      </c>
      <c r="E618" t="s">
        <v>47</v>
      </c>
      <c r="F618" t="s">
        <v>50</v>
      </c>
      <c r="H618" t="s">
        <v>79</v>
      </c>
      <c r="J618" t="s">
        <v>49</v>
      </c>
      <c r="K618" t="s">
        <v>53</v>
      </c>
      <c r="L618" t="s">
        <v>762</v>
      </c>
      <c r="M618" t="s">
        <v>762</v>
      </c>
      <c r="N618">
        <v>0.04</v>
      </c>
      <c r="R618" t="s">
        <v>80</v>
      </c>
      <c r="S618" t="s">
        <v>81</v>
      </c>
      <c r="Z618" t="s">
        <v>122</v>
      </c>
      <c r="AA618" t="s">
        <v>154</v>
      </c>
      <c r="AC618" t="s">
        <v>883</v>
      </c>
      <c r="AD618" t="s">
        <v>50</v>
      </c>
      <c r="AH618">
        <v>1</v>
      </c>
      <c r="AM618">
        <v>43465</v>
      </c>
      <c r="AN618">
        <v>43469</v>
      </c>
      <c r="AO618" s="2">
        <f t="shared" si="75"/>
        <v>271</v>
      </c>
      <c r="AP618" s="2">
        <f t="shared" si="76"/>
        <v>365</v>
      </c>
      <c r="AQ618" s="3">
        <f t="shared" si="77"/>
        <v>0</v>
      </c>
      <c r="AR618" s="1" t="str">
        <f>INDEX(IOS!$B:$B,MATCH(D618,IOS!A:A,0))&amp;B618</f>
        <v>O.D.3</v>
      </c>
      <c r="AS618" s="1">
        <f t="shared" si="78"/>
        <v>0</v>
      </c>
      <c r="AT618" s="1" t="str">
        <f>IF(ISBLANK(W618),"",IF(ISERROR(MATCH(W618,HQLATABLE!$A:$A,0)),0,1))</f>
        <v/>
      </c>
      <c r="AU618" s="1" t="str">
        <f t="shared" si="79"/>
        <v>Blank</v>
      </c>
      <c r="AV618" s="1" t="str">
        <f t="shared" si="80"/>
        <v>Blank</v>
      </c>
      <c r="AW618" s="1">
        <f t="shared" si="81"/>
        <v>0</v>
      </c>
      <c r="AX618" s="1">
        <f t="shared" si="82"/>
        <v>0</v>
      </c>
      <c r="AY618" s="1"/>
      <c r="AZ618" s="1">
        <f>IF(COUNTIFS('PID CHECK'!$B:$B,AR618)=1,0,IF(COUNTIFS(AR$1:AR617,AR618)=1,0,1))</f>
        <v>0</v>
      </c>
      <c r="BA618" s="1"/>
      <c r="BB618" s="1"/>
    </row>
    <row r="619" spans="1:54">
      <c r="A619">
        <v>618</v>
      </c>
      <c r="B619" t="s">
        <v>56</v>
      </c>
      <c r="C619" t="s">
        <v>160</v>
      </c>
      <c r="D619" t="s">
        <v>153</v>
      </c>
      <c r="E619" t="s">
        <v>47</v>
      </c>
      <c r="F619" t="s">
        <v>50</v>
      </c>
      <c r="H619" t="s">
        <v>981</v>
      </c>
      <c r="J619" t="s">
        <v>49</v>
      </c>
      <c r="K619" t="s">
        <v>53</v>
      </c>
      <c r="L619" t="s">
        <v>762</v>
      </c>
      <c r="M619" t="s">
        <v>762</v>
      </c>
      <c r="N619">
        <v>0</v>
      </c>
      <c r="R619" t="s">
        <v>982</v>
      </c>
      <c r="S619" t="s">
        <v>982</v>
      </c>
      <c r="Z619" t="s">
        <v>122</v>
      </c>
      <c r="AA619" t="s">
        <v>154</v>
      </c>
      <c r="AC619" t="s">
        <v>883</v>
      </c>
      <c r="AD619" t="s">
        <v>50</v>
      </c>
      <c r="AH619">
        <v>1</v>
      </c>
      <c r="AM619">
        <v>43465</v>
      </c>
      <c r="AN619">
        <v>43469</v>
      </c>
      <c r="AO619" s="2">
        <f t="shared" si="75"/>
        <v>35</v>
      </c>
      <c r="AP619" s="2">
        <f t="shared" si="76"/>
        <v>35</v>
      </c>
      <c r="AQ619" s="3">
        <f t="shared" si="77"/>
        <v>0</v>
      </c>
      <c r="AR619" s="1" t="str">
        <f>INDEX(IOS!$B:$B,MATCH(D619,IOS!A:A,0))&amp;B619</f>
        <v>O.D.3</v>
      </c>
      <c r="AS619" s="1">
        <f t="shared" si="78"/>
        <v>0</v>
      </c>
      <c r="AT619" s="1" t="str">
        <f>IF(ISBLANK(W619),"",IF(ISERROR(MATCH(W619,HQLATABLE!$A:$A,0)),0,1))</f>
        <v/>
      </c>
      <c r="AU619" s="1" t="str">
        <f t="shared" si="79"/>
        <v>Blank</v>
      </c>
      <c r="AV619" s="1" t="str">
        <f t="shared" si="80"/>
        <v>Blank</v>
      </c>
      <c r="AW619" s="1">
        <f t="shared" si="81"/>
        <v>0</v>
      </c>
      <c r="AX619" s="1">
        <f t="shared" si="82"/>
        <v>0</v>
      </c>
      <c r="AY619" s="1"/>
      <c r="AZ619" s="1">
        <f>IF(COUNTIFS('PID CHECK'!$B:$B,AR619)=1,0,IF(COUNTIFS(AR$1:AR618,AR619)=1,0,1))</f>
        <v>0</v>
      </c>
      <c r="BA619" s="1"/>
      <c r="BB619" s="1"/>
    </row>
    <row r="620" spans="1:54">
      <c r="A620">
        <v>619</v>
      </c>
      <c r="B620" t="s">
        <v>56</v>
      </c>
      <c r="C620" t="s">
        <v>160</v>
      </c>
      <c r="D620" t="s">
        <v>153</v>
      </c>
      <c r="E620" t="s">
        <v>47</v>
      </c>
      <c r="F620" t="s">
        <v>50</v>
      </c>
      <c r="H620" t="s">
        <v>92</v>
      </c>
      <c r="J620" t="s">
        <v>49</v>
      </c>
      <c r="K620" t="s">
        <v>53</v>
      </c>
      <c r="L620" t="s">
        <v>762</v>
      </c>
      <c r="M620" t="s">
        <v>762</v>
      </c>
      <c r="N620">
        <v>0.04</v>
      </c>
      <c r="R620" t="s">
        <v>93</v>
      </c>
      <c r="S620" t="s">
        <v>93</v>
      </c>
      <c r="Z620" t="s">
        <v>122</v>
      </c>
      <c r="AA620" t="s">
        <v>154</v>
      </c>
      <c r="AC620" t="s">
        <v>883</v>
      </c>
      <c r="AD620" t="s">
        <v>50</v>
      </c>
      <c r="AH620">
        <v>1</v>
      </c>
      <c r="AM620">
        <v>43465</v>
      </c>
      <c r="AN620">
        <v>43469</v>
      </c>
      <c r="AO620" s="2">
        <f t="shared" si="75"/>
        <v>56</v>
      </c>
      <c r="AP620" s="2">
        <f t="shared" si="76"/>
        <v>56</v>
      </c>
      <c r="AQ620" s="3">
        <f t="shared" si="77"/>
        <v>0</v>
      </c>
      <c r="AR620" s="1" t="str">
        <f>INDEX(IOS!$B:$B,MATCH(D620,IOS!A:A,0))&amp;B620</f>
        <v>O.D.3</v>
      </c>
      <c r="AS620" s="1">
        <f t="shared" si="78"/>
        <v>0</v>
      </c>
      <c r="AT620" s="1" t="str">
        <f>IF(ISBLANK(W620),"",IF(ISERROR(MATCH(W620,HQLATABLE!$A:$A,0)),0,1))</f>
        <v/>
      </c>
      <c r="AU620" s="1" t="str">
        <f t="shared" si="79"/>
        <v>Blank</v>
      </c>
      <c r="AV620" s="1" t="str">
        <f t="shared" si="80"/>
        <v>Blank</v>
      </c>
      <c r="AW620" s="1">
        <f t="shared" si="81"/>
        <v>0</v>
      </c>
      <c r="AX620" s="1">
        <f t="shared" si="82"/>
        <v>0</v>
      </c>
      <c r="AY620" s="1"/>
      <c r="AZ620" s="1">
        <f>IF(COUNTIFS('PID CHECK'!$B:$B,AR620)=1,0,IF(COUNTIFS(AR$1:AR619,AR620)=1,0,1))</f>
        <v>0</v>
      </c>
      <c r="BA620" s="1"/>
      <c r="BB620" s="1"/>
    </row>
    <row r="621" spans="1:54">
      <c r="A621">
        <v>620</v>
      </c>
      <c r="B621" t="s">
        <v>56</v>
      </c>
      <c r="C621" t="s">
        <v>160</v>
      </c>
      <c r="D621" t="s">
        <v>153</v>
      </c>
      <c r="E621" t="s">
        <v>47</v>
      </c>
      <c r="F621" t="s">
        <v>50</v>
      </c>
      <c r="H621" t="s">
        <v>97</v>
      </c>
      <c r="J621" t="s">
        <v>49</v>
      </c>
      <c r="K621" t="s">
        <v>53</v>
      </c>
      <c r="L621" t="s">
        <v>762</v>
      </c>
      <c r="M621" t="s">
        <v>762</v>
      </c>
      <c r="N621">
        <v>0.01</v>
      </c>
      <c r="R621" t="s">
        <v>98</v>
      </c>
      <c r="S621" t="s">
        <v>99</v>
      </c>
      <c r="Z621" t="s">
        <v>122</v>
      </c>
      <c r="AA621" t="s">
        <v>154</v>
      </c>
      <c r="AC621" t="s">
        <v>883</v>
      </c>
      <c r="AD621" t="s">
        <v>50</v>
      </c>
      <c r="AH621">
        <v>1</v>
      </c>
      <c r="AM621">
        <v>43465</v>
      </c>
      <c r="AN621">
        <v>43469</v>
      </c>
      <c r="AO621" s="2">
        <f t="shared" si="75"/>
        <v>68</v>
      </c>
      <c r="AP621" s="2">
        <f t="shared" si="76"/>
        <v>74</v>
      </c>
      <c r="AQ621" s="3">
        <f t="shared" si="77"/>
        <v>0</v>
      </c>
      <c r="AR621" s="1" t="str">
        <f>INDEX(IOS!$B:$B,MATCH(D621,IOS!A:A,0))&amp;B621</f>
        <v>O.D.3</v>
      </c>
      <c r="AS621" s="1">
        <f t="shared" si="78"/>
        <v>0</v>
      </c>
      <c r="AT621" s="1" t="str">
        <f>IF(ISBLANK(W621),"",IF(ISERROR(MATCH(W621,HQLATABLE!$A:$A,0)),0,1))</f>
        <v/>
      </c>
      <c r="AU621" s="1" t="str">
        <f t="shared" si="79"/>
        <v>Blank</v>
      </c>
      <c r="AV621" s="1" t="str">
        <f t="shared" si="80"/>
        <v>Blank</v>
      </c>
      <c r="AW621" s="1">
        <f t="shared" si="81"/>
        <v>0</v>
      </c>
      <c r="AX621" s="1">
        <f t="shared" si="82"/>
        <v>0</v>
      </c>
      <c r="AY621" s="1"/>
      <c r="AZ621" s="1">
        <f>IF(COUNTIFS('PID CHECK'!$B:$B,AR621)=1,0,IF(COUNTIFS(AR$1:AR620,AR621)=1,0,1))</f>
        <v>0</v>
      </c>
      <c r="BA621" s="1"/>
      <c r="BB621" s="1"/>
    </row>
    <row r="622" spans="1:54">
      <c r="A622">
        <v>621</v>
      </c>
      <c r="B622" t="s">
        <v>56</v>
      </c>
      <c r="C622" t="s">
        <v>160</v>
      </c>
      <c r="D622" t="s">
        <v>153</v>
      </c>
      <c r="E622" t="s">
        <v>47</v>
      </c>
      <c r="F622" t="s">
        <v>50</v>
      </c>
      <c r="H622" t="s">
        <v>100</v>
      </c>
      <c r="J622" t="s">
        <v>49</v>
      </c>
      <c r="K622" t="s">
        <v>53</v>
      </c>
      <c r="L622" t="s">
        <v>762</v>
      </c>
      <c r="M622" t="s">
        <v>762</v>
      </c>
      <c r="N622">
        <v>0</v>
      </c>
      <c r="R622" t="s">
        <v>101</v>
      </c>
      <c r="S622" t="s">
        <v>102</v>
      </c>
      <c r="Z622" t="s">
        <v>122</v>
      </c>
      <c r="AA622" t="s">
        <v>154</v>
      </c>
      <c r="AC622" t="s">
        <v>883</v>
      </c>
      <c r="AD622" t="s">
        <v>50</v>
      </c>
      <c r="AH622">
        <v>1</v>
      </c>
      <c r="AM622">
        <v>43465</v>
      </c>
      <c r="AN622">
        <v>43469</v>
      </c>
      <c r="AO622" s="2">
        <f t="shared" si="75"/>
        <v>75</v>
      </c>
      <c r="AP622" s="2">
        <f t="shared" si="76"/>
        <v>82</v>
      </c>
      <c r="AQ622" s="3">
        <f t="shared" si="77"/>
        <v>0</v>
      </c>
      <c r="AR622" s="1" t="str">
        <f>INDEX(IOS!$B:$B,MATCH(D622,IOS!A:A,0))&amp;B622</f>
        <v>O.D.3</v>
      </c>
      <c r="AS622" s="1">
        <f t="shared" si="78"/>
        <v>0</v>
      </c>
      <c r="AT622" s="1" t="str">
        <f>IF(ISBLANK(W622),"",IF(ISERROR(MATCH(W622,HQLATABLE!$A:$A,0)),0,1))</f>
        <v/>
      </c>
      <c r="AU622" s="1" t="str">
        <f t="shared" si="79"/>
        <v>Blank</v>
      </c>
      <c r="AV622" s="1" t="str">
        <f t="shared" si="80"/>
        <v>Blank</v>
      </c>
      <c r="AW622" s="1">
        <f t="shared" si="81"/>
        <v>0</v>
      </c>
      <c r="AX622" s="1">
        <f t="shared" si="82"/>
        <v>0</v>
      </c>
      <c r="AY622" s="1"/>
      <c r="AZ622" s="1">
        <f>IF(COUNTIFS('PID CHECK'!$B:$B,AR622)=1,0,IF(COUNTIFS(AR$1:AR621,AR622)=1,0,1))</f>
        <v>0</v>
      </c>
      <c r="BA622" s="1"/>
      <c r="BB622" s="1"/>
    </row>
    <row r="623" spans="1:54">
      <c r="A623">
        <v>622</v>
      </c>
      <c r="B623" t="s">
        <v>44</v>
      </c>
      <c r="C623" t="s">
        <v>161</v>
      </c>
      <c r="D623" t="s">
        <v>153</v>
      </c>
      <c r="E623" t="s">
        <v>47</v>
      </c>
      <c r="F623" t="s">
        <v>50</v>
      </c>
      <c r="H623" t="s">
        <v>48</v>
      </c>
      <c r="J623" t="s">
        <v>49</v>
      </c>
      <c r="K623" t="s">
        <v>53</v>
      </c>
      <c r="L623" t="s">
        <v>762</v>
      </c>
      <c r="M623" t="s">
        <v>762</v>
      </c>
      <c r="N623">
        <v>0.72</v>
      </c>
      <c r="R623" t="s">
        <v>51</v>
      </c>
      <c r="S623" t="s">
        <v>52</v>
      </c>
      <c r="Z623" t="s">
        <v>84</v>
      </c>
      <c r="AA623" t="s">
        <v>154</v>
      </c>
      <c r="AC623" t="s">
        <v>883</v>
      </c>
      <c r="AD623" t="s">
        <v>50</v>
      </c>
      <c r="AH623">
        <v>3</v>
      </c>
      <c r="AM623">
        <v>43465</v>
      </c>
      <c r="AN623">
        <v>43469</v>
      </c>
      <c r="AO623" s="2">
        <f t="shared" si="75"/>
        <v>0</v>
      </c>
      <c r="AP623" s="2">
        <f t="shared" si="76"/>
        <v>0</v>
      </c>
      <c r="AQ623" s="3">
        <f t="shared" si="77"/>
        <v>1</v>
      </c>
      <c r="AR623" s="1" t="str">
        <f>INDEX(IOS!$B:$B,MATCH(D623,IOS!A:A,0))&amp;B623</f>
        <v>O.D.4</v>
      </c>
      <c r="AS623" s="1">
        <f t="shared" si="78"/>
        <v>0</v>
      </c>
      <c r="AT623" s="1" t="str">
        <f>IF(ISBLANK(W623),"",IF(ISERROR(MATCH(W623,HQLATABLE!$A:$A,0)),0,1))</f>
        <v/>
      </c>
      <c r="AU623" s="1" t="str">
        <f t="shared" si="79"/>
        <v>Blank</v>
      </c>
      <c r="AV623" s="1" t="str">
        <f t="shared" si="80"/>
        <v>Blank</v>
      </c>
      <c r="AW623" s="1">
        <f t="shared" si="81"/>
        <v>0</v>
      </c>
      <c r="AX623" s="1">
        <f t="shared" si="82"/>
        <v>0</v>
      </c>
      <c r="AY623" s="1"/>
      <c r="AZ623" s="1">
        <f>IF(COUNTIFS('PID CHECK'!$B:$B,AR623)=1,0,IF(COUNTIFS(AR$1:AR622,AR623)=1,0,1))</f>
        <v>0</v>
      </c>
      <c r="BA623" s="1"/>
      <c r="BB623" s="1"/>
    </row>
    <row r="624" spans="1:54">
      <c r="A624">
        <v>623</v>
      </c>
      <c r="B624" t="s">
        <v>44</v>
      </c>
      <c r="C624" t="s">
        <v>161</v>
      </c>
      <c r="D624" t="s">
        <v>153</v>
      </c>
      <c r="E624" t="s">
        <v>47</v>
      </c>
      <c r="F624" t="s">
        <v>50</v>
      </c>
      <c r="H624" t="s">
        <v>48</v>
      </c>
      <c r="J624" t="s">
        <v>49</v>
      </c>
      <c r="K624" t="s">
        <v>53</v>
      </c>
      <c r="L624" t="s">
        <v>762</v>
      </c>
      <c r="M624" t="s">
        <v>762</v>
      </c>
      <c r="N624">
        <v>0.24</v>
      </c>
      <c r="R624" t="s">
        <v>51</v>
      </c>
      <c r="S624" t="s">
        <v>52</v>
      </c>
      <c r="Z624" t="s">
        <v>759</v>
      </c>
      <c r="AA624" t="s">
        <v>154</v>
      </c>
      <c r="AC624" t="s">
        <v>883</v>
      </c>
      <c r="AD624" t="s">
        <v>50</v>
      </c>
      <c r="AH624">
        <v>10</v>
      </c>
      <c r="AM624">
        <v>43465</v>
      </c>
      <c r="AN624">
        <v>43469</v>
      </c>
      <c r="AO624" s="2">
        <f t="shared" si="75"/>
        <v>0</v>
      </c>
      <c r="AP624" s="2">
        <f t="shared" si="76"/>
        <v>0</v>
      </c>
      <c r="AQ624" s="3">
        <f t="shared" si="77"/>
        <v>1</v>
      </c>
      <c r="AR624" s="1" t="str">
        <f>INDEX(IOS!$B:$B,MATCH(D624,IOS!A:A,0))&amp;B624</f>
        <v>O.D.4</v>
      </c>
      <c r="AS624" s="1">
        <f t="shared" si="78"/>
        <v>0</v>
      </c>
      <c r="AT624" s="1" t="str">
        <f>IF(ISBLANK(W624),"",IF(ISERROR(MATCH(W624,HQLATABLE!$A:$A,0)),0,1))</f>
        <v/>
      </c>
      <c r="AU624" s="1" t="str">
        <f t="shared" si="79"/>
        <v>Blank</v>
      </c>
      <c r="AV624" s="1" t="str">
        <f t="shared" si="80"/>
        <v>Blank</v>
      </c>
      <c r="AW624" s="1">
        <f t="shared" si="81"/>
        <v>0</v>
      </c>
      <c r="AX624" s="1">
        <f t="shared" si="82"/>
        <v>0</v>
      </c>
      <c r="AY624" s="1"/>
      <c r="AZ624" s="1">
        <f>IF(COUNTIFS('PID CHECK'!$B:$B,AR624)=1,0,IF(COUNTIFS(AR$1:AR623,AR624)=1,0,1))</f>
        <v>0</v>
      </c>
      <c r="BA624" s="1"/>
      <c r="BB624" s="1"/>
    </row>
    <row r="625" spans="1:54">
      <c r="A625">
        <v>624</v>
      </c>
      <c r="B625" t="s">
        <v>44</v>
      </c>
      <c r="C625" t="s">
        <v>161</v>
      </c>
      <c r="D625" t="s">
        <v>153</v>
      </c>
      <c r="E625" t="s">
        <v>47</v>
      </c>
      <c r="F625" t="s">
        <v>50</v>
      </c>
      <c r="H625" t="s">
        <v>48</v>
      </c>
      <c r="J625" t="s">
        <v>49</v>
      </c>
      <c r="K625" t="s">
        <v>53</v>
      </c>
      <c r="L625" t="s">
        <v>762</v>
      </c>
      <c r="M625" t="s">
        <v>762</v>
      </c>
      <c r="N625">
        <v>3.48</v>
      </c>
      <c r="R625" t="s">
        <v>51</v>
      </c>
      <c r="S625" t="s">
        <v>52</v>
      </c>
      <c r="Z625" t="s">
        <v>84</v>
      </c>
      <c r="AA625" t="s">
        <v>156</v>
      </c>
      <c r="AC625" t="s">
        <v>883</v>
      </c>
      <c r="AD625" t="s">
        <v>50</v>
      </c>
      <c r="AH625">
        <v>3</v>
      </c>
      <c r="AM625">
        <v>43465</v>
      </c>
      <c r="AN625">
        <v>43469</v>
      </c>
      <c r="AO625" s="2">
        <f t="shared" si="75"/>
        <v>0</v>
      </c>
      <c r="AP625" s="2">
        <f t="shared" si="76"/>
        <v>0</v>
      </c>
      <c r="AQ625" s="3">
        <f t="shared" si="77"/>
        <v>1</v>
      </c>
      <c r="AR625" s="1" t="str">
        <f>INDEX(IOS!$B:$B,MATCH(D625,IOS!A:A,0))&amp;B625</f>
        <v>O.D.4</v>
      </c>
      <c r="AS625" s="1">
        <f t="shared" si="78"/>
        <v>0</v>
      </c>
      <c r="AT625" s="1" t="str">
        <f>IF(ISBLANK(W625),"",IF(ISERROR(MATCH(W625,HQLATABLE!$A:$A,0)),0,1))</f>
        <v/>
      </c>
      <c r="AU625" s="1" t="str">
        <f t="shared" si="79"/>
        <v>Blank</v>
      </c>
      <c r="AV625" s="1" t="str">
        <f t="shared" si="80"/>
        <v>Blank</v>
      </c>
      <c r="AW625" s="1">
        <f t="shared" si="81"/>
        <v>0</v>
      </c>
      <c r="AX625" s="1">
        <f t="shared" si="82"/>
        <v>0</v>
      </c>
      <c r="AY625" s="1"/>
      <c r="AZ625" s="1">
        <f>IF(COUNTIFS('PID CHECK'!$B:$B,AR625)=1,0,IF(COUNTIFS(AR$1:AR624,AR625)=1,0,1))</f>
        <v>0</v>
      </c>
      <c r="BA625" s="1"/>
      <c r="BB625" s="1"/>
    </row>
    <row r="626" spans="1:54">
      <c r="A626">
        <v>625</v>
      </c>
      <c r="B626" t="s">
        <v>44</v>
      </c>
      <c r="C626" t="s">
        <v>161</v>
      </c>
      <c r="D626" t="s">
        <v>153</v>
      </c>
      <c r="E626" t="s">
        <v>47</v>
      </c>
      <c r="F626" t="s">
        <v>50</v>
      </c>
      <c r="H626" t="s">
        <v>48</v>
      </c>
      <c r="J626" t="s">
        <v>49</v>
      </c>
      <c r="K626" t="s">
        <v>53</v>
      </c>
      <c r="L626" t="s">
        <v>762</v>
      </c>
      <c r="M626" t="s">
        <v>762</v>
      </c>
      <c r="N626">
        <v>0</v>
      </c>
      <c r="R626" t="s">
        <v>51</v>
      </c>
      <c r="S626" t="s">
        <v>52</v>
      </c>
      <c r="Z626" t="s">
        <v>162</v>
      </c>
      <c r="AA626" t="s">
        <v>156</v>
      </c>
      <c r="AC626" t="s">
        <v>883</v>
      </c>
      <c r="AD626" t="s">
        <v>50</v>
      </c>
      <c r="AH626">
        <v>4</v>
      </c>
      <c r="AM626">
        <v>43465</v>
      </c>
      <c r="AN626">
        <v>43469</v>
      </c>
      <c r="AO626" s="2">
        <f t="shared" si="75"/>
        <v>0</v>
      </c>
      <c r="AP626" s="2">
        <f t="shared" si="76"/>
        <v>0</v>
      </c>
      <c r="AQ626" s="3">
        <f t="shared" si="77"/>
        <v>1</v>
      </c>
      <c r="AR626" s="1" t="str">
        <f>INDEX(IOS!$B:$B,MATCH(D626,IOS!A:A,0))&amp;B626</f>
        <v>O.D.4</v>
      </c>
      <c r="AS626" s="1">
        <f t="shared" si="78"/>
        <v>0</v>
      </c>
      <c r="AT626" s="1" t="str">
        <f>IF(ISBLANK(W626),"",IF(ISERROR(MATCH(W626,HQLATABLE!$A:$A,0)),0,1))</f>
        <v/>
      </c>
      <c r="AU626" s="1" t="str">
        <f t="shared" si="79"/>
        <v>Blank</v>
      </c>
      <c r="AV626" s="1" t="str">
        <f t="shared" si="80"/>
        <v>Blank</v>
      </c>
      <c r="AW626" s="1">
        <f t="shared" si="81"/>
        <v>0</v>
      </c>
      <c r="AX626" s="1">
        <f t="shared" si="82"/>
        <v>0</v>
      </c>
      <c r="AY626" s="1"/>
      <c r="AZ626" s="1">
        <f>IF(COUNTIFS('PID CHECK'!$B:$B,AR626)=1,0,IF(COUNTIFS(AR$1:AR625,AR626)=1,0,1))</f>
        <v>0</v>
      </c>
      <c r="BA626" s="1"/>
      <c r="BB626" s="1"/>
    </row>
    <row r="627" spans="1:54">
      <c r="A627">
        <v>626</v>
      </c>
      <c r="B627" t="s">
        <v>44</v>
      </c>
      <c r="C627" t="s">
        <v>161</v>
      </c>
      <c r="D627" t="s">
        <v>153</v>
      </c>
      <c r="E627" t="s">
        <v>47</v>
      </c>
      <c r="F627" t="s">
        <v>53</v>
      </c>
      <c r="H627" t="s">
        <v>48</v>
      </c>
      <c r="J627" t="s">
        <v>49</v>
      </c>
      <c r="K627" t="s">
        <v>53</v>
      </c>
      <c r="L627" t="s">
        <v>762</v>
      </c>
      <c r="M627" t="s">
        <v>762</v>
      </c>
      <c r="N627">
        <v>0.11</v>
      </c>
      <c r="R627" t="s">
        <v>51</v>
      </c>
      <c r="S627" t="s">
        <v>52</v>
      </c>
      <c r="Z627" t="s">
        <v>759</v>
      </c>
      <c r="AA627" t="s">
        <v>156</v>
      </c>
      <c r="AB627" t="s">
        <v>115</v>
      </c>
      <c r="AC627" t="s">
        <v>883</v>
      </c>
      <c r="AD627" t="s">
        <v>50</v>
      </c>
      <c r="AH627">
        <v>10</v>
      </c>
      <c r="AM627">
        <v>43465</v>
      </c>
      <c r="AN627">
        <v>43469</v>
      </c>
      <c r="AO627" s="2">
        <f t="shared" si="75"/>
        <v>0</v>
      </c>
      <c r="AP627" s="2">
        <f t="shared" si="76"/>
        <v>0</v>
      </c>
      <c r="AQ627" s="3">
        <f t="shared" si="77"/>
        <v>1</v>
      </c>
      <c r="AR627" s="1" t="str">
        <f>INDEX(IOS!$B:$B,MATCH(D627,IOS!A:A,0))&amp;B627</f>
        <v>O.D.4</v>
      </c>
      <c r="AS627" s="1">
        <f t="shared" si="78"/>
        <v>1</v>
      </c>
      <c r="AT627" s="1" t="str">
        <f>IF(ISBLANK(W627),"",IF(ISERROR(MATCH(W627,HQLATABLE!$A:$A,0)),0,1))</f>
        <v/>
      </c>
      <c r="AU627" s="1" t="str">
        <f t="shared" si="79"/>
        <v>Blank</v>
      </c>
      <c r="AV627" s="1" t="str">
        <f t="shared" si="80"/>
        <v>Blank</v>
      </c>
      <c r="AW627" s="1">
        <f t="shared" si="81"/>
        <v>0</v>
      </c>
      <c r="AX627" s="1">
        <f t="shared" si="82"/>
        <v>0</v>
      </c>
      <c r="AY627" s="1"/>
      <c r="AZ627" s="1">
        <f>IF(COUNTIFS('PID CHECK'!$B:$B,AR627)=1,0,IF(COUNTIFS(AR$1:AR626,AR627)=1,0,1))</f>
        <v>0</v>
      </c>
      <c r="BA627" s="1"/>
      <c r="BB627" s="1"/>
    </row>
    <row r="628" spans="1:54">
      <c r="A628">
        <v>627</v>
      </c>
      <c r="B628" t="s">
        <v>44</v>
      </c>
      <c r="C628" t="s">
        <v>161</v>
      </c>
      <c r="D628" t="s">
        <v>153</v>
      </c>
      <c r="E628" t="s">
        <v>47</v>
      </c>
      <c r="F628" t="s">
        <v>53</v>
      </c>
      <c r="H628" t="s">
        <v>48</v>
      </c>
      <c r="J628" t="s">
        <v>49</v>
      </c>
      <c r="K628" t="s">
        <v>53</v>
      </c>
      <c r="L628" t="s">
        <v>762</v>
      </c>
      <c r="M628" t="s">
        <v>762</v>
      </c>
      <c r="N628">
        <v>0.01</v>
      </c>
      <c r="R628" t="s">
        <v>51</v>
      </c>
      <c r="S628" t="s">
        <v>52</v>
      </c>
      <c r="Z628" t="s">
        <v>759</v>
      </c>
      <c r="AA628" t="s">
        <v>156</v>
      </c>
      <c r="AB628" t="s">
        <v>76</v>
      </c>
      <c r="AC628" t="s">
        <v>883</v>
      </c>
      <c r="AD628" t="s">
        <v>50</v>
      </c>
      <c r="AH628">
        <v>10</v>
      </c>
      <c r="AM628">
        <v>43465</v>
      </c>
      <c r="AN628">
        <v>43469</v>
      </c>
      <c r="AO628" s="2">
        <f t="shared" si="75"/>
        <v>0</v>
      </c>
      <c r="AP628" s="2">
        <f t="shared" si="76"/>
        <v>0</v>
      </c>
      <c r="AQ628" s="3">
        <f t="shared" si="77"/>
        <v>1</v>
      </c>
      <c r="AR628" s="1" t="str">
        <f>INDEX(IOS!$B:$B,MATCH(D628,IOS!A:A,0))&amp;B628</f>
        <v>O.D.4</v>
      </c>
      <c r="AS628" s="1">
        <f t="shared" si="78"/>
        <v>1</v>
      </c>
      <c r="AT628" s="1" t="str">
        <f>IF(ISBLANK(W628),"",IF(ISERROR(MATCH(W628,HQLATABLE!$A:$A,0)),0,1))</f>
        <v/>
      </c>
      <c r="AU628" s="1" t="str">
        <f t="shared" si="79"/>
        <v>Blank</v>
      </c>
      <c r="AV628" s="1" t="str">
        <f t="shared" si="80"/>
        <v>Blank</v>
      </c>
      <c r="AW628" s="1">
        <f t="shared" si="81"/>
        <v>0</v>
      </c>
      <c r="AX628" s="1">
        <f t="shared" si="82"/>
        <v>0</v>
      </c>
      <c r="AY628" s="1"/>
      <c r="AZ628" s="1">
        <f>IF(COUNTIFS('PID CHECK'!$B:$B,AR628)=1,0,IF(COUNTIFS(AR$1:AR627,AR628)=1,0,1))</f>
        <v>0</v>
      </c>
      <c r="BA628" s="1"/>
      <c r="BB628" s="1"/>
    </row>
    <row r="629" spans="1:54">
      <c r="A629">
        <v>628</v>
      </c>
      <c r="B629" t="s">
        <v>44</v>
      </c>
      <c r="C629" t="s">
        <v>161</v>
      </c>
      <c r="D629" t="s">
        <v>153</v>
      </c>
      <c r="E629" t="s">
        <v>47</v>
      </c>
      <c r="F629" t="s">
        <v>50</v>
      </c>
      <c r="H629" t="s">
        <v>87</v>
      </c>
      <c r="J629" t="s">
        <v>49</v>
      </c>
      <c r="K629" t="s">
        <v>53</v>
      </c>
      <c r="L629" t="s">
        <v>762</v>
      </c>
      <c r="M629" t="s">
        <v>762</v>
      </c>
      <c r="N629">
        <v>0</v>
      </c>
      <c r="R629" t="s">
        <v>88</v>
      </c>
      <c r="S629" t="s">
        <v>89</v>
      </c>
      <c r="Z629" t="s">
        <v>84</v>
      </c>
      <c r="AA629" t="s">
        <v>154</v>
      </c>
      <c r="AC629" t="s">
        <v>883</v>
      </c>
      <c r="AD629" t="s">
        <v>50</v>
      </c>
      <c r="AH629">
        <v>3</v>
      </c>
      <c r="AM629">
        <v>43465</v>
      </c>
      <c r="AN629">
        <v>43469</v>
      </c>
      <c r="AO629" s="2">
        <f t="shared" si="75"/>
        <v>181</v>
      </c>
      <c r="AP629" s="2">
        <f t="shared" si="76"/>
        <v>270</v>
      </c>
      <c r="AQ629" s="3">
        <f t="shared" si="77"/>
        <v>0</v>
      </c>
      <c r="AR629" s="1" t="str">
        <f>INDEX(IOS!$B:$B,MATCH(D629,IOS!A:A,0))&amp;B629</f>
        <v>O.D.4</v>
      </c>
      <c r="AS629" s="1">
        <f t="shared" si="78"/>
        <v>0</v>
      </c>
      <c r="AT629" s="1" t="str">
        <f>IF(ISBLANK(W629),"",IF(ISERROR(MATCH(W629,HQLATABLE!$A:$A,0)),0,1))</f>
        <v/>
      </c>
      <c r="AU629" s="1" t="str">
        <f t="shared" si="79"/>
        <v>Blank</v>
      </c>
      <c r="AV629" s="1" t="str">
        <f t="shared" si="80"/>
        <v>Blank</v>
      </c>
      <c r="AW629" s="1">
        <f t="shared" si="81"/>
        <v>0</v>
      </c>
      <c r="AX629" s="1">
        <f t="shared" si="82"/>
        <v>0</v>
      </c>
      <c r="AY629" s="1"/>
      <c r="AZ629" s="1">
        <f>IF(COUNTIFS('PID CHECK'!$B:$B,AR629)=1,0,IF(COUNTIFS(AR$1:AR628,AR629)=1,0,1))</f>
        <v>0</v>
      </c>
      <c r="BA629" s="1"/>
      <c r="BB629" s="1"/>
    </row>
    <row r="630" spans="1:54">
      <c r="A630">
        <v>629</v>
      </c>
      <c r="B630" t="s">
        <v>44</v>
      </c>
      <c r="C630" t="s">
        <v>161</v>
      </c>
      <c r="D630" t="s">
        <v>153</v>
      </c>
      <c r="E630" t="s">
        <v>47</v>
      </c>
      <c r="F630" t="s">
        <v>50</v>
      </c>
      <c r="H630" t="s">
        <v>79</v>
      </c>
      <c r="J630" t="s">
        <v>49</v>
      </c>
      <c r="K630" t="s">
        <v>53</v>
      </c>
      <c r="L630" t="s">
        <v>762</v>
      </c>
      <c r="M630" t="s">
        <v>762</v>
      </c>
      <c r="N630">
        <v>0</v>
      </c>
      <c r="R630" t="s">
        <v>80</v>
      </c>
      <c r="S630" t="s">
        <v>81</v>
      </c>
      <c r="Z630" t="s">
        <v>84</v>
      </c>
      <c r="AA630" t="s">
        <v>154</v>
      </c>
      <c r="AC630" t="s">
        <v>883</v>
      </c>
      <c r="AD630" t="s">
        <v>50</v>
      </c>
      <c r="AH630">
        <v>3</v>
      </c>
      <c r="AM630">
        <v>43465</v>
      </c>
      <c r="AN630">
        <v>43469</v>
      </c>
      <c r="AO630" s="2">
        <f t="shared" si="75"/>
        <v>271</v>
      </c>
      <c r="AP630" s="2">
        <f t="shared" si="76"/>
        <v>365</v>
      </c>
      <c r="AQ630" s="3">
        <f t="shared" si="77"/>
        <v>0</v>
      </c>
      <c r="AR630" s="1" t="str">
        <f>INDEX(IOS!$B:$B,MATCH(D630,IOS!A:A,0))&amp;B630</f>
        <v>O.D.4</v>
      </c>
      <c r="AS630" s="1">
        <f t="shared" si="78"/>
        <v>0</v>
      </c>
      <c r="AT630" s="1" t="str">
        <f>IF(ISBLANK(W630),"",IF(ISERROR(MATCH(W630,HQLATABLE!$A:$A,0)),0,1))</f>
        <v/>
      </c>
      <c r="AU630" s="1" t="str">
        <f t="shared" si="79"/>
        <v>Blank</v>
      </c>
      <c r="AV630" s="1" t="str">
        <f t="shared" si="80"/>
        <v>Blank</v>
      </c>
      <c r="AW630" s="1">
        <f t="shared" si="81"/>
        <v>0</v>
      </c>
      <c r="AX630" s="1">
        <f t="shared" si="82"/>
        <v>0</v>
      </c>
      <c r="AY630" s="1"/>
      <c r="AZ630" s="1">
        <f>IF(COUNTIFS('PID CHECK'!$B:$B,AR630)=1,0,IF(COUNTIFS(AR$1:AR629,AR630)=1,0,1))</f>
        <v>0</v>
      </c>
      <c r="BA630" s="1"/>
      <c r="BB630" s="1"/>
    </row>
    <row r="631" spans="1:54">
      <c r="A631">
        <v>630</v>
      </c>
      <c r="B631" t="s">
        <v>44</v>
      </c>
      <c r="C631" t="s">
        <v>161</v>
      </c>
      <c r="D631" t="s">
        <v>153</v>
      </c>
      <c r="E631" t="s">
        <v>47</v>
      </c>
      <c r="F631" t="s">
        <v>50</v>
      </c>
      <c r="H631" t="s">
        <v>131</v>
      </c>
      <c r="J631" t="s">
        <v>49</v>
      </c>
      <c r="K631" t="s">
        <v>53</v>
      </c>
      <c r="L631" t="s">
        <v>762</v>
      </c>
      <c r="M631" t="s">
        <v>762</v>
      </c>
      <c r="N631">
        <v>0</v>
      </c>
      <c r="R631" t="s">
        <v>132</v>
      </c>
      <c r="S631" t="s">
        <v>133</v>
      </c>
      <c r="Z631" t="s">
        <v>84</v>
      </c>
      <c r="AA631" t="s">
        <v>156</v>
      </c>
      <c r="AC631" t="s">
        <v>883</v>
      </c>
      <c r="AD631" t="s">
        <v>50</v>
      </c>
      <c r="AH631">
        <v>3</v>
      </c>
      <c r="AM631">
        <v>43465</v>
      </c>
      <c r="AN631">
        <v>43469</v>
      </c>
      <c r="AO631" s="2">
        <f t="shared" si="75"/>
        <v>366</v>
      </c>
      <c r="AP631" s="2">
        <f t="shared" si="76"/>
        <v>730</v>
      </c>
      <c r="AQ631" s="3">
        <f t="shared" si="77"/>
        <v>0</v>
      </c>
      <c r="AR631" s="1" t="str">
        <f>INDEX(IOS!$B:$B,MATCH(D631,IOS!A:A,0))&amp;B631</f>
        <v>O.D.4</v>
      </c>
      <c r="AS631" s="1">
        <f t="shared" si="78"/>
        <v>0</v>
      </c>
      <c r="AT631" s="1" t="str">
        <f>IF(ISBLANK(W631),"",IF(ISERROR(MATCH(W631,HQLATABLE!$A:$A,0)),0,1))</f>
        <v/>
      </c>
      <c r="AU631" s="1" t="str">
        <f t="shared" si="79"/>
        <v>Blank</v>
      </c>
      <c r="AV631" s="1" t="str">
        <f t="shared" si="80"/>
        <v>Blank</v>
      </c>
      <c r="AW631" s="1">
        <f t="shared" si="81"/>
        <v>0</v>
      </c>
      <c r="AX631" s="1">
        <f t="shared" si="82"/>
        <v>0</v>
      </c>
      <c r="AY631" s="1"/>
      <c r="AZ631" s="1">
        <f>IF(COUNTIFS('PID CHECK'!$B:$B,AR631)=1,0,IF(COUNTIFS(AR$1:AR630,AR631)=1,0,1))</f>
        <v>0</v>
      </c>
      <c r="BA631" s="1"/>
      <c r="BB631" s="1"/>
    </row>
    <row r="632" spans="1:54">
      <c r="A632">
        <v>631</v>
      </c>
      <c r="B632" t="s">
        <v>44</v>
      </c>
      <c r="C632" t="s">
        <v>161</v>
      </c>
      <c r="D632" t="s">
        <v>153</v>
      </c>
      <c r="E632" t="s">
        <v>47</v>
      </c>
      <c r="F632" t="s">
        <v>50</v>
      </c>
      <c r="H632" t="s">
        <v>1011</v>
      </c>
      <c r="J632" t="s">
        <v>49</v>
      </c>
      <c r="K632" t="s">
        <v>53</v>
      </c>
      <c r="L632" t="s">
        <v>762</v>
      </c>
      <c r="M632" t="s">
        <v>762</v>
      </c>
      <c r="N632">
        <v>0</v>
      </c>
      <c r="R632" t="s">
        <v>1012</v>
      </c>
      <c r="S632" t="s">
        <v>1012</v>
      </c>
      <c r="Z632" t="s">
        <v>84</v>
      </c>
      <c r="AA632" t="s">
        <v>154</v>
      </c>
      <c r="AC632" t="s">
        <v>883</v>
      </c>
      <c r="AD632" t="s">
        <v>50</v>
      </c>
      <c r="AH632">
        <v>3</v>
      </c>
      <c r="AM632">
        <v>43465</v>
      </c>
      <c r="AN632">
        <v>43469</v>
      </c>
      <c r="AO632" s="2">
        <f t="shared" si="75"/>
        <v>46</v>
      </c>
      <c r="AP632" s="2">
        <f t="shared" si="76"/>
        <v>46</v>
      </c>
      <c r="AQ632" s="3">
        <f t="shared" si="77"/>
        <v>0</v>
      </c>
      <c r="AR632" s="1" t="str">
        <f>INDEX(IOS!$B:$B,MATCH(D632,IOS!A:A,0))&amp;B632</f>
        <v>O.D.4</v>
      </c>
      <c r="AS632" s="1">
        <f t="shared" si="78"/>
        <v>0</v>
      </c>
      <c r="AT632" s="1" t="str">
        <f>IF(ISBLANK(W632),"",IF(ISERROR(MATCH(W632,HQLATABLE!$A:$A,0)),0,1))</f>
        <v/>
      </c>
      <c r="AU632" s="1" t="str">
        <f t="shared" si="79"/>
        <v>Blank</v>
      </c>
      <c r="AV632" s="1" t="str">
        <f t="shared" si="80"/>
        <v>Blank</v>
      </c>
      <c r="AW632" s="1">
        <f t="shared" si="81"/>
        <v>0</v>
      </c>
      <c r="AX632" s="1">
        <f t="shared" si="82"/>
        <v>0</v>
      </c>
      <c r="AY632" s="1"/>
      <c r="AZ632" s="1">
        <f>IF(COUNTIFS('PID CHECK'!$B:$B,AR632)=1,0,IF(COUNTIFS(AR$1:AR631,AR632)=1,0,1))</f>
        <v>0</v>
      </c>
      <c r="BA632" s="1"/>
      <c r="BB632" s="1"/>
    </row>
    <row r="633" spans="1:54">
      <c r="A633">
        <v>632</v>
      </c>
      <c r="B633" t="s">
        <v>44</v>
      </c>
      <c r="C633" t="s">
        <v>161</v>
      </c>
      <c r="D633" t="s">
        <v>153</v>
      </c>
      <c r="E633" t="s">
        <v>47</v>
      </c>
      <c r="F633" t="s">
        <v>50</v>
      </c>
      <c r="H633" t="s">
        <v>108</v>
      </c>
      <c r="J633" t="s">
        <v>49</v>
      </c>
      <c r="K633" t="s">
        <v>53</v>
      </c>
      <c r="L633" t="s">
        <v>762</v>
      </c>
      <c r="M633" t="s">
        <v>762</v>
      </c>
      <c r="N633">
        <v>0</v>
      </c>
      <c r="R633" t="s">
        <v>109</v>
      </c>
      <c r="S633" t="s">
        <v>110</v>
      </c>
      <c r="Z633" t="s">
        <v>84</v>
      </c>
      <c r="AA633" t="s">
        <v>154</v>
      </c>
      <c r="AC633" t="s">
        <v>883</v>
      </c>
      <c r="AD633" t="s">
        <v>50</v>
      </c>
      <c r="AH633">
        <v>3</v>
      </c>
      <c r="AM633">
        <v>43465</v>
      </c>
      <c r="AN633">
        <v>43469</v>
      </c>
      <c r="AO633" s="2">
        <f t="shared" si="75"/>
        <v>91</v>
      </c>
      <c r="AP633" s="2">
        <f t="shared" si="76"/>
        <v>120</v>
      </c>
      <c r="AQ633" s="3">
        <f t="shared" si="77"/>
        <v>0</v>
      </c>
      <c r="AR633" s="1" t="str">
        <f>INDEX(IOS!$B:$B,MATCH(D633,IOS!A:A,0))&amp;B633</f>
        <v>O.D.4</v>
      </c>
      <c r="AS633" s="1">
        <f t="shared" si="78"/>
        <v>0</v>
      </c>
      <c r="AT633" s="1" t="str">
        <f>IF(ISBLANK(W633),"",IF(ISERROR(MATCH(W633,HQLATABLE!$A:$A,0)),0,1))</f>
        <v/>
      </c>
      <c r="AU633" s="1" t="str">
        <f t="shared" si="79"/>
        <v>Blank</v>
      </c>
      <c r="AV633" s="1" t="str">
        <f t="shared" si="80"/>
        <v>Blank</v>
      </c>
      <c r="AW633" s="1">
        <f t="shared" si="81"/>
        <v>0</v>
      </c>
      <c r="AX633" s="1">
        <f t="shared" si="82"/>
        <v>0</v>
      </c>
      <c r="AY633" s="1"/>
      <c r="AZ633" s="1">
        <f>IF(COUNTIFS('PID CHECK'!$B:$B,AR633)=1,0,IF(COUNTIFS(AR$1:AR632,AR633)=1,0,1))</f>
        <v>0</v>
      </c>
      <c r="BA633" s="1"/>
      <c r="BB633" s="1"/>
    </row>
    <row r="634" spans="1:54">
      <c r="A634">
        <v>633</v>
      </c>
      <c r="B634" t="s">
        <v>82</v>
      </c>
      <c r="C634" t="s">
        <v>164</v>
      </c>
      <c r="D634" t="s">
        <v>153</v>
      </c>
      <c r="E634" t="s">
        <v>47</v>
      </c>
      <c r="F634" t="s">
        <v>50</v>
      </c>
      <c r="H634" t="s">
        <v>48</v>
      </c>
      <c r="J634" t="s">
        <v>49</v>
      </c>
      <c r="K634" t="s">
        <v>53</v>
      </c>
      <c r="L634" t="s">
        <v>762</v>
      </c>
      <c r="M634" t="s">
        <v>762</v>
      </c>
      <c r="N634">
        <v>0</v>
      </c>
      <c r="R634" t="s">
        <v>51</v>
      </c>
      <c r="S634" t="s">
        <v>52</v>
      </c>
      <c r="Z634" t="s">
        <v>84</v>
      </c>
      <c r="AA634" t="s">
        <v>154</v>
      </c>
      <c r="AC634" t="s">
        <v>883</v>
      </c>
      <c r="AD634" t="s">
        <v>50</v>
      </c>
      <c r="AH634">
        <v>3</v>
      </c>
      <c r="AM634">
        <v>43465</v>
      </c>
      <c r="AN634">
        <v>43469</v>
      </c>
      <c r="AO634" s="2">
        <f t="shared" si="75"/>
        <v>0</v>
      </c>
      <c r="AP634" s="2">
        <f t="shared" si="76"/>
        <v>0</v>
      </c>
      <c r="AQ634" s="3">
        <f t="shared" si="77"/>
        <v>1</v>
      </c>
      <c r="AR634" s="1" t="str">
        <f>INDEX(IOS!$B:$B,MATCH(D634,IOS!A:A,0))&amp;B634</f>
        <v>O.D.5</v>
      </c>
      <c r="AS634" s="1">
        <f t="shared" si="78"/>
        <v>0</v>
      </c>
      <c r="AT634" s="1" t="str">
        <f>IF(ISBLANK(W634),"",IF(ISERROR(MATCH(W634,HQLATABLE!$A:$A,0)),0,1))</f>
        <v/>
      </c>
      <c r="AU634" s="1" t="str">
        <f t="shared" si="79"/>
        <v>Blank</v>
      </c>
      <c r="AV634" s="1" t="str">
        <f t="shared" si="80"/>
        <v>Blank</v>
      </c>
      <c r="AW634" s="1">
        <f t="shared" si="81"/>
        <v>0</v>
      </c>
      <c r="AX634" s="1">
        <f t="shared" si="82"/>
        <v>0</v>
      </c>
      <c r="AY634" s="1"/>
      <c r="AZ634" s="1">
        <f>IF(COUNTIFS('PID CHECK'!$B:$B,AR634)=1,0,IF(COUNTIFS(AR$1:AR633,AR634)=1,0,1))</f>
        <v>0</v>
      </c>
      <c r="BA634" s="1"/>
      <c r="BB634" s="1"/>
    </row>
    <row r="635" spans="1:54">
      <c r="A635">
        <v>634</v>
      </c>
      <c r="B635" t="s">
        <v>82</v>
      </c>
      <c r="C635" t="s">
        <v>164</v>
      </c>
      <c r="D635" t="s">
        <v>153</v>
      </c>
      <c r="E635" t="s">
        <v>47</v>
      </c>
      <c r="F635" t="s">
        <v>50</v>
      </c>
      <c r="H635" t="s">
        <v>48</v>
      </c>
      <c r="J635" t="s">
        <v>49</v>
      </c>
      <c r="K635" t="s">
        <v>53</v>
      </c>
      <c r="L635" t="s">
        <v>762</v>
      </c>
      <c r="M635" t="s">
        <v>762</v>
      </c>
      <c r="N635">
        <v>0</v>
      </c>
      <c r="R635" t="s">
        <v>51</v>
      </c>
      <c r="S635" t="s">
        <v>52</v>
      </c>
      <c r="Z635" t="s">
        <v>759</v>
      </c>
      <c r="AA635" t="s">
        <v>154</v>
      </c>
      <c r="AC635" t="s">
        <v>883</v>
      </c>
      <c r="AD635" t="s">
        <v>50</v>
      </c>
      <c r="AH635">
        <v>10</v>
      </c>
      <c r="AM635">
        <v>43465</v>
      </c>
      <c r="AN635">
        <v>43469</v>
      </c>
      <c r="AO635" s="2">
        <f t="shared" si="75"/>
        <v>0</v>
      </c>
      <c r="AP635" s="2">
        <f t="shared" si="76"/>
        <v>0</v>
      </c>
      <c r="AQ635" s="3">
        <f t="shared" si="77"/>
        <v>1</v>
      </c>
      <c r="AR635" s="1" t="str">
        <f>INDEX(IOS!$B:$B,MATCH(D635,IOS!A:A,0))&amp;B635</f>
        <v>O.D.5</v>
      </c>
      <c r="AS635" s="1">
        <f t="shared" si="78"/>
        <v>0</v>
      </c>
      <c r="AT635" s="1" t="str">
        <f>IF(ISBLANK(W635),"",IF(ISERROR(MATCH(W635,HQLATABLE!$A:$A,0)),0,1))</f>
        <v/>
      </c>
      <c r="AU635" s="1" t="str">
        <f t="shared" si="79"/>
        <v>Blank</v>
      </c>
      <c r="AV635" s="1" t="str">
        <f t="shared" si="80"/>
        <v>Blank</v>
      </c>
      <c r="AW635" s="1">
        <f t="shared" si="81"/>
        <v>0</v>
      </c>
      <c r="AX635" s="1">
        <f t="shared" si="82"/>
        <v>0</v>
      </c>
      <c r="AY635" s="1"/>
      <c r="AZ635" s="1">
        <f>IF(COUNTIFS('PID CHECK'!$B:$B,AR635)=1,0,IF(COUNTIFS(AR$1:AR634,AR635)=1,0,1))</f>
        <v>0</v>
      </c>
      <c r="BA635" s="1"/>
      <c r="BB635" s="1"/>
    </row>
    <row r="636" spans="1:54">
      <c r="A636">
        <v>635</v>
      </c>
      <c r="B636" t="s">
        <v>82</v>
      </c>
      <c r="C636" t="s">
        <v>164</v>
      </c>
      <c r="D636" t="s">
        <v>153</v>
      </c>
      <c r="E636" t="s">
        <v>47</v>
      </c>
      <c r="F636" t="s">
        <v>50</v>
      </c>
      <c r="H636" t="s">
        <v>48</v>
      </c>
      <c r="J636" t="s">
        <v>49</v>
      </c>
      <c r="K636" t="s">
        <v>53</v>
      </c>
      <c r="L636" t="s">
        <v>762</v>
      </c>
      <c r="M636" t="s">
        <v>762</v>
      </c>
      <c r="N636">
        <v>0.64</v>
      </c>
      <c r="R636" t="s">
        <v>51</v>
      </c>
      <c r="S636" t="s">
        <v>52</v>
      </c>
      <c r="Z636" t="s">
        <v>84</v>
      </c>
      <c r="AA636" t="s">
        <v>156</v>
      </c>
      <c r="AC636" t="s">
        <v>883</v>
      </c>
      <c r="AD636" t="s">
        <v>50</v>
      </c>
      <c r="AH636">
        <v>3</v>
      </c>
      <c r="AM636">
        <v>43465</v>
      </c>
      <c r="AN636">
        <v>43469</v>
      </c>
      <c r="AO636" s="2">
        <f t="shared" si="75"/>
        <v>0</v>
      </c>
      <c r="AP636" s="2">
        <f t="shared" si="76"/>
        <v>0</v>
      </c>
      <c r="AQ636" s="3">
        <f t="shared" si="77"/>
        <v>1</v>
      </c>
      <c r="AR636" s="1" t="str">
        <f>INDEX(IOS!$B:$B,MATCH(D636,IOS!A:A,0))&amp;B636</f>
        <v>O.D.5</v>
      </c>
      <c r="AS636" s="1">
        <f t="shared" si="78"/>
        <v>0</v>
      </c>
      <c r="AT636" s="1" t="str">
        <f>IF(ISBLANK(W636),"",IF(ISERROR(MATCH(W636,HQLATABLE!$A:$A,0)),0,1))</f>
        <v/>
      </c>
      <c r="AU636" s="1" t="str">
        <f t="shared" si="79"/>
        <v>Blank</v>
      </c>
      <c r="AV636" s="1" t="str">
        <f t="shared" si="80"/>
        <v>Blank</v>
      </c>
      <c r="AW636" s="1">
        <f t="shared" si="81"/>
        <v>0</v>
      </c>
      <c r="AX636" s="1">
        <f t="shared" si="82"/>
        <v>0</v>
      </c>
      <c r="AY636" s="1"/>
      <c r="AZ636" s="1">
        <f>IF(COUNTIFS('PID CHECK'!$B:$B,AR636)=1,0,IF(COUNTIFS(AR$1:AR635,AR636)=1,0,1))</f>
        <v>0</v>
      </c>
      <c r="BA636" s="1"/>
      <c r="BB636" s="1"/>
    </row>
    <row r="637" spans="1:54">
      <c r="A637">
        <v>636</v>
      </c>
      <c r="B637" t="s">
        <v>82</v>
      </c>
      <c r="C637" t="s">
        <v>164</v>
      </c>
      <c r="D637" t="s">
        <v>153</v>
      </c>
      <c r="E637" t="s">
        <v>47</v>
      </c>
      <c r="F637" t="s">
        <v>50</v>
      </c>
      <c r="H637" t="s">
        <v>48</v>
      </c>
      <c r="J637" t="s">
        <v>49</v>
      </c>
      <c r="K637" t="s">
        <v>53</v>
      </c>
      <c r="L637" t="s">
        <v>762</v>
      </c>
      <c r="M637" t="s">
        <v>762</v>
      </c>
      <c r="N637">
        <v>0</v>
      </c>
      <c r="R637" t="s">
        <v>51</v>
      </c>
      <c r="S637" t="s">
        <v>52</v>
      </c>
      <c r="Z637" t="s">
        <v>162</v>
      </c>
      <c r="AA637" t="s">
        <v>156</v>
      </c>
      <c r="AC637" t="s">
        <v>883</v>
      </c>
      <c r="AD637" t="s">
        <v>50</v>
      </c>
      <c r="AH637">
        <v>4</v>
      </c>
      <c r="AM637">
        <v>43465</v>
      </c>
      <c r="AN637">
        <v>43469</v>
      </c>
      <c r="AO637" s="2">
        <f t="shared" si="75"/>
        <v>0</v>
      </c>
      <c r="AP637" s="2">
        <f t="shared" si="76"/>
        <v>0</v>
      </c>
      <c r="AQ637" s="3">
        <f t="shared" si="77"/>
        <v>1</v>
      </c>
      <c r="AR637" s="1" t="str">
        <f>INDEX(IOS!$B:$B,MATCH(D637,IOS!A:A,0))&amp;B637</f>
        <v>O.D.5</v>
      </c>
      <c r="AS637" s="1">
        <f t="shared" si="78"/>
        <v>0</v>
      </c>
      <c r="AT637" s="1" t="str">
        <f>IF(ISBLANK(W637),"",IF(ISERROR(MATCH(W637,HQLATABLE!$A:$A,0)),0,1))</f>
        <v/>
      </c>
      <c r="AU637" s="1" t="str">
        <f t="shared" si="79"/>
        <v>Blank</v>
      </c>
      <c r="AV637" s="1" t="str">
        <f t="shared" si="80"/>
        <v>Blank</v>
      </c>
      <c r="AW637" s="1">
        <f t="shared" si="81"/>
        <v>0</v>
      </c>
      <c r="AX637" s="1">
        <f t="shared" si="82"/>
        <v>0</v>
      </c>
      <c r="AY637" s="1"/>
      <c r="AZ637" s="1">
        <f>IF(COUNTIFS('PID CHECK'!$B:$B,AR637)=1,0,IF(COUNTIFS(AR$1:AR636,AR637)=1,0,1))</f>
        <v>0</v>
      </c>
      <c r="BA637" s="1"/>
      <c r="BB637" s="1"/>
    </row>
    <row r="638" spans="1:54">
      <c r="A638">
        <v>637</v>
      </c>
      <c r="B638" t="s">
        <v>82</v>
      </c>
      <c r="C638" t="s">
        <v>164</v>
      </c>
      <c r="D638" t="s">
        <v>153</v>
      </c>
      <c r="E638" t="s">
        <v>47</v>
      </c>
      <c r="F638" t="s">
        <v>53</v>
      </c>
      <c r="H638" t="s">
        <v>48</v>
      </c>
      <c r="J638" t="s">
        <v>49</v>
      </c>
      <c r="K638" t="s">
        <v>53</v>
      </c>
      <c r="L638" t="s">
        <v>762</v>
      </c>
      <c r="M638" t="s">
        <v>762</v>
      </c>
      <c r="N638">
        <v>0</v>
      </c>
      <c r="R638" t="s">
        <v>51</v>
      </c>
      <c r="S638" t="s">
        <v>52</v>
      </c>
      <c r="Z638" t="s">
        <v>759</v>
      </c>
      <c r="AA638" t="s">
        <v>156</v>
      </c>
      <c r="AB638" t="s">
        <v>115</v>
      </c>
      <c r="AC638" t="s">
        <v>883</v>
      </c>
      <c r="AD638" t="s">
        <v>50</v>
      </c>
      <c r="AH638">
        <v>10</v>
      </c>
      <c r="AM638">
        <v>43465</v>
      </c>
      <c r="AN638">
        <v>43469</v>
      </c>
      <c r="AO638" s="2">
        <f t="shared" si="75"/>
        <v>0</v>
      </c>
      <c r="AP638" s="2">
        <f t="shared" si="76"/>
        <v>0</v>
      </c>
      <c r="AQ638" s="3">
        <f t="shared" si="77"/>
        <v>1</v>
      </c>
      <c r="AR638" s="1" t="str">
        <f>INDEX(IOS!$B:$B,MATCH(D638,IOS!A:A,0))&amp;B638</f>
        <v>O.D.5</v>
      </c>
      <c r="AS638" s="1">
        <f t="shared" si="78"/>
        <v>1</v>
      </c>
      <c r="AT638" s="1" t="str">
        <f>IF(ISBLANK(W638),"",IF(ISERROR(MATCH(W638,HQLATABLE!$A:$A,0)),0,1))</f>
        <v/>
      </c>
      <c r="AU638" s="1" t="str">
        <f t="shared" si="79"/>
        <v>Blank</v>
      </c>
      <c r="AV638" s="1" t="str">
        <f t="shared" si="80"/>
        <v>Blank</v>
      </c>
      <c r="AW638" s="1">
        <f t="shared" si="81"/>
        <v>0</v>
      </c>
      <c r="AX638" s="1">
        <f t="shared" si="82"/>
        <v>0</v>
      </c>
      <c r="AY638" s="1"/>
      <c r="AZ638" s="1">
        <f>IF(COUNTIFS('PID CHECK'!$B:$B,AR638)=1,0,IF(COUNTIFS(AR$1:AR637,AR638)=1,0,1))</f>
        <v>0</v>
      </c>
      <c r="BA638" s="1"/>
      <c r="BB638" s="1"/>
    </row>
    <row r="639" spans="1:54">
      <c r="A639">
        <v>638</v>
      </c>
      <c r="B639" t="s">
        <v>82</v>
      </c>
      <c r="C639" t="s">
        <v>164</v>
      </c>
      <c r="D639" t="s">
        <v>153</v>
      </c>
      <c r="E639" t="s">
        <v>47</v>
      </c>
      <c r="F639" t="s">
        <v>53</v>
      </c>
      <c r="H639" t="s">
        <v>48</v>
      </c>
      <c r="J639" t="s">
        <v>49</v>
      </c>
      <c r="K639" t="s">
        <v>53</v>
      </c>
      <c r="L639" t="s">
        <v>762</v>
      </c>
      <c r="M639" t="s">
        <v>762</v>
      </c>
      <c r="N639">
        <v>0</v>
      </c>
      <c r="R639" t="s">
        <v>51</v>
      </c>
      <c r="S639" t="s">
        <v>52</v>
      </c>
      <c r="Z639" t="s">
        <v>759</v>
      </c>
      <c r="AA639" t="s">
        <v>156</v>
      </c>
      <c r="AB639" t="s">
        <v>76</v>
      </c>
      <c r="AC639" t="s">
        <v>883</v>
      </c>
      <c r="AD639" t="s">
        <v>50</v>
      </c>
      <c r="AH639">
        <v>10</v>
      </c>
      <c r="AM639">
        <v>43465</v>
      </c>
      <c r="AN639">
        <v>43469</v>
      </c>
      <c r="AO639" s="2">
        <f t="shared" si="75"/>
        <v>0</v>
      </c>
      <c r="AP639" s="2">
        <f t="shared" si="76"/>
        <v>0</v>
      </c>
      <c r="AQ639" s="3">
        <f t="shared" si="77"/>
        <v>1</v>
      </c>
      <c r="AR639" s="1" t="str">
        <f>INDEX(IOS!$B:$B,MATCH(D639,IOS!A:A,0))&amp;B639</f>
        <v>O.D.5</v>
      </c>
      <c r="AS639" s="1">
        <f t="shared" si="78"/>
        <v>1</v>
      </c>
      <c r="AT639" s="1" t="str">
        <f>IF(ISBLANK(W639),"",IF(ISERROR(MATCH(W639,HQLATABLE!$A:$A,0)),0,1))</f>
        <v/>
      </c>
      <c r="AU639" s="1" t="str">
        <f t="shared" si="79"/>
        <v>Blank</v>
      </c>
      <c r="AV639" s="1" t="str">
        <f t="shared" si="80"/>
        <v>Blank</v>
      </c>
      <c r="AW639" s="1">
        <f t="shared" si="81"/>
        <v>0</v>
      </c>
      <c r="AX639" s="1">
        <f t="shared" si="82"/>
        <v>0</v>
      </c>
      <c r="AY639" s="1"/>
      <c r="AZ639" s="1">
        <f>IF(COUNTIFS('PID CHECK'!$B:$B,AR639)=1,0,IF(COUNTIFS(AR$1:AR638,AR639)=1,0,1))</f>
        <v>0</v>
      </c>
      <c r="BA639" s="1"/>
      <c r="BB639" s="1"/>
    </row>
    <row r="640" spans="1:54">
      <c r="A640">
        <v>639</v>
      </c>
      <c r="B640" t="s">
        <v>82</v>
      </c>
      <c r="C640" t="s">
        <v>164</v>
      </c>
      <c r="D640" t="s">
        <v>153</v>
      </c>
      <c r="E640" t="s">
        <v>47</v>
      </c>
      <c r="F640" t="s">
        <v>50</v>
      </c>
      <c r="H640" t="s">
        <v>87</v>
      </c>
      <c r="J640" t="s">
        <v>49</v>
      </c>
      <c r="K640" t="s">
        <v>53</v>
      </c>
      <c r="L640" t="s">
        <v>762</v>
      </c>
      <c r="M640" t="s">
        <v>762</v>
      </c>
      <c r="N640">
        <v>0</v>
      </c>
      <c r="R640" t="s">
        <v>88</v>
      </c>
      <c r="S640" t="s">
        <v>89</v>
      </c>
      <c r="Z640" t="s">
        <v>84</v>
      </c>
      <c r="AA640" t="s">
        <v>154</v>
      </c>
      <c r="AC640" t="s">
        <v>883</v>
      </c>
      <c r="AD640" t="s">
        <v>50</v>
      </c>
      <c r="AH640">
        <v>3</v>
      </c>
      <c r="AM640">
        <v>43465</v>
      </c>
      <c r="AN640">
        <v>43469</v>
      </c>
      <c r="AO640" s="2">
        <f t="shared" si="75"/>
        <v>181</v>
      </c>
      <c r="AP640" s="2">
        <f t="shared" si="76"/>
        <v>270</v>
      </c>
      <c r="AQ640" s="3">
        <f t="shared" si="77"/>
        <v>0</v>
      </c>
      <c r="AR640" s="1" t="str">
        <f>INDEX(IOS!$B:$B,MATCH(D640,IOS!A:A,0))&amp;B640</f>
        <v>O.D.5</v>
      </c>
      <c r="AS640" s="1">
        <f t="shared" si="78"/>
        <v>0</v>
      </c>
      <c r="AT640" s="1" t="str">
        <f>IF(ISBLANK(W640),"",IF(ISERROR(MATCH(W640,HQLATABLE!$A:$A,0)),0,1))</f>
        <v/>
      </c>
      <c r="AU640" s="1" t="str">
        <f t="shared" si="79"/>
        <v>Blank</v>
      </c>
      <c r="AV640" s="1" t="str">
        <f t="shared" si="80"/>
        <v>Blank</v>
      </c>
      <c r="AW640" s="1">
        <f t="shared" si="81"/>
        <v>0</v>
      </c>
      <c r="AX640" s="1">
        <f t="shared" si="82"/>
        <v>0</v>
      </c>
      <c r="AY640" s="1"/>
      <c r="AZ640" s="1">
        <f>IF(COUNTIFS('PID CHECK'!$B:$B,AR640)=1,0,IF(COUNTIFS(AR$1:AR639,AR640)=1,0,1))</f>
        <v>0</v>
      </c>
      <c r="BA640" s="1"/>
      <c r="BB640" s="1"/>
    </row>
    <row r="641" spans="1:54">
      <c r="A641">
        <v>640</v>
      </c>
      <c r="B641" t="s">
        <v>82</v>
      </c>
      <c r="C641" t="s">
        <v>164</v>
      </c>
      <c r="D641" t="s">
        <v>153</v>
      </c>
      <c r="E641" t="s">
        <v>47</v>
      </c>
      <c r="F641" t="s">
        <v>50</v>
      </c>
      <c r="H641" t="s">
        <v>79</v>
      </c>
      <c r="J641" t="s">
        <v>49</v>
      </c>
      <c r="K641" t="s">
        <v>53</v>
      </c>
      <c r="L641" t="s">
        <v>762</v>
      </c>
      <c r="M641" t="s">
        <v>762</v>
      </c>
      <c r="N641">
        <v>0.06</v>
      </c>
      <c r="R641" t="s">
        <v>80</v>
      </c>
      <c r="S641" t="s">
        <v>81</v>
      </c>
      <c r="Z641" t="s">
        <v>84</v>
      </c>
      <c r="AA641" t="s">
        <v>154</v>
      </c>
      <c r="AC641" t="s">
        <v>883</v>
      </c>
      <c r="AD641" t="s">
        <v>50</v>
      </c>
      <c r="AH641">
        <v>3</v>
      </c>
      <c r="AM641">
        <v>43465</v>
      </c>
      <c r="AN641">
        <v>43469</v>
      </c>
      <c r="AO641" s="2">
        <f t="shared" si="75"/>
        <v>271</v>
      </c>
      <c r="AP641" s="2">
        <f t="shared" si="76"/>
        <v>365</v>
      </c>
      <c r="AQ641" s="3">
        <f t="shared" si="77"/>
        <v>0</v>
      </c>
      <c r="AR641" s="1" t="str">
        <f>INDEX(IOS!$B:$B,MATCH(D641,IOS!A:A,0))&amp;B641</f>
        <v>O.D.5</v>
      </c>
      <c r="AS641" s="1">
        <f t="shared" si="78"/>
        <v>0</v>
      </c>
      <c r="AT641" s="1" t="str">
        <f>IF(ISBLANK(W641),"",IF(ISERROR(MATCH(W641,HQLATABLE!$A:$A,0)),0,1))</f>
        <v/>
      </c>
      <c r="AU641" s="1" t="str">
        <f t="shared" si="79"/>
        <v>Blank</v>
      </c>
      <c r="AV641" s="1" t="str">
        <f t="shared" si="80"/>
        <v>Blank</v>
      </c>
      <c r="AW641" s="1">
        <f t="shared" si="81"/>
        <v>0</v>
      </c>
      <c r="AX641" s="1">
        <f t="shared" si="82"/>
        <v>0</v>
      </c>
      <c r="AY641" s="1"/>
      <c r="AZ641" s="1">
        <f>IF(COUNTIFS('PID CHECK'!$B:$B,AR641)=1,0,IF(COUNTIFS(AR$1:AR640,AR641)=1,0,1))</f>
        <v>0</v>
      </c>
      <c r="BA641" s="1"/>
      <c r="BB641" s="1"/>
    </row>
    <row r="642" spans="1:54">
      <c r="A642">
        <v>641</v>
      </c>
      <c r="B642" t="s">
        <v>82</v>
      </c>
      <c r="C642" t="s">
        <v>164</v>
      </c>
      <c r="D642" t="s">
        <v>153</v>
      </c>
      <c r="E642" t="s">
        <v>47</v>
      </c>
      <c r="F642" t="s">
        <v>50</v>
      </c>
      <c r="H642" t="s">
        <v>131</v>
      </c>
      <c r="J642" t="s">
        <v>49</v>
      </c>
      <c r="K642" t="s">
        <v>53</v>
      </c>
      <c r="L642" t="s">
        <v>762</v>
      </c>
      <c r="M642" t="s">
        <v>762</v>
      </c>
      <c r="N642">
        <v>0.04</v>
      </c>
      <c r="R642" t="s">
        <v>132</v>
      </c>
      <c r="S642" t="s">
        <v>133</v>
      </c>
      <c r="Z642" t="s">
        <v>84</v>
      </c>
      <c r="AA642" t="s">
        <v>156</v>
      </c>
      <c r="AC642" t="s">
        <v>883</v>
      </c>
      <c r="AD642" t="s">
        <v>50</v>
      </c>
      <c r="AH642">
        <v>3</v>
      </c>
      <c r="AM642">
        <v>43465</v>
      </c>
      <c r="AN642">
        <v>43469</v>
      </c>
      <c r="AO642" s="2">
        <f t="shared" si="75"/>
        <v>366</v>
      </c>
      <c r="AP642" s="2">
        <f t="shared" si="76"/>
        <v>730</v>
      </c>
      <c r="AQ642" s="3">
        <f t="shared" si="77"/>
        <v>0</v>
      </c>
      <c r="AR642" s="1" t="str">
        <f>INDEX(IOS!$B:$B,MATCH(D642,IOS!A:A,0))&amp;B642</f>
        <v>O.D.5</v>
      </c>
      <c r="AS642" s="1">
        <f t="shared" si="78"/>
        <v>0</v>
      </c>
      <c r="AT642" s="1" t="str">
        <f>IF(ISBLANK(W642),"",IF(ISERROR(MATCH(W642,HQLATABLE!$A:$A,0)),0,1))</f>
        <v/>
      </c>
      <c r="AU642" s="1" t="str">
        <f t="shared" si="79"/>
        <v>Blank</v>
      </c>
      <c r="AV642" s="1" t="str">
        <f t="shared" si="80"/>
        <v>Blank</v>
      </c>
      <c r="AW642" s="1">
        <f t="shared" si="81"/>
        <v>0</v>
      </c>
      <c r="AX642" s="1">
        <f t="shared" si="82"/>
        <v>0</v>
      </c>
      <c r="AY642" s="1"/>
      <c r="AZ642" s="1">
        <f>IF(COUNTIFS('PID CHECK'!$B:$B,AR642)=1,0,IF(COUNTIFS(AR$1:AR641,AR642)=1,0,1))</f>
        <v>0</v>
      </c>
      <c r="BA642" s="1"/>
      <c r="BB642" s="1"/>
    </row>
    <row r="643" spans="1:54">
      <c r="A643">
        <v>642</v>
      </c>
      <c r="B643" t="s">
        <v>82</v>
      </c>
      <c r="C643" t="s">
        <v>164</v>
      </c>
      <c r="D643" t="s">
        <v>153</v>
      </c>
      <c r="E643" t="s">
        <v>47</v>
      </c>
      <c r="F643" t="s">
        <v>50</v>
      </c>
      <c r="H643" t="s">
        <v>1011</v>
      </c>
      <c r="J643" t="s">
        <v>49</v>
      </c>
      <c r="K643" t="s">
        <v>53</v>
      </c>
      <c r="L643" t="s">
        <v>762</v>
      </c>
      <c r="M643" t="s">
        <v>762</v>
      </c>
      <c r="N643">
        <v>0.01</v>
      </c>
      <c r="R643" t="s">
        <v>1012</v>
      </c>
      <c r="S643" t="s">
        <v>1012</v>
      </c>
      <c r="Z643" t="s">
        <v>84</v>
      </c>
      <c r="AA643" t="s">
        <v>154</v>
      </c>
      <c r="AC643" t="s">
        <v>883</v>
      </c>
      <c r="AD643" t="s">
        <v>50</v>
      </c>
      <c r="AH643">
        <v>3</v>
      </c>
      <c r="AM643">
        <v>43465</v>
      </c>
      <c r="AN643">
        <v>43469</v>
      </c>
      <c r="AO643" s="2">
        <f t="shared" ref="AO643:AO662" si="83">VALUE(MID(R643,FIND("P",R643)+1,FIND("D",R643)-1-FIND("P",R643)))</f>
        <v>46</v>
      </c>
      <c r="AP643" s="2">
        <f t="shared" ref="AP643:AP662" si="84">IFERROR(VALUE(MID(S643,FIND("P",S643)+1,FIND("D",S643)-1-FIND("P",S643))),99999)</f>
        <v>46</v>
      </c>
      <c r="AQ643" s="3">
        <f t="shared" ref="AQ643:AQ662" si="85">IF(AO643&lt;=30,1,0)</f>
        <v>0</v>
      </c>
      <c r="AR643" s="1" t="str">
        <f>INDEX(IOS!$B:$B,MATCH(D643,IOS!A:A,0))&amp;B643</f>
        <v>O.D.5</v>
      </c>
      <c r="AS643" s="1">
        <f t="shared" ref="AS643:AS662" si="86">IF(F643="","Blank",IF(F643="True",1,0))</f>
        <v>0</v>
      </c>
      <c r="AT643" s="1" t="str">
        <f>IF(ISBLANK(W643),"",IF(ISERROR(MATCH(W643,HQLATABLE!$A:$A,0)),0,1))</f>
        <v/>
      </c>
      <c r="AU643" s="1" t="str">
        <f t="shared" ref="AU643:AU662" si="87">IF(V643="","Blank",IF(V643="True",1,0))</f>
        <v>Blank</v>
      </c>
      <c r="AV643" s="1" t="str">
        <f t="shared" ref="AV643:AV662" si="88">IF(AG643="","Blank",IF(AG643="True",1,0))</f>
        <v>Blank</v>
      </c>
      <c r="AW643" s="1">
        <f t="shared" ref="AW643:AW662" si="89">IF(X643="",0,IF(OR(X643&gt;=N643),-1,1))</f>
        <v>0</v>
      </c>
      <c r="AX643" s="1">
        <f t="shared" ref="AX643:AX662" si="90">IF(AC643="","Blank",IF(AC643="True",1,0))</f>
        <v>0</v>
      </c>
      <c r="AY643" s="1"/>
      <c r="AZ643" s="1">
        <f>IF(COUNTIFS('PID CHECK'!$B:$B,AR643)=1,0,IF(COUNTIFS(AR$1:AR642,AR643)=1,0,1))</f>
        <v>0</v>
      </c>
      <c r="BA643" s="1"/>
      <c r="BB643" s="1"/>
    </row>
    <row r="644" spans="1:54">
      <c r="A644">
        <v>643</v>
      </c>
      <c r="B644" t="s">
        <v>82</v>
      </c>
      <c r="C644" t="s">
        <v>164</v>
      </c>
      <c r="D644" t="s">
        <v>153</v>
      </c>
      <c r="E644" t="s">
        <v>47</v>
      </c>
      <c r="F644" t="s">
        <v>50</v>
      </c>
      <c r="H644" t="s">
        <v>108</v>
      </c>
      <c r="J644" t="s">
        <v>49</v>
      </c>
      <c r="K644" t="s">
        <v>53</v>
      </c>
      <c r="L644" t="s">
        <v>762</v>
      </c>
      <c r="M644" t="s">
        <v>762</v>
      </c>
      <c r="N644">
        <v>0.05</v>
      </c>
      <c r="R644" t="s">
        <v>109</v>
      </c>
      <c r="S644" t="s">
        <v>110</v>
      </c>
      <c r="Z644" t="s">
        <v>84</v>
      </c>
      <c r="AA644" t="s">
        <v>154</v>
      </c>
      <c r="AC644" t="s">
        <v>883</v>
      </c>
      <c r="AD644" t="s">
        <v>50</v>
      </c>
      <c r="AH644">
        <v>3</v>
      </c>
      <c r="AM644">
        <v>43465</v>
      </c>
      <c r="AN644">
        <v>43469</v>
      </c>
      <c r="AO644" s="2">
        <f t="shared" si="83"/>
        <v>91</v>
      </c>
      <c r="AP644" s="2">
        <f t="shared" si="84"/>
        <v>120</v>
      </c>
      <c r="AQ644" s="3">
        <f t="shared" si="85"/>
        <v>0</v>
      </c>
      <c r="AR644" s="1" t="str">
        <f>INDEX(IOS!$B:$B,MATCH(D644,IOS!A:A,0))&amp;B644</f>
        <v>O.D.5</v>
      </c>
      <c r="AS644" s="1">
        <f t="shared" si="86"/>
        <v>0</v>
      </c>
      <c r="AT644" s="1" t="str">
        <f>IF(ISBLANK(W644),"",IF(ISERROR(MATCH(W644,HQLATABLE!$A:$A,0)),0,1))</f>
        <v/>
      </c>
      <c r="AU644" s="1" t="str">
        <f t="shared" si="87"/>
        <v>Blank</v>
      </c>
      <c r="AV644" s="1" t="str">
        <f t="shared" si="88"/>
        <v>Blank</v>
      </c>
      <c r="AW644" s="1">
        <f t="shared" si="89"/>
        <v>0</v>
      </c>
      <c r="AX644" s="1">
        <f t="shared" si="90"/>
        <v>0</v>
      </c>
      <c r="AY644" s="1"/>
      <c r="AZ644" s="1">
        <f>IF(COUNTIFS('PID CHECK'!$B:$B,AR644)=1,0,IF(COUNTIFS(AR$1:AR643,AR644)=1,0,1))</f>
        <v>0</v>
      </c>
      <c r="BA644" s="1"/>
      <c r="BB644" s="1"/>
    </row>
    <row r="645" spans="1:54">
      <c r="A645">
        <v>644</v>
      </c>
      <c r="B645" t="s">
        <v>137</v>
      </c>
      <c r="C645" t="s">
        <v>168</v>
      </c>
      <c r="D645" t="s">
        <v>153</v>
      </c>
      <c r="E645" t="s">
        <v>47</v>
      </c>
      <c r="F645" t="s">
        <v>50</v>
      </c>
      <c r="H645" t="s">
        <v>995</v>
      </c>
      <c r="J645" t="s">
        <v>49</v>
      </c>
      <c r="K645" t="s">
        <v>50</v>
      </c>
      <c r="L645" t="s">
        <v>762</v>
      </c>
      <c r="M645" t="s">
        <v>762</v>
      </c>
      <c r="N645">
        <v>3.56</v>
      </c>
      <c r="R645" t="s">
        <v>996</v>
      </c>
      <c r="S645" t="s">
        <v>996</v>
      </c>
      <c r="Z645" t="s">
        <v>84</v>
      </c>
      <c r="AA645" t="s">
        <v>154</v>
      </c>
      <c r="AC645" t="s">
        <v>883</v>
      </c>
      <c r="AD645" t="s">
        <v>50</v>
      </c>
      <c r="AH645">
        <v>3</v>
      </c>
      <c r="AM645">
        <v>43465</v>
      </c>
      <c r="AN645">
        <v>43469</v>
      </c>
      <c r="AO645" s="2">
        <f t="shared" si="83"/>
        <v>10</v>
      </c>
      <c r="AP645" s="2">
        <f t="shared" si="84"/>
        <v>10</v>
      </c>
      <c r="AQ645" s="3">
        <f t="shared" si="85"/>
        <v>1</v>
      </c>
      <c r="AR645" s="1" t="str">
        <f>INDEX(IOS!$B:$B,MATCH(D645,IOS!A:A,0))&amp;B645</f>
        <v>O.D.11</v>
      </c>
      <c r="AS645" s="1">
        <f t="shared" si="86"/>
        <v>0</v>
      </c>
      <c r="AT645" s="1" t="str">
        <f>IF(ISBLANK(W645),"",IF(ISERROR(MATCH(W645,HQLATABLE!$A:$A,0)),0,1))</f>
        <v/>
      </c>
      <c r="AU645" s="1" t="str">
        <f t="shared" si="87"/>
        <v>Blank</v>
      </c>
      <c r="AV645" s="1" t="str">
        <f t="shared" si="88"/>
        <v>Blank</v>
      </c>
      <c r="AW645" s="1">
        <f t="shared" si="89"/>
        <v>0</v>
      </c>
      <c r="AX645" s="1">
        <f t="shared" si="90"/>
        <v>0</v>
      </c>
      <c r="AY645" s="1"/>
      <c r="AZ645" s="1">
        <f>IF(COUNTIFS('PID CHECK'!$B:$B,AR645)=1,0,IF(COUNTIFS(AR$1:AR644,AR645)=1,0,1))</f>
        <v>0</v>
      </c>
      <c r="BA645" s="1"/>
      <c r="BB645" s="1"/>
    </row>
    <row r="646" spans="1:54">
      <c r="A646">
        <v>645</v>
      </c>
      <c r="B646" t="s">
        <v>137</v>
      </c>
      <c r="C646" t="s">
        <v>168</v>
      </c>
      <c r="D646" t="s">
        <v>153</v>
      </c>
      <c r="E646" t="s">
        <v>47</v>
      </c>
      <c r="F646" t="s">
        <v>50</v>
      </c>
      <c r="H646" t="s">
        <v>67</v>
      </c>
      <c r="J646" t="s">
        <v>49</v>
      </c>
      <c r="K646" t="s">
        <v>50</v>
      </c>
      <c r="L646" t="s">
        <v>762</v>
      </c>
      <c r="M646" t="s">
        <v>762</v>
      </c>
      <c r="N646">
        <v>38.17</v>
      </c>
      <c r="R646" t="s">
        <v>68</v>
      </c>
      <c r="S646" t="s">
        <v>69</v>
      </c>
      <c r="Z646" t="s">
        <v>84</v>
      </c>
      <c r="AA646" t="s">
        <v>154</v>
      </c>
      <c r="AC646" t="s">
        <v>883</v>
      </c>
      <c r="AD646" t="s">
        <v>50</v>
      </c>
      <c r="AH646">
        <v>3</v>
      </c>
      <c r="AM646">
        <v>43465</v>
      </c>
      <c r="AN646">
        <v>43469</v>
      </c>
      <c r="AO646" s="2">
        <f t="shared" si="83"/>
        <v>121</v>
      </c>
      <c r="AP646" s="2">
        <f t="shared" si="84"/>
        <v>150</v>
      </c>
      <c r="AQ646" s="3">
        <f t="shared" si="85"/>
        <v>0</v>
      </c>
      <c r="AR646" s="1" t="str">
        <f>INDEX(IOS!$B:$B,MATCH(D646,IOS!A:A,0))&amp;B646</f>
        <v>O.D.11</v>
      </c>
      <c r="AS646" s="1">
        <f t="shared" si="86"/>
        <v>0</v>
      </c>
      <c r="AT646" s="1" t="str">
        <f>IF(ISBLANK(W646),"",IF(ISERROR(MATCH(W646,HQLATABLE!$A:$A,0)),0,1))</f>
        <v/>
      </c>
      <c r="AU646" s="1" t="str">
        <f t="shared" si="87"/>
        <v>Blank</v>
      </c>
      <c r="AV646" s="1" t="str">
        <f t="shared" si="88"/>
        <v>Blank</v>
      </c>
      <c r="AW646" s="1">
        <f t="shared" si="89"/>
        <v>0</v>
      </c>
      <c r="AX646" s="1">
        <f t="shared" si="90"/>
        <v>0</v>
      </c>
      <c r="AY646" s="1"/>
      <c r="AZ646" s="1">
        <f>IF(COUNTIFS('PID CHECK'!$B:$B,AR646)=1,0,IF(COUNTIFS(AR$1:AR645,AR646)=1,0,1))</f>
        <v>0</v>
      </c>
      <c r="BA646" s="1"/>
      <c r="BB646" s="1"/>
    </row>
    <row r="647" spans="1:54">
      <c r="A647">
        <v>646</v>
      </c>
      <c r="B647" t="s">
        <v>137</v>
      </c>
      <c r="C647" t="s">
        <v>168</v>
      </c>
      <c r="D647" t="s">
        <v>153</v>
      </c>
      <c r="E647" t="s">
        <v>47</v>
      </c>
      <c r="F647" t="s">
        <v>50</v>
      </c>
      <c r="H647" t="s">
        <v>73</v>
      </c>
      <c r="J647" t="s">
        <v>49</v>
      </c>
      <c r="K647" t="s">
        <v>50</v>
      </c>
      <c r="L647" t="s">
        <v>762</v>
      </c>
      <c r="M647" t="s">
        <v>762</v>
      </c>
      <c r="N647">
        <v>15.19</v>
      </c>
      <c r="R647" t="s">
        <v>74</v>
      </c>
      <c r="S647" t="s">
        <v>75</v>
      </c>
      <c r="Z647" t="s">
        <v>84</v>
      </c>
      <c r="AA647" t="s">
        <v>154</v>
      </c>
      <c r="AC647" t="s">
        <v>883</v>
      </c>
      <c r="AD647" t="s">
        <v>50</v>
      </c>
      <c r="AH647">
        <v>3</v>
      </c>
      <c r="AM647">
        <v>43465</v>
      </c>
      <c r="AN647">
        <v>43469</v>
      </c>
      <c r="AO647" s="2">
        <f t="shared" si="83"/>
        <v>151</v>
      </c>
      <c r="AP647" s="2">
        <f t="shared" si="84"/>
        <v>180</v>
      </c>
      <c r="AQ647" s="3">
        <f t="shared" si="85"/>
        <v>0</v>
      </c>
      <c r="AR647" s="1" t="str">
        <f>INDEX(IOS!$B:$B,MATCH(D647,IOS!A:A,0))&amp;B647</f>
        <v>O.D.11</v>
      </c>
      <c r="AS647" s="1">
        <f t="shared" si="86"/>
        <v>0</v>
      </c>
      <c r="AT647" s="1" t="str">
        <f>IF(ISBLANK(W647),"",IF(ISERROR(MATCH(W647,HQLATABLE!$A:$A,0)),0,1))</f>
        <v/>
      </c>
      <c r="AU647" s="1" t="str">
        <f t="shared" si="87"/>
        <v>Blank</v>
      </c>
      <c r="AV647" s="1" t="str">
        <f t="shared" si="88"/>
        <v>Blank</v>
      </c>
      <c r="AW647" s="1">
        <f t="shared" si="89"/>
        <v>0</v>
      </c>
      <c r="AX647" s="1">
        <f t="shared" si="90"/>
        <v>0</v>
      </c>
      <c r="AY647" s="1"/>
      <c r="AZ647" s="1">
        <f>IF(COUNTIFS('PID CHECK'!$B:$B,AR647)=1,0,IF(COUNTIFS(AR$1:AR646,AR647)=1,0,1))</f>
        <v>0</v>
      </c>
      <c r="BA647" s="1"/>
      <c r="BB647" s="1"/>
    </row>
    <row r="648" spans="1:54">
      <c r="A648">
        <v>647</v>
      </c>
      <c r="B648" t="s">
        <v>137</v>
      </c>
      <c r="C648" t="s">
        <v>168</v>
      </c>
      <c r="D648" t="s">
        <v>153</v>
      </c>
      <c r="E648" t="s">
        <v>47</v>
      </c>
      <c r="F648" t="s">
        <v>50</v>
      </c>
      <c r="H648" t="s">
        <v>997</v>
      </c>
      <c r="J648" t="s">
        <v>49</v>
      </c>
      <c r="K648" t="s">
        <v>50</v>
      </c>
      <c r="L648" t="s">
        <v>762</v>
      </c>
      <c r="M648" t="s">
        <v>762</v>
      </c>
      <c r="N648">
        <v>5.83</v>
      </c>
      <c r="R648" t="s">
        <v>998</v>
      </c>
      <c r="S648" t="s">
        <v>998</v>
      </c>
      <c r="Z648" t="s">
        <v>84</v>
      </c>
      <c r="AA648" t="s">
        <v>154</v>
      </c>
      <c r="AC648" t="s">
        <v>883</v>
      </c>
      <c r="AD648" t="s">
        <v>50</v>
      </c>
      <c r="AH648">
        <v>3</v>
      </c>
      <c r="AM648">
        <v>43465</v>
      </c>
      <c r="AN648">
        <v>43469</v>
      </c>
      <c r="AO648" s="2">
        <f t="shared" si="83"/>
        <v>17</v>
      </c>
      <c r="AP648" s="2">
        <f t="shared" si="84"/>
        <v>17</v>
      </c>
      <c r="AQ648" s="3">
        <f t="shared" si="85"/>
        <v>1</v>
      </c>
      <c r="AR648" s="1" t="str">
        <f>INDEX(IOS!$B:$B,MATCH(D648,IOS!A:A,0))&amp;B648</f>
        <v>O.D.11</v>
      </c>
      <c r="AS648" s="1">
        <f t="shared" si="86"/>
        <v>0</v>
      </c>
      <c r="AT648" s="1" t="str">
        <f>IF(ISBLANK(W648),"",IF(ISERROR(MATCH(W648,HQLATABLE!$A:$A,0)),0,1))</f>
        <v/>
      </c>
      <c r="AU648" s="1" t="str">
        <f t="shared" si="87"/>
        <v>Blank</v>
      </c>
      <c r="AV648" s="1" t="str">
        <f t="shared" si="88"/>
        <v>Blank</v>
      </c>
      <c r="AW648" s="1">
        <f t="shared" si="89"/>
        <v>0</v>
      </c>
      <c r="AX648" s="1">
        <f t="shared" si="90"/>
        <v>0</v>
      </c>
      <c r="AY648" s="1"/>
      <c r="AZ648" s="1">
        <f>IF(COUNTIFS('PID CHECK'!$B:$B,AR648)=1,0,IF(COUNTIFS(AR$1:AR647,AR648)=1,0,1))</f>
        <v>0</v>
      </c>
      <c r="BA648" s="1"/>
      <c r="BB648" s="1"/>
    </row>
    <row r="649" spans="1:54">
      <c r="A649">
        <v>648</v>
      </c>
      <c r="B649" t="s">
        <v>137</v>
      </c>
      <c r="C649" t="s">
        <v>168</v>
      </c>
      <c r="D649" t="s">
        <v>153</v>
      </c>
      <c r="E649" t="s">
        <v>47</v>
      </c>
      <c r="F649" t="s">
        <v>50</v>
      </c>
      <c r="H649" t="s">
        <v>87</v>
      </c>
      <c r="J649" t="s">
        <v>49</v>
      </c>
      <c r="K649" t="s">
        <v>50</v>
      </c>
      <c r="L649" t="s">
        <v>762</v>
      </c>
      <c r="M649" t="s">
        <v>762</v>
      </c>
      <c r="N649">
        <v>40.729999999999997</v>
      </c>
      <c r="R649" t="s">
        <v>88</v>
      </c>
      <c r="S649" t="s">
        <v>89</v>
      </c>
      <c r="Z649" t="s">
        <v>84</v>
      </c>
      <c r="AA649" t="s">
        <v>154</v>
      </c>
      <c r="AC649" t="s">
        <v>883</v>
      </c>
      <c r="AD649" t="s">
        <v>50</v>
      </c>
      <c r="AH649">
        <v>3</v>
      </c>
      <c r="AM649">
        <v>43465</v>
      </c>
      <c r="AN649">
        <v>43469</v>
      </c>
      <c r="AO649" s="2">
        <f t="shared" si="83"/>
        <v>181</v>
      </c>
      <c r="AP649" s="2">
        <f t="shared" si="84"/>
        <v>270</v>
      </c>
      <c r="AQ649" s="3">
        <f t="shared" si="85"/>
        <v>0</v>
      </c>
      <c r="AR649" s="1" t="str">
        <f>INDEX(IOS!$B:$B,MATCH(D649,IOS!A:A,0))&amp;B649</f>
        <v>O.D.11</v>
      </c>
      <c r="AS649" s="1">
        <f t="shared" si="86"/>
        <v>0</v>
      </c>
      <c r="AT649" s="1" t="str">
        <f>IF(ISBLANK(W649),"",IF(ISERROR(MATCH(W649,HQLATABLE!$A:$A,0)),0,1))</f>
        <v/>
      </c>
      <c r="AU649" s="1" t="str">
        <f t="shared" si="87"/>
        <v>Blank</v>
      </c>
      <c r="AV649" s="1" t="str">
        <f t="shared" si="88"/>
        <v>Blank</v>
      </c>
      <c r="AW649" s="1">
        <f t="shared" si="89"/>
        <v>0</v>
      </c>
      <c r="AX649" s="1">
        <f t="shared" si="90"/>
        <v>0</v>
      </c>
      <c r="AY649" s="1"/>
      <c r="AZ649" s="1">
        <f>IF(COUNTIFS('PID CHECK'!$B:$B,AR649)=1,0,IF(COUNTIFS(AR$1:AR648,AR649)=1,0,1))</f>
        <v>0</v>
      </c>
      <c r="BA649" s="1"/>
      <c r="BB649" s="1"/>
    </row>
    <row r="650" spans="1:54">
      <c r="A650">
        <v>649</v>
      </c>
      <c r="B650" t="s">
        <v>137</v>
      </c>
      <c r="C650" t="s">
        <v>168</v>
      </c>
      <c r="D650" t="s">
        <v>153</v>
      </c>
      <c r="E650" t="s">
        <v>47</v>
      </c>
      <c r="F650" t="s">
        <v>50</v>
      </c>
      <c r="H650" t="s">
        <v>1001</v>
      </c>
      <c r="J650" t="s">
        <v>49</v>
      </c>
      <c r="K650" t="s">
        <v>50</v>
      </c>
      <c r="L650" t="s">
        <v>762</v>
      </c>
      <c r="M650" t="s">
        <v>762</v>
      </c>
      <c r="N650">
        <v>1.27</v>
      </c>
      <c r="R650" t="s">
        <v>1002</v>
      </c>
      <c r="S650" t="s">
        <v>1002</v>
      </c>
      <c r="Z650" t="s">
        <v>84</v>
      </c>
      <c r="AA650" t="s">
        <v>154</v>
      </c>
      <c r="AC650" t="s">
        <v>883</v>
      </c>
      <c r="AD650" t="s">
        <v>50</v>
      </c>
      <c r="AH650">
        <v>3</v>
      </c>
      <c r="AM650">
        <v>43465</v>
      </c>
      <c r="AN650">
        <v>43469</v>
      </c>
      <c r="AO650" s="2">
        <f t="shared" si="83"/>
        <v>24</v>
      </c>
      <c r="AP650" s="2">
        <f t="shared" si="84"/>
        <v>24</v>
      </c>
      <c r="AQ650" s="3">
        <f t="shared" si="85"/>
        <v>1</v>
      </c>
      <c r="AR650" s="1" t="str">
        <f>INDEX(IOS!$B:$B,MATCH(D650,IOS!A:A,0))&amp;B650</f>
        <v>O.D.11</v>
      </c>
      <c r="AS650" s="1">
        <f t="shared" si="86"/>
        <v>0</v>
      </c>
      <c r="AT650" s="1" t="str">
        <f>IF(ISBLANK(W650),"",IF(ISERROR(MATCH(W650,HQLATABLE!$A:$A,0)),0,1))</f>
        <v/>
      </c>
      <c r="AU650" s="1" t="str">
        <f t="shared" si="87"/>
        <v>Blank</v>
      </c>
      <c r="AV650" s="1" t="str">
        <f t="shared" si="88"/>
        <v>Blank</v>
      </c>
      <c r="AW650" s="1">
        <f t="shared" si="89"/>
        <v>0</v>
      </c>
      <c r="AX650" s="1">
        <f t="shared" si="90"/>
        <v>0</v>
      </c>
      <c r="AY650" s="1"/>
      <c r="AZ650" s="1">
        <f>IF(COUNTIFS('PID CHECK'!$B:$B,AR650)=1,0,IF(COUNTIFS(AR$1:AR649,AR650)=1,0,1))</f>
        <v>0</v>
      </c>
      <c r="BA650" s="1"/>
      <c r="BB650" s="1"/>
    </row>
    <row r="651" spans="1:54">
      <c r="A651">
        <v>650</v>
      </c>
      <c r="B651" t="s">
        <v>137</v>
      </c>
      <c r="C651" t="s">
        <v>168</v>
      </c>
      <c r="D651" t="s">
        <v>153</v>
      </c>
      <c r="E651" t="s">
        <v>47</v>
      </c>
      <c r="F651" t="s">
        <v>50</v>
      </c>
      <c r="H651" t="s">
        <v>79</v>
      </c>
      <c r="J651" t="s">
        <v>49</v>
      </c>
      <c r="K651" t="s">
        <v>50</v>
      </c>
      <c r="L651" t="s">
        <v>762</v>
      </c>
      <c r="M651" t="s">
        <v>762</v>
      </c>
      <c r="N651">
        <v>24.96</v>
      </c>
      <c r="R651" t="s">
        <v>80</v>
      </c>
      <c r="S651" t="s">
        <v>81</v>
      </c>
      <c r="Z651" t="s">
        <v>84</v>
      </c>
      <c r="AA651" t="s">
        <v>154</v>
      </c>
      <c r="AC651" t="s">
        <v>883</v>
      </c>
      <c r="AD651" t="s">
        <v>50</v>
      </c>
      <c r="AH651">
        <v>3</v>
      </c>
      <c r="AM651">
        <v>43465</v>
      </c>
      <c r="AN651">
        <v>43469</v>
      </c>
      <c r="AO651" s="2">
        <f t="shared" si="83"/>
        <v>271</v>
      </c>
      <c r="AP651" s="2">
        <f t="shared" si="84"/>
        <v>365</v>
      </c>
      <c r="AQ651" s="3">
        <f t="shared" si="85"/>
        <v>0</v>
      </c>
      <c r="AR651" s="1" t="str">
        <f>INDEX(IOS!$B:$B,MATCH(D651,IOS!A:A,0))&amp;B651</f>
        <v>O.D.11</v>
      </c>
      <c r="AS651" s="1">
        <f t="shared" si="86"/>
        <v>0</v>
      </c>
      <c r="AT651" s="1" t="str">
        <f>IF(ISBLANK(W651),"",IF(ISERROR(MATCH(W651,HQLATABLE!$A:$A,0)),0,1))</f>
        <v/>
      </c>
      <c r="AU651" s="1" t="str">
        <f t="shared" si="87"/>
        <v>Blank</v>
      </c>
      <c r="AV651" s="1" t="str">
        <f t="shared" si="88"/>
        <v>Blank</v>
      </c>
      <c r="AW651" s="1">
        <f t="shared" si="89"/>
        <v>0</v>
      </c>
      <c r="AX651" s="1">
        <f t="shared" si="90"/>
        <v>0</v>
      </c>
      <c r="AY651" s="1"/>
      <c r="AZ651" s="1">
        <f>IF(COUNTIFS('PID CHECK'!$B:$B,AR651)=1,0,IF(COUNTIFS(AR$1:AR650,AR651)=1,0,1))</f>
        <v>0</v>
      </c>
      <c r="BA651" s="1"/>
      <c r="BB651" s="1"/>
    </row>
    <row r="652" spans="1:54">
      <c r="A652">
        <v>651</v>
      </c>
      <c r="B652" t="s">
        <v>137</v>
      </c>
      <c r="C652" t="s">
        <v>168</v>
      </c>
      <c r="D652" t="s">
        <v>153</v>
      </c>
      <c r="E652" t="s">
        <v>47</v>
      </c>
      <c r="F652" t="s">
        <v>50</v>
      </c>
      <c r="H652" t="s">
        <v>1003</v>
      </c>
      <c r="J652" t="s">
        <v>49</v>
      </c>
      <c r="K652" t="s">
        <v>50</v>
      </c>
      <c r="L652" t="s">
        <v>762</v>
      </c>
      <c r="M652" t="s">
        <v>762</v>
      </c>
      <c r="N652">
        <v>12.21</v>
      </c>
      <c r="R652" t="s">
        <v>1004</v>
      </c>
      <c r="S652" t="s">
        <v>1004</v>
      </c>
      <c r="Z652" t="s">
        <v>84</v>
      </c>
      <c r="AA652" t="s">
        <v>154</v>
      </c>
      <c r="AC652" t="s">
        <v>883</v>
      </c>
      <c r="AD652" t="s">
        <v>50</v>
      </c>
      <c r="AH652">
        <v>3</v>
      </c>
      <c r="AM652">
        <v>43465</v>
      </c>
      <c r="AN652">
        <v>43469</v>
      </c>
      <c r="AO652" s="2">
        <f t="shared" si="83"/>
        <v>31</v>
      </c>
      <c r="AP652" s="2">
        <f t="shared" si="84"/>
        <v>31</v>
      </c>
      <c r="AQ652" s="3">
        <f t="shared" si="85"/>
        <v>0</v>
      </c>
      <c r="AR652" s="1" t="str">
        <f>INDEX(IOS!$B:$B,MATCH(D652,IOS!A:A,0))&amp;B652</f>
        <v>O.D.11</v>
      </c>
      <c r="AS652" s="1">
        <f t="shared" si="86"/>
        <v>0</v>
      </c>
      <c r="AT652" s="1" t="str">
        <f>IF(ISBLANK(W652),"",IF(ISERROR(MATCH(W652,HQLATABLE!$A:$A,0)),0,1))</f>
        <v/>
      </c>
      <c r="AU652" s="1" t="str">
        <f t="shared" si="87"/>
        <v>Blank</v>
      </c>
      <c r="AV652" s="1" t="str">
        <f t="shared" si="88"/>
        <v>Blank</v>
      </c>
      <c r="AW652" s="1">
        <f t="shared" si="89"/>
        <v>0</v>
      </c>
      <c r="AX652" s="1">
        <f t="shared" si="90"/>
        <v>0</v>
      </c>
      <c r="AY652" s="1"/>
      <c r="AZ652" s="1">
        <f>IF(COUNTIFS('PID CHECK'!$B:$B,AR652)=1,0,IF(COUNTIFS(AR$1:AR651,AR652)=1,0,1))</f>
        <v>0</v>
      </c>
      <c r="BA652" s="1"/>
      <c r="BB652" s="1"/>
    </row>
    <row r="653" spans="1:54">
      <c r="A653">
        <v>652</v>
      </c>
      <c r="B653" t="s">
        <v>137</v>
      </c>
      <c r="C653" t="s">
        <v>168</v>
      </c>
      <c r="D653" t="s">
        <v>153</v>
      </c>
      <c r="E653" t="s">
        <v>47</v>
      </c>
      <c r="F653" t="s">
        <v>50</v>
      </c>
      <c r="H653" t="s">
        <v>131</v>
      </c>
      <c r="J653" t="s">
        <v>49</v>
      </c>
      <c r="K653" t="s">
        <v>50</v>
      </c>
      <c r="L653" t="s">
        <v>762</v>
      </c>
      <c r="M653" t="s">
        <v>762</v>
      </c>
      <c r="N653">
        <v>5.74</v>
      </c>
      <c r="R653" t="s">
        <v>132</v>
      </c>
      <c r="S653" t="s">
        <v>133</v>
      </c>
      <c r="Z653" t="s">
        <v>84</v>
      </c>
      <c r="AA653" t="s">
        <v>154</v>
      </c>
      <c r="AC653" t="s">
        <v>883</v>
      </c>
      <c r="AD653" t="s">
        <v>50</v>
      </c>
      <c r="AH653">
        <v>3</v>
      </c>
      <c r="AM653">
        <v>43465</v>
      </c>
      <c r="AN653">
        <v>43469</v>
      </c>
      <c r="AO653" s="2">
        <f t="shared" si="83"/>
        <v>366</v>
      </c>
      <c r="AP653" s="2">
        <f t="shared" si="84"/>
        <v>730</v>
      </c>
      <c r="AQ653" s="3">
        <f t="shared" si="85"/>
        <v>0</v>
      </c>
      <c r="AR653" s="1" t="str">
        <f>INDEX(IOS!$B:$B,MATCH(D653,IOS!A:A,0))&amp;B653</f>
        <v>O.D.11</v>
      </c>
      <c r="AS653" s="1">
        <f t="shared" si="86"/>
        <v>0</v>
      </c>
      <c r="AT653" s="1" t="str">
        <f>IF(ISBLANK(W653),"",IF(ISERROR(MATCH(W653,HQLATABLE!$A:$A,0)),0,1))</f>
        <v/>
      </c>
      <c r="AU653" s="1" t="str">
        <f t="shared" si="87"/>
        <v>Blank</v>
      </c>
      <c r="AV653" s="1" t="str">
        <f t="shared" si="88"/>
        <v>Blank</v>
      </c>
      <c r="AW653" s="1">
        <f t="shared" si="89"/>
        <v>0</v>
      </c>
      <c r="AX653" s="1">
        <f t="shared" si="90"/>
        <v>0</v>
      </c>
      <c r="AY653" s="1"/>
      <c r="AZ653" s="1">
        <f>IF(COUNTIFS('PID CHECK'!$B:$B,AR653)=1,0,IF(COUNTIFS(AR$1:AR652,AR653)=1,0,1))</f>
        <v>0</v>
      </c>
      <c r="BA653" s="1"/>
      <c r="BB653" s="1"/>
    </row>
    <row r="654" spans="1:54">
      <c r="A654">
        <v>653</v>
      </c>
      <c r="B654" t="s">
        <v>137</v>
      </c>
      <c r="C654" t="s">
        <v>168</v>
      </c>
      <c r="D654" t="s">
        <v>153</v>
      </c>
      <c r="E654" t="s">
        <v>47</v>
      </c>
      <c r="F654" t="s">
        <v>50</v>
      </c>
      <c r="H654" t="s">
        <v>1005</v>
      </c>
      <c r="J654" t="s">
        <v>49</v>
      </c>
      <c r="K654" t="s">
        <v>50</v>
      </c>
      <c r="L654" t="s">
        <v>762</v>
      </c>
      <c r="M654" t="s">
        <v>762</v>
      </c>
      <c r="N654">
        <v>17.89</v>
      </c>
      <c r="R654" t="s">
        <v>1006</v>
      </c>
      <c r="S654" t="s">
        <v>1006</v>
      </c>
      <c r="Z654" t="s">
        <v>84</v>
      </c>
      <c r="AA654" t="s">
        <v>154</v>
      </c>
      <c r="AC654" t="s">
        <v>883</v>
      </c>
      <c r="AD654" t="s">
        <v>50</v>
      </c>
      <c r="AH654">
        <v>3</v>
      </c>
      <c r="AM654">
        <v>43465</v>
      </c>
      <c r="AN654">
        <v>43469</v>
      </c>
      <c r="AO654" s="2">
        <f t="shared" si="83"/>
        <v>38</v>
      </c>
      <c r="AP654" s="2">
        <f t="shared" si="84"/>
        <v>38</v>
      </c>
      <c r="AQ654" s="3">
        <f t="shared" si="85"/>
        <v>0</v>
      </c>
      <c r="AR654" s="1" t="str">
        <f>INDEX(IOS!$B:$B,MATCH(D654,IOS!A:A,0))&amp;B654</f>
        <v>O.D.11</v>
      </c>
      <c r="AS654" s="1">
        <f t="shared" si="86"/>
        <v>0</v>
      </c>
      <c r="AT654" s="1" t="str">
        <f>IF(ISBLANK(W654),"",IF(ISERROR(MATCH(W654,HQLATABLE!$A:$A,0)),0,1))</f>
        <v/>
      </c>
      <c r="AU654" s="1" t="str">
        <f t="shared" si="87"/>
        <v>Blank</v>
      </c>
      <c r="AV654" s="1" t="str">
        <f t="shared" si="88"/>
        <v>Blank</v>
      </c>
      <c r="AW654" s="1">
        <f t="shared" si="89"/>
        <v>0</v>
      </c>
      <c r="AX654" s="1">
        <f t="shared" si="90"/>
        <v>0</v>
      </c>
      <c r="AY654" s="1"/>
      <c r="AZ654" s="1">
        <f>IF(COUNTIFS('PID CHECK'!$B:$B,AR654)=1,0,IF(COUNTIFS(AR$1:AR653,AR654)=1,0,1))</f>
        <v>0</v>
      </c>
      <c r="BA654" s="1"/>
      <c r="BB654" s="1"/>
    </row>
    <row r="655" spans="1:54">
      <c r="A655">
        <v>654</v>
      </c>
      <c r="B655" t="s">
        <v>137</v>
      </c>
      <c r="C655" t="s">
        <v>168</v>
      </c>
      <c r="D655" t="s">
        <v>153</v>
      </c>
      <c r="E655" t="s">
        <v>47</v>
      </c>
      <c r="F655" t="s">
        <v>50</v>
      </c>
      <c r="H655" t="s">
        <v>1007</v>
      </c>
      <c r="J655" t="s">
        <v>49</v>
      </c>
      <c r="K655" t="s">
        <v>50</v>
      </c>
      <c r="L655" t="s">
        <v>762</v>
      </c>
      <c r="M655" t="s">
        <v>762</v>
      </c>
      <c r="N655">
        <v>1.52</v>
      </c>
      <c r="R655" t="s">
        <v>1008</v>
      </c>
      <c r="S655" t="s">
        <v>1008</v>
      </c>
      <c r="Z655" t="s">
        <v>84</v>
      </c>
      <c r="AA655" t="s">
        <v>154</v>
      </c>
      <c r="AC655" t="s">
        <v>883</v>
      </c>
      <c r="AD655" t="s">
        <v>50</v>
      </c>
      <c r="AH655">
        <v>3</v>
      </c>
      <c r="AM655">
        <v>43465</v>
      </c>
      <c r="AN655">
        <v>43469</v>
      </c>
      <c r="AO655" s="2">
        <f t="shared" si="83"/>
        <v>3</v>
      </c>
      <c r="AP655" s="2">
        <f t="shared" si="84"/>
        <v>3</v>
      </c>
      <c r="AQ655" s="3">
        <f t="shared" si="85"/>
        <v>1</v>
      </c>
      <c r="AR655" s="1" t="str">
        <f>INDEX(IOS!$B:$B,MATCH(D655,IOS!A:A,0))&amp;B655</f>
        <v>O.D.11</v>
      </c>
      <c r="AS655" s="1">
        <f t="shared" si="86"/>
        <v>0</v>
      </c>
      <c r="AT655" s="1" t="str">
        <f>IF(ISBLANK(W655),"",IF(ISERROR(MATCH(W655,HQLATABLE!$A:$A,0)),0,1))</f>
        <v/>
      </c>
      <c r="AU655" s="1" t="str">
        <f t="shared" si="87"/>
        <v>Blank</v>
      </c>
      <c r="AV655" s="1" t="str">
        <f t="shared" si="88"/>
        <v>Blank</v>
      </c>
      <c r="AW655" s="1">
        <f t="shared" si="89"/>
        <v>0</v>
      </c>
      <c r="AX655" s="1">
        <f t="shared" si="90"/>
        <v>0</v>
      </c>
      <c r="AY655" s="1"/>
      <c r="AZ655" s="1">
        <f>IF(COUNTIFS('PID CHECK'!$B:$B,AR655)=1,0,IF(COUNTIFS(AR$1:AR654,AR655)=1,0,1))</f>
        <v>0</v>
      </c>
      <c r="BA655" s="1"/>
      <c r="BB655" s="1"/>
    </row>
    <row r="656" spans="1:54">
      <c r="A656">
        <v>655</v>
      </c>
      <c r="B656" t="s">
        <v>137</v>
      </c>
      <c r="C656" t="s">
        <v>168</v>
      </c>
      <c r="D656" t="s">
        <v>153</v>
      </c>
      <c r="E656" t="s">
        <v>47</v>
      </c>
      <c r="F656" t="s">
        <v>50</v>
      </c>
      <c r="H656" t="s">
        <v>1009</v>
      </c>
      <c r="J656" t="s">
        <v>49</v>
      </c>
      <c r="K656" t="s">
        <v>50</v>
      </c>
      <c r="L656" t="s">
        <v>762</v>
      </c>
      <c r="M656" t="s">
        <v>762</v>
      </c>
      <c r="N656">
        <v>24.1</v>
      </c>
      <c r="R656" t="s">
        <v>1010</v>
      </c>
      <c r="S656" t="s">
        <v>1010</v>
      </c>
      <c r="Z656" t="s">
        <v>84</v>
      </c>
      <c r="AA656" t="s">
        <v>154</v>
      </c>
      <c r="AC656" t="s">
        <v>883</v>
      </c>
      <c r="AD656" t="s">
        <v>50</v>
      </c>
      <c r="AH656">
        <v>3</v>
      </c>
      <c r="AM656">
        <v>43465</v>
      </c>
      <c r="AN656">
        <v>43469</v>
      </c>
      <c r="AO656" s="2">
        <f t="shared" si="83"/>
        <v>45</v>
      </c>
      <c r="AP656" s="2">
        <f t="shared" si="84"/>
        <v>45</v>
      </c>
      <c r="AQ656" s="3">
        <f t="shared" si="85"/>
        <v>0</v>
      </c>
      <c r="AR656" s="1" t="str">
        <f>INDEX(IOS!$B:$B,MATCH(D656,IOS!A:A,0))&amp;B656</f>
        <v>O.D.11</v>
      </c>
      <c r="AS656" s="1">
        <f t="shared" si="86"/>
        <v>0</v>
      </c>
      <c r="AT656" s="1" t="str">
        <f>IF(ISBLANK(W656),"",IF(ISERROR(MATCH(W656,HQLATABLE!$A:$A,0)),0,1))</f>
        <v/>
      </c>
      <c r="AU656" s="1" t="str">
        <f t="shared" si="87"/>
        <v>Blank</v>
      </c>
      <c r="AV656" s="1" t="str">
        <f t="shared" si="88"/>
        <v>Blank</v>
      </c>
      <c r="AW656" s="1">
        <f t="shared" si="89"/>
        <v>0</v>
      </c>
      <c r="AX656" s="1">
        <f t="shared" si="90"/>
        <v>0</v>
      </c>
      <c r="AY656" s="1"/>
      <c r="AZ656" s="1">
        <f>IF(COUNTIFS('PID CHECK'!$B:$B,AR656)=1,0,IF(COUNTIFS(AR$1:AR655,AR656)=1,0,1))</f>
        <v>0</v>
      </c>
      <c r="BA656" s="1"/>
      <c r="BB656" s="1"/>
    </row>
    <row r="657" spans="1:54">
      <c r="A657">
        <v>656</v>
      </c>
      <c r="B657" t="s">
        <v>137</v>
      </c>
      <c r="C657" t="s">
        <v>168</v>
      </c>
      <c r="D657" t="s">
        <v>153</v>
      </c>
      <c r="E657" t="s">
        <v>47</v>
      </c>
      <c r="F657" t="s">
        <v>50</v>
      </c>
      <c r="H657" t="s">
        <v>1042</v>
      </c>
      <c r="J657" t="s">
        <v>49</v>
      </c>
      <c r="K657" t="s">
        <v>50</v>
      </c>
      <c r="L657" t="s">
        <v>762</v>
      </c>
      <c r="M657" t="s">
        <v>762</v>
      </c>
      <c r="N657">
        <v>2.04</v>
      </c>
      <c r="R657" t="s">
        <v>1043</v>
      </c>
      <c r="S657" t="s">
        <v>1043</v>
      </c>
      <c r="Z657" t="s">
        <v>84</v>
      </c>
      <c r="AA657" t="s">
        <v>154</v>
      </c>
      <c r="AC657" t="s">
        <v>883</v>
      </c>
      <c r="AD657" t="s">
        <v>50</v>
      </c>
      <c r="AH657">
        <v>3</v>
      </c>
      <c r="AM657">
        <v>43465</v>
      </c>
      <c r="AN657">
        <v>43469</v>
      </c>
      <c r="AO657" s="2">
        <f t="shared" si="83"/>
        <v>52</v>
      </c>
      <c r="AP657" s="2">
        <f t="shared" si="84"/>
        <v>52</v>
      </c>
      <c r="AQ657" s="3">
        <f t="shared" si="85"/>
        <v>0</v>
      </c>
      <c r="AR657" s="1" t="str">
        <f>INDEX(IOS!$B:$B,MATCH(D657,IOS!A:A,0))&amp;B657</f>
        <v>O.D.11</v>
      </c>
      <c r="AS657" s="1">
        <f t="shared" si="86"/>
        <v>0</v>
      </c>
      <c r="AT657" s="1" t="str">
        <f>IF(ISBLANK(W657),"",IF(ISERROR(MATCH(W657,HQLATABLE!$A:$A,0)),0,1))</f>
        <v/>
      </c>
      <c r="AU657" s="1" t="str">
        <f t="shared" si="87"/>
        <v>Blank</v>
      </c>
      <c r="AV657" s="1" t="str">
        <f t="shared" si="88"/>
        <v>Blank</v>
      </c>
      <c r="AW657" s="1">
        <f t="shared" si="89"/>
        <v>0</v>
      </c>
      <c r="AX657" s="1">
        <f t="shared" si="90"/>
        <v>0</v>
      </c>
      <c r="AY657" s="1"/>
      <c r="AZ657" s="1">
        <f>IF(COUNTIFS('PID CHECK'!$B:$B,AR657)=1,0,IF(COUNTIFS(AR$1:AR656,AR657)=1,0,1))</f>
        <v>0</v>
      </c>
      <c r="BA657" s="1"/>
      <c r="BB657" s="1"/>
    </row>
    <row r="658" spans="1:54">
      <c r="A658">
        <v>657</v>
      </c>
      <c r="B658" t="s">
        <v>137</v>
      </c>
      <c r="C658" t="s">
        <v>168</v>
      </c>
      <c r="D658" t="s">
        <v>153</v>
      </c>
      <c r="E658" t="s">
        <v>47</v>
      </c>
      <c r="F658" t="s">
        <v>50</v>
      </c>
      <c r="H658" t="s">
        <v>1017</v>
      </c>
      <c r="J658" t="s">
        <v>49</v>
      </c>
      <c r="K658" t="s">
        <v>50</v>
      </c>
      <c r="L658" t="s">
        <v>762</v>
      </c>
      <c r="M658" t="s">
        <v>762</v>
      </c>
      <c r="N658">
        <v>14.86</v>
      </c>
      <c r="R658" t="s">
        <v>1018</v>
      </c>
      <c r="S658" t="s">
        <v>1018</v>
      </c>
      <c r="Z658" t="s">
        <v>84</v>
      </c>
      <c r="AA658" t="s">
        <v>154</v>
      </c>
      <c r="AC658" t="s">
        <v>883</v>
      </c>
      <c r="AD658" t="s">
        <v>50</v>
      </c>
      <c r="AH658">
        <v>3</v>
      </c>
      <c r="AM658">
        <v>43465</v>
      </c>
      <c r="AN658">
        <v>43469</v>
      </c>
      <c r="AO658" s="2">
        <f t="shared" si="83"/>
        <v>59</v>
      </c>
      <c r="AP658" s="2">
        <f t="shared" si="84"/>
        <v>59</v>
      </c>
      <c r="AQ658" s="3">
        <f t="shared" si="85"/>
        <v>0</v>
      </c>
      <c r="AR658" s="1" t="str">
        <f>INDEX(IOS!$B:$B,MATCH(D658,IOS!A:A,0))&amp;B658</f>
        <v>O.D.11</v>
      </c>
      <c r="AS658" s="1">
        <f t="shared" si="86"/>
        <v>0</v>
      </c>
      <c r="AT658" s="1" t="str">
        <f>IF(ISBLANK(W658),"",IF(ISERROR(MATCH(W658,HQLATABLE!$A:$A,0)),0,1))</f>
        <v/>
      </c>
      <c r="AU658" s="1" t="str">
        <f t="shared" si="87"/>
        <v>Blank</v>
      </c>
      <c r="AV658" s="1" t="str">
        <f t="shared" si="88"/>
        <v>Blank</v>
      </c>
      <c r="AW658" s="1">
        <f t="shared" si="89"/>
        <v>0</v>
      </c>
      <c r="AX658" s="1">
        <f t="shared" si="90"/>
        <v>0</v>
      </c>
      <c r="AY658" s="1"/>
      <c r="AZ658" s="1">
        <f>IF(COUNTIFS('PID CHECK'!$B:$B,AR658)=1,0,IF(COUNTIFS(AR$1:AR657,AR658)=1,0,1))</f>
        <v>0</v>
      </c>
      <c r="BA658" s="1"/>
      <c r="BB658" s="1"/>
    </row>
    <row r="659" spans="1:54">
      <c r="A659">
        <v>658</v>
      </c>
      <c r="B659" t="s">
        <v>137</v>
      </c>
      <c r="C659" t="s">
        <v>168</v>
      </c>
      <c r="D659" t="s">
        <v>153</v>
      </c>
      <c r="E659" t="s">
        <v>47</v>
      </c>
      <c r="F659" t="s">
        <v>50</v>
      </c>
      <c r="H659" t="s">
        <v>94</v>
      </c>
      <c r="J659" t="s">
        <v>49</v>
      </c>
      <c r="K659" t="s">
        <v>50</v>
      </c>
      <c r="L659" t="s">
        <v>762</v>
      </c>
      <c r="M659" t="s">
        <v>762</v>
      </c>
      <c r="N659">
        <v>20.149999999999999</v>
      </c>
      <c r="R659" t="s">
        <v>95</v>
      </c>
      <c r="S659" t="s">
        <v>96</v>
      </c>
      <c r="Z659" t="s">
        <v>84</v>
      </c>
      <c r="AA659" t="s">
        <v>154</v>
      </c>
      <c r="AC659" t="s">
        <v>883</v>
      </c>
      <c r="AD659" t="s">
        <v>50</v>
      </c>
      <c r="AH659">
        <v>3</v>
      </c>
      <c r="AM659">
        <v>43465</v>
      </c>
      <c r="AN659">
        <v>43469</v>
      </c>
      <c r="AO659" s="2">
        <f t="shared" si="83"/>
        <v>61</v>
      </c>
      <c r="AP659" s="2">
        <f t="shared" si="84"/>
        <v>67</v>
      </c>
      <c r="AQ659" s="3">
        <f t="shared" si="85"/>
        <v>0</v>
      </c>
      <c r="AR659" s="1" t="str">
        <f>INDEX(IOS!$B:$B,MATCH(D659,IOS!A:A,0))&amp;B659</f>
        <v>O.D.11</v>
      </c>
      <c r="AS659" s="1">
        <f t="shared" si="86"/>
        <v>0</v>
      </c>
      <c r="AT659" s="1" t="str">
        <f>IF(ISBLANK(W659),"",IF(ISERROR(MATCH(W659,HQLATABLE!$A:$A,0)),0,1))</f>
        <v/>
      </c>
      <c r="AU659" s="1" t="str">
        <f t="shared" si="87"/>
        <v>Blank</v>
      </c>
      <c r="AV659" s="1" t="str">
        <f t="shared" si="88"/>
        <v>Blank</v>
      </c>
      <c r="AW659" s="1">
        <f t="shared" si="89"/>
        <v>0</v>
      </c>
      <c r="AX659" s="1">
        <f t="shared" si="90"/>
        <v>0</v>
      </c>
      <c r="AY659" s="1"/>
      <c r="AZ659" s="1">
        <f>IF(COUNTIFS('PID CHECK'!$B:$B,AR659)=1,0,IF(COUNTIFS(AR$1:AR658,AR659)=1,0,1))</f>
        <v>0</v>
      </c>
      <c r="BA659" s="1"/>
      <c r="BB659" s="1"/>
    </row>
    <row r="660" spans="1:54">
      <c r="A660">
        <v>659</v>
      </c>
      <c r="B660" t="s">
        <v>137</v>
      </c>
      <c r="C660" t="s">
        <v>168</v>
      </c>
      <c r="D660" t="s">
        <v>153</v>
      </c>
      <c r="E660" t="s">
        <v>47</v>
      </c>
      <c r="F660" t="s">
        <v>50</v>
      </c>
      <c r="H660" t="s">
        <v>97</v>
      </c>
      <c r="J660" t="s">
        <v>49</v>
      </c>
      <c r="K660" t="s">
        <v>50</v>
      </c>
      <c r="L660" t="s">
        <v>762</v>
      </c>
      <c r="M660" t="s">
        <v>762</v>
      </c>
      <c r="N660">
        <v>12.02</v>
      </c>
      <c r="R660" t="s">
        <v>98</v>
      </c>
      <c r="S660" t="s">
        <v>99</v>
      </c>
      <c r="Z660" t="s">
        <v>84</v>
      </c>
      <c r="AA660" t="s">
        <v>154</v>
      </c>
      <c r="AC660" t="s">
        <v>883</v>
      </c>
      <c r="AD660" t="s">
        <v>50</v>
      </c>
      <c r="AH660">
        <v>3</v>
      </c>
      <c r="AM660">
        <v>43465</v>
      </c>
      <c r="AN660">
        <v>43469</v>
      </c>
      <c r="AO660" s="2">
        <f t="shared" si="83"/>
        <v>68</v>
      </c>
      <c r="AP660" s="2">
        <f t="shared" si="84"/>
        <v>74</v>
      </c>
      <c r="AQ660" s="3">
        <f t="shared" si="85"/>
        <v>0</v>
      </c>
      <c r="AR660" s="1" t="str">
        <f>INDEX(IOS!$B:$B,MATCH(D660,IOS!A:A,0))&amp;B660</f>
        <v>O.D.11</v>
      </c>
      <c r="AS660" s="1">
        <f t="shared" si="86"/>
        <v>0</v>
      </c>
      <c r="AT660" s="1" t="str">
        <f>IF(ISBLANK(W660),"",IF(ISERROR(MATCH(W660,HQLATABLE!$A:$A,0)),0,1))</f>
        <v/>
      </c>
      <c r="AU660" s="1" t="str">
        <f t="shared" si="87"/>
        <v>Blank</v>
      </c>
      <c r="AV660" s="1" t="str">
        <f t="shared" si="88"/>
        <v>Blank</v>
      </c>
      <c r="AW660" s="1">
        <f t="shared" si="89"/>
        <v>0</v>
      </c>
      <c r="AX660" s="1">
        <f t="shared" si="90"/>
        <v>0</v>
      </c>
      <c r="AY660" s="1"/>
      <c r="AZ660" s="1">
        <f>IF(COUNTIFS('PID CHECK'!$B:$B,AR660)=1,0,IF(COUNTIFS(AR$1:AR659,AR660)=1,0,1))</f>
        <v>0</v>
      </c>
      <c r="BA660" s="1"/>
      <c r="BB660" s="1"/>
    </row>
    <row r="661" spans="1:54">
      <c r="A661">
        <v>660</v>
      </c>
      <c r="B661" t="s">
        <v>137</v>
      </c>
      <c r="C661" t="s">
        <v>168</v>
      </c>
      <c r="D661" t="s">
        <v>153</v>
      </c>
      <c r="E661" t="s">
        <v>47</v>
      </c>
      <c r="F661" t="s">
        <v>50</v>
      </c>
      <c r="H661" t="s">
        <v>100</v>
      </c>
      <c r="J661" t="s">
        <v>49</v>
      </c>
      <c r="K661" t="s">
        <v>50</v>
      </c>
      <c r="L661" t="s">
        <v>762</v>
      </c>
      <c r="M661" t="s">
        <v>762</v>
      </c>
      <c r="N661">
        <v>2.2799999999999998</v>
      </c>
      <c r="R661" t="s">
        <v>101</v>
      </c>
      <c r="S661" t="s">
        <v>102</v>
      </c>
      <c r="Z661" t="s">
        <v>84</v>
      </c>
      <c r="AA661" t="s">
        <v>154</v>
      </c>
      <c r="AC661" t="s">
        <v>883</v>
      </c>
      <c r="AD661" t="s">
        <v>50</v>
      </c>
      <c r="AH661">
        <v>3</v>
      </c>
      <c r="AM661">
        <v>43465</v>
      </c>
      <c r="AN661">
        <v>43469</v>
      </c>
      <c r="AO661" s="2">
        <f t="shared" si="83"/>
        <v>75</v>
      </c>
      <c r="AP661" s="2">
        <f t="shared" si="84"/>
        <v>82</v>
      </c>
      <c r="AQ661" s="3">
        <f t="shared" si="85"/>
        <v>0</v>
      </c>
      <c r="AR661" s="1" t="str">
        <f>INDEX(IOS!$B:$B,MATCH(D661,IOS!A:A,0))&amp;B661</f>
        <v>O.D.11</v>
      </c>
      <c r="AS661" s="1">
        <f t="shared" si="86"/>
        <v>0</v>
      </c>
      <c r="AT661" s="1" t="str">
        <f>IF(ISBLANK(W661),"",IF(ISERROR(MATCH(W661,HQLATABLE!$A:$A,0)),0,1))</f>
        <v/>
      </c>
      <c r="AU661" s="1" t="str">
        <f t="shared" si="87"/>
        <v>Blank</v>
      </c>
      <c r="AV661" s="1" t="str">
        <f t="shared" si="88"/>
        <v>Blank</v>
      </c>
      <c r="AW661" s="1">
        <f t="shared" si="89"/>
        <v>0</v>
      </c>
      <c r="AX661" s="1">
        <f t="shared" si="90"/>
        <v>0</v>
      </c>
      <c r="AY661" s="1"/>
      <c r="AZ661" s="1">
        <f>IF(COUNTIFS('PID CHECK'!$B:$B,AR661)=1,0,IF(COUNTIFS(AR$1:AR660,AR661)=1,0,1))</f>
        <v>0</v>
      </c>
      <c r="BA661" s="1"/>
      <c r="BB661" s="1"/>
    </row>
    <row r="662" spans="1:54">
      <c r="A662">
        <v>661</v>
      </c>
      <c r="B662" t="s">
        <v>137</v>
      </c>
      <c r="C662" t="s">
        <v>168</v>
      </c>
      <c r="D662" t="s">
        <v>153</v>
      </c>
      <c r="E662" t="s">
        <v>47</v>
      </c>
      <c r="F662" t="s">
        <v>50</v>
      </c>
      <c r="H662" t="s">
        <v>108</v>
      </c>
      <c r="J662" t="s">
        <v>49</v>
      </c>
      <c r="K662" t="s">
        <v>50</v>
      </c>
      <c r="L662" t="s">
        <v>762</v>
      </c>
      <c r="M662" t="s">
        <v>762</v>
      </c>
      <c r="N662">
        <v>17.77</v>
      </c>
      <c r="R662" t="s">
        <v>109</v>
      </c>
      <c r="S662" t="s">
        <v>110</v>
      </c>
      <c r="Z662" t="s">
        <v>84</v>
      </c>
      <c r="AA662" t="s">
        <v>154</v>
      </c>
      <c r="AC662" t="s">
        <v>883</v>
      </c>
      <c r="AD662" t="s">
        <v>50</v>
      </c>
      <c r="AH662">
        <v>3</v>
      </c>
      <c r="AM662">
        <v>43465</v>
      </c>
      <c r="AN662">
        <v>43469</v>
      </c>
      <c r="AO662" s="2">
        <f t="shared" si="83"/>
        <v>91</v>
      </c>
      <c r="AP662" s="2">
        <f t="shared" si="84"/>
        <v>120</v>
      </c>
      <c r="AQ662" s="3">
        <f t="shared" si="85"/>
        <v>0</v>
      </c>
      <c r="AR662" s="1" t="str">
        <f>INDEX(IOS!$B:$B,MATCH(D662,IOS!A:A,0))&amp;B662</f>
        <v>O.D.11</v>
      </c>
      <c r="AS662" s="1">
        <f t="shared" si="86"/>
        <v>0</v>
      </c>
      <c r="AT662" s="1" t="str">
        <f>IF(ISBLANK(W662),"",IF(ISERROR(MATCH(W662,HQLATABLE!$A:$A,0)),0,1))</f>
        <v/>
      </c>
      <c r="AU662" s="1" t="str">
        <f t="shared" si="87"/>
        <v>Blank</v>
      </c>
      <c r="AV662" s="1" t="str">
        <f t="shared" si="88"/>
        <v>Blank</v>
      </c>
      <c r="AW662" s="1">
        <f t="shared" si="89"/>
        <v>0</v>
      </c>
      <c r="AX662" s="1">
        <f t="shared" si="90"/>
        <v>0</v>
      </c>
      <c r="AY662" s="1"/>
      <c r="AZ662" s="1">
        <f>IF(COUNTIFS('PID CHECK'!$B:$B,AR662)=1,0,IF(COUNTIFS(AR$1:AR661,AR662)=1,0,1))</f>
        <v>0</v>
      </c>
      <c r="BA662" s="1"/>
      <c r="BB662" s="1"/>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1"/>
  <sheetViews>
    <sheetView workbookViewId="0">
      <selection activeCell="B7" sqref="B7"/>
    </sheetView>
  </sheetViews>
  <sheetFormatPr defaultRowHeight="12.75"/>
  <cols>
    <col min="1" max="1" width="28.42578125" style="4" bestFit="1" customWidth="1"/>
    <col min="2" max="16384" width="9.140625" style="4"/>
  </cols>
  <sheetData>
    <row r="1" spans="1:2">
      <c r="A1" s="4" t="s">
        <v>3</v>
      </c>
    </row>
    <row r="2" spans="1:2">
      <c r="A2" s="4" t="s">
        <v>46</v>
      </c>
      <c r="B2" s="4" t="s">
        <v>169</v>
      </c>
    </row>
    <row r="3" spans="1:2">
      <c r="A3" s="4" t="s">
        <v>66</v>
      </c>
      <c r="B3" s="4" t="s">
        <v>170</v>
      </c>
    </row>
    <row r="4" spans="1:2">
      <c r="A4" s="4" t="s">
        <v>120</v>
      </c>
      <c r="B4" s="4" t="s">
        <v>171</v>
      </c>
    </row>
    <row r="5" spans="1:2">
      <c r="A5" s="4" t="s">
        <v>125</v>
      </c>
      <c r="B5" s="4" t="s">
        <v>172</v>
      </c>
    </row>
    <row r="6" spans="1:2">
      <c r="A6" s="4" t="s">
        <v>135</v>
      </c>
      <c r="B6" s="4" t="s">
        <v>173</v>
      </c>
    </row>
    <row r="7" spans="1:2">
      <c r="A7" s="4" t="s">
        <v>139</v>
      </c>
      <c r="B7" s="4" t="s">
        <v>174</v>
      </c>
    </row>
    <row r="8" spans="1:2">
      <c r="A8" s="4" t="s">
        <v>145</v>
      </c>
      <c r="B8" s="4" t="s">
        <v>175</v>
      </c>
    </row>
    <row r="9" spans="1:2">
      <c r="A9" s="4" t="s">
        <v>153</v>
      </c>
      <c r="B9" s="4" t="s">
        <v>176</v>
      </c>
    </row>
    <row r="10" spans="1:2">
      <c r="A10" s="4" t="s">
        <v>766</v>
      </c>
      <c r="B10" s="4" t="s">
        <v>177</v>
      </c>
    </row>
    <row r="11" spans="1:2">
      <c r="A11" s="4" t="s">
        <v>178</v>
      </c>
      <c r="B11" s="4" t="s">
        <v>179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K176"/>
  <sheetViews>
    <sheetView workbookViewId="0">
      <pane xSplit="8" ySplit="2" topLeftCell="X3" activePane="bottomRight" state="frozen"/>
      <selection pane="topRight" activeCell="I1" sqref="I1"/>
      <selection pane="bottomLeft" activeCell="A3" sqref="A3"/>
      <selection pane="bottomRight"/>
    </sheetView>
  </sheetViews>
  <sheetFormatPr defaultRowHeight="15.75"/>
  <cols>
    <col min="1" max="1" width="11.7109375" style="136" customWidth="1"/>
    <col min="2" max="2" width="76" style="137" bestFit="1" customWidth="1"/>
    <col min="3" max="3" width="20.85546875" style="137" hidden="1" customWidth="1"/>
    <col min="4" max="4" width="13.7109375" style="137" hidden="1" customWidth="1"/>
    <col min="5" max="5" width="9" style="137" hidden="1" customWidth="1"/>
    <col min="6" max="6" width="5.140625" style="137" hidden="1" customWidth="1"/>
    <col min="7" max="7" width="13.5703125" style="138" customWidth="1"/>
    <col min="8" max="8" width="10.7109375" style="137" hidden="1" customWidth="1"/>
    <col min="9" max="9" width="7" style="137" customWidth="1"/>
    <col min="10" max="10" width="5.42578125" style="137" customWidth="1"/>
    <col min="11" max="11" width="7.140625" style="137" hidden="1" customWidth="1"/>
    <col min="12" max="12" width="9.7109375" style="137" customWidth="1"/>
    <col min="13" max="13" width="13" style="137" bestFit="1" customWidth="1"/>
    <col min="14" max="14" width="54.28515625" style="137" hidden="1" customWidth="1"/>
    <col min="15" max="16" width="7.42578125" style="137" customWidth="1"/>
    <col min="17" max="17" width="47.28515625" style="137" hidden="1" customWidth="1"/>
    <col min="18" max="19" width="7.42578125" style="137" customWidth="1"/>
    <col min="20" max="20" width="7.42578125" style="137" hidden="1" customWidth="1"/>
    <col min="21" max="22" width="7.42578125" style="137" customWidth="1"/>
    <col min="23" max="23" width="7.42578125" style="137" hidden="1" customWidth="1"/>
    <col min="24" max="25" width="6.85546875" style="137" customWidth="1"/>
    <col min="26" max="26" width="5.140625" style="137" hidden="1" customWidth="1"/>
    <col min="27" max="28" width="5.140625" style="137" customWidth="1"/>
    <col min="29" max="29" width="44.140625" style="137" hidden="1" customWidth="1"/>
    <col min="30" max="30" width="5.140625" style="137" customWidth="1"/>
    <col min="31" max="31" width="14.28515625" style="140" customWidth="1"/>
    <col min="32" max="32" width="5.140625" style="137" hidden="1" customWidth="1"/>
    <col min="33" max="33" width="7.7109375" style="137" customWidth="1"/>
    <col min="34" max="34" width="5.140625" style="137" customWidth="1"/>
    <col min="35" max="35" width="5.140625" style="137" hidden="1" customWidth="1"/>
    <col min="36" max="37" width="5.5703125" style="137" customWidth="1"/>
    <col min="38" max="38" width="5.5703125" style="137" hidden="1" customWidth="1"/>
    <col min="39" max="40" width="9.42578125" style="137" customWidth="1"/>
    <col min="41" max="41" width="5.85546875" style="137" hidden="1" customWidth="1"/>
    <col min="42" max="43" width="9.42578125" style="137" customWidth="1"/>
    <col min="44" max="44" width="9.42578125" style="137" hidden="1" customWidth="1"/>
    <col min="45" max="46" width="9.42578125" style="137" customWidth="1"/>
    <col min="47" max="47" width="9.42578125" style="137" hidden="1" customWidth="1"/>
    <col min="48" max="49" width="9.42578125" style="137" customWidth="1"/>
    <col min="50" max="50" width="41.140625" style="137" bestFit="1" customWidth="1"/>
    <col min="51" max="51" width="9.42578125" style="137" customWidth="1"/>
    <col min="52" max="52" width="9.7109375" style="137" customWidth="1"/>
    <col min="53" max="53" width="13.85546875" style="137" bestFit="1" customWidth="1"/>
    <col min="54" max="54" width="48.5703125" style="137" hidden="1" customWidth="1"/>
    <col min="55" max="55" width="18.28515625" style="137" customWidth="1"/>
    <col min="56" max="56" width="15.28515625" style="141" bestFit="1" customWidth="1"/>
    <col min="57" max="58" width="8.140625" style="137" customWidth="1"/>
    <col min="59" max="59" width="8.140625" style="137" hidden="1" customWidth="1"/>
    <col min="60" max="60" width="9.42578125" style="137" customWidth="1"/>
    <col min="61" max="61" width="12.85546875" style="137" customWidth="1"/>
    <col min="62" max="62" width="19" style="142" bestFit="1" customWidth="1"/>
    <col min="63" max="63" width="18.42578125" style="137" bestFit="1" customWidth="1"/>
    <col min="64" max="16384" width="9.140625" style="137"/>
  </cols>
  <sheetData>
    <row r="1" spans="1:63" ht="27" customHeight="1">
      <c r="A1" s="136" t="s">
        <v>485</v>
      </c>
      <c r="B1" s="137" t="s">
        <v>486</v>
      </c>
      <c r="C1" s="137" t="s">
        <v>389</v>
      </c>
      <c r="D1" s="137" t="s">
        <v>325</v>
      </c>
      <c r="E1" s="137" t="s">
        <v>750</v>
      </c>
      <c r="F1" s="137" t="s">
        <v>43</v>
      </c>
      <c r="G1" s="138" t="s">
        <v>43</v>
      </c>
      <c r="H1" s="137" t="s">
        <v>43</v>
      </c>
      <c r="I1" s="137" t="s">
        <v>42</v>
      </c>
      <c r="J1" s="137" t="s">
        <v>42</v>
      </c>
      <c r="K1" s="137" t="s">
        <v>42</v>
      </c>
      <c r="L1" s="137" t="s">
        <v>36</v>
      </c>
      <c r="M1" s="137" t="s">
        <v>36</v>
      </c>
      <c r="N1" s="137" t="s">
        <v>36</v>
      </c>
      <c r="O1" s="137" t="s">
        <v>22</v>
      </c>
      <c r="P1" s="137" t="s">
        <v>22</v>
      </c>
      <c r="Q1" s="137" t="s">
        <v>22</v>
      </c>
      <c r="R1" s="137" t="s">
        <v>362</v>
      </c>
      <c r="S1" s="137" t="s">
        <v>362</v>
      </c>
      <c r="T1" s="137" t="s">
        <v>362</v>
      </c>
      <c r="U1" s="149" t="s">
        <v>371</v>
      </c>
      <c r="V1" s="149" t="s">
        <v>371</v>
      </c>
      <c r="W1" s="149" t="s">
        <v>371</v>
      </c>
      <c r="X1" s="140" t="s">
        <v>369</v>
      </c>
      <c r="Y1" s="140" t="s">
        <v>369</v>
      </c>
      <c r="Z1" s="140" t="s">
        <v>369</v>
      </c>
      <c r="AA1" s="137" t="s">
        <v>41</v>
      </c>
      <c r="AB1" s="137" t="s">
        <v>41</v>
      </c>
      <c r="AC1" s="137" t="s">
        <v>41</v>
      </c>
      <c r="AD1" s="137" t="s">
        <v>25</v>
      </c>
      <c r="AE1" s="140" t="s">
        <v>25</v>
      </c>
      <c r="AF1" s="137" t="s">
        <v>25</v>
      </c>
      <c r="AG1" s="21" t="s">
        <v>370</v>
      </c>
      <c r="AH1" s="21" t="s">
        <v>370</v>
      </c>
      <c r="AI1" s="21" t="s">
        <v>370</v>
      </c>
      <c r="AJ1" s="21" t="s">
        <v>26</v>
      </c>
      <c r="AK1" s="21" t="s">
        <v>26</v>
      </c>
      <c r="AL1" s="21" t="s">
        <v>26</v>
      </c>
      <c r="AM1" s="21" t="s">
        <v>749</v>
      </c>
      <c r="AN1" s="21" t="s">
        <v>749</v>
      </c>
      <c r="AO1" s="21" t="s">
        <v>749</v>
      </c>
      <c r="AP1" s="137" t="s">
        <v>27</v>
      </c>
      <c r="AQ1" s="137" t="s">
        <v>27</v>
      </c>
      <c r="AR1" s="137" t="s">
        <v>27</v>
      </c>
      <c r="AS1" s="137" t="s">
        <v>761</v>
      </c>
      <c r="AT1" s="137" t="s">
        <v>761</v>
      </c>
      <c r="AU1" s="137" t="s">
        <v>761</v>
      </c>
      <c r="AV1" s="137" t="s">
        <v>6</v>
      </c>
      <c r="AW1" s="137" t="s">
        <v>6</v>
      </c>
      <c r="AX1" s="137" t="s">
        <v>6</v>
      </c>
      <c r="AZ1" s="137" t="s">
        <v>326</v>
      </c>
      <c r="BA1" s="137" t="s">
        <v>374</v>
      </c>
      <c r="BB1" s="137" t="s">
        <v>373</v>
      </c>
      <c r="BE1" s="21" t="s">
        <v>4</v>
      </c>
      <c r="BF1" s="21" t="s">
        <v>4</v>
      </c>
      <c r="BG1" s="21" t="s">
        <v>4</v>
      </c>
      <c r="BH1" s="21"/>
      <c r="BI1" s="137" t="s">
        <v>895</v>
      </c>
    </row>
    <row r="2" spans="1:63">
      <c r="F2" s="137" t="s">
        <v>330</v>
      </c>
      <c r="G2" s="138" t="s">
        <v>336</v>
      </c>
      <c r="H2" s="137">
        <f>MATCH(H1,REPORT_FR2052a!$1:$1,0)</f>
        <v>44</v>
      </c>
      <c r="I2" s="137" t="s">
        <v>330</v>
      </c>
      <c r="J2" s="137" t="s">
        <v>336</v>
      </c>
      <c r="K2" s="137">
        <f>MATCH(K1,REPORT_FR2052a!$1:$1,0)</f>
        <v>43</v>
      </c>
      <c r="L2" s="137" t="s">
        <v>330</v>
      </c>
      <c r="M2" s="137" t="s">
        <v>336</v>
      </c>
      <c r="N2" s="137">
        <f>MATCH(N1,REPORT_FR2052a!$1:$1,0)</f>
        <v>37</v>
      </c>
      <c r="O2" s="137" t="s">
        <v>330</v>
      </c>
      <c r="P2" s="137" t="s">
        <v>336</v>
      </c>
      <c r="Q2" s="137">
        <f>MATCH(Q1,REPORT_FR2052a!$1:$1,0)</f>
        <v>23</v>
      </c>
      <c r="R2" s="137" t="s">
        <v>330</v>
      </c>
      <c r="S2" s="137" t="s">
        <v>336</v>
      </c>
      <c r="T2" s="137">
        <f>MATCH(T1,REPORT_FR2052a!$1:$1,0)</f>
        <v>46</v>
      </c>
      <c r="U2" s="137" t="s">
        <v>330</v>
      </c>
      <c r="V2" s="137" t="s">
        <v>336</v>
      </c>
      <c r="W2" s="137">
        <f>MATCH(W1,REPORT_FR2052a!$1:$1,0)</f>
        <v>47</v>
      </c>
      <c r="X2" s="137" t="s">
        <v>330</v>
      </c>
      <c r="Y2" s="137" t="s">
        <v>336</v>
      </c>
      <c r="Z2" s="137">
        <f>MATCH(Z1,REPORT_FR2052a!$1:$1,0)</f>
        <v>48</v>
      </c>
      <c r="AA2" s="137" t="s">
        <v>330</v>
      </c>
      <c r="AB2" s="137" t="s">
        <v>336</v>
      </c>
      <c r="AC2" s="137">
        <f>MATCH(AC1,REPORT_FR2052a!$1:$1,0)</f>
        <v>42</v>
      </c>
      <c r="AD2" s="137" t="s">
        <v>330</v>
      </c>
      <c r="AE2" s="140" t="s">
        <v>336</v>
      </c>
      <c r="AF2" s="137">
        <f>MATCH(AF1,REPORT_FR2052a!$1:$1,0)</f>
        <v>26</v>
      </c>
      <c r="AG2" s="137" t="s">
        <v>330</v>
      </c>
      <c r="AH2" s="137" t="s">
        <v>336</v>
      </c>
      <c r="AI2" s="137">
        <f>MATCH(AI1,REPORT_FR2052a!$1:$1,0)</f>
        <v>45</v>
      </c>
      <c r="AJ2" s="137" t="s">
        <v>330</v>
      </c>
      <c r="AK2" s="137" t="s">
        <v>336</v>
      </c>
      <c r="AL2" s="137">
        <f>MATCH(AL1,REPORT_FR2052a!$1:$1,0)</f>
        <v>27</v>
      </c>
      <c r="AM2" s="137" t="s">
        <v>330</v>
      </c>
      <c r="AN2" s="137" t="s">
        <v>336</v>
      </c>
      <c r="AO2" s="137">
        <f>MATCH(AO1,REPORT_FR2052a!$1:$1,0)</f>
        <v>49</v>
      </c>
      <c r="AP2" s="137" t="s">
        <v>330</v>
      </c>
      <c r="AQ2" s="137" t="s">
        <v>336</v>
      </c>
      <c r="AR2" s="137">
        <f>MATCH(AR1,REPORT_FR2052a!$1:$1,0)</f>
        <v>28</v>
      </c>
      <c r="AS2" s="137" t="s">
        <v>330</v>
      </c>
      <c r="AT2" s="137" t="s">
        <v>336</v>
      </c>
      <c r="AU2" s="137">
        <f>MATCH(AU1,REPORT_FR2052a!$1:$1,0)</f>
        <v>50</v>
      </c>
      <c r="AV2" s="137" t="s">
        <v>330</v>
      </c>
      <c r="AW2" s="137" t="s">
        <v>336</v>
      </c>
      <c r="AX2" s="137">
        <f>MATCH(AX1,REPORT_FR2052a!$1:$1,0)</f>
        <v>7</v>
      </c>
      <c r="BC2" s="137" t="s">
        <v>327</v>
      </c>
      <c r="BD2" s="141" t="s">
        <v>328</v>
      </c>
      <c r="BE2" s="137" t="s">
        <v>330</v>
      </c>
      <c r="BF2" s="137" t="s">
        <v>336</v>
      </c>
      <c r="BG2" s="137">
        <f>MATCH(BG1,REPORT_FR2052a!$1:$1,0)</f>
        <v>5</v>
      </c>
      <c r="BI2" s="137" t="s">
        <v>885</v>
      </c>
      <c r="BJ2" s="142" t="s">
        <v>886</v>
      </c>
      <c r="BK2" s="137" t="s">
        <v>887</v>
      </c>
    </row>
    <row r="3" spans="1:63">
      <c r="A3" s="150" t="s">
        <v>442</v>
      </c>
      <c r="B3" s="137" t="str">
        <f>IFERROR(INDEX('LCR TYPE EXPLAIN'!B:B,MATCH(A3,'LCR TYPE EXPLAIN'!A:A,0)),"")</f>
        <v>High-Quality Liquid Assets (Subpart C, §.20-.22)Level 1</v>
      </c>
      <c r="F3" s="137" t="s">
        <v>331</v>
      </c>
      <c r="G3" s="138" t="s">
        <v>337</v>
      </c>
      <c r="H3" s="137" t="str">
        <f t="shared" ref="H3:H37" si="0">IF(F3="","",",INDEX(REPORT_FR2052a!$1:$1048576,0,"&amp;H$2&amp;"),"&amp;IF(ISTEXT(G3),CHAR(34),"")&amp;IF(F3="is","",""&amp;"&lt;&gt;")&amp;G3&amp;IF(ISTEXT(G3),CHAR(34),""))</f>
        <v>,INDEX(REPORT_FR2052a!$1:$1048576,0,44),"I.A.1"</v>
      </c>
      <c r="K3" s="137" t="str">
        <f t="shared" ref="K3:K47" si="1">IF(I3="","",",INDEX(REPORT_FR2052a!$1:$1048576,0,"&amp;K$2&amp;"),"&amp;IF(ISTEXT(J3),CHAR(34),"")&amp;IF(I3="is","",""&amp;"&lt;&gt;")&amp;J3&amp;IF(ISTEXT(J3),CHAR(34),""))</f>
        <v/>
      </c>
      <c r="L3" s="137" t="s">
        <v>332</v>
      </c>
      <c r="M3" s="137" t="s">
        <v>338</v>
      </c>
      <c r="N3" s="137" t="str">
        <f t="shared" ref="N3:N47" si="2">IF(L3="","",",INDEX(REPORT_FR2052a!$1:$1048576,0,"&amp;N$2&amp;"),"&amp;IF(ISTEXT(M3),CHAR(34),"")&amp;IF(L3="is","",""&amp;"&lt;&gt;")&amp;M3&amp;IF(ISTEXT(M3),CHAR(34),""))</f>
        <v>,INDEX(REPORT_FR2052a!$1:$1048576,0,37),"&lt;&gt;Other Cash"</v>
      </c>
      <c r="Q3" s="137" t="str">
        <f t="shared" ref="Q3:Q117" si="3">IF(O3="","",",INDEX(REPORT_FR2052a!$1:$1048576,0,"&amp;Q$2&amp;"),"&amp;IF(OR(ISTEXT(P3),ISBLANK(P3)),CHAR(34),"")&amp;IF(O3="is","",""&amp;"&lt;&gt;")&amp;P3&amp;IF(OR(ISTEXT(P3),ISBLANK(P3)),CHAR(34),""))</f>
        <v/>
      </c>
      <c r="R3" s="137" t="s">
        <v>331</v>
      </c>
      <c r="S3" s="137">
        <v>1</v>
      </c>
      <c r="T3" s="137" t="str">
        <f t="shared" ref="T3:T47" si="4">IF(R3="","",",INDEX(REPORT_FR2052a!$1:$1048576,0,"&amp;T$2&amp;"),"&amp;IF(ISTEXT(S3),CHAR(34),"")&amp;IF(R3="is","",""&amp;"&lt;&gt;")&amp;S3&amp;IF(ISTEXT(S3),CHAR(34),""))</f>
        <v>,INDEX(REPORT_FR2052a!$1:$1048576,0,46),1</v>
      </c>
      <c r="U3" s="137" t="s">
        <v>331</v>
      </c>
      <c r="V3" s="139">
        <v>1</v>
      </c>
      <c r="W3" s="137" t="str">
        <f t="shared" ref="W3:W47" si="5">IF(U3="","",",INDEX(REPORT_FR2052a!$1:$1048576,0,"&amp;W$2&amp;"),"&amp;IF(ISTEXT(V3),CHAR(34),"")&amp;IF(U3="is","",""&amp;"&lt;&gt;")&amp;V3&amp;IF(ISTEXT(V3),CHAR(34),""))</f>
        <v>,INDEX(REPORT_FR2052a!$1:$1048576,0,47),1</v>
      </c>
      <c r="Y3" s="139"/>
      <c r="Z3" s="137" t="str">
        <f t="shared" ref="Z3:Z47" si="6">IF(X3="","",",INDEX(REPORT_FR2052a!$1:$1048576,0,"&amp;Z$2&amp;"),"&amp;IF(ISTEXT(Y3),CHAR(34),"")&amp;IF(X3="is","",""&amp;"&lt;&gt;")&amp;Y3&amp;IF(ISTEXT(Y3),CHAR(34),""))</f>
        <v/>
      </c>
      <c r="AB3" s="139"/>
      <c r="AC3" s="137" t="str">
        <f t="shared" ref="AC3:AC47" si="7">IF(AA3="","",",INDEX(REPORT_FR2052a!$1:$1048576,0,"&amp;AC$2&amp;"),"&amp;IF(ISTEXT(AB3),CHAR(34),"")&amp;IF(AA3="is","",""&amp;"&lt;&gt;")&amp;AB3&amp;IF(ISTEXT(AB3),CHAR(34),""))</f>
        <v/>
      </c>
      <c r="AF3" s="137" t="str">
        <f t="shared" ref="AF3:AF47" si="8">IF(AD3="","",",INDEX(REPORT_FR2052a!$1:$1048576,0,"&amp;AF$2&amp;"),"&amp;IF(ISTEXT(AE3),CHAR(34),"")&amp;IF(AD3="is","",""&amp;"&lt;&gt;")&amp;AE3&amp;IF(ISTEXT(AE3),CHAR(34),""))</f>
        <v/>
      </c>
      <c r="AH3" s="139"/>
      <c r="AI3" s="137" t="str">
        <f t="shared" ref="AI3:AI47" si="9">IF(AG3="","",",INDEX(REPORT_FR2052a!$1:$1048576,0,"&amp;AI$2&amp;"),"&amp;IF(ISTEXT(AH3),CHAR(34),"")&amp;IF(AG3="is","",""&amp;"&lt;&gt;")&amp;AH3&amp;IF(ISTEXT(AH3),CHAR(34),""))</f>
        <v/>
      </c>
      <c r="AK3" s="139"/>
      <c r="AL3" s="137" t="str">
        <f t="shared" ref="AL3:AL47" si="10">IF(AJ3="","",",INDEX(REPORT_FR2052a!$1:$1048576,0,"&amp;AL$2&amp;"),"&amp;IF(ISTEXT(AK3),CHAR(34),"")&amp;IF(AJ3="is","",""&amp;"&lt;&gt;")&amp;AK3&amp;IF(ISTEXT(AK3),CHAR(34),""))</f>
        <v/>
      </c>
      <c r="AO3" s="137" t="str">
        <f t="shared" ref="AO3:AO117" si="11">IF(AM3="","",",INDEX(REPORT_FR2052a!$1:$1048576,0,"&amp;AO$2&amp;"),"&amp;IF(ISTEXT(AN3),CHAR(34),"")&amp;IF(AM3="is","",""&amp;"&lt;&gt;")&amp;AN3&amp;IF(ISTEXT(AN3),CHAR(34),""))</f>
        <v/>
      </c>
      <c r="AV3" s="137" t="s">
        <v>331</v>
      </c>
      <c r="AW3" s="139" t="s">
        <v>762</v>
      </c>
      <c r="AX3" s="137" t="str">
        <f t="shared" ref="AX3" si="12">IF(AV3="","",",INDEX(REPORT_FR2052a!$1:$1048576,0,"&amp;AX$2&amp;"),"&amp;IF(ISTEXT(AW3),CHAR(34),"")&amp;IF(AV3="is","",""&amp;"&lt;&gt;")&amp;AW3&amp;IF(ISTEXT(AW3),CHAR(34),""))</f>
        <v>,INDEX(REPORT_FR2052a!$1:$1048576,0,7),""</v>
      </c>
      <c r="BA3" s="137" t="s">
        <v>12</v>
      </c>
      <c r="BB3" s="137" t="str">
        <f>"=SUMIFS(INDEX(REPORT_FR2052a!$1:$1048576,0,"&amp;(MATCH(BA3,REPORT_FR2052a!$1:$1,0))&amp;")"</f>
        <v>=SUMIFS(INDEX(REPORT_FR2052a!$1:$1048576,0,13)</v>
      </c>
      <c r="BC3" s="137" t="str">
        <f>BB3&amp;H3&amp;K3&amp;N3&amp;Q3&amp;T3&amp;W3&amp;Z3&amp;AC3&amp;AF3&amp;AI3&amp;AL3&amp;AO3&amp;AR3&amp;AU3&amp;AX3&amp;")"</f>
        <v>=SUMIFS(INDEX(REPORT_FR2052a!$1:$1048576,0,13),INDEX(REPORT_FR2052a!$1:$1048576,0,44),"I.A.1",INDEX(REPORT_FR2052a!$1:$1048576,0,37),"&lt;&gt;Other Cash",INDEX(REPORT_FR2052a!$1:$1048576,0,46),1,INDEX(REPORT_FR2052a!$1:$1048576,0,47),1,INDEX(REPORT_FR2052a!$1:$1048576,0,7),"")</v>
      </c>
      <c r="BD3" s="141">
        <f>SUMIFS(INDEX(REPORT_FR2052a!$1:$1048576,0,13),INDEX(REPORT_FR2052a!$1:$1048576,0,44),"I.A.1",INDEX(REPORT_FR2052a!$1:$1048576,0,37),"&lt;&gt;Other Cash",INDEX(REPORT_FR2052a!$1:$1048576,0,46),1,INDEX(REPORT_FR2052a!$1:$1048576,0,47),1,INDEX(REPORT_FR2052a!$1:$1048576,0,7),"")</f>
        <v>2455.69</v>
      </c>
      <c r="BE3" s="137" t="s">
        <v>331</v>
      </c>
      <c r="BF3" s="139" t="s">
        <v>47</v>
      </c>
      <c r="BG3" s="137" t="str">
        <f t="shared" ref="BG3:BG47" si="13">IF(BE3="","",",INDEX(REPORT_FR2052a!$1:$1048576,0,"&amp;BG$2&amp;"),"&amp;IF(ISTEXT(BF3),CHAR(34),"")&amp;IF(BE3="is","",""&amp;"&lt;&gt;")&amp;BF3&amp;IF(ISTEXT(BF3),CHAR(34),""))</f>
        <v>,INDEX(REPORT_FR2052a!$1:$1048576,0,5),"Bank of China - Combined US Branches and Agencies"</v>
      </c>
      <c r="BI3" s="137" t="str">
        <f>LEFT(BC3,LEN(BC3)-1)&amp;BG3&amp;")"</f>
        <v>=SUMIFS(INDEX(REPORT_FR2052a!$1:$1048576,0,13),INDEX(REPORT_FR2052a!$1:$1048576,0,44),"I.A.1",INDEX(REPORT_FR2052a!$1:$1048576,0,37),"&lt;&gt;Other Cash",INDEX(REPORT_FR2052a!$1:$1048576,0,46),1,INDEX(REPORT_FR2052a!$1:$1048576,0,47),1,INDEX(REPORT_FR2052a!$1:$1048576,0,7),"",INDEX(REPORT_FR2052a!$1:$1048576,0,5),"Bank of China - Combined US Branches and Agencies")</v>
      </c>
      <c r="BJ3" s="142">
        <f>SUMIFS(INDEX(REPORT_FR2052a!$1:$1048576,0,13),INDEX(REPORT_FR2052a!$1:$1048576,0,44),"I.A.1",INDEX(REPORT_FR2052a!$1:$1048576,0,37),"&lt;&gt;Other Cash",INDEX(REPORT_FR2052a!$1:$1048576,0,46),1,INDEX(REPORT_FR2052a!$1:$1048576,0,47),1,INDEX(REPORT_FR2052a!$1:$1048576,0,7),"",INDEX(REPORT_FR2052a!$1:$1048576,0,5),"Bank of China - Combined US Branches and Agencies")</f>
        <v>2455.69</v>
      </c>
      <c r="BK3" s="143">
        <f>BD3-BJ3</f>
        <v>0</v>
      </c>
    </row>
    <row r="4" spans="1:63">
      <c r="A4" s="136" t="s">
        <v>442</v>
      </c>
      <c r="B4" s="137" t="str">
        <f>IFERROR(INDEX('LCR TYPE EXPLAIN'!B:B,MATCH(A4,'LCR TYPE EXPLAIN'!A:A,0)),"")</f>
        <v>High-Quality Liquid Assets (Subpart C, §.20-.22)Level 1</v>
      </c>
      <c r="C4" s="137" t="s">
        <v>390</v>
      </c>
      <c r="F4" s="137" t="s">
        <v>331</v>
      </c>
      <c r="G4" s="138" t="s">
        <v>361</v>
      </c>
      <c r="H4" s="137" t="str">
        <f t="shared" si="0"/>
        <v>,INDEX(REPORT_FR2052a!$1:$1048576,0,44),"I.A.3"</v>
      </c>
      <c r="K4" s="137" t="str">
        <f t="shared" si="1"/>
        <v/>
      </c>
      <c r="L4" s="137" t="s">
        <v>332</v>
      </c>
      <c r="M4" s="137" t="s">
        <v>338</v>
      </c>
      <c r="N4" s="137" t="str">
        <f>IF(L4="","",",INDEX(REPORT_FR2052a!$1:$1048576,0,"&amp;N$2&amp;"),"&amp;IF(ISTEXT(M4),CHAR(34),"")&amp;IF(L4="is","",""&amp;"&lt;&gt;")&amp;M4&amp;IF(ISTEXT(M4),CHAR(34),""))</f>
        <v>,INDEX(REPORT_FR2052a!$1:$1048576,0,37),"&lt;&gt;Other Cash"</v>
      </c>
      <c r="Q4" s="137" t="str">
        <f t="shared" si="3"/>
        <v/>
      </c>
      <c r="R4" s="137" t="s">
        <v>331</v>
      </c>
      <c r="S4" s="137">
        <v>1</v>
      </c>
      <c r="T4" s="137" t="str">
        <f t="shared" si="4"/>
        <v>,INDEX(REPORT_FR2052a!$1:$1048576,0,46),1</v>
      </c>
      <c r="U4" s="137" t="s">
        <v>331</v>
      </c>
      <c r="V4" s="139">
        <v>1</v>
      </c>
      <c r="W4" s="137" t="str">
        <f t="shared" si="5"/>
        <v>,INDEX(REPORT_FR2052a!$1:$1048576,0,47),1</v>
      </c>
      <c r="Y4" s="139"/>
      <c r="Z4" s="137" t="str">
        <f t="shared" si="6"/>
        <v/>
      </c>
      <c r="AA4" s="137" t="s">
        <v>331</v>
      </c>
      <c r="AB4" s="139">
        <v>0</v>
      </c>
      <c r="AC4" s="137" t="str">
        <f t="shared" si="7"/>
        <v>,INDEX(REPORT_FR2052a!$1:$1048576,0,42),0</v>
      </c>
      <c r="AF4" s="137" t="str">
        <f t="shared" si="8"/>
        <v/>
      </c>
      <c r="AH4" s="139"/>
      <c r="AI4" s="137" t="str">
        <f t="shared" si="9"/>
        <v/>
      </c>
      <c r="AK4" s="139"/>
      <c r="AL4" s="137" t="str">
        <f t="shared" si="10"/>
        <v/>
      </c>
      <c r="AO4" s="137" t="str">
        <f t="shared" si="11"/>
        <v/>
      </c>
      <c r="AR4" s="137" t="str">
        <f t="shared" ref="AR4:AR74" si="14">IF(AP4="","",",INDEX(REPORT_FR2052a!$1:$1048576,0,"&amp;AR$2&amp;"),"&amp;IF(ISTEXT(AQ4),CHAR(34),"")&amp;IF(AP4="is","",""&amp;"&lt;&gt;")&amp;AQ4&amp;IF(ISTEXT(AQ4),CHAR(34),""))</f>
        <v/>
      </c>
      <c r="AU4" s="137" t="str">
        <f t="shared" ref="AU4:AU74" si="15">IF(AS4="","",",INDEX(REPORT_FR2052a!$1:$1048576,0,"&amp;AU$2&amp;"),"&amp;IF(ISTEXT(AT4),CHAR(34),"")&amp;IF(AS4="is","",""&amp;"&lt;&gt;")&amp;AT4&amp;IF(ISTEXT(AT4),CHAR(34),""))</f>
        <v/>
      </c>
      <c r="AV4" s="137" t="s">
        <v>331</v>
      </c>
      <c r="AW4" s="139" t="s">
        <v>762</v>
      </c>
      <c r="AX4" s="137" t="str">
        <f t="shared" ref="AX4:AX8" si="16">IF(AV4="","",",INDEX(REPORT_FR2052a!$1:$1048576,0,"&amp;AX$2&amp;"),"&amp;IF(ISTEXT(AW4),CHAR(34),"")&amp;IF(AV4="is","",""&amp;"&lt;&gt;")&amp;AW4&amp;IF(ISTEXT(AW4),CHAR(34),""))</f>
        <v>,INDEX(REPORT_FR2052a!$1:$1048576,0,7),""</v>
      </c>
      <c r="BA4" s="137" t="s">
        <v>12</v>
      </c>
      <c r="BB4" s="137" t="str">
        <f>"=SUMIFS(INDEX(REPORT_FR2052a!$1:$1048576,0,"&amp;(MATCH(BA4,REPORT_FR2052a!$1:$1,0))&amp;")"</f>
        <v>=SUMIFS(INDEX(REPORT_FR2052a!$1:$1048576,0,13)</v>
      </c>
      <c r="BC4" s="137" t="str">
        <f t="shared" ref="BC4:BC67" si="17">BB4&amp;H4&amp;K4&amp;N4&amp;Q4&amp;T4&amp;W4&amp;Z4&amp;AC4&amp;AF4&amp;AI4&amp;AL4&amp;AO4&amp;AR4&amp;AU4&amp;AX4&amp;")"</f>
        <v>=SUMIFS(INDEX(REPORT_FR2052a!$1:$1048576,0,13),INDEX(REPORT_FR2052a!$1:$1048576,0,44),"I.A.3",INDEX(REPORT_FR2052a!$1:$1048576,0,37),"&lt;&gt;Other Cash",INDEX(REPORT_FR2052a!$1:$1048576,0,46),1,INDEX(REPORT_FR2052a!$1:$1048576,0,47),1,INDEX(REPORT_FR2052a!$1:$1048576,0,42),0,INDEX(REPORT_FR2052a!$1:$1048576,0,7),"")</v>
      </c>
      <c r="BD4" s="141">
        <f>SUMIFS(INDEX(REPORT_FR2052a!$1:$1048576,0,13),INDEX(REPORT_FR2052a!$1:$1048576,0,44),"I.A.3",INDEX(REPORT_FR2052a!$1:$1048576,0,37),"&lt;&gt;Other Cash",INDEX(REPORT_FR2052a!$1:$1048576,0,46),1,INDEX(REPORT_FR2052a!$1:$1048576,0,47),1,INDEX(REPORT_FR2052a!$1:$1048576,0,42),0,INDEX(REPORT_FR2052a!$1:$1048576,0,7),"")</f>
        <v>30602.91</v>
      </c>
      <c r="BE4" s="137" t="s">
        <v>331</v>
      </c>
      <c r="BF4" s="139" t="s">
        <v>47</v>
      </c>
      <c r="BG4" s="137" t="str">
        <f t="shared" si="13"/>
        <v>,INDEX(REPORT_FR2052a!$1:$1048576,0,5),"Bank of China - Combined US Branches and Agencies"</v>
      </c>
      <c r="BI4" s="137" t="str">
        <f t="shared" ref="BI4:BI124" si="18">LEFT(BC4,LEN(BC4)-1)&amp;BG4&amp;")"</f>
        <v>=SUMIFS(INDEX(REPORT_FR2052a!$1:$1048576,0,13),INDEX(REPORT_FR2052a!$1:$1048576,0,44),"I.A.3",INDEX(REPORT_FR2052a!$1:$1048576,0,37),"&lt;&gt;Other Cash",INDEX(REPORT_FR2052a!$1:$1048576,0,46),1,INDEX(REPORT_FR2052a!$1:$1048576,0,47),1,INDEX(REPORT_FR2052a!$1:$1048576,0,42),0,INDEX(REPORT_FR2052a!$1:$1048576,0,7),"",INDEX(REPORT_FR2052a!$1:$1048576,0,5),"Bank of China - Combined US Branches and Agencies")</v>
      </c>
      <c r="BJ4" s="142">
        <f>SUMIFS(INDEX(REPORT_FR2052a!$1:$1048576,0,13),INDEX(REPORT_FR2052a!$1:$1048576,0,44),"I.A.3",INDEX(REPORT_FR2052a!$1:$1048576,0,37),"&lt;&gt;Other Cash",INDEX(REPORT_FR2052a!$1:$1048576,0,46),1,INDEX(REPORT_FR2052a!$1:$1048576,0,47),1,INDEX(REPORT_FR2052a!$1:$1048576,0,42),0,INDEX(REPORT_FR2052a!$1:$1048576,0,7),"",INDEX(REPORT_FR2052a!$1:$1048576,0,5),"Bank of China - Combined US Branches and Agencies")</f>
        <v>30602.91</v>
      </c>
      <c r="BK4" s="143">
        <f t="shared" ref="BK4:BK124" si="19">BD4-BJ4</f>
        <v>0</v>
      </c>
    </row>
    <row r="5" spans="1:63">
      <c r="A5" s="150" t="s">
        <v>439</v>
      </c>
      <c r="B5" s="137" t="str">
        <f>IFERROR(INDEX('LCR TYPE EXPLAIN'!B:B,MATCH(A5,'LCR TYPE EXPLAIN'!A:A,0)),"")</f>
        <v>Rehypothecatable Collateral (Subpart C, §.20-.22)Level 1</v>
      </c>
      <c r="F5" s="137" t="s">
        <v>331</v>
      </c>
      <c r="G5" s="138" t="s">
        <v>363</v>
      </c>
      <c r="H5" s="137" t="str">
        <f t="shared" si="0"/>
        <v>,INDEX(REPORT_FR2052a!$1:$1048576,0,44),"I.S.1"</v>
      </c>
      <c r="K5" s="137" t="str">
        <f t="shared" si="1"/>
        <v/>
      </c>
      <c r="N5" s="137" t="str">
        <f t="shared" si="2"/>
        <v/>
      </c>
      <c r="Q5" s="137" t="str">
        <f t="shared" si="3"/>
        <v/>
      </c>
      <c r="R5" s="137" t="s">
        <v>331</v>
      </c>
      <c r="S5" s="137">
        <v>1</v>
      </c>
      <c r="T5" s="137" t="str">
        <f t="shared" si="4"/>
        <v>,INDEX(REPORT_FR2052a!$1:$1048576,0,46),1</v>
      </c>
      <c r="U5" s="137" t="s">
        <v>331</v>
      </c>
      <c r="V5" s="139">
        <v>1</v>
      </c>
      <c r="W5" s="137" t="str">
        <f t="shared" si="5"/>
        <v>,INDEX(REPORT_FR2052a!$1:$1048576,0,47),1</v>
      </c>
      <c r="X5" s="137" t="s">
        <v>331</v>
      </c>
      <c r="Y5" s="139">
        <v>1</v>
      </c>
      <c r="Z5" s="137" t="str">
        <f t="shared" si="6"/>
        <v>,INDEX(REPORT_FR2052a!$1:$1048576,0,48),1</v>
      </c>
      <c r="AB5" s="139"/>
      <c r="AC5" s="137" t="str">
        <f t="shared" si="7"/>
        <v/>
      </c>
      <c r="AF5" s="137" t="str">
        <f t="shared" si="8"/>
        <v/>
      </c>
      <c r="AH5" s="139"/>
      <c r="AI5" s="137" t="str">
        <f t="shared" si="9"/>
        <v/>
      </c>
      <c r="AK5" s="139"/>
      <c r="AL5" s="137" t="str">
        <f t="shared" si="10"/>
        <v/>
      </c>
      <c r="AO5" s="137" t="str">
        <f t="shared" si="11"/>
        <v/>
      </c>
      <c r="AR5" s="137" t="str">
        <f t="shared" si="14"/>
        <v/>
      </c>
      <c r="AU5" s="137" t="str">
        <f t="shared" si="15"/>
        <v/>
      </c>
      <c r="AV5" s="137" t="s">
        <v>331</v>
      </c>
      <c r="AW5" s="139" t="s">
        <v>762</v>
      </c>
      <c r="AX5" s="137" t="str">
        <f t="shared" si="16"/>
        <v>,INDEX(REPORT_FR2052a!$1:$1048576,0,7),""</v>
      </c>
      <c r="BA5" s="137" t="s">
        <v>23</v>
      </c>
      <c r="BB5" s="137" t="str">
        <f>"=SUMIFS(INDEX(REPORT_FR2052a!$1:$1048576,0,"&amp;(MATCH(BA5,REPORT_FR2052a!$1:$1,0))&amp;")"</f>
        <v>=SUMIFS(INDEX(REPORT_FR2052a!$1:$1048576,0,24)</v>
      </c>
      <c r="BC5" s="137" t="str">
        <f t="shared" si="17"/>
        <v>=SUMIFS(INDEX(REPORT_FR2052a!$1:$1048576,0,24),INDEX(REPORT_FR2052a!$1:$1048576,0,44),"I.S.1",INDEX(REPORT_FR2052a!$1:$1048576,0,46),1,INDEX(REPORT_FR2052a!$1:$1048576,0,47),1,INDEX(REPORT_FR2052a!$1:$1048576,0,48),1,INDEX(REPORT_FR2052a!$1:$1048576,0,7),"")</v>
      </c>
      <c r="BD5" s="141">
        <f>SUMIFS(INDEX(REPORT_FR2052a!$1:$1048576,0,24),INDEX(REPORT_FR2052a!$1:$1048576,0,44),"I.S.1",INDEX(REPORT_FR2052a!$1:$1048576,0,46),1,INDEX(REPORT_FR2052a!$1:$1048576,0,47),1,INDEX(REPORT_FR2052a!$1:$1048576,0,48),1,INDEX(REPORT_FR2052a!$1:$1048576,0,7),"")</f>
        <v>0</v>
      </c>
      <c r="BE5" s="137" t="s">
        <v>331</v>
      </c>
      <c r="BF5" s="139" t="s">
        <v>47</v>
      </c>
      <c r="BG5" s="137" t="str">
        <f t="shared" si="13"/>
        <v>,INDEX(REPORT_FR2052a!$1:$1048576,0,5),"Bank of China - Combined US Branches and Agencies"</v>
      </c>
      <c r="BI5" s="137" t="str">
        <f t="shared" si="18"/>
        <v>=SUMIFS(INDEX(REPORT_FR2052a!$1:$1048576,0,24),INDEX(REPORT_FR2052a!$1:$1048576,0,44),"I.S.1",INDEX(REPORT_FR2052a!$1:$1048576,0,46),1,INDEX(REPORT_FR2052a!$1:$1048576,0,47),1,INDEX(REPORT_FR2052a!$1:$1048576,0,48),1,INDEX(REPORT_FR2052a!$1:$1048576,0,7),"",INDEX(REPORT_FR2052a!$1:$1048576,0,5),"Bank of China - Combined US Branches and Agencies")</v>
      </c>
      <c r="BJ5" s="142">
        <f>SUMIFS(INDEX(REPORT_FR2052a!$1:$1048576,0,24),INDEX(REPORT_FR2052a!$1:$1048576,0,44),"I.S.1",INDEX(REPORT_FR2052a!$1:$1048576,0,46),1,INDEX(REPORT_FR2052a!$1:$1048576,0,47),1,INDEX(REPORT_FR2052a!$1:$1048576,0,48),1,INDEX(REPORT_FR2052a!$1:$1048576,0,7),"",INDEX(REPORT_FR2052a!$1:$1048576,0,5),"Bank of China - Combined US Branches and Agencies")</f>
        <v>0</v>
      </c>
      <c r="BK5" s="143">
        <f t="shared" si="19"/>
        <v>0</v>
      </c>
    </row>
    <row r="6" spans="1:63">
      <c r="A6" s="136" t="s">
        <v>439</v>
      </c>
      <c r="B6" s="137" t="str">
        <f>IFERROR(INDEX('LCR TYPE EXPLAIN'!B:B,MATCH(A6,'LCR TYPE EXPLAIN'!A:A,0)),"")</f>
        <v>Rehypothecatable Collateral (Subpart C, §.20-.22)Level 1</v>
      </c>
      <c r="F6" s="137" t="s">
        <v>331</v>
      </c>
      <c r="G6" s="138" t="s">
        <v>364</v>
      </c>
      <c r="H6" s="137" t="str">
        <f t="shared" si="0"/>
        <v>,INDEX(REPORT_FR2052a!$1:$1048576,0,44),"I.S.2"</v>
      </c>
      <c r="K6" s="137" t="str">
        <f t="shared" si="1"/>
        <v/>
      </c>
      <c r="N6" s="137" t="str">
        <f t="shared" si="2"/>
        <v/>
      </c>
      <c r="Q6" s="137" t="str">
        <f t="shared" si="3"/>
        <v/>
      </c>
      <c r="R6" s="137" t="s">
        <v>331</v>
      </c>
      <c r="S6" s="137">
        <v>1</v>
      </c>
      <c r="T6" s="137" t="str">
        <f t="shared" si="4"/>
        <v>,INDEX(REPORT_FR2052a!$1:$1048576,0,46),1</v>
      </c>
      <c r="U6" s="137" t="s">
        <v>331</v>
      </c>
      <c r="V6" s="139">
        <v>1</v>
      </c>
      <c r="W6" s="137" t="str">
        <f t="shared" si="5"/>
        <v>,INDEX(REPORT_FR2052a!$1:$1048576,0,47),1</v>
      </c>
      <c r="X6" s="137" t="s">
        <v>331</v>
      </c>
      <c r="Y6" s="139">
        <v>1</v>
      </c>
      <c r="Z6" s="137" t="str">
        <f t="shared" si="6"/>
        <v>,INDEX(REPORT_FR2052a!$1:$1048576,0,48),1</v>
      </c>
      <c r="AB6" s="139"/>
      <c r="AC6" s="137" t="str">
        <f t="shared" si="7"/>
        <v/>
      </c>
      <c r="AF6" s="137" t="str">
        <f t="shared" si="8"/>
        <v/>
      </c>
      <c r="AH6" s="139"/>
      <c r="AI6" s="137" t="str">
        <f t="shared" si="9"/>
        <v/>
      </c>
      <c r="AK6" s="139"/>
      <c r="AL6" s="137" t="str">
        <f t="shared" si="10"/>
        <v/>
      </c>
      <c r="AO6" s="137" t="str">
        <f t="shared" si="11"/>
        <v/>
      </c>
      <c r="AR6" s="137" t="str">
        <f t="shared" si="14"/>
        <v/>
      </c>
      <c r="AU6" s="137" t="str">
        <f t="shared" si="15"/>
        <v/>
      </c>
      <c r="AV6" s="137" t="s">
        <v>331</v>
      </c>
      <c r="AW6" s="139" t="s">
        <v>762</v>
      </c>
      <c r="AX6" s="137" t="str">
        <f t="shared" si="16"/>
        <v>,INDEX(REPORT_FR2052a!$1:$1048576,0,7),""</v>
      </c>
      <c r="BA6" s="137" t="s">
        <v>23</v>
      </c>
      <c r="BB6" s="137" t="str">
        <f>"=SUMIFS(INDEX(REPORT_FR2052a!$1:$1048576,0,"&amp;(MATCH(BA6,REPORT_FR2052a!$1:$1,0))&amp;")"</f>
        <v>=SUMIFS(INDEX(REPORT_FR2052a!$1:$1048576,0,24)</v>
      </c>
      <c r="BC6" s="137" t="str">
        <f t="shared" si="17"/>
        <v>=SUMIFS(INDEX(REPORT_FR2052a!$1:$1048576,0,24),INDEX(REPORT_FR2052a!$1:$1048576,0,44),"I.S.2",INDEX(REPORT_FR2052a!$1:$1048576,0,46),1,INDEX(REPORT_FR2052a!$1:$1048576,0,47),1,INDEX(REPORT_FR2052a!$1:$1048576,0,48),1,INDEX(REPORT_FR2052a!$1:$1048576,0,7),"")</v>
      </c>
      <c r="BD6" s="141">
        <f>SUMIFS(INDEX(REPORT_FR2052a!$1:$1048576,0,24),INDEX(REPORT_FR2052a!$1:$1048576,0,44),"I.S.2",INDEX(REPORT_FR2052a!$1:$1048576,0,46),1,INDEX(REPORT_FR2052a!$1:$1048576,0,47),1,INDEX(REPORT_FR2052a!$1:$1048576,0,48),1,INDEX(REPORT_FR2052a!$1:$1048576,0,7),"")</f>
        <v>0</v>
      </c>
      <c r="BE6" s="137" t="s">
        <v>331</v>
      </c>
      <c r="BF6" s="139" t="s">
        <v>47</v>
      </c>
      <c r="BG6" s="137" t="str">
        <f t="shared" si="13"/>
        <v>,INDEX(REPORT_FR2052a!$1:$1048576,0,5),"Bank of China - Combined US Branches and Agencies"</v>
      </c>
      <c r="BI6" s="137" t="str">
        <f t="shared" si="18"/>
        <v>=SUMIFS(INDEX(REPORT_FR2052a!$1:$1048576,0,24),INDEX(REPORT_FR2052a!$1:$1048576,0,44),"I.S.2",INDEX(REPORT_FR2052a!$1:$1048576,0,46),1,INDEX(REPORT_FR2052a!$1:$1048576,0,47),1,INDEX(REPORT_FR2052a!$1:$1048576,0,48),1,INDEX(REPORT_FR2052a!$1:$1048576,0,7),"",INDEX(REPORT_FR2052a!$1:$1048576,0,5),"Bank of China - Combined US Branches and Agencies")</v>
      </c>
      <c r="BJ6" s="142">
        <f>SUMIFS(INDEX(REPORT_FR2052a!$1:$1048576,0,24),INDEX(REPORT_FR2052a!$1:$1048576,0,44),"I.S.2",INDEX(REPORT_FR2052a!$1:$1048576,0,46),1,INDEX(REPORT_FR2052a!$1:$1048576,0,47),1,INDEX(REPORT_FR2052a!$1:$1048576,0,48),1,INDEX(REPORT_FR2052a!$1:$1048576,0,7),"",INDEX(REPORT_FR2052a!$1:$1048576,0,5),"Bank of China - Combined US Branches and Agencies")</f>
        <v>0</v>
      </c>
      <c r="BK6" s="143">
        <f t="shared" si="19"/>
        <v>0</v>
      </c>
    </row>
    <row r="7" spans="1:63">
      <c r="A7" s="136" t="s">
        <v>439</v>
      </c>
      <c r="B7" s="137" t="str">
        <f>IFERROR(INDEX('LCR TYPE EXPLAIN'!B:B,MATCH(A7,'LCR TYPE EXPLAIN'!A:A,0)),"")</f>
        <v>Rehypothecatable Collateral (Subpart C, §.20-.22)Level 1</v>
      </c>
      <c r="F7" s="137" t="s">
        <v>331</v>
      </c>
      <c r="G7" s="138" t="s">
        <v>365</v>
      </c>
      <c r="H7" s="137" t="str">
        <f t="shared" si="0"/>
        <v>,INDEX(REPORT_FR2052a!$1:$1048576,0,44),"I.S.3"</v>
      </c>
      <c r="K7" s="137" t="str">
        <f t="shared" si="1"/>
        <v/>
      </c>
      <c r="N7" s="137" t="str">
        <f t="shared" si="2"/>
        <v/>
      </c>
      <c r="Q7" s="137" t="str">
        <f t="shared" si="3"/>
        <v/>
      </c>
      <c r="R7" s="137" t="s">
        <v>331</v>
      </c>
      <c r="S7" s="137">
        <v>1</v>
      </c>
      <c r="T7" s="137" t="str">
        <f t="shared" si="4"/>
        <v>,INDEX(REPORT_FR2052a!$1:$1048576,0,46),1</v>
      </c>
      <c r="U7" s="137" t="s">
        <v>331</v>
      </c>
      <c r="V7" s="139">
        <v>1</v>
      </c>
      <c r="W7" s="137" t="str">
        <f t="shared" si="5"/>
        <v>,INDEX(REPORT_FR2052a!$1:$1048576,0,47),1</v>
      </c>
      <c r="X7" s="137" t="s">
        <v>331</v>
      </c>
      <c r="Y7" s="139">
        <v>1</v>
      </c>
      <c r="Z7" s="137" t="str">
        <f t="shared" si="6"/>
        <v>,INDEX(REPORT_FR2052a!$1:$1048576,0,48),1</v>
      </c>
      <c r="AB7" s="139"/>
      <c r="AC7" s="137" t="str">
        <f t="shared" si="7"/>
        <v/>
      </c>
      <c r="AF7" s="137" t="str">
        <f t="shared" si="8"/>
        <v/>
      </c>
      <c r="AH7" s="139"/>
      <c r="AI7" s="137" t="str">
        <f t="shared" si="9"/>
        <v/>
      </c>
      <c r="AK7" s="139"/>
      <c r="AL7" s="137" t="str">
        <f t="shared" si="10"/>
        <v/>
      </c>
      <c r="AO7" s="137" t="str">
        <f t="shared" si="11"/>
        <v/>
      </c>
      <c r="AR7" s="137" t="str">
        <f t="shared" si="14"/>
        <v/>
      </c>
      <c r="AU7" s="137" t="str">
        <f t="shared" si="15"/>
        <v/>
      </c>
      <c r="AV7" s="137" t="s">
        <v>331</v>
      </c>
      <c r="AW7" s="139" t="s">
        <v>762</v>
      </c>
      <c r="AX7" s="137" t="str">
        <f t="shared" si="16"/>
        <v>,INDEX(REPORT_FR2052a!$1:$1048576,0,7),""</v>
      </c>
      <c r="BA7" s="137" t="s">
        <v>23</v>
      </c>
      <c r="BB7" s="137" t="str">
        <f>"=SUMIFS(INDEX(REPORT_FR2052a!$1:$1048576,0,"&amp;(MATCH(BA7,REPORT_FR2052a!$1:$1,0))&amp;")"</f>
        <v>=SUMIFS(INDEX(REPORT_FR2052a!$1:$1048576,0,24)</v>
      </c>
      <c r="BC7" s="137" t="str">
        <f t="shared" si="17"/>
        <v>=SUMIFS(INDEX(REPORT_FR2052a!$1:$1048576,0,24),INDEX(REPORT_FR2052a!$1:$1048576,0,44),"I.S.3",INDEX(REPORT_FR2052a!$1:$1048576,0,46),1,INDEX(REPORT_FR2052a!$1:$1048576,0,47),1,INDEX(REPORT_FR2052a!$1:$1048576,0,48),1,INDEX(REPORT_FR2052a!$1:$1048576,0,7),"")</v>
      </c>
      <c r="BD7" s="141">
        <f>SUMIFS(INDEX(REPORT_FR2052a!$1:$1048576,0,24),INDEX(REPORT_FR2052a!$1:$1048576,0,44),"I.S.3",INDEX(REPORT_FR2052a!$1:$1048576,0,46),1,INDEX(REPORT_FR2052a!$1:$1048576,0,47),1,INDEX(REPORT_FR2052a!$1:$1048576,0,48),1,INDEX(REPORT_FR2052a!$1:$1048576,0,7),"")</f>
        <v>0</v>
      </c>
      <c r="BE7" s="137" t="s">
        <v>331</v>
      </c>
      <c r="BF7" s="139" t="s">
        <v>47</v>
      </c>
      <c r="BG7" s="137" t="str">
        <f t="shared" si="13"/>
        <v>,INDEX(REPORT_FR2052a!$1:$1048576,0,5),"Bank of China - Combined US Branches and Agencies"</v>
      </c>
      <c r="BI7" s="137" t="str">
        <f t="shared" si="18"/>
        <v>=SUMIFS(INDEX(REPORT_FR2052a!$1:$1048576,0,24),INDEX(REPORT_FR2052a!$1:$1048576,0,44),"I.S.3",INDEX(REPORT_FR2052a!$1:$1048576,0,46),1,INDEX(REPORT_FR2052a!$1:$1048576,0,47),1,INDEX(REPORT_FR2052a!$1:$1048576,0,48),1,INDEX(REPORT_FR2052a!$1:$1048576,0,7),"",INDEX(REPORT_FR2052a!$1:$1048576,0,5),"Bank of China - Combined US Branches and Agencies")</v>
      </c>
      <c r="BJ7" s="142">
        <f>SUMIFS(INDEX(REPORT_FR2052a!$1:$1048576,0,24),INDEX(REPORT_FR2052a!$1:$1048576,0,44),"I.S.3",INDEX(REPORT_FR2052a!$1:$1048576,0,46),1,INDEX(REPORT_FR2052a!$1:$1048576,0,47),1,INDEX(REPORT_FR2052a!$1:$1048576,0,48),1,INDEX(REPORT_FR2052a!$1:$1048576,0,7),"",INDEX(REPORT_FR2052a!$1:$1048576,0,5),"Bank of China - Combined US Branches and Agencies")</f>
        <v>0</v>
      </c>
      <c r="BK7" s="143">
        <f t="shared" si="19"/>
        <v>0</v>
      </c>
    </row>
    <row r="8" spans="1:63">
      <c r="A8" s="136" t="s">
        <v>439</v>
      </c>
      <c r="B8" s="137" t="str">
        <f>IFERROR(INDEX('LCR TYPE EXPLAIN'!B:B,MATCH(A8,'LCR TYPE EXPLAIN'!A:A,0)),"")</f>
        <v>Rehypothecatable Collateral (Subpart C, §.20-.22)Level 1</v>
      </c>
      <c r="F8" s="137" t="s">
        <v>331</v>
      </c>
      <c r="G8" s="138" t="s">
        <v>366</v>
      </c>
      <c r="H8" s="137" t="str">
        <f t="shared" si="0"/>
        <v>,INDEX(REPORT_FR2052a!$1:$1048576,0,44),"I.S.4"</v>
      </c>
      <c r="K8" s="137" t="str">
        <f t="shared" si="1"/>
        <v/>
      </c>
      <c r="N8" s="137" t="str">
        <f t="shared" si="2"/>
        <v/>
      </c>
      <c r="Q8" s="137" t="str">
        <f t="shared" si="3"/>
        <v/>
      </c>
      <c r="R8" s="137" t="s">
        <v>331</v>
      </c>
      <c r="S8" s="137">
        <v>1</v>
      </c>
      <c r="T8" s="137" t="str">
        <f t="shared" si="4"/>
        <v>,INDEX(REPORT_FR2052a!$1:$1048576,0,46),1</v>
      </c>
      <c r="U8" s="137" t="s">
        <v>331</v>
      </c>
      <c r="V8" s="139">
        <v>1</v>
      </c>
      <c r="W8" s="137" t="str">
        <f t="shared" si="5"/>
        <v>,INDEX(REPORT_FR2052a!$1:$1048576,0,47),1</v>
      </c>
      <c r="X8" s="137" t="s">
        <v>331</v>
      </c>
      <c r="Y8" s="139">
        <v>1</v>
      </c>
      <c r="Z8" s="137" t="str">
        <f t="shared" si="6"/>
        <v>,INDEX(REPORT_FR2052a!$1:$1048576,0,48),1</v>
      </c>
      <c r="AB8" s="139"/>
      <c r="AC8" s="137" t="str">
        <f t="shared" si="7"/>
        <v/>
      </c>
      <c r="AF8" s="137" t="str">
        <f t="shared" si="8"/>
        <v/>
      </c>
      <c r="AH8" s="139"/>
      <c r="AI8" s="137" t="str">
        <f t="shared" si="9"/>
        <v/>
      </c>
      <c r="AK8" s="139"/>
      <c r="AL8" s="137" t="str">
        <f t="shared" si="10"/>
        <v/>
      </c>
      <c r="AO8" s="137" t="str">
        <f t="shared" si="11"/>
        <v/>
      </c>
      <c r="AR8" s="137" t="str">
        <f t="shared" si="14"/>
        <v/>
      </c>
      <c r="AU8" s="137" t="str">
        <f t="shared" si="15"/>
        <v/>
      </c>
      <c r="AV8" s="137" t="s">
        <v>331</v>
      </c>
      <c r="AW8" s="139" t="s">
        <v>762</v>
      </c>
      <c r="AX8" s="137" t="str">
        <f t="shared" si="16"/>
        <v>,INDEX(REPORT_FR2052a!$1:$1048576,0,7),""</v>
      </c>
      <c r="BA8" s="137" t="s">
        <v>23</v>
      </c>
      <c r="BB8" s="137" t="str">
        <f>"=SUMIFS(INDEX(REPORT_FR2052a!$1:$1048576,0,"&amp;(MATCH(BA8,REPORT_FR2052a!$1:$1,0))&amp;")"</f>
        <v>=SUMIFS(INDEX(REPORT_FR2052a!$1:$1048576,0,24)</v>
      </c>
      <c r="BC8" s="137" t="str">
        <f t="shared" si="17"/>
        <v>=SUMIFS(INDEX(REPORT_FR2052a!$1:$1048576,0,24),INDEX(REPORT_FR2052a!$1:$1048576,0,44),"I.S.4",INDEX(REPORT_FR2052a!$1:$1048576,0,46),1,INDEX(REPORT_FR2052a!$1:$1048576,0,47),1,INDEX(REPORT_FR2052a!$1:$1048576,0,48),1,INDEX(REPORT_FR2052a!$1:$1048576,0,7),"")</v>
      </c>
      <c r="BD8" s="141">
        <f>SUMIFS(INDEX(REPORT_FR2052a!$1:$1048576,0,24),INDEX(REPORT_FR2052a!$1:$1048576,0,44),"I.S.4",INDEX(REPORT_FR2052a!$1:$1048576,0,46),1,INDEX(REPORT_FR2052a!$1:$1048576,0,47),1,INDEX(REPORT_FR2052a!$1:$1048576,0,48),1,INDEX(REPORT_FR2052a!$1:$1048576,0,7),"")</f>
        <v>0</v>
      </c>
      <c r="BE8" s="137" t="s">
        <v>331</v>
      </c>
      <c r="BF8" s="139" t="s">
        <v>47</v>
      </c>
      <c r="BG8" s="137" t="str">
        <f t="shared" si="13"/>
        <v>,INDEX(REPORT_FR2052a!$1:$1048576,0,5),"Bank of China - Combined US Branches and Agencies"</v>
      </c>
      <c r="BI8" s="137" t="str">
        <f t="shared" si="18"/>
        <v>=SUMIFS(INDEX(REPORT_FR2052a!$1:$1048576,0,24),INDEX(REPORT_FR2052a!$1:$1048576,0,44),"I.S.4",INDEX(REPORT_FR2052a!$1:$1048576,0,46),1,INDEX(REPORT_FR2052a!$1:$1048576,0,47),1,INDEX(REPORT_FR2052a!$1:$1048576,0,48),1,INDEX(REPORT_FR2052a!$1:$1048576,0,7),"",INDEX(REPORT_FR2052a!$1:$1048576,0,5),"Bank of China - Combined US Branches and Agencies")</v>
      </c>
      <c r="BJ8" s="142">
        <f>SUMIFS(INDEX(REPORT_FR2052a!$1:$1048576,0,24),INDEX(REPORT_FR2052a!$1:$1048576,0,44),"I.S.4",INDEX(REPORT_FR2052a!$1:$1048576,0,46),1,INDEX(REPORT_FR2052a!$1:$1048576,0,47),1,INDEX(REPORT_FR2052a!$1:$1048576,0,48),1,INDEX(REPORT_FR2052a!$1:$1048576,0,7),"",INDEX(REPORT_FR2052a!$1:$1048576,0,5),"Bank of China - Combined US Branches and Agencies")</f>
        <v>0</v>
      </c>
      <c r="BK8" s="143">
        <f t="shared" si="19"/>
        <v>0</v>
      </c>
    </row>
    <row r="9" spans="1:63">
      <c r="A9" s="136" t="s">
        <v>439</v>
      </c>
      <c r="B9" s="137" t="str">
        <f>IFERROR(INDEX('LCR TYPE EXPLAIN'!B:B,MATCH(A9,'LCR TYPE EXPLAIN'!A:A,0)),"")</f>
        <v>Rehypothecatable Collateral (Subpart C, §.20-.22)Level 1</v>
      </c>
      <c r="F9" s="137" t="s">
        <v>331</v>
      </c>
      <c r="G9" s="138" t="s">
        <v>367</v>
      </c>
      <c r="H9" s="137" t="str">
        <f t="shared" si="0"/>
        <v>,INDEX(REPORT_FR2052a!$1:$1048576,0,44),"I.S.5"</v>
      </c>
      <c r="K9" s="137" t="str">
        <f t="shared" si="1"/>
        <v/>
      </c>
      <c r="N9" s="137" t="str">
        <f t="shared" si="2"/>
        <v/>
      </c>
      <c r="Q9" s="137" t="str">
        <f t="shared" si="3"/>
        <v/>
      </c>
      <c r="R9" s="137" t="s">
        <v>331</v>
      </c>
      <c r="S9" s="137">
        <v>1</v>
      </c>
      <c r="T9" s="137" t="str">
        <f t="shared" si="4"/>
        <v>,INDEX(REPORT_FR2052a!$1:$1048576,0,46),1</v>
      </c>
      <c r="U9" s="137" t="s">
        <v>331</v>
      </c>
      <c r="V9" s="139">
        <v>1</v>
      </c>
      <c r="W9" s="137" t="str">
        <f t="shared" si="5"/>
        <v>,INDEX(REPORT_FR2052a!$1:$1048576,0,47),1</v>
      </c>
      <c r="X9" s="137" t="s">
        <v>331</v>
      </c>
      <c r="Y9" s="139">
        <v>1</v>
      </c>
      <c r="Z9" s="137" t="str">
        <f t="shared" si="6"/>
        <v>,INDEX(REPORT_FR2052a!$1:$1048576,0,48),1</v>
      </c>
      <c r="AB9" s="139"/>
      <c r="AC9" s="137" t="str">
        <f t="shared" si="7"/>
        <v/>
      </c>
      <c r="AF9" s="137" t="str">
        <f t="shared" si="8"/>
        <v/>
      </c>
      <c r="AH9" s="139"/>
      <c r="AI9" s="137" t="str">
        <f t="shared" si="9"/>
        <v/>
      </c>
      <c r="AK9" s="139"/>
      <c r="AL9" s="137" t="str">
        <f t="shared" si="10"/>
        <v/>
      </c>
      <c r="AO9" s="137" t="str">
        <f t="shared" si="11"/>
        <v/>
      </c>
      <c r="AR9" s="137" t="str">
        <f t="shared" si="14"/>
        <v/>
      </c>
      <c r="AU9" s="137" t="str">
        <f t="shared" si="15"/>
        <v/>
      </c>
      <c r="AV9" s="137" t="s">
        <v>331</v>
      </c>
      <c r="AW9" s="139" t="s">
        <v>762</v>
      </c>
      <c r="AX9" s="137" t="str">
        <f t="shared" ref="AX9:AX20" si="20">IF(AV9="","",",INDEX(REPORT_FR2052a!$1:$1048576,0,"&amp;AX$2&amp;"),"&amp;IF(ISTEXT(AW9),CHAR(34),"")&amp;IF(AV9="is","",""&amp;"&lt;&gt;")&amp;AW9&amp;IF(ISTEXT(AW9),CHAR(34),""))</f>
        <v>,INDEX(REPORT_FR2052a!$1:$1048576,0,7),""</v>
      </c>
      <c r="BA9" s="137" t="s">
        <v>23</v>
      </c>
      <c r="BB9" s="137" t="str">
        <f>"=SUMIFS(INDEX(REPORT_FR2052a!$1:$1048576,0,"&amp;(MATCH(BA9,REPORT_FR2052a!$1:$1,0))&amp;")"</f>
        <v>=SUMIFS(INDEX(REPORT_FR2052a!$1:$1048576,0,24)</v>
      </c>
      <c r="BC9" s="137" t="str">
        <f t="shared" si="17"/>
        <v>=SUMIFS(INDEX(REPORT_FR2052a!$1:$1048576,0,24),INDEX(REPORT_FR2052a!$1:$1048576,0,44),"I.S.5",INDEX(REPORT_FR2052a!$1:$1048576,0,46),1,INDEX(REPORT_FR2052a!$1:$1048576,0,47),1,INDEX(REPORT_FR2052a!$1:$1048576,0,48),1,INDEX(REPORT_FR2052a!$1:$1048576,0,7),"")</v>
      </c>
      <c r="BD9" s="141">
        <f>SUMIFS(INDEX(REPORT_FR2052a!$1:$1048576,0,24),INDEX(REPORT_FR2052a!$1:$1048576,0,44),"I.S.5",INDEX(REPORT_FR2052a!$1:$1048576,0,46),1,INDEX(REPORT_FR2052a!$1:$1048576,0,47),1,INDEX(REPORT_FR2052a!$1:$1048576,0,48),1,INDEX(REPORT_FR2052a!$1:$1048576,0,7),"")</f>
        <v>0</v>
      </c>
      <c r="BE9" s="137" t="s">
        <v>331</v>
      </c>
      <c r="BF9" s="139" t="s">
        <v>47</v>
      </c>
      <c r="BG9" s="137" t="str">
        <f t="shared" si="13"/>
        <v>,INDEX(REPORT_FR2052a!$1:$1048576,0,5),"Bank of China - Combined US Branches and Agencies"</v>
      </c>
      <c r="BI9" s="137" t="str">
        <f t="shared" si="18"/>
        <v>=SUMIFS(INDEX(REPORT_FR2052a!$1:$1048576,0,24),INDEX(REPORT_FR2052a!$1:$1048576,0,44),"I.S.5",INDEX(REPORT_FR2052a!$1:$1048576,0,46),1,INDEX(REPORT_FR2052a!$1:$1048576,0,47),1,INDEX(REPORT_FR2052a!$1:$1048576,0,48),1,INDEX(REPORT_FR2052a!$1:$1048576,0,7),"",INDEX(REPORT_FR2052a!$1:$1048576,0,5),"Bank of China - Combined US Branches and Agencies")</v>
      </c>
      <c r="BJ9" s="142">
        <f>SUMIFS(INDEX(REPORT_FR2052a!$1:$1048576,0,24),INDEX(REPORT_FR2052a!$1:$1048576,0,44),"I.S.5",INDEX(REPORT_FR2052a!$1:$1048576,0,46),1,INDEX(REPORT_FR2052a!$1:$1048576,0,47),1,INDEX(REPORT_FR2052a!$1:$1048576,0,48),1,INDEX(REPORT_FR2052a!$1:$1048576,0,7),"",INDEX(REPORT_FR2052a!$1:$1048576,0,5),"Bank of China - Combined US Branches and Agencies")</f>
        <v>0</v>
      </c>
      <c r="BK9" s="143">
        <f t="shared" si="19"/>
        <v>0</v>
      </c>
    </row>
    <row r="10" spans="1:63">
      <c r="A10" s="136" t="s">
        <v>439</v>
      </c>
      <c r="B10" s="137" t="str">
        <f>IFERROR(INDEX('LCR TYPE EXPLAIN'!B:B,MATCH(A10,'LCR TYPE EXPLAIN'!A:A,0)),"")</f>
        <v>Rehypothecatable Collateral (Subpart C, §.20-.22)Level 1</v>
      </c>
      <c r="F10" s="137" t="s">
        <v>331</v>
      </c>
      <c r="G10" s="138" t="s">
        <v>368</v>
      </c>
      <c r="H10" s="137" t="str">
        <f t="shared" si="0"/>
        <v>,INDEX(REPORT_FR2052a!$1:$1048576,0,44),"I.S.6"</v>
      </c>
      <c r="K10" s="137" t="str">
        <f t="shared" si="1"/>
        <v/>
      </c>
      <c r="N10" s="137" t="str">
        <f t="shared" si="2"/>
        <v/>
      </c>
      <c r="Q10" s="137" t="str">
        <f t="shared" si="3"/>
        <v/>
      </c>
      <c r="R10" s="137" t="s">
        <v>331</v>
      </c>
      <c r="S10" s="137">
        <v>1</v>
      </c>
      <c r="T10" s="137" t="str">
        <f t="shared" si="4"/>
        <v>,INDEX(REPORT_FR2052a!$1:$1048576,0,46),1</v>
      </c>
      <c r="U10" s="137" t="s">
        <v>331</v>
      </c>
      <c r="V10" s="139">
        <v>1</v>
      </c>
      <c r="W10" s="137" t="str">
        <f t="shared" si="5"/>
        <v>,INDEX(REPORT_FR2052a!$1:$1048576,0,47),1</v>
      </c>
      <c r="X10" s="137" t="s">
        <v>331</v>
      </c>
      <c r="Y10" s="139">
        <v>1</v>
      </c>
      <c r="Z10" s="137" t="str">
        <f t="shared" si="6"/>
        <v>,INDEX(REPORT_FR2052a!$1:$1048576,0,48),1</v>
      </c>
      <c r="AB10" s="139"/>
      <c r="AC10" s="137" t="str">
        <f t="shared" si="7"/>
        <v/>
      </c>
      <c r="AF10" s="137" t="str">
        <f t="shared" si="8"/>
        <v/>
      </c>
      <c r="AH10" s="139"/>
      <c r="AI10" s="137" t="str">
        <f t="shared" si="9"/>
        <v/>
      </c>
      <c r="AK10" s="139"/>
      <c r="AL10" s="137" t="str">
        <f t="shared" si="10"/>
        <v/>
      </c>
      <c r="AO10" s="137" t="str">
        <f t="shared" si="11"/>
        <v/>
      </c>
      <c r="AR10" s="137" t="str">
        <f t="shared" si="14"/>
        <v/>
      </c>
      <c r="AU10" s="137" t="str">
        <f t="shared" si="15"/>
        <v/>
      </c>
      <c r="AV10" s="137" t="s">
        <v>331</v>
      </c>
      <c r="AW10" s="139" t="s">
        <v>762</v>
      </c>
      <c r="AX10" s="137" t="str">
        <f t="shared" si="20"/>
        <v>,INDEX(REPORT_FR2052a!$1:$1048576,0,7),""</v>
      </c>
      <c r="BA10" s="137" t="s">
        <v>23</v>
      </c>
      <c r="BB10" s="137" t="str">
        <f>"=SUMIFS(INDEX(REPORT_FR2052a!$1:$1048576,0,"&amp;(MATCH(BA10,REPORT_FR2052a!$1:$1,0))&amp;")"</f>
        <v>=SUMIFS(INDEX(REPORT_FR2052a!$1:$1048576,0,24)</v>
      </c>
      <c r="BC10" s="137" t="str">
        <f t="shared" si="17"/>
        <v>=SUMIFS(INDEX(REPORT_FR2052a!$1:$1048576,0,24),INDEX(REPORT_FR2052a!$1:$1048576,0,44),"I.S.6",INDEX(REPORT_FR2052a!$1:$1048576,0,46),1,INDEX(REPORT_FR2052a!$1:$1048576,0,47),1,INDEX(REPORT_FR2052a!$1:$1048576,0,48),1,INDEX(REPORT_FR2052a!$1:$1048576,0,7),"")</v>
      </c>
      <c r="BD10" s="141">
        <f>SUMIFS(INDEX(REPORT_FR2052a!$1:$1048576,0,24),INDEX(REPORT_FR2052a!$1:$1048576,0,44),"I.S.6",INDEX(REPORT_FR2052a!$1:$1048576,0,46),1,INDEX(REPORT_FR2052a!$1:$1048576,0,47),1,INDEX(REPORT_FR2052a!$1:$1048576,0,48),1,INDEX(REPORT_FR2052a!$1:$1048576,0,7),"")</f>
        <v>0</v>
      </c>
      <c r="BE10" s="137" t="s">
        <v>331</v>
      </c>
      <c r="BF10" s="139" t="s">
        <v>47</v>
      </c>
      <c r="BG10" s="137" t="str">
        <f t="shared" si="13"/>
        <v>,INDEX(REPORT_FR2052a!$1:$1048576,0,5),"Bank of China - Combined US Branches and Agencies"</v>
      </c>
      <c r="BI10" s="137" t="str">
        <f t="shared" si="18"/>
        <v>=SUMIFS(INDEX(REPORT_FR2052a!$1:$1048576,0,24),INDEX(REPORT_FR2052a!$1:$1048576,0,44),"I.S.6",INDEX(REPORT_FR2052a!$1:$1048576,0,46),1,INDEX(REPORT_FR2052a!$1:$1048576,0,47),1,INDEX(REPORT_FR2052a!$1:$1048576,0,48),1,INDEX(REPORT_FR2052a!$1:$1048576,0,7),"",INDEX(REPORT_FR2052a!$1:$1048576,0,5),"Bank of China - Combined US Branches and Agencies")</v>
      </c>
      <c r="BJ10" s="142">
        <f>SUMIFS(INDEX(REPORT_FR2052a!$1:$1048576,0,24),INDEX(REPORT_FR2052a!$1:$1048576,0,44),"I.S.6",INDEX(REPORT_FR2052a!$1:$1048576,0,46),1,INDEX(REPORT_FR2052a!$1:$1048576,0,47),1,INDEX(REPORT_FR2052a!$1:$1048576,0,48),1,INDEX(REPORT_FR2052a!$1:$1048576,0,7),"",INDEX(REPORT_FR2052a!$1:$1048576,0,5),"Bank of China - Combined US Branches and Agencies")</f>
        <v>0</v>
      </c>
      <c r="BK10" s="143">
        <f t="shared" si="19"/>
        <v>0</v>
      </c>
    </row>
    <row r="11" spans="1:63">
      <c r="A11" s="136">
        <v>10</v>
      </c>
      <c r="B11" s="137" t="str">
        <f>IFERROR(INDEX('LCR TYPE EXPLAIN'!B:B,MATCH(A11,'LCR TYPE EXPLAIN'!A:A,0)),"")</f>
        <v>Stable Retail Deposits (§.32(a)(1))</v>
      </c>
      <c r="F11" s="137" t="s">
        <v>331</v>
      </c>
      <c r="G11" s="138" t="s">
        <v>384</v>
      </c>
      <c r="H11" s="137" t="str">
        <f t="shared" si="0"/>
        <v>,INDEX(REPORT_FR2052a!$1:$1048576,0,44),"O.D.1"</v>
      </c>
      <c r="K11" s="137" t="str">
        <f t="shared" si="1"/>
        <v/>
      </c>
      <c r="N11" s="137" t="str">
        <f t="shared" si="2"/>
        <v/>
      </c>
      <c r="Q11" s="137" t="str">
        <f t="shared" si="3"/>
        <v/>
      </c>
      <c r="T11" s="137" t="str">
        <f t="shared" si="4"/>
        <v/>
      </c>
      <c r="V11" s="139"/>
      <c r="W11" s="137" t="str">
        <f t="shared" si="5"/>
        <v/>
      </c>
      <c r="Y11" s="139"/>
      <c r="Z11" s="137" t="str">
        <f t="shared" si="6"/>
        <v/>
      </c>
      <c r="AB11" s="139"/>
      <c r="AC11" s="137" t="str">
        <f t="shared" si="7"/>
        <v/>
      </c>
      <c r="AD11" s="137" t="s">
        <v>331</v>
      </c>
      <c r="AE11" s="140" t="s">
        <v>122</v>
      </c>
      <c r="AF11" s="137" t="str">
        <f t="shared" si="8"/>
        <v>,INDEX(REPORT_FR2052a!$1:$1048576,0,26),"Retail"</v>
      </c>
      <c r="AH11" s="139"/>
      <c r="AI11" s="137" t="str">
        <f t="shared" si="9"/>
        <v/>
      </c>
      <c r="AJ11" s="137" t="s">
        <v>331</v>
      </c>
      <c r="AK11" s="139" t="s">
        <v>154</v>
      </c>
      <c r="AL11" s="137" t="str">
        <f t="shared" si="10"/>
        <v>,INDEX(REPORT_FR2052a!$1:$1048576,0,27),"FDIC"</v>
      </c>
      <c r="AO11" s="137" t="str">
        <f t="shared" si="11"/>
        <v/>
      </c>
      <c r="AR11" s="137" t="str">
        <f t="shared" si="14"/>
        <v/>
      </c>
      <c r="AU11" s="137" t="str">
        <f t="shared" si="15"/>
        <v/>
      </c>
      <c r="AX11" s="137" t="str">
        <f t="shared" si="20"/>
        <v/>
      </c>
      <c r="BA11" s="137" t="s">
        <v>13</v>
      </c>
      <c r="BB11" s="137" t="str">
        <f>"=SUMIFS(INDEX(REPORT_FR2052a!$1:$1048576,0,"&amp;(MATCH(BA11,REPORT_FR2052a!$1:$1,0))&amp;")"</f>
        <v>=SUMIFS(INDEX(REPORT_FR2052a!$1:$1048576,0,14)</v>
      </c>
      <c r="BC11" s="137" t="str">
        <f t="shared" si="17"/>
        <v>=SUMIFS(INDEX(REPORT_FR2052a!$1:$1048576,0,14),INDEX(REPORT_FR2052a!$1:$1048576,0,44),"O.D.1",INDEX(REPORT_FR2052a!$1:$1048576,0,26),"Retail",INDEX(REPORT_FR2052a!$1:$1048576,0,27),"FDIC")</v>
      </c>
      <c r="BD11" s="141">
        <f>SUMIFS(INDEX(REPORT_FR2052a!$1:$1048576,0,14),INDEX(REPORT_FR2052a!$1:$1048576,0,44),"O.D.1",INDEX(REPORT_FR2052a!$1:$1048576,0,26),"Retail",INDEX(REPORT_FR2052a!$1:$1048576,0,27),"FDIC")</f>
        <v>62.72</v>
      </c>
      <c r="BE11" s="137" t="s">
        <v>331</v>
      </c>
      <c r="BF11" s="139" t="s">
        <v>47</v>
      </c>
      <c r="BG11" s="137" t="str">
        <f t="shared" si="13"/>
        <v>,INDEX(REPORT_FR2052a!$1:$1048576,0,5),"Bank of China - Combined US Branches and Agencies"</v>
      </c>
      <c r="BI11" s="137" t="str">
        <f t="shared" si="18"/>
        <v>=SUMIFS(INDEX(REPORT_FR2052a!$1:$1048576,0,14),INDEX(REPORT_FR2052a!$1:$1048576,0,44),"O.D.1",INDEX(REPORT_FR2052a!$1:$1048576,0,26),"Retail",INDEX(REPORT_FR2052a!$1:$1048576,0,27),"FDIC",INDEX(REPORT_FR2052a!$1:$1048576,0,5),"Bank of China - Combined US Branches and Agencies")</v>
      </c>
      <c r="BJ11" s="142">
        <f>SUMIFS(INDEX(REPORT_FR2052a!$1:$1048576,0,14),INDEX(REPORT_FR2052a!$1:$1048576,0,44),"O.D.1",INDEX(REPORT_FR2052a!$1:$1048576,0,26),"Retail",INDEX(REPORT_FR2052a!$1:$1048576,0,27),"FDIC",INDEX(REPORT_FR2052a!$1:$1048576,0,5),"Bank of China - Combined US Branches and Agencies")</f>
        <v>62.72</v>
      </c>
      <c r="BK11" s="143">
        <f t="shared" si="19"/>
        <v>0</v>
      </c>
    </row>
    <row r="12" spans="1:63">
      <c r="A12" s="136">
        <v>10</v>
      </c>
      <c r="B12" s="137" t="str">
        <f>IFERROR(INDEX('LCR TYPE EXPLAIN'!B:B,MATCH(A12,'LCR TYPE EXPLAIN'!A:A,0)),"")</f>
        <v>Stable Retail Deposits (§.32(a)(1))</v>
      </c>
      <c r="F12" s="137" t="s">
        <v>331</v>
      </c>
      <c r="G12" s="138" t="s">
        <v>384</v>
      </c>
      <c r="H12" s="137" t="str">
        <f t="shared" si="0"/>
        <v>,INDEX(REPORT_FR2052a!$1:$1048576,0,44),"O.D.1"</v>
      </c>
      <c r="K12" s="137" t="str">
        <f t="shared" si="1"/>
        <v/>
      </c>
      <c r="N12" s="137" t="str">
        <f t="shared" si="2"/>
        <v/>
      </c>
      <c r="Q12" s="137" t="str">
        <f t="shared" si="3"/>
        <v/>
      </c>
      <c r="T12" s="137" t="str">
        <f t="shared" si="4"/>
        <v/>
      </c>
      <c r="V12" s="139"/>
      <c r="W12" s="137" t="str">
        <f t="shared" si="5"/>
        <v/>
      </c>
      <c r="Y12" s="139"/>
      <c r="Z12" s="137" t="str">
        <f t="shared" si="6"/>
        <v/>
      </c>
      <c r="AB12" s="139"/>
      <c r="AC12" s="137" t="str">
        <f t="shared" si="7"/>
        <v/>
      </c>
      <c r="AD12" s="137" t="s">
        <v>331</v>
      </c>
      <c r="AE12" s="140" t="s">
        <v>155</v>
      </c>
      <c r="AF12" s="137" t="str">
        <f t="shared" si="8"/>
        <v>,INDEX(REPORT_FR2052a!$1:$1048576,0,26),"Small Business"</v>
      </c>
      <c r="AH12" s="139"/>
      <c r="AI12" s="137" t="str">
        <f t="shared" si="9"/>
        <v/>
      </c>
      <c r="AJ12" s="137" t="s">
        <v>331</v>
      </c>
      <c r="AK12" s="139" t="s">
        <v>154</v>
      </c>
      <c r="AL12" s="137" t="str">
        <f t="shared" si="10"/>
        <v>,INDEX(REPORT_FR2052a!$1:$1048576,0,27),"FDIC"</v>
      </c>
      <c r="AO12" s="137" t="str">
        <f t="shared" si="11"/>
        <v/>
      </c>
      <c r="AR12" s="137" t="str">
        <f t="shared" si="14"/>
        <v/>
      </c>
      <c r="AU12" s="137" t="str">
        <f t="shared" si="15"/>
        <v/>
      </c>
      <c r="AX12" s="137" t="str">
        <f t="shared" si="20"/>
        <v/>
      </c>
      <c r="BA12" s="137" t="s">
        <v>13</v>
      </c>
      <c r="BB12" s="137" t="str">
        <f>"=SUMIFS(INDEX(REPORT_FR2052a!$1:$1048576,0,"&amp;(MATCH(BA12,REPORT_FR2052a!$1:$1,0))&amp;")"</f>
        <v>=SUMIFS(INDEX(REPORT_FR2052a!$1:$1048576,0,14)</v>
      </c>
      <c r="BC12" s="137" t="str">
        <f t="shared" si="17"/>
        <v>=SUMIFS(INDEX(REPORT_FR2052a!$1:$1048576,0,14),INDEX(REPORT_FR2052a!$1:$1048576,0,44),"O.D.1",INDEX(REPORT_FR2052a!$1:$1048576,0,26),"Small Business",INDEX(REPORT_FR2052a!$1:$1048576,0,27),"FDIC")</v>
      </c>
      <c r="BD12" s="141">
        <f>SUMIFS(INDEX(REPORT_FR2052a!$1:$1048576,0,14),INDEX(REPORT_FR2052a!$1:$1048576,0,44),"O.D.1",INDEX(REPORT_FR2052a!$1:$1048576,0,26),"Small Business",INDEX(REPORT_FR2052a!$1:$1048576,0,27),"FDIC")</f>
        <v>0.24</v>
      </c>
      <c r="BE12" s="137" t="s">
        <v>331</v>
      </c>
      <c r="BF12" s="139" t="s">
        <v>47</v>
      </c>
      <c r="BG12" s="137" t="str">
        <f t="shared" si="13"/>
        <v>,INDEX(REPORT_FR2052a!$1:$1048576,0,5),"Bank of China - Combined US Branches and Agencies"</v>
      </c>
      <c r="BI12" s="137" t="str">
        <f t="shared" si="18"/>
        <v>=SUMIFS(INDEX(REPORT_FR2052a!$1:$1048576,0,14),INDEX(REPORT_FR2052a!$1:$1048576,0,44),"O.D.1",INDEX(REPORT_FR2052a!$1:$1048576,0,26),"Small Business",INDEX(REPORT_FR2052a!$1:$1048576,0,27),"FDIC",INDEX(REPORT_FR2052a!$1:$1048576,0,5),"Bank of China - Combined US Branches and Agencies")</v>
      </c>
      <c r="BJ12" s="142">
        <f>SUMIFS(INDEX(REPORT_FR2052a!$1:$1048576,0,14),INDEX(REPORT_FR2052a!$1:$1048576,0,44),"O.D.1",INDEX(REPORT_FR2052a!$1:$1048576,0,26),"Small Business",INDEX(REPORT_FR2052a!$1:$1048576,0,27),"FDIC",INDEX(REPORT_FR2052a!$1:$1048576,0,5),"Bank of China - Combined US Branches and Agencies")</f>
        <v>0.24</v>
      </c>
      <c r="BK12" s="143">
        <f t="shared" si="19"/>
        <v>0</v>
      </c>
    </row>
    <row r="13" spans="1:63">
      <c r="A13" s="136">
        <v>10</v>
      </c>
      <c r="B13" s="137" t="str">
        <f>IFERROR(INDEX('LCR TYPE EXPLAIN'!B:B,MATCH(A13,'LCR TYPE EXPLAIN'!A:A,0)),"")</f>
        <v>Stable Retail Deposits (§.32(a)(1))</v>
      </c>
      <c r="F13" s="137" t="s">
        <v>331</v>
      </c>
      <c r="G13" s="138" t="s">
        <v>385</v>
      </c>
      <c r="H13" s="137" t="str">
        <f t="shared" si="0"/>
        <v>,INDEX(REPORT_FR2052a!$1:$1048576,0,44),"O.D.2"</v>
      </c>
      <c r="K13" s="137" t="str">
        <f t="shared" si="1"/>
        <v/>
      </c>
      <c r="N13" s="137" t="str">
        <f t="shared" si="2"/>
        <v/>
      </c>
      <c r="Q13" s="137" t="str">
        <f t="shared" si="3"/>
        <v/>
      </c>
      <c r="T13" s="137" t="str">
        <f t="shared" si="4"/>
        <v/>
      </c>
      <c r="V13" s="139"/>
      <c r="W13" s="137" t="str">
        <f t="shared" si="5"/>
        <v/>
      </c>
      <c r="Y13" s="139"/>
      <c r="Z13" s="137" t="str">
        <f t="shared" si="6"/>
        <v/>
      </c>
      <c r="AB13" s="139"/>
      <c r="AC13" s="137" t="str">
        <f t="shared" si="7"/>
        <v/>
      </c>
      <c r="AD13" s="137" t="s">
        <v>331</v>
      </c>
      <c r="AE13" s="140" t="s">
        <v>122</v>
      </c>
      <c r="AF13" s="137" t="str">
        <f t="shared" si="8"/>
        <v>,INDEX(REPORT_FR2052a!$1:$1048576,0,26),"Retail"</v>
      </c>
      <c r="AH13" s="139"/>
      <c r="AI13" s="137" t="str">
        <f t="shared" si="9"/>
        <v/>
      </c>
      <c r="AJ13" s="137" t="s">
        <v>331</v>
      </c>
      <c r="AK13" s="139" t="s">
        <v>154</v>
      </c>
      <c r="AL13" s="137" t="str">
        <f t="shared" si="10"/>
        <v>,INDEX(REPORT_FR2052a!$1:$1048576,0,27),"FDIC"</v>
      </c>
      <c r="AO13" s="137" t="str">
        <f t="shared" si="11"/>
        <v/>
      </c>
      <c r="AR13" s="137" t="str">
        <f t="shared" si="14"/>
        <v/>
      </c>
      <c r="AU13" s="137" t="str">
        <f t="shared" si="15"/>
        <v/>
      </c>
      <c r="AX13" s="137" t="str">
        <f t="shared" si="20"/>
        <v/>
      </c>
      <c r="BA13" s="137" t="s">
        <v>13</v>
      </c>
      <c r="BB13" s="137" t="str">
        <f>"=SUMIFS(INDEX(REPORT_FR2052a!$1:$1048576,0,"&amp;(MATCH(BA13,REPORT_FR2052a!$1:$1,0))&amp;")"</f>
        <v>=SUMIFS(INDEX(REPORT_FR2052a!$1:$1048576,0,14)</v>
      </c>
      <c r="BC13" s="137" t="str">
        <f t="shared" si="17"/>
        <v>=SUMIFS(INDEX(REPORT_FR2052a!$1:$1048576,0,14),INDEX(REPORT_FR2052a!$1:$1048576,0,44),"O.D.2",INDEX(REPORT_FR2052a!$1:$1048576,0,26),"Retail",INDEX(REPORT_FR2052a!$1:$1048576,0,27),"FDIC")</v>
      </c>
      <c r="BD13" s="141">
        <f>SUMIFS(INDEX(REPORT_FR2052a!$1:$1048576,0,14),INDEX(REPORT_FR2052a!$1:$1048576,0,44),"O.D.2",INDEX(REPORT_FR2052a!$1:$1048576,0,26),"Retail",INDEX(REPORT_FR2052a!$1:$1048576,0,27),"FDIC")</f>
        <v>97.619999999999976</v>
      </c>
      <c r="BE13" s="137" t="s">
        <v>331</v>
      </c>
      <c r="BF13" s="139" t="s">
        <v>47</v>
      </c>
      <c r="BG13" s="137" t="str">
        <f t="shared" si="13"/>
        <v>,INDEX(REPORT_FR2052a!$1:$1048576,0,5),"Bank of China - Combined US Branches and Agencies"</v>
      </c>
      <c r="BI13" s="137" t="str">
        <f t="shared" si="18"/>
        <v>=SUMIFS(INDEX(REPORT_FR2052a!$1:$1048576,0,14),INDEX(REPORT_FR2052a!$1:$1048576,0,44),"O.D.2",INDEX(REPORT_FR2052a!$1:$1048576,0,26),"Retail",INDEX(REPORT_FR2052a!$1:$1048576,0,27),"FDIC",INDEX(REPORT_FR2052a!$1:$1048576,0,5),"Bank of China - Combined US Branches and Agencies")</v>
      </c>
      <c r="BJ13" s="142">
        <f>SUMIFS(INDEX(REPORT_FR2052a!$1:$1048576,0,14),INDEX(REPORT_FR2052a!$1:$1048576,0,44),"O.D.2",INDEX(REPORT_FR2052a!$1:$1048576,0,26),"Retail",INDEX(REPORT_FR2052a!$1:$1048576,0,27),"FDIC",INDEX(REPORT_FR2052a!$1:$1048576,0,5),"Bank of China - Combined US Branches and Agencies")</f>
        <v>97.619999999999976</v>
      </c>
      <c r="BK13" s="143">
        <f t="shared" si="19"/>
        <v>0</v>
      </c>
    </row>
    <row r="14" spans="1:63">
      <c r="A14" s="136">
        <v>10</v>
      </c>
      <c r="B14" s="137" t="str">
        <f>IFERROR(INDEX('LCR TYPE EXPLAIN'!B:B,MATCH(A14,'LCR TYPE EXPLAIN'!A:A,0)),"")</f>
        <v>Stable Retail Deposits (§.32(a)(1))</v>
      </c>
      <c r="F14" s="137" t="s">
        <v>331</v>
      </c>
      <c r="G14" s="138" t="s">
        <v>385</v>
      </c>
      <c r="H14" s="137" t="str">
        <f t="shared" si="0"/>
        <v>,INDEX(REPORT_FR2052a!$1:$1048576,0,44),"O.D.2"</v>
      </c>
      <c r="K14" s="137" t="str">
        <f t="shared" si="1"/>
        <v/>
      </c>
      <c r="N14" s="137" t="str">
        <f t="shared" si="2"/>
        <v/>
      </c>
      <c r="Q14" s="137" t="str">
        <f t="shared" si="3"/>
        <v/>
      </c>
      <c r="T14" s="137" t="str">
        <f t="shared" si="4"/>
        <v/>
      </c>
      <c r="V14" s="139"/>
      <c r="W14" s="137" t="str">
        <f t="shared" si="5"/>
        <v/>
      </c>
      <c r="Y14" s="139"/>
      <c r="Z14" s="137" t="str">
        <f t="shared" si="6"/>
        <v/>
      </c>
      <c r="AB14" s="139"/>
      <c r="AC14" s="137" t="str">
        <f t="shared" si="7"/>
        <v/>
      </c>
      <c r="AD14" s="137" t="s">
        <v>331</v>
      </c>
      <c r="AE14" s="140" t="s">
        <v>155</v>
      </c>
      <c r="AF14" s="137" t="str">
        <f t="shared" si="8"/>
        <v>,INDEX(REPORT_FR2052a!$1:$1048576,0,26),"Small Business"</v>
      </c>
      <c r="AH14" s="139"/>
      <c r="AI14" s="137" t="str">
        <f t="shared" si="9"/>
        <v/>
      </c>
      <c r="AJ14" s="137" t="s">
        <v>331</v>
      </c>
      <c r="AK14" s="139" t="s">
        <v>154</v>
      </c>
      <c r="AL14" s="137" t="str">
        <f t="shared" si="10"/>
        <v>,INDEX(REPORT_FR2052a!$1:$1048576,0,27),"FDIC"</v>
      </c>
      <c r="AO14" s="137" t="str">
        <f t="shared" si="11"/>
        <v/>
      </c>
      <c r="AR14" s="137" t="str">
        <f t="shared" si="14"/>
        <v/>
      </c>
      <c r="AU14" s="137" t="str">
        <f t="shared" si="15"/>
        <v/>
      </c>
      <c r="AX14" s="137" t="str">
        <f t="shared" si="20"/>
        <v/>
      </c>
      <c r="BA14" s="137" t="s">
        <v>13</v>
      </c>
      <c r="BB14" s="137" t="str">
        <f>"=SUMIFS(INDEX(REPORT_FR2052a!$1:$1048576,0,"&amp;(MATCH(BA14,REPORT_FR2052a!$1:$1,0))&amp;")"</f>
        <v>=SUMIFS(INDEX(REPORT_FR2052a!$1:$1048576,0,14)</v>
      </c>
      <c r="BC14" s="137" t="str">
        <f t="shared" si="17"/>
        <v>=SUMIFS(INDEX(REPORT_FR2052a!$1:$1048576,0,14),INDEX(REPORT_FR2052a!$1:$1048576,0,44),"O.D.2",INDEX(REPORT_FR2052a!$1:$1048576,0,26),"Small Business",INDEX(REPORT_FR2052a!$1:$1048576,0,27),"FDIC")</v>
      </c>
      <c r="BD14" s="141">
        <f>SUMIFS(INDEX(REPORT_FR2052a!$1:$1048576,0,14),INDEX(REPORT_FR2052a!$1:$1048576,0,44),"O.D.2",INDEX(REPORT_FR2052a!$1:$1048576,0,26),"Small Business",INDEX(REPORT_FR2052a!$1:$1048576,0,27),"FDIC")</f>
        <v>0</v>
      </c>
      <c r="BE14" s="137" t="s">
        <v>331</v>
      </c>
      <c r="BF14" s="139" t="s">
        <v>47</v>
      </c>
      <c r="BG14" s="137" t="str">
        <f t="shared" si="13"/>
        <v>,INDEX(REPORT_FR2052a!$1:$1048576,0,5),"Bank of China - Combined US Branches and Agencies"</v>
      </c>
      <c r="BI14" s="137" t="str">
        <f t="shared" si="18"/>
        <v>=SUMIFS(INDEX(REPORT_FR2052a!$1:$1048576,0,14),INDEX(REPORT_FR2052a!$1:$1048576,0,44),"O.D.2",INDEX(REPORT_FR2052a!$1:$1048576,0,26),"Small Business",INDEX(REPORT_FR2052a!$1:$1048576,0,27),"FDIC",INDEX(REPORT_FR2052a!$1:$1048576,0,5),"Bank of China - Combined US Branches and Agencies")</v>
      </c>
      <c r="BJ14" s="142">
        <f>SUMIFS(INDEX(REPORT_FR2052a!$1:$1048576,0,14),INDEX(REPORT_FR2052a!$1:$1048576,0,44),"O.D.2",INDEX(REPORT_FR2052a!$1:$1048576,0,26),"Small Business",INDEX(REPORT_FR2052a!$1:$1048576,0,27),"FDIC",INDEX(REPORT_FR2052a!$1:$1048576,0,5),"Bank of China - Combined US Branches and Agencies")</f>
        <v>0</v>
      </c>
      <c r="BK14" s="143">
        <f t="shared" si="19"/>
        <v>0</v>
      </c>
    </row>
    <row r="15" spans="1:63">
      <c r="A15" s="136">
        <v>11</v>
      </c>
      <c r="B15" s="137" t="str">
        <f>IFERROR(INDEX('LCR TYPE EXPLAIN'!B:B,MATCH(A15,'LCR TYPE EXPLAIN'!A:A,0)),"")</f>
        <v>Other Retail Deposits (§.32(a)(2))</v>
      </c>
      <c r="F15" s="137" t="s">
        <v>331</v>
      </c>
      <c r="G15" s="138" t="s">
        <v>384</v>
      </c>
      <c r="H15" s="137" t="str">
        <f t="shared" si="0"/>
        <v>,INDEX(REPORT_FR2052a!$1:$1048576,0,44),"O.D.1"</v>
      </c>
      <c r="K15" s="137" t="str">
        <f t="shared" si="1"/>
        <v/>
      </c>
      <c r="N15" s="137" t="str">
        <f t="shared" si="2"/>
        <v/>
      </c>
      <c r="Q15" s="137" t="str">
        <f t="shared" si="3"/>
        <v/>
      </c>
      <c r="T15" s="137" t="str">
        <f t="shared" si="4"/>
        <v/>
      </c>
      <c r="V15" s="139"/>
      <c r="W15" s="137" t="str">
        <f t="shared" si="5"/>
        <v/>
      </c>
      <c r="Y15" s="139"/>
      <c r="Z15" s="137" t="str">
        <f t="shared" si="6"/>
        <v/>
      </c>
      <c r="AB15" s="139"/>
      <c r="AC15" s="137" t="str">
        <f t="shared" si="7"/>
        <v/>
      </c>
      <c r="AD15" s="137" t="s">
        <v>331</v>
      </c>
      <c r="AE15" s="140" t="s">
        <v>122</v>
      </c>
      <c r="AF15" s="137" t="str">
        <f t="shared" si="8"/>
        <v>,INDEX(REPORT_FR2052a!$1:$1048576,0,26),"Retail"</v>
      </c>
      <c r="AH15" s="139"/>
      <c r="AI15" s="137" t="str">
        <f t="shared" si="9"/>
        <v/>
      </c>
      <c r="AJ15" s="137" t="s">
        <v>331</v>
      </c>
      <c r="AK15" s="139" t="s">
        <v>156</v>
      </c>
      <c r="AL15" s="137" t="str">
        <f t="shared" si="10"/>
        <v>,INDEX(REPORT_FR2052a!$1:$1048576,0,27),"Uninsured"</v>
      </c>
      <c r="AO15" s="137" t="str">
        <f t="shared" si="11"/>
        <v/>
      </c>
      <c r="AR15" s="137" t="str">
        <f t="shared" si="14"/>
        <v/>
      </c>
      <c r="AU15" s="137" t="str">
        <f t="shared" si="15"/>
        <v/>
      </c>
      <c r="AX15" s="137" t="str">
        <f t="shared" si="20"/>
        <v/>
      </c>
      <c r="BA15" s="137" t="s">
        <v>13</v>
      </c>
      <c r="BB15" s="137" t="str">
        <f>"=SUMIFS(INDEX(REPORT_FR2052a!$1:$1048576,0,"&amp;(MATCH(BA15,REPORT_FR2052a!$1:$1,0))&amp;")"</f>
        <v>=SUMIFS(INDEX(REPORT_FR2052a!$1:$1048576,0,14)</v>
      </c>
      <c r="BC15" s="137" t="str">
        <f t="shared" si="17"/>
        <v>=SUMIFS(INDEX(REPORT_FR2052a!$1:$1048576,0,14),INDEX(REPORT_FR2052a!$1:$1048576,0,44),"O.D.1",INDEX(REPORT_FR2052a!$1:$1048576,0,26),"Retail",INDEX(REPORT_FR2052a!$1:$1048576,0,27),"Uninsured")</v>
      </c>
      <c r="BD15" s="141">
        <f>SUMIFS(INDEX(REPORT_FR2052a!$1:$1048576,0,14),INDEX(REPORT_FR2052a!$1:$1048576,0,44),"O.D.1",INDEX(REPORT_FR2052a!$1:$1048576,0,26),"Retail",INDEX(REPORT_FR2052a!$1:$1048576,0,27),"Uninsured")</f>
        <v>6.7</v>
      </c>
      <c r="BE15" s="137" t="s">
        <v>331</v>
      </c>
      <c r="BF15" s="139" t="s">
        <v>47</v>
      </c>
      <c r="BG15" s="137" t="str">
        <f t="shared" si="13"/>
        <v>,INDEX(REPORT_FR2052a!$1:$1048576,0,5),"Bank of China - Combined US Branches and Agencies"</v>
      </c>
      <c r="BI15" s="137" t="str">
        <f t="shared" si="18"/>
        <v>=SUMIFS(INDEX(REPORT_FR2052a!$1:$1048576,0,14),INDEX(REPORT_FR2052a!$1:$1048576,0,44),"O.D.1",INDEX(REPORT_FR2052a!$1:$1048576,0,26),"Retail",INDEX(REPORT_FR2052a!$1:$1048576,0,27),"Uninsured",INDEX(REPORT_FR2052a!$1:$1048576,0,5),"Bank of China - Combined US Branches and Agencies")</v>
      </c>
      <c r="BJ15" s="142">
        <f>SUMIFS(INDEX(REPORT_FR2052a!$1:$1048576,0,14),INDEX(REPORT_FR2052a!$1:$1048576,0,44),"O.D.1",INDEX(REPORT_FR2052a!$1:$1048576,0,26),"Retail",INDEX(REPORT_FR2052a!$1:$1048576,0,27),"Uninsured",INDEX(REPORT_FR2052a!$1:$1048576,0,5),"Bank of China - Combined US Branches and Agencies")</f>
        <v>6.7</v>
      </c>
      <c r="BK15" s="143">
        <f t="shared" si="19"/>
        <v>0</v>
      </c>
    </row>
    <row r="16" spans="1:63">
      <c r="A16" s="136">
        <v>11</v>
      </c>
      <c r="B16" s="137" t="str">
        <f>IFERROR(INDEX('LCR TYPE EXPLAIN'!B:B,MATCH(A16,'LCR TYPE EXPLAIN'!A:A,0)),"")</f>
        <v>Other Retail Deposits (§.32(a)(2))</v>
      </c>
      <c r="F16" s="137" t="s">
        <v>331</v>
      </c>
      <c r="G16" s="138" t="s">
        <v>384</v>
      </c>
      <c r="H16" s="137" t="str">
        <f t="shared" si="0"/>
        <v>,INDEX(REPORT_FR2052a!$1:$1048576,0,44),"O.D.1"</v>
      </c>
      <c r="K16" s="137" t="str">
        <f t="shared" si="1"/>
        <v/>
      </c>
      <c r="N16" s="137" t="str">
        <f t="shared" si="2"/>
        <v/>
      </c>
      <c r="Q16" s="137" t="str">
        <f t="shared" si="3"/>
        <v/>
      </c>
      <c r="T16" s="137" t="str">
        <f t="shared" si="4"/>
        <v/>
      </c>
      <c r="V16" s="139"/>
      <c r="W16" s="137" t="str">
        <f t="shared" si="5"/>
        <v/>
      </c>
      <c r="Y16" s="139"/>
      <c r="Z16" s="137" t="str">
        <f t="shared" si="6"/>
        <v/>
      </c>
      <c r="AB16" s="139"/>
      <c r="AC16" s="137" t="str">
        <f t="shared" si="7"/>
        <v/>
      </c>
      <c r="AD16" s="137" t="s">
        <v>331</v>
      </c>
      <c r="AE16" s="140" t="s">
        <v>155</v>
      </c>
      <c r="AF16" s="137" t="str">
        <f t="shared" si="8"/>
        <v>,INDEX(REPORT_FR2052a!$1:$1048576,0,26),"Small Business"</v>
      </c>
      <c r="AH16" s="139"/>
      <c r="AI16" s="137" t="str">
        <f t="shared" si="9"/>
        <v/>
      </c>
      <c r="AJ16" s="137" t="s">
        <v>331</v>
      </c>
      <c r="AK16" s="139" t="s">
        <v>156</v>
      </c>
      <c r="AL16" s="137" t="str">
        <f t="shared" si="10"/>
        <v>,INDEX(REPORT_FR2052a!$1:$1048576,0,27),"Uninsured"</v>
      </c>
      <c r="AO16" s="137" t="str">
        <f t="shared" si="11"/>
        <v/>
      </c>
      <c r="AR16" s="137" t="str">
        <f t="shared" si="14"/>
        <v/>
      </c>
      <c r="AU16" s="137" t="str">
        <f t="shared" si="15"/>
        <v/>
      </c>
      <c r="AX16" s="137" t="str">
        <f t="shared" si="20"/>
        <v/>
      </c>
      <c r="BA16" s="137" t="s">
        <v>13</v>
      </c>
      <c r="BB16" s="137" t="str">
        <f>"=SUMIFS(INDEX(REPORT_FR2052a!$1:$1048576,0,"&amp;(MATCH(BA16,REPORT_FR2052a!$1:$1,0))&amp;")"</f>
        <v>=SUMIFS(INDEX(REPORT_FR2052a!$1:$1048576,0,14)</v>
      </c>
      <c r="BC16" s="137" t="str">
        <f t="shared" si="17"/>
        <v>=SUMIFS(INDEX(REPORT_FR2052a!$1:$1048576,0,14),INDEX(REPORT_FR2052a!$1:$1048576,0,44),"O.D.1",INDEX(REPORT_FR2052a!$1:$1048576,0,26),"Small Business",INDEX(REPORT_FR2052a!$1:$1048576,0,27),"Uninsured")</v>
      </c>
      <c r="BD16" s="141">
        <f>SUMIFS(INDEX(REPORT_FR2052a!$1:$1048576,0,14),INDEX(REPORT_FR2052a!$1:$1048576,0,44),"O.D.1",INDEX(REPORT_FR2052a!$1:$1048576,0,26),"Small Business",INDEX(REPORT_FR2052a!$1:$1048576,0,27),"Uninsured")</f>
        <v>0.01</v>
      </c>
      <c r="BE16" s="137" t="s">
        <v>331</v>
      </c>
      <c r="BF16" s="139" t="s">
        <v>47</v>
      </c>
      <c r="BG16" s="137" t="str">
        <f t="shared" si="13"/>
        <v>,INDEX(REPORT_FR2052a!$1:$1048576,0,5),"Bank of China - Combined US Branches and Agencies"</v>
      </c>
      <c r="BI16" s="137" t="str">
        <f t="shared" si="18"/>
        <v>=SUMIFS(INDEX(REPORT_FR2052a!$1:$1048576,0,14),INDEX(REPORT_FR2052a!$1:$1048576,0,44),"O.D.1",INDEX(REPORT_FR2052a!$1:$1048576,0,26),"Small Business",INDEX(REPORT_FR2052a!$1:$1048576,0,27),"Uninsured",INDEX(REPORT_FR2052a!$1:$1048576,0,5),"Bank of China - Combined US Branches and Agencies")</v>
      </c>
      <c r="BJ16" s="142">
        <f>SUMIFS(INDEX(REPORT_FR2052a!$1:$1048576,0,14),INDEX(REPORT_FR2052a!$1:$1048576,0,44),"O.D.1",INDEX(REPORT_FR2052a!$1:$1048576,0,26),"Small Business",INDEX(REPORT_FR2052a!$1:$1048576,0,27),"Uninsured",INDEX(REPORT_FR2052a!$1:$1048576,0,5),"Bank of China - Combined US Branches and Agencies")</f>
        <v>0.01</v>
      </c>
      <c r="BK16" s="143">
        <f t="shared" si="19"/>
        <v>0</v>
      </c>
    </row>
    <row r="17" spans="1:63">
      <c r="A17" s="136">
        <v>11</v>
      </c>
      <c r="B17" s="137" t="str">
        <f>IFERROR(INDEX('LCR TYPE EXPLAIN'!B:B,MATCH(A17,'LCR TYPE EXPLAIN'!A:A,0)),"")</f>
        <v>Other Retail Deposits (§.32(a)(2))</v>
      </c>
      <c r="F17" s="137" t="s">
        <v>331</v>
      </c>
      <c r="G17" s="138" t="s">
        <v>385</v>
      </c>
      <c r="H17" s="137" t="str">
        <f t="shared" si="0"/>
        <v>,INDEX(REPORT_FR2052a!$1:$1048576,0,44),"O.D.2"</v>
      </c>
      <c r="K17" s="137" t="str">
        <f t="shared" si="1"/>
        <v/>
      </c>
      <c r="N17" s="137" t="str">
        <f t="shared" si="2"/>
        <v/>
      </c>
      <c r="Q17" s="137" t="str">
        <f t="shared" si="3"/>
        <v/>
      </c>
      <c r="T17" s="137" t="str">
        <f t="shared" si="4"/>
        <v/>
      </c>
      <c r="V17" s="139"/>
      <c r="W17" s="137" t="str">
        <f t="shared" si="5"/>
        <v/>
      </c>
      <c r="Y17" s="139"/>
      <c r="Z17" s="137" t="str">
        <f t="shared" si="6"/>
        <v/>
      </c>
      <c r="AB17" s="139"/>
      <c r="AC17" s="137" t="str">
        <f t="shared" si="7"/>
        <v/>
      </c>
      <c r="AD17" s="137" t="s">
        <v>331</v>
      </c>
      <c r="AE17" s="140" t="s">
        <v>122</v>
      </c>
      <c r="AF17" s="137" t="str">
        <f t="shared" si="8"/>
        <v>,INDEX(REPORT_FR2052a!$1:$1048576,0,26),"Retail"</v>
      </c>
      <c r="AH17" s="139"/>
      <c r="AI17" s="137" t="str">
        <f t="shared" si="9"/>
        <v/>
      </c>
      <c r="AJ17" s="137" t="s">
        <v>331</v>
      </c>
      <c r="AK17" s="139" t="s">
        <v>156</v>
      </c>
      <c r="AL17" s="137" t="str">
        <f t="shared" si="10"/>
        <v>,INDEX(REPORT_FR2052a!$1:$1048576,0,27),"Uninsured"</v>
      </c>
      <c r="AO17" s="137" t="str">
        <f t="shared" si="11"/>
        <v/>
      </c>
      <c r="AR17" s="137" t="str">
        <f t="shared" si="14"/>
        <v/>
      </c>
      <c r="AU17" s="137" t="str">
        <f t="shared" si="15"/>
        <v/>
      </c>
      <c r="AX17" s="137" t="str">
        <f t="shared" si="20"/>
        <v/>
      </c>
      <c r="BA17" s="137" t="s">
        <v>13</v>
      </c>
      <c r="BB17" s="137" t="str">
        <f>"=SUMIFS(INDEX(REPORT_FR2052a!$1:$1048576,0,"&amp;(MATCH(BA17,REPORT_FR2052a!$1:$1,0))&amp;")"</f>
        <v>=SUMIFS(INDEX(REPORT_FR2052a!$1:$1048576,0,14)</v>
      </c>
      <c r="BC17" s="137" t="str">
        <f t="shared" si="17"/>
        <v>=SUMIFS(INDEX(REPORT_FR2052a!$1:$1048576,0,14),INDEX(REPORT_FR2052a!$1:$1048576,0,44),"O.D.2",INDEX(REPORT_FR2052a!$1:$1048576,0,26),"Retail",INDEX(REPORT_FR2052a!$1:$1048576,0,27),"Uninsured")</v>
      </c>
      <c r="BD17" s="141">
        <f>SUMIFS(INDEX(REPORT_FR2052a!$1:$1048576,0,14),INDEX(REPORT_FR2052a!$1:$1048576,0,44),"O.D.2",INDEX(REPORT_FR2052a!$1:$1048576,0,26),"Retail",INDEX(REPORT_FR2052a!$1:$1048576,0,27),"Uninsured")</f>
        <v>82.970000000000013</v>
      </c>
      <c r="BE17" s="137" t="s">
        <v>331</v>
      </c>
      <c r="BF17" s="139" t="s">
        <v>47</v>
      </c>
      <c r="BG17" s="137" t="str">
        <f t="shared" si="13"/>
        <v>,INDEX(REPORT_FR2052a!$1:$1048576,0,5),"Bank of China - Combined US Branches and Agencies"</v>
      </c>
      <c r="BI17" s="137" t="str">
        <f t="shared" si="18"/>
        <v>=SUMIFS(INDEX(REPORT_FR2052a!$1:$1048576,0,14),INDEX(REPORT_FR2052a!$1:$1048576,0,44),"O.D.2",INDEX(REPORT_FR2052a!$1:$1048576,0,26),"Retail",INDEX(REPORT_FR2052a!$1:$1048576,0,27),"Uninsured",INDEX(REPORT_FR2052a!$1:$1048576,0,5),"Bank of China - Combined US Branches and Agencies")</v>
      </c>
      <c r="BJ17" s="142">
        <f>SUMIFS(INDEX(REPORT_FR2052a!$1:$1048576,0,14),INDEX(REPORT_FR2052a!$1:$1048576,0,44),"O.D.2",INDEX(REPORT_FR2052a!$1:$1048576,0,26),"Retail",INDEX(REPORT_FR2052a!$1:$1048576,0,27),"Uninsured",INDEX(REPORT_FR2052a!$1:$1048576,0,5),"Bank of China - Combined US Branches and Agencies")</f>
        <v>82.970000000000013</v>
      </c>
      <c r="BK17" s="143">
        <f t="shared" si="19"/>
        <v>0</v>
      </c>
    </row>
    <row r="18" spans="1:63">
      <c r="A18" s="136">
        <v>11</v>
      </c>
      <c r="B18" s="137" t="str">
        <f>IFERROR(INDEX('LCR TYPE EXPLAIN'!B:B,MATCH(A18,'LCR TYPE EXPLAIN'!A:A,0)),"")</f>
        <v>Other Retail Deposits (§.32(a)(2))</v>
      </c>
      <c r="F18" s="137" t="s">
        <v>331</v>
      </c>
      <c r="G18" s="138" t="s">
        <v>385</v>
      </c>
      <c r="H18" s="137" t="str">
        <f t="shared" si="0"/>
        <v>,INDEX(REPORT_FR2052a!$1:$1048576,0,44),"O.D.2"</v>
      </c>
      <c r="K18" s="137" t="str">
        <f t="shared" si="1"/>
        <v/>
      </c>
      <c r="N18" s="137" t="str">
        <f t="shared" si="2"/>
        <v/>
      </c>
      <c r="Q18" s="137" t="str">
        <f t="shared" si="3"/>
        <v/>
      </c>
      <c r="T18" s="137" t="str">
        <f t="shared" si="4"/>
        <v/>
      </c>
      <c r="V18" s="139"/>
      <c r="W18" s="137" t="str">
        <f t="shared" si="5"/>
        <v/>
      </c>
      <c r="Y18" s="139"/>
      <c r="Z18" s="137" t="str">
        <f t="shared" si="6"/>
        <v/>
      </c>
      <c r="AB18" s="139"/>
      <c r="AC18" s="137" t="str">
        <f t="shared" si="7"/>
        <v/>
      </c>
      <c r="AD18" s="137" t="s">
        <v>331</v>
      </c>
      <c r="AE18" s="140" t="s">
        <v>155</v>
      </c>
      <c r="AF18" s="137" t="str">
        <f t="shared" si="8"/>
        <v>,INDEX(REPORT_FR2052a!$1:$1048576,0,26),"Small Business"</v>
      </c>
      <c r="AH18" s="139"/>
      <c r="AI18" s="137" t="str">
        <f t="shared" si="9"/>
        <v/>
      </c>
      <c r="AJ18" s="137" t="s">
        <v>331</v>
      </c>
      <c r="AK18" s="139" t="s">
        <v>156</v>
      </c>
      <c r="AL18" s="137" t="str">
        <f t="shared" si="10"/>
        <v>,INDEX(REPORT_FR2052a!$1:$1048576,0,27),"Uninsured"</v>
      </c>
      <c r="AO18" s="137" t="str">
        <f t="shared" si="11"/>
        <v/>
      </c>
      <c r="AR18" s="137" t="str">
        <f t="shared" si="14"/>
        <v/>
      </c>
      <c r="AU18" s="137" t="str">
        <f t="shared" si="15"/>
        <v/>
      </c>
      <c r="AX18" s="137" t="str">
        <f t="shared" si="20"/>
        <v/>
      </c>
      <c r="BA18" s="137" t="s">
        <v>13</v>
      </c>
      <c r="BB18" s="137" t="str">
        <f>"=SUMIFS(INDEX(REPORT_FR2052a!$1:$1048576,0,"&amp;(MATCH(BA18,REPORT_FR2052a!$1:$1,0))&amp;")"</f>
        <v>=SUMIFS(INDEX(REPORT_FR2052a!$1:$1048576,0,14)</v>
      </c>
      <c r="BC18" s="137" t="str">
        <f t="shared" si="17"/>
        <v>=SUMIFS(INDEX(REPORT_FR2052a!$1:$1048576,0,14),INDEX(REPORT_FR2052a!$1:$1048576,0,44),"O.D.2",INDEX(REPORT_FR2052a!$1:$1048576,0,26),"Small Business",INDEX(REPORT_FR2052a!$1:$1048576,0,27),"Uninsured")</v>
      </c>
      <c r="BD18" s="141">
        <f>SUMIFS(INDEX(REPORT_FR2052a!$1:$1048576,0,14),INDEX(REPORT_FR2052a!$1:$1048576,0,44),"O.D.2",INDEX(REPORT_FR2052a!$1:$1048576,0,26),"Small Business",INDEX(REPORT_FR2052a!$1:$1048576,0,27),"Uninsured")</f>
        <v>0</v>
      </c>
      <c r="BE18" s="137" t="s">
        <v>331</v>
      </c>
      <c r="BF18" s="139" t="s">
        <v>47</v>
      </c>
      <c r="BG18" s="137" t="str">
        <f t="shared" si="13"/>
        <v>,INDEX(REPORT_FR2052a!$1:$1048576,0,5),"Bank of China - Combined US Branches and Agencies"</v>
      </c>
      <c r="BI18" s="137" t="str">
        <f t="shared" si="18"/>
        <v>=SUMIFS(INDEX(REPORT_FR2052a!$1:$1048576,0,14),INDEX(REPORT_FR2052a!$1:$1048576,0,44),"O.D.2",INDEX(REPORT_FR2052a!$1:$1048576,0,26),"Small Business",INDEX(REPORT_FR2052a!$1:$1048576,0,27),"Uninsured",INDEX(REPORT_FR2052a!$1:$1048576,0,5),"Bank of China - Combined US Branches and Agencies")</v>
      </c>
      <c r="BJ18" s="142">
        <f>SUMIFS(INDEX(REPORT_FR2052a!$1:$1048576,0,14),INDEX(REPORT_FR2052a!$1:$1048576,0,44),"O.D.2",INDEX(REPORT_FR2052a!$1:$1048576,0,26),"Small Business",INDEX(REPORT_FR2052a!$1:$1048576,0,27),"Uninsured",INDEX(REPORT_FR2052a!$1:$1048576,0,5),"Bank of China - Combined US Branches and Agencies")</f>
        <v>0</v>
      </c>
      <c r="BK18" s="143">
        <f t="shared" si="19"/>
        <v>0</v>
      </c>
    </row>
    <row r="19" spans="1:63">
      <c r="A19" s="136">
        <v>11</v>
      </c>
      <c r="B19" s="137" t="str">
        <f>IFERROR(INDEX('LCR TYPE EXPLAIN'!B:B,MATCH(A19,'LCR TYPE EXPLAIN'!A:A,0)),"")</f>
        <v>Other Retail Deposits (§.32(a)(2))</v>
      </c>
      <c r="F19" s="137" t="s">
        <v>331</v>
      </c>
      <c r="G19" s="138" t="s">
        <v>386</v>
      </c>
      <c r="H19" s="137" t="str">
        <f t="shared" si="0"/>
        <v>,INDEX(REPORT_FR2052a!$1:$1048576,0,44),"O.D.3"</v>
      </c>
      <c r="K19" s="137" t="str">
        <f t="shared" si="1"/>
        <v/>
      </c>
      <c r="N19" s="137" t="str">
        <f t="shared" si="2"/>
        <v/>
      </c>
      <c r="Q19" s="137" t="str">
        <f t="shared" si="3"/>
        <v/>
      </c>
      <c r="T19" s="137" t="str">
        <f t="shared" si="4"/>
        <v/>
      </c>
      <c r="V19" s="139"/>
      <c r="W19" s="137" t="str">
        <f t="shared" si="5"/>
        <v/>
      </c>
      <c r="Y19" s="139"/>
      <c r="Z19" s="137" t="str">
        <f t="shared" si="6"/>
        <v/>
      </c>
      <c r="AB19" s="139"/>
      <c r="AC19" s="137" t="str">
        <f t="shared" si="7"/>
        <v/>
      </c>
      <c r="AD19" s="137" t="s">
        <v>331</v>
      </c>
      <c r="AE19" s="140" t="s">
        <v>122</v>
      </c>
      <c r="AF19" s="137" t="str">
        <f t="shared" si="8"/>
        <v>,INDEX(REPORT_FR2052a!$1:$1048576,0,26),"Retail"</v>
      </c>
      <c r="AH19" s="139"/>
      <c r="AI19" s="137" t="str">
        <f t="shared" si="9"/>
        <v/>
      </c>
      <c r="AK19" s="139"/>
      <c r="AL19" s="137" t="str">
        <f t="shared" si="10"/>
        <v/>
      </c>
      <c r="AO19" s="137" t="str">
        <f t="shared" si="11"/>
        <v/>
      </c>
      <c r="AR19" s="137" t="str">
        <f t="shared" si="14"/>
        <v/>
      </c>
      <c r="AU19" s="137" t="str">
        <f t="shared" si="15"/>
        <v/>
      </c>
      <c r="AX19" s="137" t="str">
        <f t="shared" si="20"/>
        <v/>
      </c>
      <c r="BA19" s="137" t="s">
        <v>13</v>
      </c>
      <c r="BB19" s="137" t="str">
        <f>"=SUMIFS(INDEX(REPORT_FR2052a!$1:$1048576,0,"&amp;(MATCH(BA19,REPORT_FR2052a!$1:$1,0))&amp;")"</f>
        <v>=SUMIFS(INDEX(REPORT_FR2052a!$1:$1048576,0,14)</v>
      </c>
      <c r="BC19" s="137" t="str">
        <f t="shared" si="17"/>
        <v>=SUMIFS(INDEX(REPORT_FR2052a!$1:$1048576,0,14),INDEX(REPORT_FR2052a!$1:$1048576,0,44),"O.D.3",INDEX(REPORT_FR2052a!$1:$1048576,0,26),"Retail")</v>
      </c>
      <c r="BD19" s="141">
        <f>SUMIFS(INDEX(REPORT_FR2052a!$1:$1048576,0,14),INDEX(REPORT_FR2052a!$1:$1048576,0,44),"O.D.3",INDEX(REPORT_FR2052a!$1:$1048576,0,26),"Retail")</f>
        <v>44.409999999999989</v>
      </c>
      <c r="BE19" s="137" t="s">
        <v>331</v>
      </c>
      <c r="BF19" s="139" t="s">
        <v>47</v>
      </c>
      <c r="BG19" s="137" t="str">
        <f t="shared" si="13"/>
        <v>,INDEX(REPORT_FR2052a!$1:$1048576,0,5),"Bank of China - Combined US Branches and Agencies"</v>
      </c>
      <c r="BI19" s="137" t="str">
        <f t="shared" si="18"/>
        <v>=SUMIFS(INDEX(REPORT_FR2052a!$1:$1048576,0,14),INDEX(REPORT_FR2052a!$1:$1048576,0,44),"O.D.3",INDEX(REPORT_FR2052a!$1:$1048576,0,26),"Retail",INDEX(REPORT_FR2052a!$1:$1048576,0,5),"Bank of China - Combined US Branches and Agencies")</v>
      </c>
      <c r="BJ19" s="142">
        <f>SUMIFS(INDEX(REPORT_FR2052a!$1:$1048576,0,14),INDEX(REPORT_FR2052a!$1:$1048576,0,44),"O.D.3",INDEX(REPORT_FR2052a!$1:$1048576,0,26),"Retail",INDEX(REPORT_FR2052a!$1:$1048576,0,5),"Bank of China - Combined US Branches and Agencies")</f>
        <v>44.409999999999989</v>
      </c>
      <c r="BK19" s="143">
        <f t="shared" si="19"/>
        <v>0</v>
      </c>
    </row>
    <row r="20" spans="1:63">
      <c r="A20" s="136">
        <v>11</v>
      </c>
      <c r="B20" s="137" t="str">
        <f>IFERROR(INDEX('LCR TYPE EXPLAIN'!B:B,MATCH(A20,'LCR TYPE EXPLAIN'!A:A,0)),"")</f>
        <v>Other Retail Deposits (§.32(a)(2))</v>
      </c>
      <c r="F20" s="137" t="s">
        <v>331</v>
      </c>
      <c r="G20" s="138" t="s">
        <v>386</v>
      </c>
      <c r="H20" s="137" t="str">
        <f t="shared" si="0"/>
        <v>,INDEX(REPORT_FR2052a!$1:$1048576,0,44),"O.D.3"</v>
      </c>
      <c r="K20" s="137" t="str">
        <f t="shared" si="1"/>
        <v/>
      </c>
      <c r="N20" s="137" t="str">
        <f t="shared" si="2"/>
        <v/>
      </c>
      <c r="Q20" s="137" t="str">
        <f t="shared" si="3"/>
        <v/>
      </c>
      <c r="T20" s="137" t="str">
        <f t="shared" si="4"/>
        <v/>
      </c>
      <c r="V20" s="139"/>
      <c r="W20" s="137" t="str">
        <f t="shared" si="5"/>
        <v/>
      </c>
      <c r="Y20" s="139"/>
      <c r="Z20" s="137" t="str">
        <f t="shared" si="6"/>
        <v/>
      </c>
      <c r="AB20" s="139"/>
      <c r="AC20" s="137" t="str">
        <f t="shared" si="7"/>
        <v/>
      </c>
      <c r="AD20" s="137" t="s">
        <v>331</v>
      </c>
      <c r="AE20" s="140" t="s">
        <v>155</v>
      </c>
      <c r="AF20" s="137" t="str">
        <f t="shared" si="8"/>
        <v>,INDEX(REPORT_FR2052a!$1:$1048576,0,26),"Small Business"</v>
      </c>
      <c r="AH20" s="139"/>
      <c r="AI20" s="137" t="str">
        <f t="shared" si="9"/>
        <v/>
      </c>
      <c r="AK20" s="139"/>
      <c r="AL20" s="137" t="str">
        <f t="shared" si="10"/>
        <v/>
      </c>
      <c r="AO20" s="137" t="str">
        <f t="shared" si="11"/>
        <v/>
      </c>
      <c r="AR20" s="137" t="str">
        <f t="shared" si="14"/>
        <v/>
      </c>
      <c r="AU20" s="137" t="str">
        <f t="shared" si="15"/>
        <v/>
      </c>
      <c r="AX20" s="137" t="str">
        <f t="shared" si="20"/>
        <v/>
      </c>
      <c r="BA20" s="137" t="s">
        <v>13</v>
      </c>
      <c r="BB20" s="137" t="str">
        <f>"=SUMIFS(INDEX(REPORT_FR2052a!$1:$1048576,0,"&amp;(MATCH(BA20,REPORT_FR2052a!$1:$1,0))&amp;")"</f>
        <v>=SUMIFS(INDEX(REPORT_FR2052a!$1:$1048576,0,14)</v>
      </c>
      <c r="BC20" s="137" t="str">
        <f t="shared" si="17"/>
        <v>=SUMIFS(INDEX(REPORT_FR2052a!$1:$1048576,0,14),INDEX(REPORT_FR2052a!$1:$1048576,0,44),"O.D.3",INDEX(REPORT_FR2052a!$1:$1048576,0,26),"Small Business")</v>
      </c>
      <c r="BD20" s="141">
        <f>SUMIFS(INDEX(REPORT_FR2052a!$1:$1048576,0,14),INDEX(REPORT_FR2052a!$1:$1048576,0,44),"O.D.3",INDEX(REPORT_FR2052a!$1:$1048576,0,26),"Small Business")</f>
        <v>0.06</v>
      </c>
      <c r="BE20" s="137" t="s">
        <v>331</v>
      </c>
      <c r="BF20" s="139" t="s">
        <v>47</v>
      </c>
      <c r="BG20" s="137" t="str">
        <f t="shared" si="13"/>
        <v>,INDEX(REPORT_FR2052a!$1:$1048576,0,5),"Bank of China - Combined US Branches and Agencies"</v>
      </c>
      <c r="BI20" s="137" t="str">
        <f t="shared" si="18"/>
        <v>=SUMIFS(INDEX(REPORT_FR2052a!$1:$1048576,0,14),INDEX(REPORT_FR2052a!$1:$1048576,0,44),"O.D.3",INDEX(REPORT_FR2052a!$1:$1048576,0,26),"Small Business",INDEX(REPORT_FR2052a!$1:$1048576,0,5),"Bank of China - Combined US Branches and Agencies")</v>
      </c>
      <c r="BJ20" s="142">
        <f>SUMIFS(INDEX(REPORT_FR2052a!$1:$1048576,0,14),INDEX(REPORT_FR2052a!$1:$1048576,0,44),"O.D.3",INDEX(REPORT_FR2052a!$1:$1048576,0,26),"Small Business",INDEX(REPORT_FR2052a!$1:$1048576,0,5),"Bank of China - Combined US Branches and Agencies")</f>
        <v>0.06</v>
      </c>
      <c r="BK20" s="143">
        <f t="shared" si="19"/>
        <v>0</v>
      </c>
    </row>
    <row r="21" spans="1:63">
      <c r="A21" s="136">
        <v>15</v>
      </c>
      <c r="B21" s="137" t="str">
        <f>IFERROR(INDEX('LCR TYPE EXPLAIN'!B:B,MATCH(A21,'LCR TYPE EXPLAIN'!A:A,0)),"")</f>
        <v>Other Retail Funding (§.32(a)(5))</v>
      </c>
      <c r="F21" s="137" t="s">
        <v>331</v>
      </c>
      <c r="G21" s="138" t="s">
        <v>694</v>
      </c>
      <c r="H21" s="137" t="str">
        <f t="shared" ref="H21:H22" si="21">IF(F21="","",",INDEX(REPORT_FR2052a!$1:$1048576,0,"&amp;H$2&amp;"),"&amp;IF(ISTEXT(G21),CHAR(34),"")&amp;IF(F21="is","",""&amp;"&lt;&gt;")&amp;G21&amp;IF(ISTEXT(G21),CHAR(34),""))</f>
        <v>,INDEX(REPORT_FR2052a!$1:$1048576,0,44),"O.O.22"</v>
      </c>
      <c r="K21" s="137" t="str">
        <f t="shared" ref="K21:K22" si="22">IF(I21="","",",INDEX(REPORT_FR2052a!$1:$1048576,0,"&amp;K$2&amp;"),"&amp;IF(ISTEXT(J21),CHAR(34),"")&amp;IF(I21="is","",""&amp;"&lt;&gt;")&amp;J21&amp;IF(ISTEXT(J21),CHAR(34),""))</f>
        <v/>
      </c>
      <c r="N21" s="137" t="str">
        <f t="shared" ref="N21:N22" si="23">IF(L21="","",",INDEX(REPORT_FR2052a!$1:$1048576,0,"&amp;N$2&amp;"),"&amp;IF(ISTEXT(M21),CHAR(34),"")&amp;IF(L21="is","",""&amp;"&lt;&gt;")&amp;M21&amp;IF(ISTEXT(M21),CHAR(34),""))</f>
        <v/>
      </c>
      <c r="Q21" s="137" t="str">
        <f t="shared" ref="Q21:Q22" si="24">IF(O21="","",",INDEX(REPORT_FR2052a!$1:$1048576,0,"&amp;Q$2&amp;"),"&amp;IF(OR(ISTEXT(P21),ISBLANK(P21)),CHAR(34),"")&amp;IF(O21="is","",""&amp;"&lt;&gt;")&amp;P21&amp;IF(OR(ISTEXT(P21),ISBLANK(P21)),CHAR(34),""))</f>
        <v/>
      </c>
      <c r="T21" s="137" t="str">
        <f t="shared" ref="T21:T22" si="25">IF(R21="","",",INDEX(REPORT_FR2052a!$1:$1048576,0,"&amp;T$2&amp;"),"&amp;IF(ISTEXT(S21),CHAR(34),"")&amp;IF(R21="is","",""&amp;"&lt;&gt;")&amp;S21&amp;IF(ISTEXT(S21),CHAR(34),""))</f>
        <v/>
      </c>
      <c r="V21" s="139"/>
      <c r="W21" s="137" t="str">
        <f t="shared" ref="W21:W22" si="26">IF(U21="","",",INDEX(REPORT_FR2052a!$1:$1048576,0,"&amp;W$2&amp;"),"&amp;IF(ISTEXT(V21),CHAR(34),"")&amp;IF(U21="is","",""&amp;"&lt;&gt;")&amp;V21&amp;IF(ISTEXT(V21),CHAR(34),""))</f>
        <v/>
      </c>
      <c r="Y21" s="139"/>
      <c r="Z21" s="137" t="str">
        <f t="shared" ref="Z21:Z22" si="27">IF(X21="","",",INDEX(REPORT_FR2052a!$1:$1048576,0,"&amp;Z$2&amp;"),"&amp;IF(ISTEXT(Y21),CHAR(34),"")&amp;IF(X21="is","",""&amp;"&lt;&gt;")&amp;Y21&amp;IF(ISTEXT(Y21),CHAR(34),""))</f>
        <v/>
      </c>
      <c r="AB21" s="139"/>
      <c r="AC21" s="137" t="str">
        <f t="shared" ref="AC21:AC22" si="28">IF(AA21="","",",INDEX(REPORT_FR2052a!$1:$1048576,0,"&amp;AC$2&amp;"),"&amp;IF(ISTEXT(AB21),CHAR(34),"")&amp;IF(AA21="is","",""&amp;"&lt;&gt;")&amp;AB21&amp;IF(ISTEXT(AB21),CHAR(34),""))</f>
        <v/>
      </c>
      <c r="AD21" s="137" t="s">
        <v>331</v>
      </c>
      <c r="AE21" s="140" t="s">
        <v>122</v>
      </c>
      <c r="AF21" s="137" t="str">
        <f t="shared" ref="AF21:AF22" si="29">IF(AD21="","",",INDEX(REPORT_FR2052a!$1:$1048576,0,"&amp;AF$2&amp;"),"&amp;IF(ISTEXT(AE21),CHAR(34),"")&amp;IF(AD21="is","",""&amp;"&lt;&gt;")&amp;AE21&amp;IF(ISTEXT(AE21),CHAR(34),""))</f>
        <v>,INDEX(REPORT_FR2052a!$1:$1048576,0,26),"Retail"</v>
      </c>
      <c r="AH21" s="139"/>
      <c r="AI21" s="137" t="str">
        <f t="shared" ref="AI21:AI22" si="30">IF(AG21="","",",INDEX(REPORT_FR2052a!$1:$1048576,0,"&amp;AI$2&amp;"),"&amp;IF(ISTEXT(AH21),CHAR(34),"")&amp;IF(AG21="is","",""&amp;"&lt;&gt;")&amp;AH21&amp;IF(ISTEXT(AH21),CHAR(34),""))</f>
        <v/>
      </c>
      <c r="AK21" s="139"/>
      <c r="AL21" s="137" t="str">
        <f t="shared" ref="AL21:AL22" si="31">IF(AJ21="","",",INDEX(REPORT_FR2052a!$1:$1048576,0,"&amp;AL$2&amp;"),"&amp;IF(ISTEXT(AK21),CHAR(34),"")&amp;IF(AJ21="is","",""&amp;"&lt;&gt;")&amp;AK21&amp;IF(ISTEXT(AK21),CHAR(34),""))</f>
        <v/>
      </c>
      <c r="AO21" s="137" t="str">
        <f t="shared" ref="AO21:AO22" si="32">IF(AM21="","",",INDEX(REPORT_FR2052a!$1:$1048576,0,"&amp;AO$2&amp;"),"&amp;IF(ISTEXT(AN21),CHAR(34),"")&amp;IF(AM21="is","",""&amp;"&lt;&gt;")&amp;AN21&amp;IF(ISTEXT(AN21),CHAR(34),""))</f>
        <v/>
      </c>
      <c r="AR21" s="137" t="str">
        <f t="shared" ref="AR21:AR22" si="33">IF(AP21="","",",INDEX(REPORT_FR2052a!$1:$1048576,0,"&amp;AR$2&amp;"),"&amp;IF(ISTEXT(AQ21),CHAR(34),"")&amp;IF(AP21="is","",""&amp;"&lt;&gt;")&amp;AQ21&amp;IF(ISTEXT(AQ21),CHAR(34),""))</f>
        <v/>
      </c>
      <c r="AU21" s="137" t="str">
        <f t="shared" ref="AU21:AU22" si="34">IF(AS21="","",",INDEX(REPORT_FR2052a!$1:$1048576,0,"&amp;AU$2&amp;"),"&amp;IF(ISTEXT(AT21),CHAR(34),"")&amp;IF(AS21="is","",""&amp;"&lt;&gt;")&amp;AT21&amp;IF(ISTEXT(AT21),CHAR(34),""))</f>
        <v/>
      </c>
      <c r="AV21" s="137" t="s">
        <v>331</v>
      </c>
      <c r="AW21" s="139" t="s">
        <v>762</v>
      </c>
      <c r="AX21" s="137" t="str">
        <f>IF(AV21="","",",INDEX(REPORT_FR2052a!$1:$1048576,0,"&amp;AX$2&amp;"),"&amp;IF(ISTEXT(AW21),CHAR(34),"")&amp;IF(AV21="is","",""&amp;"&lt;&gt;")&amp;AW21&amp;IF(ISTEXT(AW21),CHAR(34),""))</f>
        <v>,INDEX(REPORT_FR2052a!$1:$1048576,0,7),""</v>
      </c>
      <c r="BA21" s="137" t="s">
        <v>13</v>
      </c>
      <c r="BB21" s="137" t="str">
        <f>"=SUMIFS(INDEX(REPORT_FR2052a!$1:$1048576,0,"&amp;(MATCH(BA21,REPORT_FR2052a!$1:$1,0))&amp;")"</f>
        <v>=SUMIFS(INDEX(REPORT_FR2052a!$1:$1048576,0,14)</v>
      </c>
      <c r="BC21" s="137" t="str">
        <f t="shared" si="17"/>
        <v>=SUMIFS(INDEX(REPORT_FR2052a!$1:$1048576,0,14),INDEX(REPORT_FR2052a!$1:$1048576,0,44),"O.O.22",INDEX(REPORT_FR2052a!$1:$1048576,0,26),"Retail",INDEX(REPORT_FR2052a!$1:$1048576,0,7),"")</v>
      </c>
      <c r="BD21" s="141">
        <f>SUMIFS(INDEX(REPORT_FR2052a!$1:$1048576,0,14),INDEX(REPORT_FR2052a!$1:$1048576,0,44),"O.O.22",INDEX(REPORT_FR2052a!$1:$1048576,0,26),"Retail",INDEX(REPORT_FR2052a!$1:$1048576,0,7),"")</f>
        <v>0</v>
      </c>
      <c r="BE21" s="137" t="s">
        <v>331</v>
      </c>
      <c r="BF21" s="139" t="s">
        <v>47</v>
      </c>
      <c r="BG21" s="137" t="str">
        <f t="shared" ref="BG21:BG22" si="35">IF(BE21="","",",INDEX(REPORT_FR2052a!$1:$1048576,0,"&amp;BG$2&amp;"),"&amp;IF(ISTEXT(BF21),CHAR(34),"")&amp;IF(BE21="is","",""&amp;"&lt;&gt;")&amp;BF21&amp;IF(ISTEXT(BF21),CHAR(34),""))</f>
        <v>,INDEX(REPORT_FR2052a!$1:$1048576,0,5),"Bank of China - Combined US Branches and Agencies"</v>
      </c>
      <c r="BI21" s="137" t="str">
        <f t="shared" ref="BI21:BI22" si="36">LEFT(BC21,LEN(BC21)-1)&amp;BG21&amp;")"</f>
        <v>=SUMIFS(INDEX(REPORT_FR2052a!$1:$1048576,0,14),INDEX(REPORT_FR2052a!$1:$1048576,0,44),"O.O.22",INDEX(REPORT_FR2052a!$1:$1048576,0,26),"Retail",INDEX(REPORT_FR2052a!$1:$1048576,0,7),"",INDEX(REPORT_FR2052a!$1:$1048576,0,5),"Bank of China - Combined US Branches and Agencies")</v>
      </c>
      <c r="BJ21" s="142">
        <f>SUMIFS(INDEX(REPORT_FR2052a!$1:$1048576,0,14),INDEX(REPORT_FR2052a!$1:$1048576,0,44),"O.O.22",INDEX(REPORT_FR2052a!$1:$1048576,0,26),"Retail",INDEX(REPORT_FR2052a!$1:$1048576,0,7),"",INDEX(REPORT_FR2052a!$1:$1048576,0,5),"Bank of China - Combined US Branches and Agencies")</f>
        <v>0</v>
      </c>
      <c r="BK21" s="143">
        <f t="shared" ref="BK21:BK22" si="37">BD21-BJ21</f>
        <v>0</v>
      </c>
    </row>
    <row r="22" spans="1:63">
      <c r="A22" s="136">
        <v>15</v>
      </c>
      <c r="B22" s="137" t="str">
        <f>IFERROR(INDEX('LCR TYPE EXPLAIN'!B:B,MATCH(A22,'LCR TYPE EXPLAIN'!A:A,0)),"")</f>
        <v>Other Retail Funding (§.32(a)(5))</v>
      </c>
      <c r="F22" s="137" t="s">
        <v>331</v>
      </c>
      <c r="G22" s="138" t="s">
        <v>694</v>
      </c>
      <c r="H22" s="137" t="str">
        <f t="shared" si="21"/>
        <v>,INDEX(REPORT_FR2052a!$1:$1048576,0,44),"O.O.22"</v>
      </c>
      <c r="K22" s="137" t="str">
        <f t="shared" si="22"/>
        <v/>
      </c>
      <c r="N22" s="137" t="str">
        <f t="shared" si="23"/>
        <v/>
      </c>
      <c r="Q22" s="137" t="str">
        <f t="shared" si="24"/>
        <v/>
      </c>
      <c r="T22" s="137" t="str">
        <f t="shared" si="25"/>
        <v/>
      </c>
      <c r="V22" s="139"/>
      <c r="W22" s="137" t="str">
        <f t="shared" si="26"/>
        <v/>
      </c>
      <c r="Y22" s="139"/>
      <c r="Z22" s="137" t="str">
        <f t="shared" si="27"/>
        <v/>
      </c>
      <c r="AB22" s="139"/>
      <c r="AC22" s="137" t="str">
        <f t="shared" si="28"/>
        <v/>
      </c>
      <c r="AD22" s="137" t="s">
        <v>331</v>
      </c>
      <c r="AE22" s="140" t="s">
        <v>155</v>
      </c>
      <c r="AF22" s="137" t="str">
        <f t="shared" si="29"/>
        <v>,INDEX(REPORT_FR2052a!$1:$1048576,0,26),"Small Business"</v>
      </c>
      <c r="AH22" s="139"/>
      <c r="AI22" s="137" t="str">
        <f t="shared" si="30"/>
        <v/>
      </c>
      <c r="AK22" s="139"/>
      <c r="AL22" s="137" t="str">
        <f t="shared" si="31"/>
        <v/>
      </c>
      <c r="AO22" s="137" t="str">
        <f t="shared" si="32"/>
        <v/>
      </c>
      <c r="AR22" s="137" t="str">
        <f t="shared" si="33"/>
        <v/>
      </c>
      <c r="AU22" s="137" t="str">
        <f t="shared" si="34"/>
        <v/>
      </c>
      <c r="AV22" s="137" t="s">
        <v>331</v>
      </c>
      <c r="AW22" s="139" t="s">
        <v>762</v>
      </c>
      <c r="AX22" s="137" t="str">
        <f t="shared" ref="AX22" si="38">IF(AV22="","",",INDEX(REPORT_FR2052a!$1:$1048576,0,"&amp;AX$2&amp;"),"&amp;IF(ISTEXT(AW22),CHAR(34),"")&amp;IF(AV22="is","",""&amp;"&lt;&gt;")&amp;AW22&amp;IF(ISTEXT(AW22),CHAR(34),""))</f>
        <v>,INDEX(REPORT_FR2052a!$1:$1048576,0,7),""</v>
      </c>
      <c r="BA22" s="137" t="s">
        <v>13</v>
      </c>
      <c r="BB22" s="137" t="str">
        <f>"=SUMIFS(INDEX(REPORT_FR2052a!$1:$1048576,0,"&amp;(MATCH(BA22,REPORT_FR2052a!$1:$1,0))&amp;")"</f>
        <v>=SUMIFS(INDEX(REPORT_FR2052a!$1:$1048576,0,14)</v>
      </c>
      <c r="BC22" s="137" t="str">
        <f t="shared" si="17"/>
        <v>=SUMIFS(INDEX(REPORT_FR2052a!$1:$1048576,0,14),INDEX(REPORT_FR2052a!$1:$1048576,0,44),"O.O.22",INDEX(REPORT_FR2052a!$1:$1048576,0,26),"Small Business",INDEX(REPORT_FR2052a!$1:$1048576,0,7),"")</v>
      </c>
      <c r="BD22" s="141">
        <f>SUMIFS(INDEX(REPORT_FR2052a!$1:$1048576,0,14),INDEX(REPORT_FR2052a!$1:$1048576,0,44),"O.O.22",INDEX(REPORT_FR2052a!$1:$1048576,0,26),"Small Business",INDEX(REPORT_FR2052a!$1:$1048576,0,7),"")</f>
        <v>0</v>
      </c>
      <c r="BE22" s="137" t="s">
        <v>331</v>
      </c>
      <c r="BF22" s="139" t="s">
        <v>47</v>
      </c>
      <c r="BG22" s="137" t="str">
        <f t="shared" si="35"/>
        <v>,INDEX(REPORT_FR2052a!$1:$1048576,0,5),"Bank of China - Combined US Branches and Agencies"</v>
      </c>
      <c r="BI22" s="137" t="str">
        <f t="shared" si="36"/>
        <v>=SUMIFS(INDEX(REPORT_FR2052a!$1:$1048576,0,14),INDEX(REPORT_FR2052a!$1:$1048576,0,44),"O.O.22",INDEX(REPORT_FR2052a!$1:$1048576,0,26),"Small Business",INDEX(REPORT_FR2052a!$1:$1048576,0,7),"",INDEX(REPORT_FR2052a!$1:$1048576,0,5),"Bank of China - Combined US Branches and Agencies")</v>
      </c>
      <c r="BJ22" s="142">
        <f>SUMIFS(INDEX(REPORT_FR2052a!$1:$1048576,0,14),INDEX(REPORT_FR2052a!$1:$1048576,0,44),"O.O.22",INDEX(REPORT_FR2052a!$1:$1048576,0,26),"Small Business",INDEX(REPORT_FR2052a!$1:$1048576,0,7),"",INDEX(REPORT_FR2052a!$1:$1048576,0,5),"Bank of China - Combined US Branches and Agencies")</f>
        <v>0</v>
      </c>
      <c r="BK22" s="143">
        <f t="shared" si="37"/>
        <v>0</v>
      </c>
    </row>
    <row r="23" spans="1:63">
      <c r="A23" s="136">
        <v>19</v>
      </c>
      <c r="B23" s="137" t="str">
        <f>IFERROR(INDEX('LCR TYPE EXPLAIN'!B:B,MATCH(A23,'LCR TYPE EXPLAIN'!A:A,0)),"")</f>
        <v>Net Derivatives Cash Outflow Amount (§.32(c ))</v>
      </c>
      <c r="F23" s="137" t="s">
        <v>331</v>
      </c>
      <c r="G23" s="138" t="s">
        <v>387</v>
      </c>
      <c r="H23" s="137" t="str">
        <f t="shared" si="0"/>
        <v>,INDEX(REPORT_FR2052a!$1:$1048576,0,44),"O.O.20"</v>
      </c>
      <c r="K23" s="137" t="str">
        <f t="shared" si="1"/>
        <v/>
      </c>
      <c r="N23" s="137" t="str">
        <f t="shared" si="2"/>
        <v/>
      </c>
      <c r="Q23" s="137" t="str">
        <f t="shared" si="3"/>
        <v/>
      </c>
      <c r="T23" s="137" t="str">
        <f t="shared" si="4"/>
        <v/>
      </c>
      <c r="V23" s="139"/>
      <c r="W23" s="137" t="str">
        <f t="shared" si="5"/>
        <v/>
      </c>
      <c r="Y23" s="139"/>
      <c r="Z23" s="137" t="str">
        <f t="shared" si="6"/>
        <v/>
      </c>
      <c r="AB23" s="139"/>
      <c r="AC23" s="137" t="str">
        <f t="shared" si="7"/>
        <v/>
      </c>
      <c r="AF23" s="137" t="str">
        <f t="shared" si="8"/>
        <v/>
      </c>
      <c r="AH23" s="139"/>
      <c r="AI23" s="137" t="str">
        <f t="shared" si="9"/>
        <v/>
      </c>
      <c r="AK23" s="139"/>
      <c r="AL23" s="137" t="str">
        <f t="shared" si="10"/>
        <v/>
      </c>
      <c r="AO23" s="137" t="str">
        <f t="shared" si="11"/>
        <v/>
      </c>
      <c r="AR23" s="137" t="str">
        <f t="shared" si="14"/>
        <v/>
      </c>
      <c r="AU23" s="137" t="str">
        <f t="shared" si="15"/>
        <v/>
      </c>
      <c r="BA23" s="137" t="s">
        <v>13</v>
      </c>
      <c r="BB23" s="137" t="str">
        <f>"=SUMIFS(INDEX(REPORT_FR2052a!$1:$1048576,0,"&amp;(MATCH(BA23,REPORT_FR2052a!$1:$1,0))&amp;")"</f>
        <v>=SUMIFS(INDEX(REPORT_FR2052a!$1:$1048576,0,14)</v>
      </c>
      <c r="BC23" s="137" t="str">
        <f t="shared" si="17"/>
        <v>=SUMIFS(INDEX(REPORT_FR2052a!$1:$1048576,0,14),INDEX(REPORT_FR2052a!$1:$1048576,0,44),"O.O.20")</v>
      </c>
      <c r="BD23" s="141">
        <f>SUMIFS(INDEX(REPORT_FR2052a!$1:$1048576,0,14),INDEX(REPORT_FR2052a!$1:$1048576,0,44),"O.O.20")</f>
        <v>108.94999999999999</v>
      </c>
      <c r="BE23" s="137" t="s">
        <v>331</v>
      </c>
      <c r="BF23" s="139" t="s">
        <v>47</v>
      </c>
      <c r="BG23" s="137" t="str">
        <f t="shared" si="13"/>
        <v>,INDEX(REPORT_FR2052a!$1:$1048576,0,5),"Bank of China - Combined US Branches and Agencies"</v>
      </c>
      <c r="BI23" s="137" t="str">
        <f t="shared" si="18"/>
        <v>=SUMIFS(INDEX(REPORT_FR2052a!$1:$1048576,0,14),INDEX(REPORT_FR2052a!$1:$1048576,0,44),"O.O.20",INDEX(REPORT_FR2052a!$1:$1048576,0,5),"Bank of China - Combined US Branches and Agencies")</v>
      </c>
      <c r="BJ23" s="142">
        <f>SUMIFS(INDEX(REPORT_FR2052a!$1:$1048576,0,14),INDEX(REPORT_FR2052a!$1:$1048576,0,44),"O.O.20",INDEX(REPORT_FR2052a!$1:$1048576,0,5),"Bank of China - Combined US Branches and Agencies")</f>
        <v>108.94999999999999</v>
      </c>
      <c r="BK23" s="143">
        <f t="shared" si="19"/>
        <v>0</v>
      </c>
    </row>
    <row r="24" spans="1:63">
      <c r="A24" s="136">
        <v>21</v>
      </c>
      <c r="B24" s="137" t="str">
        <f>IFERROR(INDEX('LCR TYPE EXPLAIN'!B:B,MATCH(A24,'LCR TYPE EXPLAIN'!A:A,0)),"")</f>
        <v>Affiliated DI Commitments (§.32(e )(1)(i))</v>
      </c>
      <c r="F24" s="137" t="s">
        <v>331</v>
      </c>
      <c r="G24" s="138" t="s">
        <v>388</v>
      </c>
      <c r="H24" s="137" t="str">
        <f t="shared" si="0"/>
        <v>,INDEX(REPORT_FR2052a!$1:$1048576,0,44),"O.O.4"</v>
      </c>
      <c r="I24" s="137" t="s">
        <v>331</v>
      </c>
      <c r="J24" s="137">
        <v>1</v>
      </c>
      <c r="K24" s="137" t="str">
        <f t="shared" si="1"/>
        <v>,INDEX(REPORT_FR2052a!$1:$1048576,0,43),1</v>
      </c>
      <c r="N24" s="137" t="str">
        <f t="shared" si="2"/>
        <v/>
      </c>
      <c r="Q24" s="137" t="str">
        <f t="shared" si="3"/>
        <v/>
      </c>
      <c r="T24" s="137" t="str">
        <f t="shared" si="4"/>
        <v/>
      </c>
      <c r="V24" s="139"/>
      <c r="W24" s="137" t="str">
        <f t="shared" si="5"/>
        <v/>
      </c>
      <c r="Y24" s="139"/>
      <c r="Z24" s="137" t="str">
        <f t="shared" si="6"/>
        <v/>
      </c>
      <c r="AB24" s="139"/>
      <c r="AC24" s="137" t="str">
        <f t="shared" si="7"/>
        <v/>
      </c>
      <c r="AD24" s="137" t="s">
        <v>331</v>
      </c>
      <c r="AE24" s="140" t="s">
        <v>759</v>
      </c>
      <c r="AF24" s="137" t="str">
        <f t="shared" si="8"/>
        <v>,INDEX(REPORT_FR2052a!$1:$1048576,0,26),"Bank"</v>
      </c>
      <c r="AG24" s="137" t="s">
        <v>331</v>
      </c>
      <c r="AH24" s="139">
        <v>1</v>
      </c>
      <c r="AI24" s="137" t="str">
        <f t="shared" si="9"/>
        <v>,INDEX(REPORT_FR2052a!$1:$1048576,0,45),1</v>
      </c>
      <c r="AK24" s="139"/>
      <c r="AL24" s="137" t="str">
        <f t="shared" si="10"/>
        <v/>
      </c>
      <c r="AO24" s="137" t="str">
        <f t="shared" si="11"/>
        <v/>
      </c>
      <c r="AP24" s="137" t="s">
        <v>331</v>
      </c>
      <c r="AQ24" s="137" t="s">
        <v>163</v>
      </c>
      <c r="AR24" s="137" t="str">
        <f t="shared" si="14"/>
        <v>,INDEX(REPORT_FR2052a!$1:$1048576,0,28),"Bank of China - All Other US Operations"</v>
      </c>
      <c r="AU24" s="137" t="str">
        <f t="shared" si="15"/>
        <v/>
      </c>
      <c r="BA24" s="137" t="s">
        <v>13</v>
      </c>
      <c r="BB24" s="137" t="str">
        <f>"=SUMIFS(INDEX(REPORT_FR2052a!$1:$1048576,0,"&amp;(MATCH(BA24,REPORT_FR2052a!$1:$1,0))&amp;")"</f>
        <v>=SUMIFS(INDEX(REPORT_FR2052a!$1:$1048576,0,14)</v>
      </c>
      <c r="BC24" s="137" t="str">
        <f t="shared" si="17"/>
        <v>=SUMIFS(INDEX(REPORT_FR2052a!$1:$1048576,0,14),INDEX(REPORT_FR2052a!$1:$1048576,0,44),"O.O.4",INDEX(REPORT_FR2052a!$1:$1048576,0,43),1,INDEX(REPORT_FR2052a!$1:$1048576,0,26),"Bank",INDEX(REPORT_FR2052a!$1:$1048576,0,45),1,INDEX(REPORT_FR2052a!$1:$1048576,0,28),"Bank of China - All Other US Operations")</v>
      </c>
      <c r="BD24" s="141">
        <f>SUMIFS(INDEX(REPORT_FR2052a!$1:$1048576,0,14),INDEX(REPORT_FR2052a!$1:$1048576,0,44),"O.O.4",INDEX(REPORT_FR2052a!$1:$1048576,0,43),1,INDEX(REPORT_FR2052a!$1:$1048576,0,26),"Bank",INDEX(REPORT_FR2052a!$1:$1048576,0,45),1,INDEX(REPORT_FR2052a!$1:$1048576,0,28),"Bank of China - All Other US Operations")</f>
        <v>0</v>
      </c>
      <c r="BE24" s="137" t="s">
        <v>331</v>
      </c>
      <c r="BF24" s="139" t="s">
        <v>47</v>
      </c>
      <c r="BG24" s="137" t="str">
        <f t="shared" si="13"/>
        <v>,INDEX(REPORT_FR2052a!$1:$1048576,0,5),"Bank of China - Combined US Branches and Agencies"</v>
      </c>
      <c r="BI24" s="137" t="str">
        <f t="shared" si="18"/>
        <v>=SUMIFS(INDEX(REPORT_FR2052a!$1:$1048576,0,14),INDEX(REPORT_FR2052a!$1:$1048576,0,44),"O.O.4",INDEX(REPORT_FR2052a!$1:$1048576,0,43),1,INDEX(REPORT_FR2052a!$1:$1048576,0,26),"Bank",INDEX(REPORT_FR2052a!$1:$1048576,0,45),1,INDEX(REPORT_FR2052a!$1:$1048576,0,28),"Bank of China - All Other US Operations",INDEX(REPORT_FR2052a!$1:$1048576,0,5),"Bank of China - Combined US Branches and Agencies")</v>
      </c>
      <c r="BJ24" s="142">
        <f>SUMIFS(INDEX(REPORT_FR2052a!$1:$1048576,0,14),INDEX(REPORT_FR2052a!$1:$1048576,0,44),"O.O.4",INDEX(REPORT_FR2052a!$1:$1048576,0,43),1,INDEX(REPORT_FR2052a!$1:$1048576,0,26),"Bank",INDEX(REPORT_FR2052a!$1:$1048576,0,45),1,INDEX(REPORT_FR2052a!$1:$1048576,0,28),"Bank of China - All Other US Operations",INDEX(REPORT_FR2052a!$1:$1048576,0,5),"Bank of China - Combined US Branches and Agencies")</f>
        <v>0</v>
      </c>
      <c r="BK24" s="143">
        <f t="shared" si="19"/>
        <v>0</v>
      </c>
    </row>
    <row r="25" spans="1:63">
      <c r="A25" s="136">
        <v>21</v>
      </c>
      <c r="B25" s="137" t="str">
        <f>IFERROR(INDEX('LCR TYPE EXPLAIN'!B:B,MATCH(A25,'LCR TYPE EXPLAIN'!A:A,0)),"")</f>
        <v>Affiliated DI Commitments (§.32(e )(1)(i))</v>
      </c>
      <c r="F25" s="137" t="s">
        <v>331</v>
      </c>
      <c r="G25" s="138" t="s">
        <v>391</v>
      </c>
      <c r="H25" s="137" t="str">
        <f t="shared" si="0"/>
        <v>,INDEX(REPORT_FR2052a!$1:$1048576,0,44),"O.O.5"</v>
      </c>
      <c r="I25" s="137" t="s">
        <v>331</v>
      </c>
      <c r="J25" s="137">
        <v>1</v>
      </c>
      <c r="K25" s="137" t="str">
        <f t="shared" si="1"/>
        <v>,INDEX(REPORT_FR2052a!$1:$1048576,0,43),1</v>
      </c>
      <c r="N25" s="137" t="str">
        <f t="shared" si="2"/>
        <v/>
      </c>
      <c r="Q25" s="137" t="str">
        <f t="shared" si="3"/>
        <v/>
      </c>
      <c r="T25" s="137" t="str">
        <f t="shared" si="4"/>
        <v/>
      </c>
      <c r="V25" s="139"/>
      <c r="W25" s="137" t="str">
        <f t="shared" si="5"/>
        <v/>
      </c>
      <c r="Y25" s="139"/>
      <c r="Z25" s="137" t="str">
        <f t="shared" si="6"/>
        <v/>
      </c>
      <c r="AB25" s="139"/>
      <c r="AC25" s="137" t="str">
        <f t="shared" si="7"/>
        <v/>
      </c>
      <c r="AD25" s="137" t="s">
        <v>331</v>
      </c>
      <c r="AE25" s="140" t="s">
        <v>759</v>
      </c>
      <c r="AF25" s="137" t="str">
        <f t="shared" si="8"/>
        <v>,INDEX(REPORT_FR2052a!$1:$1048576,0,26),"Bank"</v>
      </c>
      <c r="AG25" s="137" t="s">
        <v>331</v>
      </c>
      <c r="AH25" s="139">
        <v>1</v>
      </c>
      <c r="AI25" s="137" t="str">
        <f t="shared" si="9"/>
        <v>,INDEX(REPORT_FR2052a!$1:$1048576,0,45),1</v>
      </c>
      <c r="AK25" s="139"/>
      <c r="AL25" s="137" t="str">
        <f t="shared" si="10"/>
        <v/>
      </c>
      <c r="AO25" s="137" t="str">
        <f t="shared" si="11"/>
        <v/>
      </c>
      <c r="AP25" s="137" t="s">
        <v>331</v>
      </c>
      <c r="AQ25" s="137" t="s">
        <v>163</v>
      </c>
      <c r="AR25" s="137" t="str">
        <f t="shared" si="14"/>
        <v>,INDEX(REPORT_FR2052a!$1:$1048576,0,28),"Bank of China - All Other US Operations"</v>
      </c>
      <c r="AU25" s="137" t="str">
        <f t="shared" si="15"/>
        <v/>
      </c>
      <c r="BA25" s="137" t="s">
        <v>13</v>
      </c>
      <c r="BB25" s="137" t="str">
        <f>"=SUMIFS(INDEX(REPORT_FR2052a!$1:$1048576,0,"&amp;(MATCH(BA25,REPORT_FR2052a!$1:$1,0))&amp;")"</f>
        <v>=SUMIFS(INDEX(REPORT_FR2052a!$1:$1048576,0,14)</v>
      </c>
      <c r="BC25" s="137" t="str">
        <f t="shared" si="17"/>
        <v>=SUMIFS(INDEX(REPORT_FR2052a!$1:$1048576,0,14),INDEX(REPORT_FR2052a!$1:$1048576,0,44),"O.O.5",INDEX(REPORT_FR2052a!$1:$1048576,0,43),1,INDEX(REPORT_FR2052a!$1:$1048576,0,26),"Bank",INDEX(REPORT_FR2052a!$1:$1048576,0,45),1,INDEX(REPORT_FR2052a!$1:$1048576,0,28),"Bank of China - All Other US Operations")</v>
      </c>
      <c r="BD25" s="141">
        <f>SUMIFS(INDEX(REPORT_FR2052a!$1:$1048576,0,14),INDEX(REPORT_FR2052a!$1:$1048576,0,44),"O.O.5",INDEX(REPORT_FR2052a!$1:$1048576,0,43),1,INDEX(REPORT_FR2052a!$1:$1048576,0,26),"Bank",INDEX(REPORT_FR2052a!$1:$1048576,0,45),1,INDEX(REPORT_FR2052a!$1:$1048576,0,28),"Bank of China - All Other US Operations")</f>
        <v>0</v>
      </c>
      <c r="BE25" s="137" t="s">
        <v>331</v>
      </c>
      <c r="BF25" s="139" t="s">
        <v>47</v>
      </c>
      <c r="BG25" s="137" t="str">
        <f t="shared" si="13"/>
        <v>,INDEX(REPORT_FR2052a!$1:$1048576,0,5),"Bank of China - Combined US Branches and Agencies"</v>
      </c>
      <c r="BI25" s="137" t="str">
        <f t="shared" si="18"/>
        <v>=SUMIFS(INDEX(REPORT_FR2052a!$1:$1048576,0,14),INDEX(REPORT_FR2052a!$1:$1048576,0,44),"O.O.5",INDEX(REPORT_FR2052a!$1:$1048576,0,43),1,INDEX(REPORT_FR2052a!$1:$1048576,0,26),"Bank",INDEX(REPORT_FR2052a!$1:$1048576,0,45),1,INDEX(REPORT_FR2052a!$1:$1048576,0,28),"Bank of China - All Other US Operations",INDEX(REPORT_FR2052a!$1:$1048576,0,5),"Bank of China - Combined US Branches and Agencies")</v>
      </c>
      <c r="BJ25" s="142">
        <f>SUMIFS(INDEX(REPORT_FR2052a!$1:$1048576,0,14),INDEX(REPORT_FR2052a!$1:$1048576,0,44),"O.O.5",INDEX(REPORT_FR2052a!$1:$1048576,0,43),1,INDEX(REPORT_FR2052a!$1:$1048576,0,26),"Bank",INDEX(REPORT_FR2052a!$1:$1048576,0,45),1,INDEX(REPORT_FR2052a!$1:$1048576,0,28),"Bank of China - All Other US Operations",INDEX(REPORT_FR2052a!$1:$1048576,0,5),"Bank of China - Combined US Branches and Agencies")</f>
        <v>0</v>
      </c>
      <c r="BK25" s="143">
        <f t="shared" si="19"/>
        <v>0</v>
      </c>
    </row>
    <row r="26" spans="1:63">
      <c r="A26" s="136">
        <v>22</v>
      </c>
      <c r="B26" s="137" t="str">
        <f>IFERROR(INDEX('LCR TYPE EXPLAIN'!B:B,MATCH(A26,'LCR TYPE EXPLAIN'!A:A,0)),"")</f>
        <v>Retail Commitments (§.32(e )(1)(ii))</v>
      </c>
      <c r="F26" s="137" t="s">
        <v>331</v>
      </c>
      <c r="G26" s="138" t="s">
        <v>388</v>
      </c>
      <c r="H26" s="137" t="str">
        <f t="shared" si="0"/>
        <v>,INDEX(REPORT_FR2052a!$1:$1048576,0,44),"O.O.4"</v>
      </c>
      <c r="I26" s="137" t="s">
        <v>331</v>
      </c>
      <c r="J26" s="137">
        <v>1</v>
      </c>
      <c r="K26" s="137" t="str">
        <f t="shared" si="1"/>
        <v>,INDEX(REPORT_FR2052a!$1:$1048576,0,43),1</v>
      </c>
      <c r="N26" s="137" t="str">
        <f t="shared" si="2"/>
        <v/>
      </c>
      <c r="Q26" s="137" t="str">
        <f t="shared" si="3"/>
        <v/>
      </c>
      <c r="T26" s="137" t="str">
        <f t="shared" si="4"/>
        <v/>
      </c>
      <c r="V26" s="139"/>
      <c r="W26" s="137" t="str">
        <f t="shared" si="5"/>
        <v/>
      </c>
      <c r="Y26" s="139"/>
      <c r="Z26" s="137" t="str">
        <f t="shared" si="6"/>
        <v/>
      </c>
      <c r="AB26" s="139"/>
      <c r="AC26" s="137" t="str">
        <f t="shared" si="7"/>
        <v/>
      </c>
      <c r="AD26" s="137" t="s">
        <v>331</v>
      </c>
      <c r="AE26" s="140" t="s">
        <v>122</v>
      </c>
      <c r="AF26" s="137" t="str">
        <f t="shared" si="8"/>
        <v>,INDEX(REPORT_FR2052a!$1:$1048576,0,26),"Retail"</v>
      </c>
      <c r="AH26" s="139"/>
      <c r="AI26" s="137" t="str">
        <f t="shared" si="9"/>
        <v/>
      </c>
      <c r="AK26" s="139"/>
      <c r="AL26" s="137" t="str">
        <f t="shared" si="10"/>
        <v/>
      </c>
      <c r="AO26" s="137" t="str">
        <f t="shared" si="11"/>
        <v/>
      </c>
      <c r="AR26" s="137" t="str">
        <f t="shared" si="14"/>
        <v/>
      </c>
      <c r="AU26" s="137" t="str">
        <f t="shared" si="15"/>
        <v/>
      </c>
      <c r="BA26" s="137" t="s">
        <v>13</v>
      </c>
      <c r="BB26" s="137" t="str">
        <f>"=SUMIFS(INDEX(REPORT_FR2052a!$1:$1048576,0,"&amp;(MATCH(BA26,REPORT_FR2052a!$1:$1,0))&amp;")"</f>
        <v>=SUMIFS(INDEX(REPORT_FR2052a!$1:$1048576,0,14)</v>
      </c>
      <c r="BC26" s="137" t="str">
        <f t="shared" si="17"/>
        <v>=SUMIFS(INDEX(REPORT_FR2052a!$1:$1048576,0,14),INDEX(REPORT_FR2052a!$1:$1048576,0,44),"O.O.4",INDEX(REPORT_FR2052a!$1:$1048576,0,43),1,INDEX(REPORT_FR2052a!$1:$1048576,0,26),"Retail")</v>
      </c>
      <c r="BD26" s="141">
        <f>SUMIFS(INDEX(REPORT_FR2052a!$1:$1048576,0,14),INDEX(REPORT_FR2052a!$1:$1048576,0,44),"O.O.4",INDEX(REPORT_FR2052a!$1:$1048576,0,43),1,INDEX(REPORT_FR2052a!$1:$1048576,0,26),"Retail")</f>
        <v>51.41</v>
      </c>
      <c r="BE26" s="137" t="s">
        <v>331</v>
      </c>
      <c r="BF26" s="139" t="s">
        <v>47</v>
      </c>
      <c r="BG26" s="137" t="str">
        <f t="shared" si="13"/>
        <v>,INDEX(REPORT_FR2052a!$1:$1048576,0,5),"Bank of China - Combined US Branches and Agencies"</v>
      </c>
      <c r="BI26" s="137" t="str">
        <f t="shared" si="18"/>
        <v>=SUMIFS(INDEX(REPORT_FR2052a!$1:$1048576,0,14),INDEX(REPORT_FR2052a!$1:$1048576,0,44),"O.O.4",INDEX(REPORT_FR2052a!$1:$1048576,0,43),1,INDEX(REPORT_FR2052a!$1:$1048576,0,26),"Retail",INDEX(REPORT_FR2052a!$1:$1048576,0,5),"Bank of China - Combined US Branches and Agencies")</v>
      </c>
      <c r="BJ26" s="142">
        <f>SUMIFS(INDEX(REPORT_FR2052a!$1:$1048576,0,14),INDEX(REPORT_FR2052a!$1:$1048576,0,44),"O.O.4",INDEX(REPORT_FR2052a!$1:$1048576,0,43),1,INDEX(REPORT_FR2052a!$1:$1048576,0,26),"Retail",INDEX(REPORT_FR2052a!$1:$1048576,0,5),"Bank of China - Combined US Branches and Agencies")</f>
        <v>51.41</v>
      </c>
      <c r="BK26" s="143">
        <f t="shared" si="19"/>
        <v>0</v>
      </c>
    </row>
    <row r="27" spans="1:63">
      <c r="A27" s="136">
        <v>22</v>
      </c>
      <c r="B27" s="137" t="str">
        <f>IFERROR(INDEX('LCR TYPE EXPLAIN'!B:B,MATCH(A27,'LCR TYPE EXPLAIN'!A:A,0)),"")</f>
        <v>Retail Commitments (§.32(e )(1)(ii))</v>
      </c>
      <c r="F27" s="137" t="s">
        <v>331</v>
      </c>
      <c r="G27" s="138" t="s">
        <v>388</v>
      </c>
      <c r="H27" s="137" t="str">
        <f t="shared" si="0"/>
        <v>,INDEX(REPORT_FR2052a!$1:$1048576,0,44),"O.O.4"</v>
      </c>
      <c r="I27" s="137" t="s">
        <v>331</v>
      </c>
      <c r="J27" s="137">
        <v>1</v>
      </c>
      <c r="K27" s="137" t="str">
        <f t="shared" si="1"/>
        <v>,INDEX(REPORT_FR2052a!$1:$1048576,0,43),1</v>
      </c>
      <c r="N27" s="137" t="str">
        <f t="shared" si="2"/>
        <v/>
      </c>
      <c r="Q27" s="137" t="str">
        <f t="shared" si="3"/>
        <v/>
      </c>
      <c r="T27" s="137" t="str">
        <f t="shared" si="4"/>
        <v/>
      </c>
      <c r="V27" s="139"/>
      <c r="W27" s="137" t="str">
        <f t="shared" si="5"/>
        <v/>
      </c>
      <c r="Y27" s="139"/>
      <c r="Z27" s="137" t="str">
        <f t="shared" si="6"/>
        <v/>
      </c>
      <c r="AB27" s="139"/>
      <c r="AC27" s="137" t="str">
        <f t="shared" si="7"/>
        <v/>
      </c>
      <c r="AD27" s="137" t="s">
        <v>331</v>
      </c>
      <c r="AE27" s="140" t="s">
        <v>155</v>
      </c>
      <c r="AF27" s="137" t="str">
        <f t="shared" si="8"/>
        <v>,INDEX(REPORT_FR2052a!$1:$1048576,0,26),"Small Business"</v>
      </c>
      <c r="AH27" s="139"/>
      <c r="AI27" s="137" t="str">
        <f t="shared" si="9"/>
        <v/>
      </c>
      <c r="AK27" s="139"/>
      <c r="AL27" s="137" t="str">
        <f t="shared" si="10"/>
        <v/>
      </c>
      <c r="AO27" s="137" t="str">
        <f t="shared" si="11"/>
        <v/>
      </c>
      <c r="AR27" s="137" t="str">
        <f t="shared" si="14"/>
        <v/>
      </c>
      <c r="AU27" s="137" t="str">
        <f t="shared" si="15"/>
        <v/>
      </c>
      <c r="BA27" s="137" t="s">
        <v>13</v>
      </c>
      <c r="BB27" s="137" t="str">
        <f>"=SUMIFS(INDEX(REPORT_FR2052a!$1:$1048576,0,"&amp;(MATCH(BA27,REPORT_FR2052a!$1:$1,0))&amp;")"</f>
        <v>=SUMIFS(INDEX(REPORT_FR2052a!$1:$1048576,0,14)</v>
      </c>
      <c r="BC27" s="137" t="str">
        <f t="shared" si="17"/>
        <v>=SUMIFS(INDEX(REPORT_FR2052a!$1:$1048576,0,14),INDEX(REPORT_FR2052a!$1:$1048576,0,44),"O.O.4",INDEX(REPORT_FR2052a!$1:$1048576,0,43),1,INDEX(REPORT_FR2052a!$1:$1048576,0,26),"Small Business")</v>
      </c>
      <c r="BD27" s="141">
        <f>SUMIFS(INDEX(REPORT_FR2052a!$1:$1048576,0,14),INDEX(REPORT_FR2052a!$1:$1048576,0,44),"O.O.4",INDEX(REPORT_FR2052a!$1:$1048576,0,43),1,INDEX(REPORT_FR2052a!$1:$1048576,0,26),"Small Business")</f>
        <v>0</v>
      </c>
      <c r="BE27" s="137" t="s">
        <v>331</v>
      </c>
      <c r="BF27" s="139" t="s">
        <v>47</v>
      </c>
      <c r="BG27" s="137" t="str">
        <f t="shared" si="13"/>
        <v>,INDEX(REPORT_FR2052a!$1:$1048576,0,5),"Bank of China - Combined US Branches and Agencies"</v>
      </c>
      <c r="BI27" s="137" t="str">
        <f t="shared" si="18"/>
        <v>=SUMIFS(INDEX(REPORT_FR2052a!$1:$1048576,0,14),INDEX(REPORT_FR2052a!$1:$1048576,0,44),"O.O.4",INDEX(REPORT_FR2052a!$1:$1048576,0,43),1,INDEX(REPORT_FR2052a!$1:$1048576,0,26),"Small Business",INDEX(REPORT_FR2052a!$1:$1048576,0,5),"Bank of China - Combined US Branches and Agencies")</v>
      </c>
      <c r="BJ27" s="142">
        <f>SUMIFS(INDEX(REPORT_FR2052a!$1:$1048576,0,14),INDEX(REPORT_FR2052a!$1:$1048576,0,44),"O.O.4",INDEX(REPORT_FR2052a!$1:$1048576,0,43),1,INDEX(REPORT_FR2052a!$1:$1048576,0,26),"Small Business",INDEX(REPORT_FR2052a!$1:$1048576,0,5),"Bank of China - Combined US Branches and Agencies")</f>
        <v>0</v>
      </c>
      <c r="BK27" s="143">
        <f t="shared" si="19"/>
        <v>0</v>
      </c>
    </row>
    <row r="28" spans="1:63">
      <c r="A28" s="136">
        <v>22</v>
      </c>
      <c r="B28" s="137" t="str">
        <f>IFERROR(INDEX('LCR TYPE EXPLAIN'!B:B,MATCH(A28,'LCR TYPE EXPLAIN'!A:A,0)),"")</f>
        <v>Retail Commitments (§.32(e )(1)(ii))</v>
      </c>
      <c r="F28" s="137" t="s">
        <v>331</v>
      </c>
      <c r="G28" s="138" t="s">
        <v>391</v>
      </c>
      <c r="H28" s="137" t="str">
        <f t="shared" si="0"/>
        <v>,INDEX(REPORT_FR2052a!$1:$1048576,0,44),"O.O.5"</v>
      </c>
      <c r="I28" s="137" t="s">
        <v>331</v>
      </c>
      <c r="J28" s="137">
        <v>1</v>
      </c>
      <c r="K28" s="137" t="str">
        <f t="shared" si="1"/>
        <v>,INDEX(REPORT_FR2052a!$1:$1048576,0,43),1</v>
      </c>
      <c r="N28" s="137" t="str">
        <f t="shared" si="2"/>
        <v/>
      </c>
      <c r="Q28" s="137" t="str">
        <f t="shared" si="3"/>
        <v/>
      </c>
      <c r="T28" s="137" t="str">
        <f t="shared" si="4"/>
        <v/>
      </c>
      <c r="V28" s="139"/>
      <c r="W28" s="137" t="str">
        <f t="shared" si="5"/>
        <v/>
      </c>
      <c r="Y28" s="139"/>
      <c r="Z28" s="137" t="str">
        <f t="shared" si="6"/>
        <v/>
      </c>
      <c r="AB28" s="139"/>
      <c r="AC28" s="137" t="str">
        <f t="shared" si="7"/>
        <v/>
      </c>
      <c r="AD28" s="137" t="s">
        <v>331</v>
      </c>
      <c r="AE28" s="140" t="s">
        <v>122</v>
      </c>
      <c r="AF28" s="137" t="str">
        <f t="shared" si="8"/>
        <v>,INDEX(REPORT_FR2052a!$1:$1048576,0,26),"Retail"</v>
      </c>
      <c r="AH28" s="139"/>
      <c r="AI28" s="137" t="str">
        <f t="shared" si="9"/>
        <v/>
      </c>
      <c r="AK28" s="139"/>
      <c r="AL28" s="137" t="str">
        <f t="shared" si="10"/>
        <v/>
      </c>
      <c r="AO28" s="137" t="str">
        <f t="shared" si="11"/>
        <v/>
      </c>
      <c r="AR28" s="137" t="str">
        <f t="shared" si="14"/>
        <v/>
      </c>
      <c r="AU28" s="137" t="str">
        <f t="shared" si="15"/>
        <v/>
      </c>
      <c r="BA28" s="137" t="s">
        <v>13</v>
      </c>
      <c r="BB28" s="137" t="str">
        <f>"=SUMIFS(INDEX(REPORT_FR2052a!$1:$1048576,0,"&amp;(MATCH(BA28,REPORT_FR2052a!$1:$1,0))&amp;")"</f>
        <v>=SUMIFS(INDEX(REPORT_FR2052a!$1:$1048576,0,14)</v>
      </c>
      <c r="BC28" s="137" t="str">
        <f t="shared" si="17"/>
        <v>=SUMIFS(INDEX(REPORT_FR2052a!$1:$1048576,0,14),INDEX(REPORT_FR2052a!$1:$1048576,0,44),"O.O.5",INDEX(REPORT_FR2052a!$1:$1048576,0,43),1,INDEX(REPORT_FR2052a!$1:$1048576,0,26),"Retail")</v>
      </c>
      <c r="BD28" s="141">
        <f>SUMIFS(INDEX(REPORT_FR2052a!$1:$1048576,0,14),INDEX(REPORT_FR2052a!$1:$1048576,0,44),"O.O.5",INDEX(REPORT_FR2052a!$1:$1048576,0,43),1,INDEX(REPORT_FR2052a!$1:$1048576,0,26),"Retail")</f>
        <v>0</v>
      </c>
      <c r="BE28" s="137" t="s">
        <v>331</v>
      </c>
      <c r="BF28" s="139" t="s">
        <v>47</v>
      </c>
      <c r="BG28" s="137" t="str">
        <f t="shared" si="13"/>
        <v>,INDEX(REPORT_FR2052a!$1:$1048576,0,5),"Bank of China - Combined US Branches and Agencies"</v>
      </c>
      <c r="BI28" s="137" t="str">
        <f t="shared" si="18"/>
        <v>=SUMIFS(INDEX(REPORT_FR2052a!$1:$1048576,0,14),INDEX(REPORT_FR2052a!$1:$1048576,0,44),"O.O.5",INDEX(REPORT_FR2052a!$1:$1048576,0,43),1,INDEX(REPORT_FR2052a!$1:$1048576,0,26),"Retail",INDEX(REPORT_FR2052a!$1:$1048576,0,5),"Bank of China - Combined US Branches and Agencies")</v>
      </c>
      <c r="BJ28" s="142">
        <f>SUMIFS(INDEX(REPORT_FR2052a!$1:$1048576,0,14),INDEX(REPORT_FR2052a!$1:$1048576,0,44),"O.O.5",INDEX(REPORT_FR2052a!$1:$1048576,0,43),1,INDEX(REPORT_FR2052a!$1:$1048576,0,26),"Retail",INDEX(REPORT_FR2052a!$1:$1048576,0,5),"Bank of China - Combined US Branches and Agencies")</f>
        <v>0</v>
      </c>
      <c r="BK28" s="143">
        <f t="shared" si="19"/>
        <v>0</v>
      </c>
    </row>
    <row r="29" spans="1:63">
      <c r="A29" s="136">
        <v>22</v>
      </c>
      <c r="B29" s="137" t="str">
        <f>IFERROR(INDEX('LCR TYPE EXPLAIN'!B:B,MATCH(A29,'LCR TYPE EXPLAIN'!A:A,0)),"")</f>
        <v>Retail Commitments (§.32(e )(1)(ii))</v>
      </c>
      <c r="F29" s="137" t="s">
        <v>331</v>
      </c>
      <c r="G29" s="138" t="s">
        <v>391</v>
      </c>
      <c r="H29" s="137" t="str">
        <f t="shared" si="0"/>
        <v>,INDEX(REPORT_FR2052a!$1:$1048576,0,44),"O.O.5"</v>
      </c>
      <c r="I29" s="137" t="s">
        <v>331</v>
      </c>
      <c r="J29" s="137">
        <v>1</v>
      </c>
      <c r="K29" s="137" t="str">
        <f t="shared" si="1"/>
        <v>,INDEX(REPORT_FR2052a!$1:$1048576,0,43),1</v>
      </c>
      <c r="N29" s="137" t="str">
        <f t="shared" si="2"/>
        <v/>
      </c>
      <c r="Q29" s="137" t="str">
        <f t="shared" si="3"/>
        <v/>
      </c>
      <c r="T29" s="137" t="str">
        <f t="shared" si="4"/>
        <v/>
      </c>
      <c r="V29" s="139"/>
      <c r="W29" s="137" t="str">
        <f t="shared" si="5"/>
        <v/>
      </c>
      <c r="Y29" s="139"/>
      <c r="Z29" s="137" t="str">
        <f t="shared" si="6"/>
        <v/>
      </c>
      <c r="AB29" s="139"/>
      <c r="AC29" s="137" t="str">
        <f t="shared" si="7"/>
        <v/>
      </c>
      <c r="AD29" s="137" t="s">
        <v>331</v>
      </c>
      <c r="AE29" s="140" t="s">
        <v>155</v>
      </c>
      <c r="AF29" s="137" t="str">
        <f t="shared" si="8"/>
        <v>,INDEX(REPORT_FR2052a!$1:$1048576,0,26),"Small Business"</v>
      </c>
      <c r="AH29" s="139"/>
      <c r="AI29" s="137" t="str">
        <f t="shared" si="9"/>
        <v/>
      </c>
      <c r="AK29" s="139"/>
      <c r="AL29" s="137" t="str">
        <f t="shared" si="10"/>
        <v/>
      </c>
      <c r="AO29" s="137" t="str">
        <f t="shared" si="11"/>
        <v/>
      </c>
      <c r="AR29" s="137" t="str">
        <f t="shared" si="14"/>
        <v/>
      </c>
      <c r="AU29" s="137" t="str">
        <f t="shared" si="15"/>
        <v/>
      </c>
      <c r="BA29" s="137" t="s">
        <v>13</v>
      </c>
      <c r="BB29" s="137" t="str">
        <f>"=SUMIFS(INDEX(REPORT_FR2052a!$1:$1048576,0,"&amp;(MATCH(BA29,REPORT_FR2052a!$1:$1,0))&amp;")"</f>
        <v>=SUMIFS(INDEX(REPORT_FR2052a!$1:$1048576,0,14)</v>
      </c>
      <c r="BC29" s="137" t="str">
        <f t="shared" si="17"/>
        <v>=SUMIFS(INDEX(REPORT_FR2052a!$1:$1048576,0,14),INDEX(REPORT_FR2052a!$1:$1048576,0,44),"O.O.5",INDEX(REPORT_FR2052a!$1:$1048576,0,43),1,INDEX(REPORT_FR2052a!$1:$1048576,0,26),"Small Business")</v>
      </c>
      <c r="BD29" s="141">
        <f>SUMIFS(INDEX(REPORT_FR2052a!$1:$1048576,0,14),INDEX(REPORT_FR2052a!$1:$1048576,0,44),"O.O.5",INDEX(REPORT_FR2052a!$1:$1048576,0,43),1,INDEX(REPORT_FR2052a!$1:$1048576,0,26),"Small Business")</f>
        <v>0</v>
      </c>
      <c r="BE29" s="137" t="s">
        <v>331</v>
      </c>
      <c r="BF29" s="139" t="s">
        <v>47</v>
      </c>
      <c r="BG29" s="137" t="str">
        <f t="shared" si="13"/>
        <v>,INDEX(REPORT_FR2052a!$1:$1048576,0,5),"Bank of China - Combined US Branches and Agencies"</v>
      </c>
      <c r="BI29" s="137" t="str">
        <f t="shared" si="18"/>
        <v>=SUMIFS(INDEX(REPORT_FR2052a!$1:$1048576,0,14),INDEX(REPORT_FR2052a!$1:$1048576,0,44),"O.O.5",INDEX(REPORT_FR2052a!$1:$1048576,0,43),1,INDEX(REPORT_FR2052a!$1:$1048576,0,26),"Small Business",INDEX(REPORT_FR2052a!$1:$1048576,0,5),"Bank of China - Combined US Branches and Agencies")</v>
      </c>
      <c r="BJ29" s="142">
        <f>SUMIFS(INDEX(REPORT_FR2052a!$1:$1048576,0,14),INDEX(REPORT_FR2052a!$1:$1048576,0,44),"O.O.5",INDEX(REPORT_FR2052a!$1:$1048576,0,43),1,INDEX(REPORT_FR2052a!$1:$1048576,0,26),"Small Business",INDEX(REPORT_FR2052a!$1:$1048576,0,5),"Bank of China - Combined US Branches and Agencies")</f>
        <v>0</v>
      </c>
      <c r="BK29" s="143">
        <f t="shared" si="19"/>
        <v>0</v>
      </c>
    </row>
    <row r="30" spans="1:63">
      <c r="A30" s="136">
        <v>23</v>
      </c>
      <c r="B30" s="137" t="str">
        <f>IFERROR(INDEX('LCR TYPE EXPLAIN'!B:B,MATCH(A30,'LCR TYPE EXPLAIN'!A:A,0)),"")</f>
        <v>Non-Financial Coporate Credit Facilities (§.32(e )(1)(iii))</v>
      </c>
      <c r="F30" s="137" t="s">
        <v>331</v>
      </c>
      <c r="G30" s="138" t="s">
        <v>388</v>
      </c>
      <c r="H30" s="137" t="str">
        <f t="shared" si="0"/>
        <v>,INDEX(REPORT_FR2052a!$1:$1048576,0,44),"O.O.4"</v>
      </c>
      <c r="I30" s="137" t="s">
        <v>331</v>
      </c>
      <c r="J30" s="137">
        <v>1</v>
      </c>
      <c r="K30" s="137" t="str">
        <f t="shared" si="1"/>
        <v>,INDEX(REPORT_FR2052a!$1:$1048576,0,43),1</v>
      </c>
      <c r="N30" s="137" t="str">
        <f t="shared" si="2"/>
        <v/>
      </c>
      <c r="Q30" s="137" t="str">
        <f t="shared" si="3"/>
        <v/>
      </c>
      <c r="T30" s="137" t="str">
        <f t="shared" si="4"/>
        <v/>
      </c>
      <c r="V30" s="139"/>
      <c r="W30" s="137" t="str">
        <f t="shared" si="5"/>
        <v/>
      </c>
      <c r="Y30" s="139"/>
      <c r="Z30" s="137" t="str">
        <f t="shared" si="6"/>
        <v/>
      </c>
      <c r="AB30" s="139"/>
      <c r="AC30" s="137" t="str">
        <f t="shared" si="7"/>
        <v/>
      </c>
      <c r="AD30" s="137" t="s">
        <v>331</v>
      </c>
      <c r="AE30" s="140" t="s">
        <v>84</v>
      </c>
      <c r="AF30" s="137" t="str">
        <f t="shared" si="8"/>
        <v>,INDEX(REPORT_FR2052a!$1:$1048576,0,26),"Non-Financial Corporate"</v>
      </c>
      <c r="AH30" s="139"/>
      <c r="AI30" s="137" t="str">
        <f t="shared" si="9"/>
        <v/>
      </c>
      <c r="AK30" s="139"/>
      <c r="AL30" s="137" t="str">
        <f t="shared" si="10"/>
        <v/>
      </c>
      <c r="AO30" s="137" t="str">
        <f t="shared" si="11"/>
        <v/>
      </c>
      <c r="AR30" s="137" t="str">
        <f t="shared" si="14"/>
        <v/>
      </c>
      <c r="AU30" s="137" t="str">
        <f t="shared" si="15"/>
        <v/>
      </c>
      <c r="BA30" s="137" t="s">
        <v>13</v>
      </c>
      <c r="BB30" s="137" t="str">
        <f>"=SUMIFS(INDEX(REPORT_FR2052a!$1:$1048576,0,"&amp;(MATCH(BA30,REPORT_FR2052a!$1:$1,0))&amp;")"</f>
        <v>=SUMIFS(INDEX(REPORT_FR2052a!$1:$1048576,0,14)</v>
      </c>
      <c r="BC30" s="137" t="str">
        <f t="shared" si="17"/>
        <v>=SUMIFS(INDEX(REPORT_FR2052a!$1:$1048576,0,14),INDEX(REPORT_FR2052a!$1:$1048576,0,44),"O.O.4",INDEX(REPORT_FR2052a!$1:$1048576,0,43),1,INDEX(REPORT_FR2052a!$1:$1048576,0,26),"Non-Financial Corporate")</v>
      </c>
      <c r="BD30" s="141">
        <f>SUMIFS(INDEX(REPORT_FR2052a!$1:$1048576,0,14),INDEX(REPORT_FR2052a!$1:$1048576,0,44),"O.O.4",INDEX(REPORT_FR2052a!$1:$1048576,0,43),1,INDEX(REPORT_FR2052a!$1:$1048576,0,26),"Non-Financial Corporate")</f>
        <v>16455.309999999998</v>
      </c>
      <c r="BE30" s="137" t="s">
        <v>331</v>
      </c>
      <c r="BF30" s="139" t="s">
        <v>47</v>
      </c>
      <c r="BG30" s="137" t="str">
        <f t="shared" si="13"/>
        <v>,INDEX(REPORT_FR2052a!$1:$1048576,0,5),"Bank of China - Combined US Branches and Agencies"</v>
      </c>
      <c r="BI30" s="137" t="str">
        <f t="shared" si="18"/>
        <v>=SUMIFS(INDEX(REPORT_FR2052a!$1:$1048576,0,14),INDEX(REPORT_FR2052a!$1:$1048576,0,44),"O.O.4",INDEX(REPORT_FR2052a!$1:$1048576,0,43),1,INDEX(REPORT_FR2052a!$1:$1048576,0,26),"Non-Financial Corporate",INDEX(REPORT_FR2052a!$1:$1048576,0,5),"Bank of China - Combined US Branches and Agencies")</v>
      </c>
      <c r="BJ30" s="142">
        <f>SUMIFS(INDEX(REPORT_FR2052a!$1:$1048576,0,14),INDEX(REPORT_FR2052a!$1:$1048576,0,44),"O.O.4",INDEX(REPORT_FR2052a!$1:$1048576,0,43),1,INDEX(REPORT_FR2052a!$1:$1048576,0,26),"Non-Financial Corporate",INDEX(REPORT_FR2052a!$1:$1048576,0,5),"Bank of China - Combined US Branches and Agencies")</f>
        <v>16455.309999999998</v>
      </c>
      <c r="BK30" s="143">
        <f t="shared" si="19"/>
        <v>0</v>
      </c>
    </row>
    <row r="31" spans="1:63">
      <c r="A31" s="136">
        <v>23</v>
      </c>
      <c r="B31" s="137" t="str">
        <f>IFERROR(INDEX('LCR TYPE EXPLAIN'!B:B,MATCH(A31,'LCR TYPE EXPLAIN'!A:A,0)),"")</f>
        <v>Non-Financial Coporate Credit Facilities (§.32(e )(1)(iii))</v>
      </c>
      <c r="F31" s="137" t="s">
        <v>331</v>
      </c>
      <c r="G31" s="138" t="s">
        <v>388</v>
      </c>
      <c r="H31" s="137" t="str">
        <f t="shared" si="0"/>
        <v>,INDEX(REPORT_FR2052a!$1:$1048576,0,44),"O.O.4"</v>
      </c>
      <c r="I31" s="137" t="s">
        <v>331</v>
      </c>
      <c r="J31" s="137">
        <v>1</v>
      </c>
      <c r="K31" s="137" t="str">
        <f t="shared" ref="K31" si="39">IF(I31="","",",INDEX(REPORT_FR2052a!$1:$1048576,0,"&amp;K$2&amp;"),"&amp;IF(ISTEXT(J31),CHAR(34),"")&amp;IF(I31="is","",""&amp;"&lt;&gt;")&amp;J31&amp;IF(ISTEXT(J31),CHAR(34),""))</f>
        <v>,INDEX(REPORT_FR2052a!$1:$1048576,0,43),1</v>
      </c>
      <c r="N31" s="137" t="str">
        <f t="shared" ref="N31" si="40">IF(L31="","",",INDEX(REPORT_FR2052a!$1:$1048576,0,"&amp;N$2&amp;"),"&amp;IF(ISTEXT(M31),CHAR(34),"")&amp;IF(L31="is","",""&amp;"&lt;&gt;")&amp;M31&amp;IF(ISTEXT(M31),CHAR(34),""))</f>
        <v/>
      </c>
      <c r="Q31" s="137" t="str">
        <f t="shared" ref="Q31" si="41">IF(O31="","",",INDEX(REPORT_FR2052a!$1:$1048576,0,"&amp;Q$2&amp;"),"&amp;IF(OR(ISTEXT(P31),ISBLANK(P31)),CHAR(34),"")&amp;IF(O31="is","",""&amp;"&lt;&gt;")&amp;P31&amp;IF(OR(ISTEXT(P31),ISBLANK(P31)),CHAR(34),""))</f>
        <v/>
      </c>
      <c r="T31" s="137" t="str">
        <f t="shared" ref="T31" si="42">IF(R31="","",",INDEX(REPORT_FR2052a!$1:$1048576,0,"&amp;T$2&amp;"),"&amp;IF(ISTEXT(S31),CHAR(34),"")&amp;IF(R31="is","",""&amp;"&lt;&gt;")&amp;S31&amp;IF(ISTEXT(S31),CHAR(34),""))</f>
        <v/>
      </c>
      <c r="V31" s="139"/>
      <c r="W31" s="137" t="str">
        <f t="shared" ref="W31" si="43">IF(U31="","",",INDEX(REPORT_FR2052a!$1:$1048576,0,"&amp;W$2&amp;"),"&amp;IF(ISTEXT(V31),CHAR(34),"")&amp;IF(U31="is","",""&amp;"&lt;&gt;")&amp;V31&amp;IF(ISTEXT(V31),CHAR(34),""))</f>
        <v/>
      </c>
      <c r="Y31" s="139"/>
      <c r="Z31" s="137" t="str">
        <f t="shared" ref="Z31" si="44">IF(X31="","",",INDEX(REPORT_FR2052a!$1:$1048576,0,"&amp;Z$2&amp;"),"&amp;IF(ISTEXT(Y31),CHAR(34),"")&amp;IF(X31="is","",""&amp;"&lt;&gt;")&amp;Y31&amp;IF(ISTEXT(Y31),CHAR(34),""))</f>
        <v/>
      </c>
      <c r="AB31" s="139"/>
      <c r="AC31" s="137" t="str">
        <f t="shared" ref="AC31" si="45">IF(AA31="","",",INDEX(REPORT_FR2052a!$1:$1048576,0,"&amp;AC$2&amp;"),"&amp;IF(ISTEXT(AB31),CHAR(34),"")&amp;IF(AA31="is","",""&amp;"&lt;&gt;")&amp;AB31&amp;IF(ISTEXT(AB31),CHAR(34),""))</f>
        <v/>
      </c>
      <c r="AD31" s="137" t="s">
        <v>331</v>
      </c>
      <c r="AE31" s="140" t="s">
        <v>162</v>
      </c>
      <c r="AF31" s="137" t="str">
        <f t="shared" ref="AF31" si="46">IF(AD31="","",",INDEX(REPORT_FR2052a!$1:$1048576,0,"&amp;AF$2&amp;"),"&amp;IF(ISTEXT(AE31),CHAR(34),"")&amp;IF(AD31="is","",""&amp;"&lt;&gt;")&amp;AE31&amp;IF(ISTEXT(AE31),CHAR(34),""))</f>
        <v>,INDEX(REPORT_FR2052a!$1:$1048576,0,26),"Sovereign"</v>
      </c>
      <c r="AH31" s="139"/>
      <c r="AI31" s="137" t="str">
        <f t="shared" ref="AI31" si="47">IF(AG31="","",",INDEX(REPORT_FR2052a!$1:$1048576,0,"&amp;AI$2&amp;"),"&amp;IF(ISTEXT(AH31),CHAR(34),"")&amp;IF(AG31="is","",""&amp;"&lt;&gt;")&amp;AH31&amp;IF(ISTEXT(AH31),CHAR(34),""))</f>
        <v/>
      </c>
      <c r="AK31" s="139"/>
      <c r="AL31" s="137" t="str">
        <f t="shared" ref="AL31" si="48">IF(AJ31="","",",INDEX(REPORT_FR2052a!$1:$1048576,0,"&amp;AL$2&amp;"),"&amp;IF(ISTEXT(AK31),CHAR(34),"")&amp;IF(AJ31="is","",""&amp;"&lt;&gt;")&amp;AK31&amp;IF(ISTEXT(AK31),CHAR(34),""))</f>
        <v/>
      </c>
      <c r="AO31" s="137" t="str">
        <f t="shared" ref="AO31" si="49">IF(AM31="","",",INDEX(REPORT_FR2052a!$1:$1048576,0,"&amp;AO$2&amp;"),"&amp;IF(ISTEXT(AN31),CHAR(34),"")&amp;IF(AM31="is","",""&amp;"&lt;&gt;")&amp;AN31&amp;IF(ISTEXT(AN31),CHAR(34),""))</f>
        <v/>
      </c>
      <c r="AR31" s="137" t="str">
        <f t="shared" si="14"/>
        <v/>
      </c>
      <c r="AU31" s="137" t="str">
        <f t="shared" si="15"/>
        <v/>
      </c>
      <c r="BA31" s="137" t="s">
        <v>13</v>
      </c>
      <c r="BB31" s="137" t="str">
        <f>"=SUMIFS(INDEX(REPORT_FR2052a!$1:$1048576,0,"&amp;(MATCH(BA31,REPORT_FR2052a!$1:$1,0))&amp;")"</f>
        <v>=SUMIFS(INDEX(REPORT_FR2052a!$1:$1048576,0,14)</v>
      </c>
      <c r="BC31" s="137" t="str">
        <f t="shared" si="17"/>
        <v>=SUMIFS(INDEX(REPORT_FR2052a!$1:$1048576,0,14),INDEX(REPORT_FR2052a!$1:$1048576,0,44),"O.O.4",INDEX(REPORT_FR2052a!$1:$1048576,0,43),1,INDEX(REPORT_FR2052a!$1:$1048576,0,26),"Sovereign")</v>
      </c>
      <c r="BD31" s="141">
        <f>SUMIFS(INDEX(REPORT_FR2052a!$1:$1048576,0,14),INDEX(REPORT_FR2052a!$1:$1048576,0,44),"O.O.4",INDEX(REPORT_FR2052a!$1:$1048576,0,43),1,INDEX(REPORT_FR2052a!$1:$1048576,0,26),"Sovereign")</f>
        <v>0</v>
      </c>
      <c r="BE31" s="137" t="s">
        <v>331</v>
      </c>
      <c r="BF31" s="139" t="s">
        <v>47</v>
      </c>
      <c r="BG31" s="137" t="str">
        <f t="shared" ref="BG31" si="50">IF(BE31="","",",INDEX(REPORT_FR2052a!$1:$1048576,0,"&amp;BG$2&amp;"),"&amp;IF(ISTEXT(BF31),CHAR(34),"")&amp;IF(BE31="is","",""&amp;"&lt;&gt;")&amp;BF31&amp;IF(ISTEXT(BF31),CHAR(34),""))</f>
        <v>,INDEX(REPORT_FR2052a!$1:$1048576,0,5),"Bank of China - Combined US Branches and Agencies"</v>
      </c>
      <c r="BI31" s="137" t="str">
        <f t="shared" ref="BI31" si="51">LEFT(BC31,LEN(BC31)-1)&amp;BG31&amp;")"</f>
        <v>=SUMIFS(INDEX(REPORT_FR2052a!$1:$1048576,0,14),INDEX(REPORT_FR2052a!$1:$1048576,0,44),"O.O.4",INDEX(REPORT_FR2052a!$1:$1048576,0,43),1,INDEX(REPORT_FR2052a!$1:$1048576,0,26),"Sovereign",INDEX(REPORT_FR2052a!$1:$1048576,0,5),"Bank of China - Combined US Branches and Agencies")</v>
      </c>
      <c r="BJ31" s="142">
        <f>SUMIFS(INDEX(REPORT_FR2052a!$1:$1048576,0,14),INDEX(REPORT_FR2052a!$1:$1048576,0,44),"O.O.4",INDEX(REPORT_FR2052a!$1:$1048576,0,43),1,INDEX(REPORT_FR2052a!$1:$1048576,0,26),"Sovereign",INDEX(REPORT_FR2052a!$1:$1048576,0,5),"Bank of China - Combined US Branches and Agencies")</f>
        <v>0</v>
      </c>
      <c r="BK31" s="143">
        <f t="shared" ref="BK31" si="52">BD31-BJ31</f>
        <v>0</v>
      </c>
    </row>
    <row r="32" spans="1:63">
      <c r="A32" s="136">
        <v>23</v>
      </c>
      <c r="B32" s="137" t="str">
        <f>IFERROR(INDEX('LCR TYPE EXPLAIN'!B:B,MATCH(A32,'LCR TYPE EXPLAIN'!A:A,0)),"")</f>
        <v>Non-Financial Coporate Credit Facilities (§.32(e )(1)(iii))</v>
      </c>
      <c r="F32" s="137" t="s">
        <v>331</v>
      </c>
      <c r="G32" s="138" t="s">
        <v>388</v>
      </c>
      <c r="H32" s="137" t="str">
        <f t="shared" si="0"/>
        <v>,INDEX(REPORT_FR2052a!$1:$1048576,0,44),"O.O.4"</v>
      </c>
      <c r="I32" s="137" t="s">
        <v>331</v>
      </c>
      <c r="J32" s="137">
        <v>1</v>
      </c>
      <c r="K32" s="137" t="str">
        <f t="shared" ref="K32" si="53">IF(I32="","",",INDEX(REPORT_FR2052a!$1:$1048576,0,"&amp;K$2&amp;"),"&amp;IF(ISTEXT(J32),CHAR(34),"")&amp;IF(I32="is","",""&amp;"&lt;&gt;")&amp;J32&amp;IF(ISTEXT(J32),CHAR(34),""))</f>
        <v>,INDEX(REPORT_FR2052a!$1:$1048576,0,43),1</v>
      </c>
      <c r="N32" s="137" t="str">
        <f t="shared" ref="N32" si="54">IF(L32="","",",INDEX(REPORT_FR2052a!$1:$1048576,0,"&amp;N$2&amp;"),"&amp;IF(ISTEXT(M32),CHAR(34),"")&amp;IF(L32="is","",""&amp;"&lt;&gt;")&amp;M32&amp;IF(ISTEXT(M32),CHAR(34),""))</f>
        <v/>
      </c>
      <c r="Q32" s="137" t="str">
        <f t="shared" ref="Q32" si="55">IF(O32="","",",INDEX(REPORT_FR2052a!$1:$1048576,0,"&amp;Q$2&amp;"),"&amp;IF(OR(ISTEXT(P32),ISBLANK(P32)),CHAR(34),"")&amp;IF(O32="is","",""&amp;"&lt;&gt;")&amp;P32&amp;IF(OR(ISTEXT(P32),ISBLANK(P32)),CHAR(34),""))</f>
        <v/>
      </c>
      <c r="T32" s="137" t="str">
        <f t="shared" ref="T32" si="56">IF(R32="","",",INDEX(REPORT_FR2052a!$1:$1048576,0,"&amp;T$2&amp;"),"&amp;IF(ISTEXT(S32),CHAR(34),"")&amp;IF(R32="is","",""&amp;"&lt;&gt;")&amp;S32&amp;IF(ISTEXT(S32),CHAR(34),""))</f>
        <v/>
      </c>
      <c r="V32" s="139"/>
      <c r="W32" s="137" t="str">
        <f t="shared" ref="W32" si="57">IF(U32="","",",INDEX(REPORT_FR2052a!$1:$1048576,0,"&amp;W$2&amp;"),"&amp;IF(ISTEXT(V32),CHAR(34),"")&amp;IF(U32="is","",""&amp;"&lt;&gt;")&amp;V32&amp;IF(ISTEXT(V32),CHAR(34),""))</f>
        <v/>
      </c>
      <c r="Y32" s="139"/>
      <c r="Z32" s="137" t="str">
        <f t="shared" ref="Z32" si="58">IF(X32="","",",INDEX(REPORT_FR2052a!$1:$1048576,0,"&amp;Z$2&amp;"),"&amp;IF(ISTEXT(Y32),CHAR(34),"")&amp;IF(X32="is","",""&amp;"&lt;&gt;")&amp;Y32&amp;IF(ISTEXT(Y32),CHAR(34),""))</f>
        <v/>
      </c>
      <c r="AB32" s="139"/>
      <c r="AC32" s="137" t="str">
        <f t="shared" ref="AC32" si="59">IF(AA32="","",",INDEX(REPORT_FR2052a!$1:$1048576,0,"&amp;AC$2&amp;"),"&amp;IF(ISTEXT(AB32),CHAR(34),"")&amp;IF(AA32="is","",""&amp;"&lt;&gt;")&amp;AB32&amp;IF(ISTEXT(AB32),CHAR(34),""))</f>
        <v/>
      </c>
      <c r="AD32" s="137" t="s">
        <v>331</v>
      </c>
      <c r="AE32" s="140" t="s">
        <v>904</v>
      </c>
      <c r="AF32" s="137" t="str">
        <f t="shared" ref="AF32" si="60">IF(AD32="","",",INDEX(REPORT_FR2052a!$1:$1048576,0,"&amp;AF$2&amp;"),"&amp;IF(ISTEXT(AE32),CHAR(34),"")&amp;IF(AD32="is","",""&amp;"&lt;&gt;")&amp;AE32&amp;IF(ISTEXT(AE32),CHAR(34),""))</f>
        <v>,INDEX(REPORT_FR2052a!$1:$1048576,0,26),"Public Sector Entity"</v>
      </c>
      <c r="AH32" s="139"/>
      <c r="AI32" s="137" t="str">
        <f t="shared" ref="AI32" si="61">IF(AG32="","",",INDEX(REPORT_FR2052a!$1:$1048576,0,"&amp;AI$2&amp;"),"&amp;IF(ISTEXT(AH32),CHAR(34),"")&amp;IF(AG32="is","",""&amp;"&lt;&gt;")&amp;AH32&amp;IF(ISTEXT(AH32),CHAR(34),""))</f>
        <v/>
      </c>
      <c r="AK32" s="139"/>
      <c r="AL32" s="137" t="str">
        <f t="shared" ref="AL32" si="62">IF(AJ32="","",",INDEX(REPORT_FR2052a!$1:$1048576,0,"&amp;AL$2&amp;"),"&amp;IF(ISTEXT(AK32),CHAR(34),"")&amp;IF(AJ32="is","",""&amp;"&lt;&gt;")&amp;AK32&amp;IF(ISTEXT(AK32),CHAR(34),""))</f>
        <v/>
      </c>
      <c r="AO32" s="137" t="str">
        <f t="shared" ref="AO32" si="63">IF(AM32="","",",INDEX(REPORT_FR2052a!$1:$1048576,0,"&amp;AO$2&amp;"),"&amp;IF(ISTEXT(AN32),CHAR(34),"")&amp;IF(AM32="is","",""&amp;"&lt;&gt;")&amp;AN32&amp;IF(ISTEXT(AN32),CHAR(34),""))</f>
        <v/>
      </c>
      <c r="AR32" s="137" t="str">
        <f t="shared" si="14"/>
        <v/>
      </c>
      <c r="AU32" s="137" t="str">
        <f t="shared" si="15"/>
        <v/>
      </c>
      <c r="BA32" s="137" t="s">
        <v>13</v>
      </c>
      <c r="BB32" s="137" t="str">
        <f>"=SUMIFS(INDEX(REPORT_FR2052a!$1:$1048576,0,"&amp;(MATCH(BA32,REPORT_FR2052a!$1:$1,0))&amp;")"</f>
        <v>=SUMIFS(INDEX(REPORT_FR2052a!$1:$1048576,0,14)</v>
      </c>
      <c r="BC32" s="137" t="str">
        <f t="shared" si="17"/>
        <v>=SUMIFS(INDEX(REPORT_FR2052a!$1:$1048576,0,14),INDEX(REPORT_FR2052a!$1:$1048576,0,44),"O.O.4",INDEX(REPORT_FR2052a!$1:$1048576,0,43),1,INDEX(REPORT_FR2052a!$1:$1048576,0,26),"Public Sector Entity")</v>
      </c>
      <c r="BD32" s="141">
        <f>SUMIFS(INDEX(REPORT_FR2052a!$1:$1048576,0,14),INDEX(REPORT_FR2052a!$1:$1048576,0,44),"O.O.4",INDEX(REPORT_FR2052a!$1:$1048576,0,43),1,INDEX(REPORT_FR2052a!$1:$1048576,0,26),"Public Sector Entity")</f>
        <v>108.94</v>
      </c>
      <c r="BE32" s="137" t="s">
        <v>331</v>
      </c>
      <c r="BF32" s="139" t="s">
        <v>47</v>
      </c>
      <c r="BG32" s="137" t="str">
        <f t="shared" ref="BG32" si="64">IF(BE32="","",",INDEX(REPORT_FR2052a!$1:$1048576,0,"&amp;BG$2&amp;"),"&amp;IF(ISTEXT(BF32),CHAR(34),"")&amp;IF(BE32="is","",""&amp;"&lt;&gt;")&amp;BF32&amp;IF(ISTEXT(BF32),CHAR(34),""))</f>
        <v>,INDEX(REPORT_FR2052a!$1:$1048576,0,5),"Bank of China - Combined US Branches and Agencies"</v>
      </c>
      <c r="BI32" s="137" t="str">
        <f t="shared" ref="BI32" si="65">LEFT(BC32,LEN(BC32)-1)&amp;BG32&amp;")"</f>
        <v>=SUMIFS(INDEX(REPORT_FR2052a!$1:$1048576,0,14),INDEX(REPORT_FR2052a!$1:$1048576,0,44),"O.O.4",INDEX(REPORT_FR2052a!$1:$1048576,0,43),1,INDEX(REPORT_FR2052a!$1:$1048576,0,26),"Public Sector Entity",INDEX(REPORT_FR2052a!$1:$1048576,0,5),"Bank of China - Combined US Branches and Agencies")</v>
      </c>
      <c r="BJ32" s="142">
        <f>SUMIFS(INDEX(REPORT_FR2052a!$1:$1048576,0,14),INDEX(REPORT_FR2052a!$1:$1048576,0,44),"O.O.4",INDEX(REPORT_FR2052a!$1:$1048576,0,43),1,INDEX(REPORT_FR2052a!$1:$1048576,0,26),"Public Sector Entity",INDEX(REPORT_FR2052a!$1:$1048576,0,5),"Bank of China - Combined US Branches and Agencies")</f>
        <v>108.94</v>
      </c>
      <c r="BK32" s="143">
        <f t="shared" ref="BK32" si="66">BD32-BJ32</f>
        <v>0</v>
      </c>
    </row>
    <row r="33" spans="1:63">
      <c r="A33" s="136">
        <v>23</v>
      </c>
      <c r="B33" s="137" t="str">
        <f>IFERROR(INDEX('LCR TYPE EXPLAIN'!B:B,MATCH(A33,'LCR TYPE EXPLAIN'!A:A,0)),"")</f>
        <v>Non-Financial Coporate Credit Facilities (§.32(e )(1)(iii))</v>
      </c>
      <c r="F33" s="137" t="s">
        <v>331</v>
      </c>
      <c r="G33" s="138" t="s">
        <v>388</v>
      </c>
      <c r="H33" s="137" t="str">
        <f t="shared" ref="H33" si="67">IF(F33="","",",INDEX(REPORT_FR2052a!$1:$1048576,0,"&amp;H$2&amp;"),"&amp;IF(ISTEXT(G33),CHAR(34),"")&amp;IF(F33="is","",""&amp;"&lt;&gt;")&amp;G33&amp;IF(ISTEXT(G33),CHAR(34),""))</f>
        <v>,INDEX(REPORT_FR2052a!$1:$1048576,0,44),"O.O.4"</v>
      </c>
      <c r="I33" s="137" t="s">
        <v>331</v>
      </c>
      <c r="J33" s="137">
        <v>1</v>
      </c>
      <c r="K33" s="137" t="str">
        <f t="shared" ref="K33" si="68">IF(I33="","",",INDEX(REPORT_FR2052a!$1:$1048576,0,"&amp;K$2&amp;"),"&amp;IF(ISTEXT(J33),CHAR(34),"")&amp;IF(I33="is","",""&amp;"&lt;&gt;")&amp;J33&amp;IF(ISTEXT(J33),CHAR(34),""))</f>
        <v>,INDEX(REPORT_FR2052a!$1:$1048576,0,43),1</v>
      </c>
      <c r="N33" s="137" t="str">
        <f t="shared" ref="N33" si="69">IF(L33="","",",INDEX(REPORT_FR2052a!$1:$1048576,0,"&amp;N$2&amp;"),"&amp;IF(ISTEXT(M33),CHAR(34),"")&amp;IF(L33="is","",""&amp;"&lt;&gt;")&amp;M33&amp;IF(ISTEXT(M33),CHAR(34),""))</f>
        <v/>
      </c>
      <c r="Q33" s="137" t="str">
        <f t="shared" ref="Q33" si="70">IF(O33="","",",INDEX(REPORT_FR2052a!$1:$1048576,0,"&amp;Q$2&amp;"),"&amp;IF(OR(ISTEXT(P33),ISBLANK(P33)),CHAR(34),"")&amp;IF(O33="is","",""&amp;"&lt;&gt;")&amp;P33&amp;IF(OR(ISTEXT(P33),ISBLANK(P33)),CHAR(34),""))</f>
        <v/>
      </c>
      <c r="T33" s="137" t="str">
        <f t="shared" ref="T33" si="71">IF(R33="","",",INDEX(REPORT_FR2052a!$1:$1048576,0,"&amp;T$2&amp;"),"&amp;IF(ISTEXT(S33),CHAR(34),"")&amp;IF(R33="is","",""&amp;"&lt;&gt;")&amp;S33&amp;IF(ISTEXT(S33),CHAR(34),""))</f>
        <v/>
      </c>
      <c r="V33" s="139"/>
      <c r="W33" s="137" t="str">
        <f t="shared" ref="W33" si="72">IF(U33="","",",INDEX(REPORT_FR2052a!$1:$1048576,0,"&amp;W$2&amp;"),"&amp;IF(ISTEXT(V33),CHAR(34),"")&amp;IF(U33="is","",""&amp;"&lt;&gt;")&amp;V33&amp;IF(ISTEXT(V33),CHAR(34),""))</f>
        <v/>
      </c>
      <c r="Y33" s="139"/>
      <c r="Z33" s="137" t="str">
        <f t="shared" ref="Z33" si="73">IF(X33="","",",INDEX(REPORT_FR2052a!$1:$1048576,0,"&amp;Z$2&amp;"),"&amp;IF(ISTEXT(Y33),CHAR(34),"")&amp;IF(X33="is","",""&amp;"&lt;&gt;")&amp;Y33&amp;IF(ISTEXT(Y33),CHAR(34),""))</f>
        <v/>
      </c>
      <c r="AB33" s="139"/>
      <c r="AC33" s="137" t="str">
        <f t="shared" ref="AC33" si="74">IF(AA33="","",",INDEX(REPORT_FR2052a!$1:$1048576,0,"&amp;AC$2&amp;"),"&amp;IF(ISTEXT(AB33),CHAR(34),"")&amp;IF(AA33="is","",""&amp;"&lt;&gt;")&amp;AB33&amp;IF(ISTEXT(AB33),CHAR(34),""))</f>
        <v/>
      </c>
      <c r="AD33" s="137" t="s">
        <v>331</v>
      </c>
      <c r="AE33" s="140" t="s">
        <v>158</v>
      </c>
      <c r="AF33" s="137" t="str">
        <f t="shared" ref="AF33" si="75">IF(AD33="","",",INDEX(REPORT_FR2052a!$1:$1048576,0,"&amp;AF$2&amp;"),"&amp;IF(ISTEXT(AE33),CHAR(34),"")&amp;IF(AD33="is","",""&amp;"&lt;&gt;")&amp;AE33&amp;IF(ISTEXT(AE33),CHAR(34),""))</f>
        <v>,INDEX(REPORT_FR2052a!$1:$1048576,0,26),"Central Bank"</v>
      </c>
      <c r="AH33" s="139"/>
      <c r="AI33" s="137" t="str">
        <f t="shared" ref="AI33" si="76">IF(AG33="","",",INDEX(REPORT_FR2052a!$1:$1048576,0,"&amp;AI$2&amp;"),"&amp;IF(ISTEXT(AH33),CHAR(34),"")&amp;IF(AG33="is","",""&amp;"&lt;&gt;")&amp;AH33&amp;IF(ISTEXT(AH33),CHAR(34),""))</f>
        <v/>
      </c>
      <c r="AK33" s="139"/>
      <c r="AL33" s="137" t="str">
        <f t="shared" ref="AL33" si="77">IF(AJ33="","",",INDEX(REPORT_FR2052a!$1:$1048576,0,"&amp;AL$2&amp;"),"&amp;IF(ISTEXT(AK33),CHAR(34),"")&amp;IF(AJ33="is","",""&amp;"&lt;&gt;")&amp;AK33&amp;IF(ISTEXT(AK33),CHAR(34),""))</f>
        <v/>
      </c>
      <c r="AO33" s="137" t="str">
        <f t="shared" ref="AO33" si="78">IF(AM33="","",",INDEX(REPORT_FR2052a!$1:$1048576,0,"&amp;AO$2&amp;"),"&amp;IF(ISTEXT(AN33),CHAR(34),"")&amp;IF(AM33="is","",""&amp;"&lt;&gt;")&amp;AN33&amp;IF(ISTEXT(AN33),CHAR(34),""))</f>
        <v/>
      </c>
      <c r="AR33" s="137" t="str">
        <f t="shared" ref="AR33" si="79">IF(AP33="","",",INDEX(REPORT_FR2052a!$1:$1048576,0,"&amp;AR$2&amp;"),"&amp;IF(ISTEXT(AQ33),CHAR(34),"")&amp;IF(AP33="is","",""&amp;"&lt;&gt;")&amp;AQ33&amp;IF(ISTEXT(AQ33),CHAR(34),""))</f>
        <v/>
      </c>
      <c r="AU33" s="137" t="str">
        <f t="shared" ref="AU33" si="80">IF(AS33="","",",INDEX(REPORT_FR2052a!$1:$1048576,0,"&amp;AU$2&amp;"),"&amp;IF(ISTEXT(AT33),CHAR(34),"")&amp;IF(AS33="is","",""&amp;"&lt;&gt;")&amp;AT33&amp;IF(ISTEXT(AT33),CHAR(34),""))</f>
        <v/>
      </c>
      <c r="BA33" s="137" t="s">
        <v>13</v>
      </c>
      <c r="BB33" s="137" t="str">
        <f>"=SUMIFS(INDEX(REPORT_FR2052a!$1:$1048576,0,"&amp;(MATCH(BA33,REPORT_FR2052a!$1:$1,0))&amp;")"</f>
        <v>=SUMIFS(INDEX(REPORT_FR2052a!$1:$1048576,0,14)</v>
      </c>
      <c r="BC33" s="137" t="str">
        <f t="shared" si="17"/>
        <v>=SUMIFS(INDEX(REPORT_FR2052a!$1:$1048576,0,14),INDEX(REPORT_FR2052a!$1:$1048576,0,44),"O.O.4",INDEX(REPORT_FR2052a!$1:$1048576,0,43),1,INDEX(REPORT_FR2052a!$1:$1048576,0,26),"Central Bank")</v>
      </c>
      <c r="BD33" s="141">
        <f>SUMIFS(INDEX(REPORT_FR2052a!$1:$1048576,0,14),INDEX(REPORT_FR2052a!$1:$1048576,0,44),"O.O.4",INDEX(REPORT_FR2052a!$1:$1048576,0,43),1,INDEX(REPORT_FR2052a!$1:$1048576,0,26),"Central Bank")</f>
        <v>0</v>
      </c>
      <c r="BE33" s="137" t="s">
        <v>331</v>
      </c>
      <c r="BF33" s="139" t="s">
        <v>47</v>
      </c>
      <c r="BG33" s="137" t="str">
        <f t="shared" ref="BG33" si="81">IF(BE33="","",",INDEX(REPORT_FR2052a!$1:$1048576,0,"&amp;BG$2&amp;"),"&amp;IF(ISTEXT(BF33),CHAR(34),"")&amp;IF(BE33="is","",""&amp;"&lt;&gt;")&amp;BF33&amp;IF(ISTEXT(BF33),CHAR(34),""))</f>
        <v>,INDEX(REPORT_FR2052a!$1:$1048576,0,5),"Bank of China - Combined US Branches and Agencies"</v>
      </c>
      <c r="BI33" s="137" t="str">
        <f t="shared" ref="BI33" si="82">LEFT(BC33,LEN(BC33)-1)&amp;BG33&amp;")"</f>
        <v>=SUMIFS(INDEX(REPORT_FR2052a!$1:$1048576,0,14),INDEX(REPORT_FR2052a!$1:$1048576,0,44),"O.O.4",INDEX(REPORT_FR2052a!$1:$1048576,0,43),1,INDEX(REPORT_FR2052a!$1:$1048576,0,26),"Central Bank",INDEX(REPORT_FR2052a!$1:$1048576,0,5),"Bank of China - Combined US Branches and Agencies")</v>
      </c>
      <c r="BJ33" s="142">
        <f>SUMIFS(INDEX(REPORT_FR2052a!$1:$1048576,0,14),INDEX(REPORT_FR2052a!$1:$1048576,0,44),"O.O.4",INDEX(REPORT_FR2052a!$1:$1048576,0,43),1,INDEX(REPORT_FR2052a!$1:$1048576,0,26),"Central Bank",INDEX(REPORT_FR2052a!$1:$1048576,0,5),"Bank of China - Combined US Branches and Agencies")</f>
        <v>0</v>
      </c>
      <c r="BK33" s="143">
        <f t="shared" ref="BK33" si="83">BD33-BJ33</f>
        <v>0</v>
      </c>
    </row>
    <row r="34" spans="1:63">
      <c r="A34" s="136">
        <v>24</v>
      </c>
      <c r="B34" s="137" t="str">
        <f>IFERROR(INDEX('LCR TYPE EXPLAIN'!B:B,MATCH(A34,'LCR TYPE EXPLAIN'!A:A,0)),"")</f>
        <v>Non-Financial Coporate Liquidity Facilities (§.32(e )(1)(iv))</v>
      </c>
      <c r="F34" s="137" t="s">
        <v>331</v>
      </c>
      <c r="G34" s="138" t="s">
        <v>391</v>
      </c>
      <c r="H34" s="137" t="str">
        <f t="shared" si="0"/>
        <v>,INDEX(REPORT_FR2052a!$1:$1048576,0,44),"O.O.5"</v>
      </c>
      <c r="I34" s="137" t="s">
        <v>331</v>
      </c>
      <c r="J34" s="137">
        <v>1</v>
      </c>
      <c r="K34" s="137" t="str">
        <f t="shared" si="1"/>
        <v>,INDEX(REPORT_FR2052a!$1:$1048576,0,43),1</v>
      </c>
      <c r="N34" s="137" t="str">
        <f t="shared" si="2"/>
        <v/>
      </c>
      <c r="Q34" s="137" t="str">
        <f t="shared" si="3"/>
        <v/>
      </c>
      <c r="T34" s="137" t="str">
        <f t="shared" si="4"/>
        <v/>
      </c>
      <c r="V34" s="139"/>
      <c r="W34" s="137" t="str">
        <f t="shared" si="5"/>
        <v/>
      </c>
      <c r="Y34" s="139"/>
      <c r="Z34" s="137" t="str">
        <f t="shared" si="6"/>
        <v/>
      </c>
      <c r="AB34" s="139"/>
      <c r="AC34" s="137" t="str">
        <f t="shared" si="7"/>
        <v/>
      </c>
      <c r="AD34" s="137" t="s">
        <v>331</v>
      </c>
      <c r="AE34" s="140" t="s">
        <v>84</v>
      </c>
      <c r="AF34" s="137" t="str">
        <f t="shared" si="8"/>
        <v>,INDEX(REPORT_FR2052a!$1:$1048576,0,26),"Non-Financial Corporate"</v>
      </c>
      <c r="AH34" s="139"/>
      <c r="AI34" s="137" t="str">
        <f t="shared" si="9"/>
        <v/>
      </c>
      <c r="AK34" s="139"/>
      <c r="AL34" s="137" t="str">
        <f t="shared" si="10"/>
        <v/>
      </c>
      <c r="AO34" s="137" t="str">
        <f t="shared" si="11"/>
        <v/>
      </c>
      <c r="AR34" s="137" t="str">
        <f t="shared" si="14"/>
        <v/>
      </c>
      <c r="AU34" s="137" t="str">
        <f t="shared" si="15"/>
        <v/>
      </c>
      <c r="BA34" s="137" t="s">
        <v>13</v>
      </c>
      <c r="BB34" s="137" t="str">
        <f>"=SUMIFS(INDEX(REPORT_FR2052a!$1:$1048576,0,"&amp;(MATCH(BA34,REPORT_FR2052a!$1:$1,0))&amp;")"</f>
        <v>=SUMIFS(INDEX(REPORT_FR2052a!$1:$1048576,0,14)</v>
      </c>
      <c r="BC34" s="137" t="str">
        <f t="shared" si="17"/>
        <v>=SUMIFS(INDEX(REPORT_FR2052a!$1:$1048576,0,14),INDEX(REPORT_FR2052a!$1:$1048576,0,44),"O.O.5",INDEX(REPORT_FR2052a!$1:$1048576,0,43),1,INDEX(REPORT_FR2052a!$1:$1048576,0,26),"Non-Financial Corporate")</v>
      </c>
      <c r="BD34" s="141">
        <f>SUMIFS(INDEX(REPORT_FR2052a!$1:$1048576,0,14),INDEX(REPORT_FR2052a!$1:$1048576,0,44),"O.O.5",INDEX(REPORT_FR2052a!$1:$1048576,0,43),1,INDEX(REPORT_FR2052a!$1:$1048576,0,26),"Non-Financial Corporate")</f>
        <v>560</v>
      </c>
      <c r="BE34" s="137" t="s">
        <v>331</v>
      </c>
      <c r="BF34" s="139" t="s">
        <v>47</v>
      </c>
      <c r="BG34" s="137" t="str">
        <f t="shared" si="13"/>
        <v>,INDEX(REPORT_FR2052a!$1:$1048576,0,5),"Bank of China - Combined US Branches and Agencies"</v>
      </c>
      <c r="BI34" s="137" t="str">
        <f t="shared" si="18"/>
        <v>=SUMIFS(INDEX(REPORT_FR2052a!$1:$1048576,0,14),INDEX(REPORT_FR2052a!$1:$1048576,0,44),"O.O.5",INDEX(REPORT_FR2052a!$1:$1048576,0,43),1,INDEX(REPORT_FR2052a!$1:$1048576,0,26),"Non-Financial Corporate",INDEX(REPORT_FR2052a!$1:$1048576,0,5),"Bank of China - Combined US Branches and Agencies")</v>
      </c>
      <c r="BJ34" s="142">
        <f>SUMIFS(INDEX(REPORT_FR2052a!$1:$1048576,0,14),INDEX(REPORT_FR2052a!$1:$1048576,0,44),"O.O.5",INDEX(REPORT_FR2052a!$1:$1048576,0,43),1,INDEX(REPORT_FR2052a!$1:$1048576,0,26),"Non-Financial Corporate",INDEX(REPORT_FR2052a!$1:$1048576,0,5),"Bank of China - Combined US Branches and Agencies")</f>
        <v>560</v>
      </c>
      <c r="BK34" s="143">
        <f t="shared" si="19"/>
        <v>0</v>
      </c>
    </row>
    <row r="35" spans="1:63">
      <c r="A35" s="136">
        <v>24</v>
      </c>
      <c r="B35" s="137" t="str">
        <f>IFERROR(INDEX('LCR TYPE EXPLAIN'!B:B,MATCH(A35,'LCR TYPE EXPLAIN'!A:A,0)),"")</f>
        <v>Non-Financial Coporate Liquidity Facilities (§.32(e )(1)(iv))</v>
      </c>
      <c r="F35" s="137" t="s">
        <v>331</v>
      </c>
      <c r="G35" s="138" t="s">
        <v>391</v>
      </c>
      <c r="H35" s="137" t="str">
        <f t="shared" si="0"/>
        <v>,INDEX(REPORT_FR2052a!$1:$1048576,0,44),"O.O.5"</v>
      </c>
      <c r="I35" s="137" t="s">
        <v>331</v>
      </c>
      <c r="J35" s="137">
        <v>1</v>
      </c>
      <c r="K35" s="137" t="str">
        <f t="shared" ref="K35:K36" si="84">IF(I35="","",",INDEX(REPORT_FR2052a!$1:$1048576,0,"&amp;K$2&amp;"),"&amp;IF(ISTEXT(J35),CHAR(34),"")&amp;IF(I35="is","",""&amp;"&lt;&gt;")&amp;J35&amp;IF(ISTEXT(J35),CHAR(34),""))</f>
        <v>,INDEX(REPORT_FR2052a!$1:$1048576,0,43),1</v>
      </c>
      <c r="N35" s="137" t="str">
        <f t="shared" ref="N35:N36" si="85">IF(L35="","",",INDEX(REPORT_FR2052a!$1:$1048576,0,"&amp;N$2&amp;"),"&amp;IF(ISTEXT(M35),CHAR(34),"")&amp;IF(L35="is","",""&amp;"&lt;&gt;")&amp;M35&amp;IF(ISTEXT(M35),CHAR(34),""))</f>
        <v/>
      </c>
      <c r="Q35" s="137" t="str">
        <f t="shared" ref="Q35:Q36" si="86">IF(O35="","",",INDEX(REPORT_FR2052a!$1:$1048576,0,"&amp;Q$2&amp;"),"&amp;IF(OR(ISTEXT(P35),ISBLANK(P35)),CHAR(34),"")&amp;IF(O35="is","",""&amp;"&lt;&gt;")&amp;P35&amp;IF(OR(ISTEXT(P35),ISBLANK(P35)),CHAR(34),""))</f>
        <v/>
      </c>
      <c r="T35" s="137" t="str">
        <f t="shared" ref="T35:T36" si="87">IF(R35="","",",INDEX(REPORT_FR2052a!$1:$1048576,0,"&amp;T$2&amp;"),"&amp;IF(ISTEXT(S35),CHAR(34),"")&amp;IF(R35="is","",""&amp;"&lt;&gt;")&amp;S35&amp;IF(ISTEXT(S35),CHAR(34),""))</f>
        <v/>
      </c>
      <c r="V35" s="139"/>
      <c r="W35" s="137" t="str">
        <f t="shared" ref="W35:W36" si="88">IF(U35="","",",INDEX(REPORT_FR2052a!$1:$1048576,0,"&amp;W$2&amp;"),"&amp;IF(ISTEXT(V35),CHAR(34),"")&amp;IF(U35="is","",""&amp;"&lt;&gt;")&amp;V35&amp;IF(ISTEXT(V35),CHAR(34),""))</f>
        <v/>
      </c>
      <c r="Y35" s="139"/>
      <c r="Z35" s="137" t="str">
        <f t="shared" ref="Z35:Z36" si="89">IF(X35="","",",INDEX(REPORT_FR2052a!$1:$1048576,0,"&amp;Z$2&amp;"),"&amp;IF(ISTEXT(Y35),CHAR(34),"")&amp;IF(X35="is","",""&amp;"&lt;&gt;")&amp;Y35&amp;IF(ISTEXT(Y35),CHAR(34),""))</f>
        <v/>
      </c>
      <c r="AB35" s="139"/>
      <c r="AC35" s="137" t="str">
        <f t="shared" ref="AC35:AC36" si="90">IF(AA35="","",",INDEX(REPORT_FR2052a!$1:$1048576,0,"&amp;AC$2&amp;"),"&amp;IF(ISTEXT(AB35),CHAR(34),"")&amp;IF(AA35="is","",""&amp;"&lt;&gt;")&amp;AB35&amp;IF(ISTEXT(AB35),CHAR(34),""))</f>
        <v/>
      </c>
      <c r="AD35" s="137" t="s">
        <v>331</v>
      </c>
      <c r="AE35" s="140" t="s">
        <v>162</v>
      </c>
      <c r="AF35" s="137" t="str">
        <f t="shared" ref="AF35:AF36" si="91">IF(AD35="","",",INDEX(REPORT_FR2052a!$1:$1048576,0,"&amp;AF$2&amp;"),"&amp;IF(ISTEXT(AE35),CHAR(34),"")&amp;IF(AD35="is","",""&amp;"&lt;&gt;")&amp;AE35&amp;IF(ISTEXT(AE35),CHAR(34),""))</f>
        <v>,INDEX(REPORT_FR2052a!$1:$1048576,0,26),"Sovereign"</v>
      </c>
      <c r="AH35" s="139"/>
      <c r="AI35" s="137" t="str">
        <f t="shared" ref="AI35:AI36" si="92">IF(AG35="","",",INDEX(REPORT_FR2052a!$1:$1048576,0,"&amp;AI$2&amp;"),"&amp;IF(ISTEXT(AH35),CHAR(34),"")&amp;IF(AG35="is","",""&amp;"&lt;&gt;")&amp;AH35&amp;IF(ISTEXT(AH35),CHAR(34),""))</f>
        <v/>
      </c>
      <c r="AK35" s="139"/>
      <c r="AL35" s="137" t="str">
        <f t="shared" ref="AL35:AL36" si="93">IF(AJ35="","",",INDEX(REPORT_FR2052a!$1:$1048576,0,"&amp;AL$2&amp;"),"&amp;IF(ISTEXT(AK35),CHAR(34),"")&amp;IF(AJ35="is","",""&amp;"&lt;&gt;")&amp;AK35&amp;IF(ISTEXT(AK35),CHAR(34),""))</f>
        <v/>
      </c>
      <c r="AO35" s="137" t="str">
        <f t="shared" ref="AO35:AO36" si="94">IF(AM35="","",",INDEX(REPORT_FR2052a!$1:$1048576,0,"&amp;AO$2&amp;"),"&amp;IF(ISTEXT(AN35),CHAR(34),"")&amp;IF(AM35="is","",""&amp;"&lt;&gt;")&amp;AN35&amp;IF(ISTEXT(AN35),CHAR(34),""))</f>
        <v/>
      </c>
      <c r="AR35" s="137" t="str">
        <f t="shared" si="14"/>
        <v/>
      </c>
      <c r="AU35" s="137" t="str">
        <f t="shared" si="15"/>
        <v/>
      </c>
      <c r="BA35" s="137" t="s">
        <v>13</v>
      </c>
      <c r="BB35" s="137" t="str">
        <f>"=SUMIFS(INDEX(REPORT_FR2052a!$1:$1048576,0,"&amp;(MATCH(BA35,REPORT_FR2052a!$1:$1,0))&amp;")"</f>
        <v>=SUMIFS(INDEX(REPORT_FR2052a!$1:$1048576,0,14)</v>
      </c>
      <c r="BC35" s="137" t="str">
        <f t="shared" si="17"/>
        <v>=SUMIFS(INDEX(REPORT_FR2052a!$1:$1048576,0,14),INDEX(REPORT_FR2052a!$1:$1048576,0,44),"O.O.5",INDEX(REPORT_FR2052a!$1:$1048576,0,43),1,INDEX(REPORT_FR2052a!$1:$1048576,0,26),"Sovereign")</v>
      </c>
      <c r="BD35" s="141">
        <f>SUMIFS(INDEX(REPORT_FR2052a!$1:$1048576,0,14),INDEX(REPORT_FR2052a!$1:$1048576,0,44),"O.O.5",INDEX(REPORT_FR2052a!$1:$1048576,0,43),1,INDEX(REPORT_FR2052a!$1:$1048576,0,26),"Sovereign")</f>
        <v>0</v>
      </c>
      <c r="BE35" s="137" t="s">
        <v>331</v>
      </c>
      <c r="BF35" s="139" t="s">
        <v>47</v>
      </c>
      <c r="BG35" s="137" t="str">
        <f t="shared" ref="BG35:BG36" si="95">IF(BE35="","",",INDEX(REPORT_FR2052a!$1:$1048576,0,"&amp;BG$2&amp;"),"&amp;IF(ISTEXT(BF35),CHAR(34),"")&amp;IF(BE35="is","",""&amp;"&lt;&gt;")&amp;BF35&amp;IF(ISTEXT(BF35),CHAR(34),""))</f>
        <v>,INDEX(REPORT_FR2052a!$1:$1048576,0,5),"Bank of China - Combined US Branches and Agencies"</v>
      </c>
      <c r="BI35" s="137" t="str">
        <f t="shared" ref="BI35:BI36" si="96">LEFT(BC35,LEN(BC35)-1)&amp;BG35&amp;")"</f>
        <v>=SUMIFS(INDEX(REPORT_FR2052a!$1:$1048576,0,14),INDEX(REPORT_FR2052a!$1:$1048576,0,44),"O.O.5",INDEX(REPORT_FR2052a!$1:$1048576,0,43),1,INDEX(REPORT_FR2052a!$1:$1048576,0,26),"Sovereign",INDEX(REPORT_FR2052a!$1:$1048576,0,5),"Bank of China - Combined US Branches and Agencies")</v>
      </c>
      <c r="BJ35" s="142">
        <f>SUMIFS(INDEX(REPORT_FR2052a!$1:$1048576,0,14),INDEX(REPORT_FR2052a!$1:$1048576,0,44),"O.O.5",INDEX(REPORT_FR2052a!$1:$1048576,0,43),1,INDEX(REPORT_FR2052a!$1:$1048576,0,26),"Sovereign",INDEX(REPORT_FR2052a!$1:$1048576,0,5),"Bank of China - Combined US Branches and Agencies")</f>
        <v>0</v>
      </c>
      <c r="BK35" s="143">
        <f t="shared" ref="BK35:BK36" si="97">BD35-BJ35</f>
        <v>0</v>
      </c>
    </row>
    <row r="36" spans="1:63">
      <c r="A36" s="136">
        <v>24</v>
      </c>
      <c r="B36" s="137" t="str">
        <f>IFERROR(INDEX('LCR TYPE EXPLAIN'!B:B,MATCH(A36,'LCR TYPE EXPLAIN'!A:A,0)),"")</f>
        <v>Non-Financial Coporate Liquidity Facilities (§.32(e )(1)(iv))</v>
      </c>
      <c r="F36" s="137" t="s">
        <v>331</v>
      </c>
      <c r="G36" s="138" t="s">
        <v>391</v>
      </c>
      <c r="H36" s="137" t="str">
        <f t="shared" si="0"/>
        <v>,INDEX(REPORT_FR2052a!$1:$1048576,0,44),"O.O.5"</v>
      </c>
      <c r="I36" s="137" t="s">
        <v>331</v>
      </c>
      <c r="J36" s="137">
        <v>1</v>
      </c>
      <c r="K36" s="137" t="str">
        <f t="shared" si="84"/>
        <v>,INDEX(REPORT_FR2052a!$1:$1048576,0,43),1</v>
      </c>
      <c r="N36" s="137" t="str">
        <f t="shared" si="85"/>
        <v/>
      </c>
      <c r="Q36" s="137" t="str">
        <f t="shared" si="86"/>
        <v/>
      </c>
      <c r="T36" s="137" t="str">
        <f t="shared" si="87"/>
        <v/>
      </c>
      <c r="V36" s="139"/>
      <c r="W36" s="137" t="str">
        <f t="shared" si="88"/>
        <v/>
      </c>
      <c r="Y36" s="139"/>
      <c r="Z36" s="137" t="str">
        <f t="shared" si="89"/>
        <v/>
      </c>
      <c r="AB36" s="139"/>
      <c r="AC36" s="137" t="str">
        <f t="shared" si="90"/>
        <v/>
      </c>
      <c r="AD36" s="137" t="s">
        <v>331</v>
      </c>
      <c r="AE36" s="140" t="s">
        <v>158</v>
      </c>
      <c r="AF36" s="137" t="str">
        <f t="shared" si="91"/>
        <v>,INDEX(REPORT_FR2052a!$1:$1048576,0,26),"Central Bank"</v>
      </c>
      <c r="AH36" s="139"/>
      <c r="AI36" s="137" t="str">
        <f t="shared" si="92"/>
        <v/>
      </c>
      <c r="AK36" s="139"/>
      <c r="AL36" s="137" t="str">
        <f t="shared" si="93"/>
        <v/>
      </c>
      <c r="AO36" s="137" t="str">
        <f t="shared" si="94"/>
        <v/>
      </c>
      <c r="AR36" s="137" t="str">
        <f t="shared" si="14"/>
        <v/>
      </c>
      <c r="AU36" s="137" t="str">
        <f t="shared" si="15"/>
        <v/>
      </c>
      <c r="BA36" s="137" t="s">
        <v>13</v>
      </c>
      <c r="BB36" s="137" t="str">
        <f>"=SUMIFS(INDEX(REPORT_FR2052a!$1:$1048576,0,"&amp;(MATCH(BA36,REPORT_FR2052a!$1:$1,0))&amp;")"</f>
        <v>=SUMIFS(INDEX(REPORT_FR2052a!$1:$1048576,0,14)</v>
      </c>
      <c r="BC36" s="137" t="str">
        <f t="shared" si="17"/>
        <v>=SUMIFS(INDEX(REPORT_FR2052a!$1:$1048576,0,14),INDEX(REPORT_FR2052a!$1:$1048576,0,44),"O.O.5",INDEX(REPORT_FR2052a!$1:$1048576,0,43),1,INDEX(REPORT_FR2052a!$1:$1048576,0,26),"Central Bank")</v>
      </c>
      <c r="BD36" s="141">
        <f>SUMIFS(INDEX(REPORT_FR2052a!$1:$1048576,0,14),INDEX(REPORT_FR2052a!$1:$1048576,0,44),"O.O.5",INDEX(REPORT_FR2052a!$1:$1048576,0,43),1,INDEX(REPORT_FR2052a!$1:$1048576,0,26),"Central Bank")</f>
        <v>0</v>
      </c>
      <c r="BE36" s="137" t="s">
        <v>331</v>
      </c>
      <c r="BF36" s="139" t="s">
        <v>47</v>
      </c>
      <c r="BG36" s="137" t="str">
        <f t="shared" si="95"/>
        <v>,INDEX(REPORT_FR2052a!$1:$1048576,0,5),"Bank of China - Combined US Branches and Agencies"</v>
      </c>
      <c r="BI36" s="137" t="str">
        <f t="shared" si="96"/>
        <v>=SUMIFS(INDEX(REPORT_FR2052a!$1:$1048576,0,14),INDEX(REPORT_FR2052a!$1:$1048576,0,44),"O.O.5",INDEX(REPORT_FR2052a!$1:$1048576,0,43),1,INDEX(REPORT_FR2052a!$1:$1048576,0,26),"Central Bank",INDEX(REPORT_FR2052a!$1:$1048576,0,5),"Bank of China - Combined US Branches and Agencies")</v>
      </c>
      <c r="BJ36" s="142">
        <f>SUMIFS(INDEX(REPORT_FR2052a!$1:$1048576,0,14),INDEX(REPORT_FR2052a!$1:$1048576,0,44),"O.O.5",INDEX(REPORT_FR2052a!$1:$1048576,0,43),1,INDEX(REPORT_FR2052a!$1:$1048576,0,26),"Central Bank",INDEX(REPORT_FR2052a!$1:$1048576,0,5),"Bank of China - Combined US Branches and Agencies")</f>
        <v>0</v>
      </c>
      <c r="BK36" s="143">
        <f t="shared" si="97"/>
        <v>0</v>
      </c>
    </row>
    <row r="37" spans="1:63">
      <c r="A37" s="136">
        <v>25</v>
      </c>
      <c r="B37" s="137" t="str">
        <f>IFERROR(INDEX('LCR TYPE EXPLAIN'!B:B,MATCH(A37,'LCR TYPE EXPLAIN'!A:A,0)),"")</f>
        <v>Bank Commitments (§.32(e )(1)(v))</v>
      </c>
      <c r="C37" s="137" t="s">
        <v>392</v>
      </c>
      <c r="F37" s="137" t="s">
        <v>331</v>
      </c>
      <c r="G37" s="138" t="s">
        <v>388</v>
      </c>
      <c r="H37" s="137" t="str">
        <f t="shared" si="0"/>
        <v>,INDEX(REPORT_FR2052a!$1:$1048576,0,44),"O.O.4"</v>
      </c>
      <c r="I37" s="137" t="s">
        <v>331</v>
      </c>
      <c r="J37" s="137">
        <v>1</v>
      </c>
      <c r="K37" s="137" t="str">
        <f t="shared" si="1"/>
        <v>,INDEX(REPORT_FR2052a!$1:$1048576,0,43),1</v>
      </c>
      <c r="N37" s="137" t="str">
        <f t="shared" si="2"/>
        <v/>
      </c>
      <c r="Q37" s="137" t="str">
        <f t="shared" si="3"/>
        <v/>
      </c>
      <c r="T37" s="137" t="str">
        <f t="shared" si="4"/>
        <v/>
      </c>
      <c r="V37" s="139"/>
      <c r="W37" s="137" t="str">
        <f t="shared" si="5"/>
        <v/>
      </c>
      <c r="Y37" s="139"/>
      <c r="Z37" s="137" t="str">
        <f t="shared" si="6"/>
        <v/>
      </c>
      <c r="AB37" s="139"/>
      <c r="AC37" s="137" t="str">
        <f t="shared" si="7"/>
        <v/>
      </c>
      <c r="AD37" s="137" t="s">
        <v>331</v>
      </c>
      <c r="AE37" s="140" t="s">
        <v>759</v>
      </c>
      <c r="AF37" s="137" t="str">
        <f t="shared" si="8"/>
        <v>,INDEX(REPORT_FR2052a!$1:$1048576,0,26),"Bank"</v>
      </c>
      <c r="AG37" s="137" t="s">
        <v>331</v>
      </c>
      <c r="AH37" s="139">
        <v>1</v>
      </c>
      <c r="AI37" s="137" t="str">
        <f t="shared" si="9"/>
        <v>,INDEX(REPORT_FR2052a!$1:$1048576,0,45),1</v>
      </c>
      <c r="AK37" s="139"/>
      <c r="AL37" s="137" t="str">
        <f t="shared" si="10"/>
        <v/>
      </c>
      <c r="AO37" s="137" t="str">
        <f t="shared" si="11"/>
        <v/>
      </c>
      <c r="AP37" s="137" t="s">
        <v>332</v>
      </c>
      <c r="AQ37" s="137" t="s">
        <v>163</v>
      </c>
      <c r="AR37" s="137" t="str">
        <f t="shared" si="14"/>
        <v>,INDEX(REPORT_FR2052a!$1:$1048576,0,28),"&lt;&gt;Bank of China - All Other US Operations"</v>
      </c>
      <c r="AU37" s="137" t="str">
        <f t="shared" si="15"/>
        <v/>
      </c>
      <c r="BA37" s="137" t="s">
        <v>13</v>
      </c>
      <c r="BB37" s="137" t="str">
        <f>"=SUMIFS(INDEX(REPORT_FR2052a!$1:$1048576,0,"&amp;(MATCH(BA37,REPORT_FR2052a!$1:$1,0))&amp;")"</f>
        <v>=SUMIFS(INDEX(REPORT_FR2052a!$1:$1048576,0,14)</v>
      </c>
      <c r="BC37" s="137" t="str">
        <f t="shared" si="17"/>
        <v>=SUMIFS(INDEX(REPORT_FR2052a!$1:$1048576,0,14),INDEX(REPORT_FR2052a!$1:$1048576,0,44),"O.O.4",INDEX(REPORT_FR2052a!$1:$1048576,0,43),1,INDEX(REPORT_FR2052a!$1:$1048576,0,26),"Bank",INDEX(REPORT_FR2052a!$1:$1048576,0,45),1,INDEX(REPORT_FR2052a!$1:$1048576,0,28),"&lt;&gt;Bank of China - All Other US Operations")</v>
      </c>
      <c r="BD37" s="141">
        <f>SUMIFS(INDEX(REPORT_FR2052a!$1:$1048576,0,14),INDEX(REPORT_FR2052a!$1:$1048576,0,44),"O.O.4",INDEX(REPORT_FR2052a!$1:$1048576,0,43),1,INDEX(REPORT_FR2052a!$1:$1048576,0,26),"Bank",INDEX(REPORT_FR2052a!$1:$1048576,0,45),1,INDEX(REPORT_FR2052a!$1:$1048576,0,28),"&lt;&gt;Bank of China - All Other US Operations")</f>
        <v>0</v>
      </c>
      <c r="BE37" s="137" t="s">
        <v>331</v>
      </c>
      <c r="BF37" s="139" t="s">
        <v>47</v>
      </c>
      <c r="BG37" s="137" t="str">
        <f t="shared" si="13"/>
        <v>,INDEX(REPORT_FR2052a!$1:$1048576,0,5),"Bank of China - Combined US Branches and Agencies"</v>
      </c>
      <c r="BI37" s="137" t="str">
        <f t="shared" si="18"/>
        <v>=SUMIFS(INDEX(REPORT_FR2052a!$1:$1048576,0,14),INDEX(REPORT_FR2052a!$1:$1048576,0,44),"O.O.4",INDEX(REPORT_FR2052a!$1:$1048576,0,43),1,INDEX(REPORT_FR2052a!$1:$1048576,0,26),"Bank",INDEX(REPORT_FR2052a!$1:$1048576,0,45),1,INDEX(REPORT_FR2052a!$1:$1048576,0,28),"&lt;&gt;Bank of China - All Other US Operations",INDEX(REPORT_FR2052a!$1:$1048576,0,5),"Bank of China - Combined US Branches and Agencies")</v>
      </c>
      <c r="BJ37" s="142">
        <f>SUMIFS(INDEX(REPORT_FR2052a!$1:$1048576,0,14),INDEX(REPORT_FR2052a!$1:$1048576,0,44),"O.O.4",INDEX(REPORT_FR2052a!$1:$1048576,0,43),1,INDEX(REPORT_FR2052a!$1:$1048576,0,26),"Bank",INDEX(REPORT_FR2052a!$1:$1048576,0,45),1,INDEX(REPORT_FR2052a!$1:$1048576,0,28),"&lt;&gt;Bank of China - All Other US Operations",INDEX(REPORT_FR2052a!$1:$1048576,0,5),"Bank of China - Combined US Branches and Agencies")</f>
        <v>0</v>
      </c>
      <c r="BK37" s="143">
        <f t="shared" si="19"/>
        <v>0</v>
      </c>
    </row>
    <row r="38" spans="1:63">
      <c r="A38" s="136">
        <v>25</v>
      </c>
      <c r="B38" s="137" t="str">
        <f>IFERROR(INDEX('LCR TYPE EXPLAIN'!B:B,MATCH(A38,'LCR TYPE EXPLAIN'!A:A,0)),"")</f>
        <v>Bank Commitments (§.32(e )(1)(v))</v>
      </c>
      <c r="C38" s="137" t="s">
        <v>392</v>
      </c>
      <c r="F38" s="137" t="s">
        <v>331</v>
      </c>
      <c r="G38" s="138" t="s">
        <v>391</v>
      </c>
      <c r="H38" s="137" t="str">
        <f t="shared" ref="H38:H69" si="98">IF(F38="","",",INDEX(REPORT_FR2052a!$1:$1048576,0,"&amp;H$2&amp;"),"&amp;IF(ISTEXT(G38),CHAR(34),"")&amp;IF(F38="is","",""&amp;"&lt;&gt;")&amp;G38&amp;IF(ISTEXT(G38),CHAR(34),""))</f>
        <v>,INDEX(REPORT_FR2052a!$1:$1048576,0,44),"O.O.5"</v>
      </c>
      <c r="I38" s="137" t="s">
        <v>331</v>
      </c>
      <c r="J38" s="137">
        <v>1</v>
      </c>
      <c r="K38" s="137" t="str">
        <f t="shared" ref="K38" si="99">IF(I38="","",",INDEX(REPORT_FR2052a!$1:$1048576,0,"&amp;K$2&amp;"),"&amp;IF(ISTEXT(J38),CHAR(34),"")&amp;IF(I38="is","",""&amp;"&lt;&gt;")&amp;J38&amp;IF(ISTEXT(J38),CHAR(34),""))</f>
        <v>,INDEX(REPORT_FR2052a!$1:$1048576,0,43),1</v>
      </c>
      <c r="N38" s="137" t="str">
        <f t="shared" ref="N38" si="100">IF(L38="","",",INDEX(REPORT_FR2052a!$1:$1048576,0,"&amp;N$2&amp;"),"&amp;IF(ISTEXT(M38),CHAR(34),"")&amp;IF(L38="is","",""&amp;"&lt;&gt;")&amp;M38&amp;IF(ISTEXT(M38),CHAR(34),""))</f>
        <v/>
      </c>
      <c r="Q38" s="137" t="str">
        <f t="shared" ref="Q38" si="101">IF(O38="","",",INDEX(REPORT_FR2052a!$1:$1048576,0,"&amp;Q$2&amp;"),"&amp;IF(OR(ISTEXT(P38),ISBLANK(P38)),CHAR(34),"")&amp;IF(O38="is","",""&amp;"&lt;&gt;")&amp;P38&amp;IF(OR(ISTEXT(P38),ISBLANK(P38)),CHAR(34),""))</f>
        <v/>
      </c>
      <c r="T38" s="137" t="str">
        <f t="shared" ref="T38" si="102">IF(R38="","",",INDEX(REPORT_FR2052a!$1:$1048576,0,"&amp;T$2&amp;"),"&amp;IF(ISTEXT(S38),CHAR(34),"")&amp;IF(R38="is","",""&amp;"&lt;&gt;")&amp;S38&amp;IF(ISTEXT(S38),CHAR(34),""))</f>
        <v/>
      </c>
      <c r="V38" s="139"/>
      <c r="W38" s="137" t="str">
        <f t="shared" ref="W38" si="103">IF(U38="","",",INDEX(REPORT_FR2052a!$1:$1048576,0,"&amp;W$2&amp;"),"&amp;IF(ISTEXT(V38),CHAR(34),"")&amp;IF(U38="is","",""&amp;"&lt;&gt;")&amp;V38&amp;IF(ISTEXT(V38),CHAR(34),""))</f>
        <v/>
      </c>
      <c r="Y38" s="139"/>
      <c r="Z38" s="137" t="str">
        <f t="shared" ref="Z38" si="104">IF(X38="","",",INDEX(REPORT_FR2052a!$1:$1048576,0,"&amp;Z$2&amp;"),"&amp;IF(ISTEXT(Y38),CHAR(34),"")&amp;IF(X38="is","",""&amp;"&lt;&gt;")&amp;Y38&amp;IF(ISTEXT(Y38),CHAR(34),""))</f>
        <v/>
      </c>
      <c r="AB38" s="139"/>
      <c r="AC38" s="137" t="str">
        <f t="shared" ref="AC38" si="105">IF(AA38="","",",INDEX(REPORT_FR2052a!$1:$1048576,0,"&amp;AC$2&amp;"),"&amp;IF(ISTEXT(AB38),CHAR(34),"")&amp;IF(AA38="is","",""&amp;"&lt;&gt;")&amp;AB38&amp;IF(ISTEXT(AB38),CHAR(34),""))</f>
        <v/>
      </c>
      <c r="AD38" s="137" t="s">
        <v>331</v>
      </c>
      <c r="AE38" s="140" t="s">
        <v>759</v>
      </c>
      <c r="AF38" s="137" t="str">
        <f t="shared" ref="AF38" si="106">IF(AD38="","",",INDEX(REPORT_FR2052a!$1:$1048576,0,"&amp;AF$2&amp;"),"&amp;IF(ISTEXT(AE38),CHAR(34),"")&amp;IF(AD38="is","",""&amp;"&lt;&gt;")&amp;AE38&amp;IF(ISTEXT(AE38),CHAR(34),""))</f>
        <v>,INDEX(REPORT_FR2052a!$1:$1048576,0,26),"Bank"</v>
      </c>
      <c r="AG38" s="137" t="s">
        <v>331</v>
      </c>
      <c r="AH38" s="139">
        <v>1</v>
      </c>
      <c r="AI38" s="137" t="str">
        <f t="shared" ref="AI38" si="107">IF(AG38="","",",INDEX(REPORT_FR2052a!$1:$1048576,0,"&amp;AI$2&amp;"),"&amp;IF(ISTEXT(AH38),CHAR(34),"")&amp;IF(AG38="is","",""&amp;"&lt;&gt;")&amp;AH38&amp;IF(ISTEXT(AH38),CHAR(34),""))</f>
        <v>,INDEX(REPORT_FR2052a!$1:$1048576,0,45),1</v>
      </c>
      <c r="AK38" s="139"/>
      <c r="AL38" s="137" t="str">
        <f t="shared" ref="AL38" si="108">IF(AJ38="","",",INDEX(REPORT_FR2052a!$1:$1048576,0,"&amp;AL$2&amp;"),"&amp;IF(ISTEXT(AK38),CHAR(34),"")&amp;IF(AJ38="is","",""&amp;"&lt;&gt;")&amp;AK38&amp;IF(ISTEXT(AK38),CHAR(34),""))</f>
        <v/>
      </c>
      <c r="AO38" s="137" t="str">
        <f t="shared" ref="AO38" si="109">IF(AM38="","",",INDEX(REPORT_FR2052a!$1:$1048576,0,"&amp;AO$2&amp;"),"&amp;IF(ISTEXT(AN38),CHAR(34),"")&amp;IF(AM38="is","",""&amp;"&lt;&gt;")&amp;AN38&amp;IF(ISTEXT(AN38),CHAR(34),""))</f>
        <v/>
      </c>
      <c r="AP38" s="137" t="s">
        <v>332</v>
      </c>
      <c r="AQ38" s="137" t="s">
        <v>163</v>
      </c>
      <c r="AR38" s="137" t="str">
        <f t="shared" si="14"/>
        <v>,INDEX(REPORT_FR2052a!$1:$1048576,0,28),"&lt;&gt;Bank of China - All Other US Operations"</v>
      </c>
      <c r="AU38" s="137" t="str">
        <f t="shared" si="15"/>
        <v/>
      </c>
      <c r="BA38" s="137" t="s">
        <v>13</v>
      </c>
      <c r="BB38" s="137" t="str">
        <f>"=SUMIFS(INDEX(REPORT_FR2052a!$1:$1048576,0,"&amp;(MATCH(BA38,REPORT_FR2052a!$1:$1,0))&amp;")"</f>
        <v>=SUMIFS(INDEX(REPORT_FR2052a!$1:$1048576,0,14)</v>
      </c>
      <c r="BC38" s="137" t="str">
        <f t="shared" si="17"/>
        <v>=SUMIFS(INDEX(REPORT_FR2052a!$1:$1048576,0,14),INDEX(REPORT_FR2052a!$1:$1048576,0,44),"O.O.5",INDEX(REPORT_FR2052a!$1:$1048576,0,43),1,INDEX(REPORT_FR2052a!$1:$1048576,0,26),"Bank",INDEX(REPORT_FR2052a!$1:$1048576,0,45),1,INDEX(REPORT_FR2052a!$1:$1048576,0,28),"&lt;&gt;Bank of China - All Other US Operations")</v>
      </c>
      <c r="BD38" s="141">
        <f>SUMIFS(INDEX(REPORT_FR2052a!$1:$1048576,0,14),INDEX(REPORT_FR2052a!$1:$1048576,0,44),"O.O.5",INDEX(REPORT_FR2052a!$1:$1048576,0,43),1,INDEX(REPORT_FR2052a!$1:$1048576,0,26),"Bank",INDEX(REPORT_FR2052a!$1:$1048576,0,45),1,INDEX(REPORT_FR2052a!$1:$1048576,0,28),"&lt;&gt;Bank of China - All Other US Operations")</f>
        <v>0</v>
      </c>
      <c r="BE38" s="137" t="s">
        <v>331</v>
      </c>
      <c r="BF38" s="139" t="s">
        <v>47</v>
      </c>
      <c r="BG38" s="137" t="str">
        <f t="shared" ref="BG38" si="110">IF(BE38="","",",INDEX(REPORT_FR2052a!$1:$1048576,0,"&amp;BG$2&amp;"),"&amp;IF(ISTEXT(BF38),CHAR(34),"")&amp;IF(BE38="is","",""&amp;"&lt;&gt;")&amp;BF38&amp;IF(ISTEXT(BF38),CHAR(34),""))</f>
        <v>,INDEX(REPORT_FR2052a!$1:$1048576,0,5),"Bank of China - Combined US Branches and Agencies"</v>
      </c>
      <c r="BI38" s="137" t="str">
        <f t="shared" ref="BI38" si="111">LEFT(BC38,LEN(BC38)-1)&amp;BG38&amp;")"</f>
        <v>=SUMIFS(INDEX(REPORT_FR2052a!$1:$1048576,0,14),INDEX(REPORT_FR2052a!$1:$1048576,0,44),"O.O.5",INDEX(REPORT_FR2052a!$1:$1048576,0,43),1,INDEX(REPORT_FR2052a!$1:$1048576,0,26),"Bank",INDEX(REPORT_FR2052a!$1:$1048576,0,45),1,INDEX(REPORT_FR2052a!$1:$1048576,0,28),"&lt;&gt;Bank of China - All Other US Operations",INDEX(REPORT_FR2052a!$1:$1048576,0,5),"Bank of China - Combined US Branches and Agencies")</v>
      </c>
      <c r="BJ38" s="142">
        <f>SUMIFS(INDEX(REPORT_FR2052a!$1:$1048576,0,14),INDEX(REPORT_FR2052a!$1:$1048576,0,44),"O.O.5",INDEX(REPORT_FR2052a!$1:$1048576,0,43),1,INDEX(REPORT_FR2052a!$1:$1048576,0,26),"Bank",INDEX(REPORT_FR2052a!$1:$1048576,0,45),1,INDEX(REPORT_FR2052a!$1:$1048576,0,28),"&lt;&gt;Bank of China - All Other US Operations",INDEX(REPORT_FR2052a!$1:$1048576,0,5),"Bank of China - Combined US Branches and Agencies")</f>
        <v>0</v>
      </c>
      <c r="BK38" s="143">
        <f t="shared" ref="BK38" si="112">BD38-BJ38</f>
        <v>0</v>
      </c>
    </row>
    <row r="39" spans="1:63">
      <c r="A39" s="136">
        <v>26</v>
      </c>
      <c r="B39" s="137" t="str">
        <f>IFERROR(INDEX('LCR TYPE EXPLAIN'!B:B,MATCH(A39,'LCR TYPE EXPLAIN'!A:A,0)),"")</f>
        <v>Bank Commitments (§.32(e )(1)(v))</v>
      </c>
      <c r="F39" s="137" t="s">
        <v>331</v>
      </c>
      <c r="G39" s="138" t="s">
        <v>388</v>
      </c>
      <c r="H39" s="137" t="str">
        <f t="shared" si="98"/>
        <v>,INDEX(REPORT_FR2052a!$1:$1048576,0,44),"O.O.4"</v>
      </c>
      <c r="I39" s="137" t="s">
        <v>331</v>
      </c>
      <c r="J39" s="137">
        <v>1</v>
      </c>
      <c r="K39" s="137" t="str">
        <f t="shared" si="1"/>
        <v>,INDEX(REPORT_FR2052a!$1:$1048576,0,43),1</v>
      </c>
      <c r="N39" s="137" t="str">
        <f t="shared" si="2"/>
        <v/>
      </c>
      <c r="Q39" s="137" t="str">
        <f t="shared" si="3"/>
        <v/>
      </c>
      <c r="T39" s="137" t="str">
        <f t="shared" si="4"/>
        <v/>
      </c>
      <c r="V39" s="139"/>
      <c r="W39" s="137" t="str">
        <f t="shared" si="5"/>
        <v/>
      </c>
      <c r="Y39" s="139"/>
      <c r="Z39" s="137" t="str">
        <f t="shared" si="6"/>
        <v/>
      </c>
      <c r="AB39" s="139"/>
      <c r="AC39" s="137" t="str">
        <f t="shared" si="7"/>
        <v/>
      </c>
      <c r="AD39" s="137" t="s">
        <v>331</v>
      </c>
      <c r="AE39" s="140" t="s">
        <v>759</v>
      </c>
      <c r="AF39" s="137" t="str">
        <f t="shared" si="8"/>
        <v>,INDEX(REPORT_FR2052a!$1:$1048576,0,26),"Bank"</v>
      </c>
      <c r="AG39" s="137" t="s">
        <v>331</v>
      </c>
      <c r="AH39" s="139">
        <v>0</v>
      </c>
      <c r="AI39" s="137" t="str">
        <f t="shared" si="9"/>
        <v>,INDEX(REPORT_FR2052a!$1:$1048576,0,45),0</v>
      </c>
      <c r="AK39" s="139"/>
      <c r="AL39" s="137" t="str">
        <f t="shared" si="10"/>
        <v/>
      </c>
      <c r="AO39" s="137" t="str">
        <f t="shared" si="11"/>
        <v/>
      </c>
      <c r="AR39" s="137" t="str">
        <f t="shared" si="14"/>
        <v/>
      </c>
      <c r="AU39" s="137" t="str">
        <f t="shared" si="15"/>
        <v/>
      </c>
      <c r="BA39" s="137" t="s">
        <v>13</v>
      </c>
      <c r="BB39" s="137" t="str">
        <f>"=SUMIFS(INDEX(REPORT_FR2052a!$1:$1048576,0,"&amp;(MATCH(BA39,REPORT_FR2052a!$1:$1,0))&amp;")"</f>
        <v>=SUMIFS(INDEX(REPORT_FR2052a!$1:$1048576,0,14)</v>
      </c>
      <c r="BC39" s="137" t="str">
        <f t="shared" si="17"/>
        <v>=SUMIFS(INDEX(REPORT_FR2052a!$1:$1048576,0,14),INDEX(REPORT_FR2052a!$1:$1048576,0,44),"O.O.4",INDEX(REPORT_FR2052a!$1:$1048576,0,43),1,INDEX(REPORT_FR2052a!$1:$1048576,0,26),"Bank",INDEX(REPORT_FR2052a!$1:$1048576,0,45),0)</v>
      </c>
      <c r="BD39" s="141">
        <f>SUMIFS(INDEX(REPORT_FR2052a!$1:$1048576,0,14),INDEX(REPORT_FR2052a!$1:$1048576,0,44),"O.O.4",INDEX(REPORT_FR2052a!$1:$1048576,0,43),1,INDEX(REPORT_FR2052a!$1:$1048576,0,26),"Bank",INDEX(REPORT_FR2052a!$1:$1048576,0,45),0)</f>
        <v>0</v>
      </c>
      <c r="BE39" s="137" t="s">
        <v>331</v>
      </c>
      <c r="BF39" s="139" t="s">
        <v>47</v>
      </c>
      <c r="BG39" s="137" t="str">
        <f t="shared" si="13"/>
        <v>,INDEX(REPORT_FR2052a!$1:$1048576,0,5),"Bank of China - Combined US Branches and Agencies"</v>
      </c>
      <c r="BI39" s="137" t="str">
        <f t="shared" si="18"/>
        <v>=SUMIFS(INDEX(REPORT_FR2052a!$1:$1048576,0,14),INDEX(REPORT_FR2052a!$1:$1048576,0,44),"O.O.4",INDEX(REPORT_FR2052a!$1:$1048576,0,43),1,INDEX(REPORT_FR2052a!$1:$1048576,0,26),"Bank",INDEX(REPORT_FR2052a!$1:$1048576,0,45),0,INDEX(REPORT_FR2052a!$1:$1048576,0,5),"Bank of China - Combined US Branches and Agencies")</v>
      </c>
      <c r="BJ39" s="142">
        <f>SUMIFS(INDEX(REPORT_FR2052a!$1:$1048576,0,14),INDEX(REPORT_FR2052a!$1:$1048576,0,44),"O.O.4",INDEX(REPORT_FR2052a!$1:$1048576,0,43),1,INDEX(REPORT_FR2052a!$1:$1048576,0,26),"Bank",INDEX(REPORT_FR2052a!$1:$1048576,0,45),0,INDEX(REPORT_FR2052a!$1:$1048576,0,5),"Bank of China - Combined US Branches and Agencies")</f>
        <v>0</v>
      </c>
      <c r="BK39" s="143">
        <f t="shared" si="19"/>
        <v>0</v>
      </c>
    </row>
    <row r="40" spans="1:63">
      <c r="A40" s="136">
        <v>26</v>
      </c>
      <c r="B40" s="137" t="str">
        <f>IFERROR(INDEX('LCR TYPE EXPLAIN'!B:B,MATCH(A40,'LCR TYPE EXPLAIN'!A:A,0)),"")</f>
        <v>Bank Commitments (§.32(e )(1)(v))</v>
      </c>
      <c r="F40" s="137" t="s">
        <v>331</v>
      </c>
      <c r="G40" s="138" t="s">
        <v>391</v>
      </c>
      <c r="H40" s="137" t="str">
        <f t="shared" si="98"/>
        <v>,INDEX(REPORT_FR2052a!$1:$1048576,0,44),"O.O.5"</v>
      </c>
      <c r="I40" s="137" t="s">
        <v>331</v>
      </c>
      <c r="J40" s="137">
        <v>1</v>
      </c>
      <c r="K40" s="137" t="str">
        <f t="shared" ref="K40" si="113">IF(I40="","",",INDEX(REPORT_FR2052a!$1:$1048576,0,"&amp;K$2&amp;"),"&amp;IF(ISTEXT(J40),CHAR(34),"")&amp;IF(I40="is","",""&amp;"&lt;&gt;")&amp;J40&amp;IF(ISTEXT(J40),CHAR(34),""))</f>
        <v>,INDEX(REPORT_FR2052a!$1:$1048576,0,43),1</v>
      </c>
      <c r="N40" s="137" t="str">
        <f t="shared" ref="N40" si="114">IF(L40="","",",INDEX(REPORT_FR2052a!$1:$1048576,0,"&amp;N$2&amp;"),"&amp;IF(ISTEXT(M40),CHAR(34),"")&amp;IF(L40="is","",""&amp;"&lt;&gt;")&amp;M40&amp;IF(ISTEXT(M40),CHAR(34),""))</f>
        <v/>
      </c>
      <c r="Q40" s="137" t="str">
        <f t="shared" ref="Q40" si="115">IF(O40="","",",INDEX(REPORT_FR2052a!$1:$1048576,0,"&amp;Q$2&amp;"),"&amp;IF(OR(ISTEXT(P40),ISBLANK(P40)),CHAR(34),"")&amp;IF(O40="is","",""&amp;"&lt;&gt;")&amp;P40&amp;IF(OR(ISTEXT(P40),ISBLANK(P40)),CHAR(34),""))</f>
        <v/>
      </c>
      <c r="T40" s="137" t="str">
        <f t="shared" ref="T40" si="116">IF(R40="","",",INDEX(REPORT_FR2052a!$1:$1048576,0,"&amp;T$2&amp;"),"&amp;IF(ISTEXT(S40),CHAR(34),"")&amp;IF(R40="is","",""&amp;"&lt;&gt;")&amp;S40&amp;IF(ISTEXT(S40),CHAR(34),""))</f>
        <v/>
      </c>
      <c r="V40" s="139"/>
      <c r="W40" s="137" t="str">
        <f t="shared" ref="W40" si="117">IF(U40="","",",INDEX(REPORT_FR2052a!$1:$1048576,0,"&amp;W$2&amp;"),"&amp;IF(ISTEXT(V40),CHAR(34),"")&amp;IF(U40="is","",""&amp;"&lt;&gt;")&amp;V40&amp;IF(ISTEXT(V40),CHAR(34),""))</f>
        <v/>
      </c>
      <c r="Y40" s="139"/>
      <c r="Z40" s="137" t="str">
        <f t="shared" ref="Z40" si="118">IF(X40="","",",INDEX(REPORT_FR2052a!$1:$1048576,0,"&amp;Z$2&amp;"),"&amp;IF(ISTEXT(Y40),CHAR(34),"")&amp;IF(X40="is","",""&amp;"&lt;&gt;")&amp;Y40&amp;IF(ISTEXT(Y40),CHAR(34),""))</f>
        <v/>
      </c>
      <c r="AB40" s="139"/>
      <c r="AC40" s="137" t="str">
        <f t="shared" ref="AC40" si="119">IF(AA40="","",",INDEX(REPORT_FR2052a!$1:$1048576,0,"&amp;AC$2&amp;"),"&amp;IF(ISTEXT(AB40),CHAR(34),"")&amp;IF(AA40="is","",""&amp;"&lt;&gt;")&amp;AB40&amp;IF(ISTEXT(AB40),CHAR(34),""))</f>
        <v/>
      </c>
      <c r="AD40" s="137" t="s">
        <v>331</v>
      </c>
      <c r="AE40" s="140" t="s">
        <v>759</v>
      </c>
      <c r="AF40" s="137" t="str">
        <f t="shared" ref="AF40" si="120">IF(AD40="","",",INDEX(REPORT_FR2052a!$1:$1048576,0,"&amp;AF$2&amp;"),"&amp;IF(ISTEXT(AE40),CHAR(34),"")&amp;IF(AD40="is","",""&amp;"&lt;&gt;")&amp;AE40&amp;IF(ISTEXT(AE40),CHAR(34),""))</f>
        <v>,INDEX(REPORT_FR2052a!$1:$1048576,0,26),"Bank"</v>
      </c>
      <c r="AG40" s="137" t="s">
        <v>331</v>
      </c>
      <c r="AH40" s="139">
        <v>0</v>
      </c>
      <c r="AI40" s="137" t="str">
        <f t="shared" ref="AI40" si="121">IF(AG40="","",",INDEX(REPORT_FR2052a!$1:$1048576,0,"&amp;AI$2&amp;"),"&amp;IF(ISTEXT(AH40),CHAR(34),"")&amp;IF(AG40="is","",""&amp;"&lt;&gt;")&amp;AH40&amp;IF(ISTEXT(AH40),CHAR(34),""))</f>
        <v>,INDEX(REPORT_FR2052a!$1:$1048576,0,45),0</v>
      </c>
      <c r="AK40" s="139"/>
      <c r="AL40" s="137" t="str">
        <f t="shared" ref="AL40" si="122">IF(AJ40="","",",INDEX(REPORT_FR2052a!$1:$1048576,0,"&amp;AL$2&amp;"),"&amp;IF(ISTEXT(AK40),CHAR(34),"")&amp;IF(AJ40="is","",""&amp;"&lt;&gt;")&amp;AK40&amp;IF(ISTEXT(AK40),CHAR(34),""))</f>
        <v/>
      </c>
      <c r="AO40" s="137" t="str">
        <f t="shared" ref="AO40" si="123">IF(AM40="","",",INDEX(REPORT_FR2052a!$1:$1048576,0,"&amp;AO$2&amp;"),"&amp;IF(ISTEXT(AN40),CHAR(34),"")&amp;IF(AM40="is","",""&amp;"&lt;&gt;")&amp;AN40&amp;IF(ISTEXT(AN40),CHAR(34),""))</f>
        <v/>
      </c>
      <c r="AR40" s="137" t="str">
        <f t="shared" si="14"/>
        <v/>
      </c>
      <c r="AU40" s="137" t="str">
        <f t="shared" si="15"/>
        <v/>
      </c>
      <c r="BA40" s="137" t="s">
        <v>13</v>
      </c>
      <c r="BB40" s="137" t="str">
        <f>"=SUMIFS(INDEX(REPORT_FR2052a!$1:$1048576,0,"&amp;(MATCH(BA40,REPORT_FR2052a!$1:$1,0))&amp;")"</f>
        <v>=SUMIFS(INDEX(REPORT_FR2052a!$1:$1048576,0,14)</v>
      </c>
      <c r="BC40" s="137" t="str">
        <f t="shared" si="17"/>
        <v>=SUMIFS(INDEX(REPORT_FR2052a!$1:$1048576,0,14),INDEX(REPORT_FR2052a!$1:$1048576,0,44),"O.O.5",INDEX(REPORT_FR2052a!$1:$1048576,0,43),1,INDEX(REPORT_FR2052a!$1:$1048576,0,26),"Bank",INDEX(REPORT_FR2052a!$1:$1048576,0,45),0)</v>
      </c>
      <c r="BD40" s="141">
        <f>SUMIFS(INDEX(REPORT_FR2052a!$1:$1048576,0,14),INDEX(REPORT_FR2052a!$1:$1048576,0,44),"O.O.5",INDEX(REPORT_FR2052a!$1:$1048576,0,43),1,INDEX(REPORT_FR2052a!$1:$1048576,0,26),"Bank",INDEX(REPORT_FR2052a!$1:$1048576,0,45),0)</f>
        <v>0</v>
      </c>
      <c r="BE40" s="137" t="s">
        <v>331</v>
      </c>
      <c r="BF40" s="139" t="s">
        <v>47</v>
      </c>
      <c r="BG40" s="137" t="str">
        <f t="shared" ref="BG40" si="124">IF(BE40="","",",INDEX(REPORT_FR2052a!$1:$1048576,0,"&amp;BG$2&amp;"),"&amp;IF(ISTEXT(BF40),CHAR(34),"")&amp;IF(BE40="is","",""&amp;"&lt;&gt;")&amp;BF40&amp;IF(ISTEXT(BF40),CHAR(34),""))</f>
        <v>,INDEX(REPORT_FR2052a!$1:$1048576,0,5),"Bank of China - Combined US Branches and Agencies"</v>
      </c>
      <c r="BI40" s="137" t="str">
        <f t="shared" ref="BI40" si="125">LEFT(BC40,LEN(BC40)-1)&amp;BG40&amp;")"</f>
        <v>=SUMIFS(INDEX(REPORT_FR2052a!$1:$1048576,0,14),INDEX(REPORT_FR2052a!$1:$1048576,0,44),"O.O.5",INDEX(REPORT_FR2052a!$1:$1048576,0,43),1,INDEX(REPORT_FR2052a!$1:$1048576,0,26),"Bank",INDEX(REPORT_FR2052a!$1:$1048576,0,45),0,INDEX(REPORT_FR2052a!$1:$1048576,0,5),"Bank of China - Combined US Branches and Agencies")</v>
      </c>
      <c r="BJ40" s="142">
        <f>SUMIFS(INDEX(REPORT_FR2052a!$1:$1048576,0,14),INDEX(REPORT_FR2052a!$1:$1048576,0,44),"O.O.5",INDEX(REPORT_FR2052a!$1:$1048576,0,43),1,INDEX(REPORT_FR2052a!$1:$1048576,0,26),"Bank",INDEX(REPORT_FR2052a!$1:$1048576,0,45),0,INDEX(REPORT_FR2052a!$1:$1048576,0,5),"Bank of China - Combined US Branches and Agencies")</f>
        <v>0</v>
      </c>
      <c r="BK40" s="143">
        <f t="shared" ref="BK40" si="126">BD40-BJ40</f>
        <v>0</v>
      </c>
    </row>
    <row r="41" spans="1:63">
      <c r="A41" s="136">
        <v>27</v>
      </c>
      <c r="B41" s="137" t="str">
        <f>IFERROR(INDEX('LCR TYPE EXPLAIN'!B:B,MATCH(A41,'LCR TYPE EXPLAIN'!A:A,0)),"")</f>
        <v>Non-Bank and Non-SPE Financial Sector Entity Credit Facilities (§.32(e )(1)(vi))</v>
      </c>
      <c r="F41" s="137" t="s">
        <v>331</v>
      </c>
      <c r="G41" s="138" t="s">
        <v>388</v>
      </c>
      <c r="H41" s="137" t="str">
        <f t="shared" si="98"/>
        <v>,INDEX(REPORT_FR2052a!$1:$1048576,0,44),"O.O.4"</v>
      </c>
      <c r="I41" s="137" t="s">
        <v>331</v>
      </c>
      <c r="J41" s="137">
        <v>1</v>
      </c>
      <c r="K41" s="137" t="str">
        <f t="shared" si="1"/>
        <v>,INDEX(REPORT_FR2052a!$1:$1048576,0,43),1</v>
      </c>
      <c r="N41" s="137" t="str">
        <f t="shared" si="2"/>
        <v/>
      </c>
      <c r="Q41" s="137" t="str">
        <f t="shared" si="3"/>
        <v/>
      </c>
      <c r="T41" s="137" t="str">
        <f t="shared" si="4"/>
        <v/>
      </c>
      <c r="V41" s="139"/>
      <c r="W41" s="137" t="str">
        <f t="shared" si="5"/>
        <v/>
      </c>
      <c r="Y41" s="139"/>
      <c r="Z41" s="137" t="str">
        <f t="shared" si="6"/>
        <v/>
      </c>
      <c r="AB41" s="139"/>
      <c r="AC41" s="137" t="str">
        <f t="shared" si="7"/>
        <v/>
      </c>
      <c r="AD41" s="137" t="s">
        <v>331</v>
      </c>
      <c r="AE41" s="140" t="s">
        <v>116</v>
      </c>
      <c r="AF41" s="137" t="str">
        <f t="shared" si="8"/>
        <v>,INDEX(REPORT_FR2052a!$1:$1048576,0,26),"Supervised Non-Bank Financial Entity"</v>
      </c>
      <c r="AH41" s="139"/>
      <c r="AI41" s="137" t="str">
        <f t="shared" si="9"/>
        <v/>
      </c>
      <c r="AK41" s="139"/>
      <c r="AL41" s="137" t="str">
        <f t="shared" si="10"/>
        <v/>
      </c>
      <c r="AO41" s="137" t="str">
        <f t="shared" si="11"/>
        <v/>
      </c>
      <c r="AR41" s="137" t="str">
        <f t="shared" si="14"/>
        <v/>
      </c>
      <c r="AU41" s="137" t="str">
        <f t="shared" si="15"/>
        <v/>
      </c>
      <c r="BA41" s="137" t="s">
        <v>13</v>
      </c>
      <c r="BB41" s="137" t="str">
        <f>"=SUMIFS(INDEX(REPORT_FR2052a!$1:$1048576,0,"&amp;(MATCH(BA41,REPORT_FR2052a!$1:$1,0))&amp;")"</f>
        <v>=SUMIFS(INDEX(REPORT_FR2052a!$1:$1048576,0,14)</v>
      </c>
      <c r="BC41" s="137" t="str">
        <f t="shared" si="17"/>
        <v>=SUMIFS(INDEX(REPORT_FR2052a!$1:$1048576,0,14),INDEX(REPORT_FR2052a!$1:$1048576,0,44),"O.O.4",INDEX(REPORT_FR2052a!$1:$1048576,0,43),1,INDEX(REPORT_FR2052a!$1:$1048576,0,26),"Supervised Non-Bank Financial Entity")</v>
      </c>
      <c r="BD41" s="141">
        <f>SUMIFS(INDEX(REPORT_FR2052a!$1:$1048576,0,14),INDEX(REPORT_FR2052a!$1:$1048576,0,44),"O.O.4",INDEX(REPORT_FR2052a!$1:$1048576,0,43),1,INDEX(REPORT_FR2052a!$1:$1048576,0,26),"Supervised Non-Bank Financial Entity")</f>
        <v>667.2</v>
      </c>
      <c r="BE41" s="137" t="s">
        <v>331</v>
      </c>
      <c r="BF41" s="139" t="s">
        <v>47</v>
      </c>
      <c r="BG41" s="137" t="str">
        <f t="shared" si="13"/>
        <v>,INDEX(REPORT_FR2052a!$1:$1048576,0,5),"Bank of China - Combined US Branches and Agencies"</v>
      </c>
      <c r="BI41" s="137" t="str">
        <f t="shared" si="18"/>
        <v>=SUMIFS(INDEX(REPORT_FR2052a!$1:$1048576,0,14),INDEX(REPORT_FR2052a!$1:$1048576,0,44),"O.O.4",INDEX(REPORT_FR2052a!$1:$1048576,0,43),1,INDEX(REPORT_FR2052a!$1:$1048576,0,26),"Supervised Non-Bank Financial Entity",INDEX(REPORT_FR2052a!$1:$1048576,0,5),"Bank of China - Combined US Branches and Agencies")</v>
      </c>
      <c r="BJ41" s="142">
        <f>SUMIFS(INDEX(REPORT_FR2052a!$1:$1048576,0,14),INDEX(REPORT_FR2052a!$1:$1048576,0,44),"O.O.4",INDEX(REPORT_FR2052a!$1:$1048576,0,43),1,INDEX(REPORT_FR2052a!$1:$1048576,0,26),"Supervised Non-Bank Financial Entity",INDEX(REPORT_FR2052a!$1:$1048576,0,5),"Bank of China - Combined US Branches and Agencies")</f>
        <v>667.2</v>
      </c>
      <c r="BK41" s="143">
        <f t="shared" si="19"/>
        <v>0</v>
      </c>
    </row>
    <row r="42" spans="1:63">
      <c r="A42" s="136">
        <v>28</v>
      </c>
      <c r="B42" s="137" t="str">
        <f>IFERROR(INDEX('LCR TYPE EXPLAIN'!B:B,MATCH(A42,'LCR TYPE EXPLAIN'!A:A,0)),"")</f>
        <v>Non-Bank and Non-SPE Financial Sector Entity Liquidity Facilities (§.32(e )(1)(vii))</v>
      </c>
      <c r="F42" s="137" t="s">
        <v>331</v>
      </c>
      <c r="G42" s="138" t="s">
        <v>391</v>
      </c>
      <c r="H42" s="137" t="str">
        <f t="shared" si="98"/>
        <v>,INDEX(REPORT_FR2052a!$1:$1048576,0,44),"O.O.5"</v>
      </c>
      <c r="I42" s="137" t="s">
        <v>331</v>
      </c>
      <c r="J42" s="137">
        <v>1</v>
      </c>
      <c r="K42" s="137" t="str">
        <f t="shared" si="1"/>
        <v>,INDEX(REPORT_FR2052a!$1:$1048576,0,43),1</v>
      </c>
      <c r="N42" s="137" t="str">
        <f t="shared" si="2"/>
        <v/>
      </c>
      <c r="Q42" s="137" t="str">
        <f t="shared" si="3"/>
        <v/>
      </c>
      <c r="T42" s="137" t="str">
        <f t="shared" si="4"/>
        <v/>
      </c>
      <c r="V42" s="139"/>
      <c r="W42" s="137" t="str">
        <f t="shared" si="5"/>
        <v/>
      </c>
      <c r="Y42" s="139"/>
      <c r="Z42" s="137" t="str">
        <f t="shared" si="6"/>
        <v/>
      </c>
      <c r="AB42" s="139"/>
      <c r="AC42" s="137" t="str">
        <f t="shared" si="7"/>
        <v/>
      </c>
      <c r="AD42" s="137" t="s">
        <v>331</v>
      </c>
      <c r="AE42" s="140" t="s">
        <v>116</v>
      </c>
      <c r="AF42" s="137" t="str">
        <f t="shared" si="8"/>
        <v>,INDEX(REPORT_FR2052a!$1:$1048576,0,26),"Supervised Non-Bank Financial Entity"</v>
      </c>
      <c r="AH42" s="139"/>
      <c r="AI42" s="137" t="str">
        <f t="shared" si="9"/>
        <v/>
      </c>
      <c r="AK42" s="139"/>
      <c r="AL42" s="137" t="str">
        <f t="shared" si="10"/>
        <v/>
      </c>
      <c r="AO42" s="137" t="str">
        <f t="shared" si="11"/>
        <v/>
      </c>
      <c r="AR42" s="137" t="str">
        <f t="shared" si="14"/>
        <v/>
      </c>
      <c r="AU42" s="137" t="str">
        <f t="shared" si="15"/>
        <v/>
      </c>
      <c r="BA42" s="137" t="s">
        <v>13</v>
      </c>
      <c r="BB42" s="137" t="str">
        <f>"=SUMIFS(INDEX(REPORT_FR2052a!$1:$1048576,0,"&amp;(MATCH(BA42,REPORT_FR2052a!$1:$1,0))&amp;")"</f>
        <v>=SUMIFS(INDEX(REPORT_FR2052a!$1:$1048576,0,14)</v>
      </c>
      <c r="BC42" s="137" t="str">
        <f t="shared" si="17"/>
        <v>=SUMIFS(INDEX(REPORT_FR2052a!$1:$1048576,0,14),INDEX(REPORT_FR2052a!$1:$1048576,0,44),"O.O.5",INDEX(REPORT_FR2052a!$1:$1048576,0,43),1,INDEX(REPORT_FR2052a!$1:$1048576,0,26),"Supervised Non-Bank Financial Entity")</v>
      </c>
      <c r="BD42" s="141">
        <f>SUMIFS(INDEX(REPORT_FR2052a!$1:$1048576,0,14),INDEX(REPORT_FR2052a!$1:$1048576,0,44),"O.O.5",INDEX(REPORT_FR2052a!$1:$1048576,0,43),1,INDEX(REPORT_FR2052a!$1:$1048576,0,26),"Supervised Non-Bank Financial Entity")</f>
        <v>0</v>
      </c>
      <c r="BE42" s="137" t="s">
        <v>331</v>
      </c>
      <c r="BF42" s="139" t="s">
        <v>47</v>
      </c>
      <c r="BG42" s="137" t="str">
        <f t="shared" si="13"/>
        <v>,INDEX(REPORT_FR2052a!$1:$1048576,0,5),"Bank of China - Combined US Branches and Agencies"</v>
      </c>
      <c r="BI42" s="137" t="str">
        <f t="shared" si="18"/>
        <v>=SUMIFS(INDEX(REPORT_FR2052a!$1:$1048576,0,14),INDEX(REPORT_FR2052a!$1:$1048576,0,44),"O.O.5",INDEX(REPORT_FR2052a!$1:$1048576,0,43),1,INDEX(REPORT_FR2052a!$1:$1048576,0,26),"Supervised Non-Bank Financial Entity",INDEX(REPORT_FR2052a!$1:$1048576,0,5),"Bank of China - Combined US Branches and Agencies")</v>
      </c>
      <c r="BJ42" s="142">
        <f>SUMIFS(INDEX(REPORT_FR2052a!$1:$1048576,0,14),INDEX(REPORT_FR2052a!$1:$1048576,0,44),"O.O.5",INDEX(REPORT_FR2052a!$1:$1048576,0,43),1,INDEX(REPORT_FR2052a!$1:$1048576,0,26),"Supervised Non-Bank Financial Entity",INDEX(REPORT_FR2052a!$1:$1048576,0,5),"Bank of China - Combined US Branches and Agencies")</f>
        <v>0</v>
      </c>
      <c r="BK42" s="143">
        <f t="shared" si="19"/>
        <v>0</v>
      </c>
    </row>
    <row r="43" spans="1:63">
      <c r="A43" s="136">
        <v>33</v>
      </c>
      <c r="B43" s="137" t="str">
        <f>IFERROR(INDEX('LCR TYPE EXPLAIN'!B:B,MATCH(A43,'LCR TYPE EXPLAIN'!A:A,0)),"")</f>
        <v>Derivative Collateral Potential Valuation Changes (§.32(f)(2))</v>
      </c>
      <c r="F43" s="137" t="s">
        <v>331</v>
      </c>
      <c r="G43" s="138" t="s">
        <v>698</v>
      </c>
      <c r="H43" s="137" t="str">
        <f t="shared" si="98"/>
        <v>,INDEX(REPORT_FR2052a!$1:$1048576,0,44),"S.I.2"</v>
      </c>
      <c r="K43" s="137" t="str">
        <f t="shared" ref="K43" si="127">IF(I43="","",",INDEX(REPORT_FR2052a!$1:$1048576,0,"&amp;K$2&amp;"),"&amp;IF(ISTEXT(J43),CHAR(34),"")&amp;IF(I43="is","",""&amp;"&lt;&gt;")&amp;J43&amp;IF(ISTEXT(J43),CHAR(34),""))</f>
        <v/>
      </c>
      <c r="N43" s="137" t="str">
        <f t="shared" ref="N43" si="128">IF(L43="","",",INDEX(REPORT_FR2052a!$1:$1048576,0,"&amp;N$2&amp;"),"&amp;IF(ISTEXT(M43),CHAR(34),"")&amp;IF(L43="is","",""&amp;"&lt;&gt;")&amp;M43&amp;IF(ISTEXT(M43),CHAR(34),""))</f>
        <v/>
      </c>
      <c r="Q43" s="137" t="str">
        <f t="shared" ref="Q43" si="129">IF(O43="","",",INDEX(REPORT_FR2052a!$1:$1048576,0,"&amp;Q$2&amp;"),"&amp;IF(OR(ISTEXT(P43),ISBLANK(P43)),CHAR(34),"")&amp;IF(O43="is","",""&amp;"&lt;&gt;")&amp;P43&amp;IF(OR(ISTEXT(P43),ISBLANK(P43)),CHAR(34),""))</f>
        <v/>
      </c>
      <c r="T43" s="137" t="str">
        <f t="shared" ref="T43" si="130">IF(R43="","",",INDEX(REPORT_FR2052a!$1:$1048576,0,"&amp;T$2&amp;"),"&amp;IF(ISTEXT(S43),CHAR(34),"")&amp;IF(R43="is","",""&amp;"&lt;&gt;")&amp;S43&amp;IF(ISTEXT(S43),CHAR(34),""))</f>
        <v/>
      </c>
      <c r="V43" s="139"/>
      <c r="W43" s="137" t="str">
        <f t="shared" ref="W43" si="131">IF(U43="","",",INDEX(REPORT_FR2052a!$1:$1048576,0,"&amp;W$2&amp;"),"&amp;IF(ISTEXT(V43),CHAR(34),"")&amp;IF(U43="is","",""&amp;"&lt;&gt;")&amp;V43&amp;IF(ISTEXT(V43),CHAR(34),""))</f>
        <v/>
      </c>
      <c r="Y43" s="139"/>
      <c r="Z43" s="137" t="str">
        <f t="shared" ref="Z43" si="132">IF(X43="","",",INDEX(REPORT_FR2052a!$1:$1048576,0,"&amp;Z$2&amp;"),"&amp;IF(ISTEXT(Y43),CHAR(34),"")&amp;IF(X43="is","",""&amp;"&lt;&gt;")&amp;Y43&amp;IF(ISTEXT(Y43),CHAR(34),""))</f>
        <v/>
      </c>
      <c r="AB43" s="139"/>
      <c r="AC43" s="137" t="str">
        <f t="shared" ref="AC43" si="133">IF(AA43="","",",INDEX(REPORT_FR2052a!$1:$1048576,0,"&amp;AC$2&amp;"),"&amp;IF(ISTEXT(AB43),CHAR(34),"")&amp;IF(AA43="is","",""&amp;"&lt;&gt;")&amp;AB43&amp;IF(ISTEXT(AB43),CHAR(34),""))</f>
        <v/>
      </c>
      <c r="AF43" s="137" t="str">
        <f t="shared" ref="AF43" si="134">IF(AD43="","",",INDEX(REPORT_FR2052a!$1:$1048576,0,"&amp;AF$2&amp;"),"&amp;IF(ISTEXT(AE43),CHAR(34),"")&amp;IF(AD43="is","",""&amp;"&lt;&gt;")&amp;AE43&amp;IF(ISTEXT(AE43),CHAR(34),""))</f>
        <v/>
      </c>
      <c r="AH43" s="139"/>
      <c r="AI43" s="137" t="str">
        <f t="shared" ref="AI43" si="135">IF(AG43="","",",INDEX(REPORT_FR2052a!$1:$1048576,0,"&amp;AI$2&amp;"),"&amp;IF(ISTEXT(AH43),CHAR(34),"")&amp;IF(AG43="is","",""&amp;"&lt;&gt;")&amp;AH43&amp;IF(ISTEXT(AH43),CHAR(34),""))</f>
        <v/>
      </c>
      <c r="AK43" s="139"/>
      <c r="AL43" s="137" t="str">
        <f t="shared" ref="AL43" si="136">IF(AJ43="","",",INDEX(REPORT_FR2052a!$1:$1048576,0,"&amp;AL$2&amp;"),"&amp;IF(ISTEXT(AK43),CHAR(34),"")&amp;IF(AJ43="is","",""&amp;"&lt;&gt;")&amp;AK43&amp;IF(ISTEXT(AK43),CHAR(34),""))</f>
        <v/>
      </c>
      <c r="AO43" s="137" t="str">
        <f t="shared" ref="AO43" si="137">IF(AM43="","",",INDEX(REPORT_FR2052a!$1:$1048576,0,"&amp;AO$2&amp;"),"&amp;IF(ISTEXT(AN43),CHAR(34),"")&amp;IF(AM43="is","",""&amp;"&lt;&gt;")&amp;AN43&amp;IF(ISTEXT(AN43),CHAR(34),""))</f>
        <v/>
      </c>
      <c r="AR43" s="137" t="str">
        <f t="shared" ref="AR43" si="138">IF(AP43="","",",INDEX(REPORT_FR2052a!$1:$1048576,0,"&amp;AR$2&amp;"),"&amp;IF(ISTEXT(AQ43),CHAR(34),"")&amp;IF(AP43="is","",""&amp;"&lt;&gt;")&amp;AQ43&amp;IF(ISTEXT(AQ43),CHAR(34),""))</f>
        <v/>
      </c>
      <c r="AU43" s="137" t="str">
        <f t="shared" ref="AU43" si="139">IF(AS43="","",",INDEX(REPORT_FR2052a!$1:$1048576,0,"&amp;AU$2&amp;"),"&amp;IF(ISTEXT(AT43),CHAR(34),"")&amp;IF(AS43="is","",""&amp;"&lt;&gt;")&amp;AT43&amp;IF(ISTEXT(AT43),CHAR(34),""))</f>
        <v/>
      </c>
      <c r="BA43" s="137" t="s">
        <v>12</v>
      </c>
      <c r="BB43" s="137" t="str">
        <f>"=SUMIFS(INDEX(REPORT_FR2052a!$1:$1048576,0,"&amp;(MATCH(BA43,REPORT_FR2052a!$1:$1,0))&amp;")"</f>
        <v>=SUMIFS(INDEX(REPORT_FR2052a!$1:$1048576,0,13)</v>
      </c>
      <c r="BC43" s="137" t="str">
        <f t="shared" si="17"/>
        <v>=SUMIFS(INDEX(REPORT_FR2052a!$1:$1048576,0,13),INDEX(REPORT_FR2052a!$1:$1048576,0,44),"S.I.2")</v>
      </c>
      <c r="BD43" s="141">
        <f>SUMIFS(INDEX(REPORT_FR2052a!$1:$1048576,0,13),INDEX(REPORT_FR2052a!$1:$1048576,0,44),"S.I.2")</f>
        <v>0</v>
      </c>
      <c r="BE43" s="137" t="s">
        <v>331</v>
      </c>
      <c r="BF43" s="139" t="s">
        <v>47</v>
      </c>
      <c r="BG43" s="137" t="str">
        <f t="shared" ref="BG43" si="140">IF(BE43="","",",INDEX(REPORT_FR2052a!$1:$1048576,0,"&amp;BG$2&amp;"),"&amp;IF(ISTEXT(BF43),CHAR(34),"")&amp;IF(BE43="is","",""&amp;"&lt;&gt;")&amp;BF43&amp;IF(ISTEXT(BF43),CHAR(34),""))</f>
        <v>,INDEX(REPORT_FR2052a!$1:$1048576,0,5),"Bank of China - Combined US Branches and Agencies"</v>
      </c>
      <c r="BI43" s="137" t="str">
        <f t="shared" ref="BI43" si="141">LEFT(BC43,LEN(BC43)-1)&amp;BG43&amp;")"</f>
        <v>=SUMIFS(INDEX(REPORT_FR2052a!$1:$1048576,0,13),INDEX(REPORT_FR2052a!$1:$1048576,0,44),"S.I.2",INDEX(REPORT_FR2052a!$1:$1048576,0,5),"Bank of China - Combined US Branches and Agencies")</v>
      </c>
      <c r="BJ43" s="142">
        <f>SUMIFS(INDEX(REPORT_FR2052a!$1:$1048576,0,13),INDEX(REPORT_FR2052a!$1:$1048576,0,44),"S.I.2",INDEX(REPORT_FR2052a!$1:$1048576,0,5),"Bank of China - Combined US Branches and Agencies")</f>
        <v>0</v>
      </c>
      <c r="BK43" s="143">
        <f t="shared" ref="BK43" si="142">BD43-BJ43</f>
        <v>0</v>
      </c>
    </row>
    <row r="44" spans="1:63">
      <c r="A44" s="136">
        <v>33</v>
      </c>
      <c r="B44" s="137" t="str">
        <f>IFERROR(INDEX('LCR TYPE EXPLAIN'!B:B,MATCH(A44,'LCR TYPE EXPLAIN'!A:A,0)),"")</f>
        <v>Derivative Collateral Potential Valuation Changes (§.32(f)(2))</v>
      </c>
      <c r="F44" s="137" t="s">
        <v>331</v>
      </c>
      <c r="G44" s="138" t="s">
        <v>704</v>
      </c>
      <c r="H44" s="137" t="str">
        <f t="shared" si="98"/>
        <v>,INDEX(REPORT_FR2052a!$1:$1048576,0,44),"S.I.5"</v>
      </c>
      <c r="K44" s="137" t="str">
        <f t="shared" ref="K44" si="143">IF(I44="","",",INDEX(REPORT_FR2052a!$1:$1048576,0,"&amp;K$2&amp;"),"&amp;IF(ISTEXT(J44),CHAR(34),"")&amp;IF(I44="is","",""&amp;"&lt;&gt;")&amp;J44&amp;IF(ISTEXT(J44),CHAR(34),""))</f>
        <v/>
      </c>
      <c r="N44" s="137" t="str">
        <f t="shared" ref="N44" si="144">IF(L44="","",",INDEX(REPORT_FR2052a!$1:$1048576,0,"&amp;N$2&amp;"),"&amp;IF(ISTEXT(M44),CHAR(34),"")&amp;IF(L44="is","",""&amp;"&lt;&gt;")&amp;M44&amp;IF(ISTEXT(M44),CHAR(34),""))</f>
        <v/>
      </c>
      <c r="Q44" s="137" t="str">
        <f t="shared" ref="Q44" si="145">IF(O44="","",",INDEX(REPORT_FR2052a!$1:$1048576,0,"&amp;Q$2&amp;"),"&amp;IF(OR(ISTEXT(P44),ISBLANK(P44)),CHAR(34),"")&amp;IF(O44="is","",""&amp;"&lt;&gt;")&amp;P44&amp;IF(OR(ISTEXT(P44),ISBLANK(P44)),CHAR(34),""))</f>
        <v/>
      </c>
      <c r="T44" s="137" t="str">
        <f t="shared" ref="T44" si="146">IF(R44="","",",INDEX(REPORT_FR2052a!$1:$1048576,0,"&amp;T$2&amp;"),"&amp;IF(ISTEXT(S44),CHAR(34),"")&amp;IF(R44="is","",""&amp;"&lt;&gt;")&amp;S44&amp;IF(ISTEXT(S44),CHAR(34),""))</f>
        <v/>
      </c>
      <c r="V44" s="139"/>
      <c r="W44" s="137" t="str">
        <f t="shared" ref="W44" si="147">IF(U44="","",",INDEX(REPORT_FR2052a!$1:$1048576,0,"&amp;W$2&amp;"),"&amp;IF(ISTEXT(V44),CHAR(34),"")&amp;IF(U44="is","",""&amp;"&lt;&gt;")&amp;V44&amp;IF(ISTEXT(V44),CHAR(34),""))</f>
        <v/>
      </c>
      <c r="Y44" s="139"/>
      <c r="Z44" s="137" t="str">
        <f t="shared" ref="Z44" si="148">IF(X44="","",",INDEX(REPORT_FR2052a!$1:$1048576,0,"&amp;Z$2&amp;"),"&amp;IF(ISTEXT(Y44),CHAR(34),"")&amp;IF(X44="is","",""&amp;"&lt;&gt;")&amp;Y44&amp;IF(ISTEXT(Y44),CHAR(34),""))</f>
        <v/>
      </c>
      <c r="AB44" s="139"/>
      <c r="AC44" s="137" t="str">
        <f t="shared" ref="AC44" si="149">IF(AA44="","",",INDEX(REPORT_FR2052a!$1:$1048576,0,"&amp;AC$2&amp;"),"&amp;IF(ISTEXT(AB44),CHAR(34),"")&amp;IF(AA44="is","",""&amp;"&lt;&gt;")&amp;AB44&amp;IF(ISTEXT(AB44),CHAR(34),""))</f>
        <v/>
      </c>
      <c r="AF44" s="137" t="str">
        <f t="shared" ref="AF44" si="150">IF(AD44="","",",INDEX(REPORT_FR2052a!$1:$1048576,0,"&amp;AF$2&amp;"),"&amp;IF(ISTEXT(AE44),CHAR(34),"")&amp;IF(AD44="is","",""&amp;"&lt;&gt;")&amp;AE44&amp;IF(ISTEXT(AE44),CHAR(34),""))</f>
        <v/>
      </c>
      <c r="AH44" s="139"/>
      <c r="AI44" s="137" t="str">
        <f t="shared" ref="AI44" si="151">IF(AG44="","",",INDEX(REPORT_FR2052a!$1:$1048576,0,"&amp;AI$2&amp;"),"&amp;IF(ISTEXT(AH44),CHAR(34),"")&amp;IF(AG44="is","",""&amp;"&lt;&gt;")&amp;AH44&amp;IF(ISTEXT(AH44),CHAR(34),""))</f>
        <v/>
      </c>
      <c r="AK44" s="139"/>
      <c r="AL44" s="137" t="str">
        <f t="shared" ref="AL44" si="152">IF(AJ44="","",",INDEX(REPORT_FR2052a!$1:$1048576,0,"&amp;AL$2&amp;"),"&amp;IF(ISTEXT(AK44),CHAR(34),"")&amp;IF(AJ44="is","",""&amp;"&lt;&gt;")&amp;AK44&amp;IF(ISTEXT(AK44),CHAR(34),""))</f>
        <v/>
      </c>
      <c r="AO44" s="137" t="str">
        <f t="shared" ref="AO44" si="153">IF(AM44="","",",INDEX(REPORT_FR2052a!$1:$1048576,0,"&amp;AO$2&amp;"),"&amp;IF(ISTEXT(AN44),CHAR(34),"")&amp;IF(AM44="is","",""&amp;"&lt;&gt;")&amp;AN44&amp;IF(ISTEXT(AN44),CHAR(34),""))</f>
        <v/>
      </c>
      <c r="AR44" s="137" t="str">
        <f t="shared" ref="AR44" si="154">IF(AP44="","",",INDEX(REPORT_FR2052a!$1:$1048576,0,"&amp;AR$2&amp;"),"&amp;IF(ISTEXT(AQ44),CHAR(34),"")&amp;IF(AP44="is","",""&amp;"&lt;&gt;")&amp;AQ44&amp;IF(ISTEXT(AQ44),CHAR(34),""))</f>
        <v/>
      </c>
      <c r="AU44" s="137" t="str">
        <f t="shared" ref="AU44" si="155">IF(AS44="","",",INDEX(REPORT_FR2052a!$1:$1048576,0,"&amp;AU$2&amp;"),"&amp;IF(ISTEXT(AT44),CHAR(34),"")&amp;IF(AS44="is","",""&amp;"&lt;&gt;")&amp;AT44&amp;IF(ISTEXT(AT44),CHAR(34),""))</f>
        <v/>
      </c>
      <c r="BA44" s="137" t="s">
        <v>12</v>
      </c>
      <c r="BB44" s="137" t="str">
        <f>"=SUMIFS(INDEX(REPORT_FR2052a!$1:$1048576,0,"&amp;(MATCH(BA44,REPORT_FR2052a!$1:$1,0))&amp;")"</f>
        <v>=SUMIFS(INDEX(REPORT_FR2052a!$1:$1048576,0,13)</v>
      </c>
      <c r="BC44" s="137" t="str">
        <f t="shared" si="17"/>
        <v>=SUMIFS(INDEX(REPORT_FR2052a!$1:$1048576,0,13),INDEX(REPORT_FR2052a!$1:$1048576,0,44),"S.I.5")</v>
      </c>
      <c r="BD44" s="141">
        <f>SUMIFS(INDEX(REPORT_FR2052a!$1:$1048576,0,13),INDEX(REPORT_FR2052a!$1:$1048576,0,44),"S.I.5")</f>
        <v>0</v>
      </c>
      <c r="BE44" s="137" t="s">
        <v>331</v>
      </c>
      <c r="BF44" s="139" t="s">
        <v>47</v>
      </c>
      <c r="BG44" s="137" t="str">
        <f t="shared" ref="BG44" si="156">IF(BE44="","",",INDEX(REPORT_FR2052a!$1:$1048576,0,"&amp;BG$2&amp;"),"&amp;IF(ISTEXT(BF44),CHAR(34),"")&amp;IF(BE44="is","",""&amp;"&lt;&gt;")&amp;BF44&amp;IF(ISTEXT(BF44),CHAR(34),""))</f>
        <v>,INDEX(REPORT_FR2052a!$1:$1048576,0,5),"Bank of China - Combined US Branches and Agencies"</v>
      </c>
      <c r="BI44" s="137" t="str">
        <f t="shared" ref="BI44" si="157">LEFT(BC44,LEN(BC44)-1)&amp;BG44&amp;")"</f>
        <v>=SUMIFS(INDEX(REPORT_FR2052a!$1:$1048576,0,13),INDEX(REPORT_FR2052a!$1:$1048576,0,44),"S.I.5",INDEX(REPORT_FR2052a!$1:$1048576,0,5),"Bank of China - Combined US Branches and Agencies")</v>
      </c>
      <c r="BJ44" s="142">
        <f>SUMIFS(INDEX(REPORT_FR2052a!$1:$1048576,0,13),INDEX(REPORT_FR2052a!$1:$1048576,0,44),"S.I.5",INDEX(REPORT_FR2052a!$1:$1048576,0,5),"Bank of China - Combined US Branches and Agencies")</f>
        <v>0</v>
      </c>
      <c r="BK44" s="143">
        <f t="shared" ref="BK44" si="158">BD44-BJ44</f>
        <v>0</v>
      </c>
    </row>
    <row r="45" spans="1:63">
      <c r="A45" s="136">
        <v>39</v>
      </c>
      <c r="B45" s="137" t="str">
        <f>IFERROR(INDEX('LCR TYPE EXPLAIN'!B:B,MATCH(A45,'LCR TYPE EXPLAIN'!A:A,0)),"")</f>
        <v>Insured Other Brokered Retail Deposits with No Maturity (§.32(g)(3))</v>
      </c>
      <c r="F45" s="137" t="s">
        <v>331</v>
      </c>
      <c r="G45" s="138" t="s">
        <v>334</v>
      </c>
      <c r="H45" s="137" t="str">
        <f t="shared" si="98"/>
        <v>,INDEX(REPORT_FR2052a!$1:$1048576,0,44),"O.D.7"</v>
      </c>
      <c r="K45" s="137" t="str">
        <f t="shared" ref="K45" si="159">IF(I45="","",",INDEX(REPORT_FR2052a!$1:$1048576,0,"&amp;K$2&amp;"),"&amp;IF(ISTEXT(J45),CHAR(34),"")&amp;IF(I45="is","",""&amp;"&lt;&gt;")&amp;J45&amp;IF(ISTEXT(J45),CHAR(34),""))</f>
        <v/>
      </c>
      <c r="N45" s="137" t="str">
        <f t="shared" ref="N45" si="160">IF(L45="","",",INDEX(REPORT_FR2052a!$1:$1048576,0,"&amp;N$2&amp;"),"&amp;IF(ISTEXT(M45),CHAR(34),"")&amp;IF(L45="is","",""&amp;"&lt;&gt;")&amp;M45&amp;IF(ISTEXT(M45),CHAR(34),""))</f>
        <v/>
      </c>
      <c r="Q45" s="137" t="str">
        <f t="shared" si="3"/>
        <v/>
      </c>
      <c r="T45" s="137" t="str">
        <f t="shared" ref="T45" si="161">IF(R45="","",",INDEX(REPORT_FR2052a!$1:$1048576,0,"&amp;T$2&amp;"),"&amp;IF(ISTEXT(S45),CHAR(34),"")&amp;IF(R45="is","",""&amp;"&lt;&gt;")&amp;S45&amp;IF(ISTEXT(S45),CHAR(34),""))</f>
        <v/>
      </c>
      <c r="V45" s="139"/>
      <c r="W45" s="137" t="str">
        <f t="shared" ref="W45" si="162">IF(U45="","",",INDEX(REPORT_FR2052a!$1:$1048576,0,"&amp;W$2&amp;"),"&amp;IF(ISTEXT(V45),CHAR(34),"")&amp;IF(U45="is","",""&amp;"&lt;&gt;")&amp;V45&amp;IF(ISTEXT(V45),CHAR(34),""))</f>
        <v/>
      </c>
      <c r="Y45" s="139"/>
      <c r="Z45" s="137" t="str">
        <f t="shared" ref="Z45" si="163">IF(X45="","",",INDEX(REPORT_FR2052a!$1:$1048576,0,"&amp;Z$2&amp;"),"&amp;IF(ISTEXT(Y45),CHAR(34),"")&amp;IF(X45="is","",""&amp;"&lt;&gt;")&amp;Y45&amp;IF(ISTEXT(Y45),CHAR(34),""))</f>
        <v/>
      </c>
      <c r="AA45" s="137" t="s">
        <v>331</v>
      </c>
      <c r="AB45" s="139">
        <v>0</v>
      </c>
      <c r="AC45" s="137" t="str">
        <f t="shared" ref="AC45" si="164">IF(AA45="","",",INDEX(REPORT_FR2052a!$1:$1048576,0,"&amp;AC$2&amp;"),"&amp;IF(ISTEXT(AB45),CHAR(34),"")&amp;IF(AA45="is","",""&amp;"&lt;&gt;")&amp;AB45&amp;IF(ISTEXT(AB45),CHAR(34),""))</f>
        <v>,INDEX(REPORT_FR2052a!$1:$1048576,0,42),0</v>
      </c>
      <c r="AD45" s="137" t="s">
        <v>331</v>
      </c>
      <c r="AE45" s="140" t="s">
        <v>122</v>
      </c>
      <c r="AF45" s="137" t="str">
        <f t="shared" ref="AF45" si="165">IF(AD45="","",",INDEX(REPORT_FR2052a!$1:$1048576,0,"&amp;AF$2&amp;"),"&amp;IF(ISTEXT(AE45),CHAR(34),"")&amp;IF(AD45="is","",""&amp;"&lt;&gt;")&amp;AE45&amp;IF(ISTEXT(AE45),CHAR(34),""))</f>
        <v>,INDEX(REPORT_FR2052a!$1:$1048576,0,26),"Retail"</v>
      </c>
      <c r="AH45" s="139"/>
      <c r="AI45" s="137" t="str">
        <f t="shared" ref="AI45" si="166">IF(AG45="","",",INDEX(REPORT_FR2052a!$1:$1048576,0,"&amp;AI$2&amp;"),"&amp;IF(ISTEXT(AH45),CHAR(34),"")&amp;IF(AG45="is","",""&amp;"&lt;&gt;")&amp;AH45&amp;IF(ISTEXT(AH45),CHAR(34),""))</f>
        <v/>
      </c>
      <c r="AJ45" s="137" t="s">
        <v>331</v>
      </c>
      <c r="AK45" s="139" t="s">
        <v>154</v>
      </c>
      <c r="AL45" s="137" t="str">
        <f t="shared" ref="AL45" si="167">IF(AJ45="","",",INDEX(REPORT_FR2052a!$1:$1048576,0,"&amp;AL$2&amp;"),"&amp;IF(ISTEXT(AK45),CHAR(34),"")&amp;IF(AJ45="is","",""&amp;"&lt;&gt;")&amp;AK45&amp;IF(ISTEXT(AK45),CHAR(34),""))</f>
        <v>,INDEX(REPORT_FR2052a!$1:$1048576,0,27),"FDIC"</v>
      </c>
      <c r="AO45" s="137" t="str">
        <f t="shared" si="11"/>
        <v/>
      </c>
      <c r="AR45" s="137" t="str">
        <f t="shared" ref="AR45" si="168">IF(AP45="","",",INDEX(REPORT_FR2052a!$1:$1048576,0,"&amp;AR$2&amp;"),"&amp;IF(ISTEXT(AQ45),CHAR(34),"")&amp;IF(AP45="is","",""&amp;"&lt;&gt;")&amp;AQ45&amp;IF(ISTEXT(AQ45),CHAR(34),""))</f>
        <v/>
      </c>
      <c r="AU45" s="137" t="str">
        <f t="shared" si="15"/>
        <v/>
      </c>
      <c r="BA45" s="137" t="s">
        <v>13</v>
      </c>
      <c r="BB45" s="137" t="str">
        <f>"=SUMIFS(INDEX(REPORT_FR2052a!$1:$1048576,0,"&amp;(MATCH(BA45,REPORT_FR2052a!$1:$1,0))&amp;")"</f>
        <v>=SUMIFS(INDEX(REPORT_FR2052a!$1:$1048576,0,14)</v>
      </c>
      <c r="BC45" s="137" t="str">
        <f t="shared" si="17"/>
        <v>=SUMIFS(INDEX(REPORT_FR2052a!$1:$1048576,0,14),INDEX(REPORT_FR2052a!$1:$1048576,0,44),"O.D.7",INDEX(REPORT_FR2052a!$1:$1048576,0,42),0,INDEX(REPORT_FR2052a!$1:$1048576,0,26),"Retail",INDEX(REPORT_FR2052a!$1:$1048576,0,27),"FDIC")</v>
      </c>
      <c r="BD45" s="141">
        <f>SUMIFS(INDEX(REPORT_FR2052a!$1:$1048576,0,14),INDEX(REPORT_FR2052a!$1:$1048576,0,44),"O.D.7",INDEX(REPORT_FR2052a!$1:$1048576,0,42),0,INDEX(REPORT_FR2052a!$1:$1048576,0,26),"Retail",INDEX(REPORT_FR2052a!$1:$1048576,0,27),"FDIC")</f>
        <v>70.7</v>
      </c>
      <c r="BE45" s="137" t="s">
        <v>331</v>
      </c>
      <c r="BF45" s="139" t="s">
        <v>47</v>
      </c>
      <c r="BG45" s="137" t="str">
        <f t="shared" ref="BG45" si="169">IF(BE45="","",",INDEX(REPORT_FR2052a!$1:$1048576,0,"&amp;BG$2&amp;"),"&amp;IF(ISTEXT(BF45),CHAR(34),"")&amp;IF(BE45="is","",""&amp;"&lt;&gt;")&amp;BF45&amp;IF(ISTEXT(BF45),CHAR(34),""))</f>
        <v>,INDEX(REPORT_FR2052a!$1:$1048576,0,5),"Bank of China - Combined US Branches and Agencies"</v>
      </c>
      <c r="BI45" s="137" t="str">
        <f t="shared" si="18"/>
        <v>=SUMIFS(INDEX(REPORT_FR2052a!$1:$1048576,0,14),INDEX(REPORT_FR2052a!$1:$1048576,0,44),"O.D.7",INDEX(REPORT_FR2052a!$1:$1048576,0,42),0,INDEX(REPORT_FR2052a!$1:$1048576,0,26),"Retail",INDEX(REPORT_FR2052a!$1:$1048576,0,27),"FDIC",INDEX(REPORT_FR2052a!$1:$1048576,0,5),"Bank of China - Combined US Branches and Agencies")</v>
      </c>
      <c r="BJ45" s="142">
        <f>SUMIFS(INDEX(REPORT_FR2052a!$1:$1048576,0,14),INDEX(REPORT_FR2052a!$1:$1048576,0,44),"O.D.7",INDEX(REPORT_FR2052a!$1:$1048576,0,42),0,INDEX(REPORT_FR2052a!$1:$1048576,0,26),"Retail",INDEX(REPORT_FR2052a!$1:$1048576,0,27),"FDIC",INDEX(REPORT_FR2052a!$1:$1048576,0,5),"Bank of China - Combined US Branches and Agencies")</f>
        <v>70.7</v>
      </c>
      <c r="BK45" s="143">
        <f t="shared" si="19"/>
        <v>0</v>
      </c>
    </row>
    <row r="46" spans="1:63">
      <c r="A46" s="136">
        <v>44</v>
      </c>
      <c r="B46" s="137" t="str">
        <f>IFERROR(INDEX('LCR TYPE EXPLAIN'!B:B,MATCH(A46,'LCR TYPE EXPLAIN'!A:A,0)),"")</f>
        <v>Insured Non-Affiliated Sweeps (§.32(g)(8))</v>
      </c>
      <c r="F46" s="137" t="s">
        <v>331</v>
      </c>
      <c r="G46" s="138" t="s">
        <v>406</v>
      </c>
      <c r="H46" s="137" t="str">
        <f t="shared" si="98"/>
        <v>,INDEX(REPORT_FR2052a!$1:$1048576,0,44),"O.D.9"</v>
      </c>
      <c r="K46" s="137" t="str">
        <f t="shared" si="1"/>
        <v/>
      </c>
      <c r="N46" s="137" t="str">
        <f t="shared" si="2"/>
        <v/>
      </c>
      <c r="Q46" s="137" t="str">
        <f t="shared" ref="Q46" si="170">IF(O46="","",",INDEX(REPORT_FR2052a!$1:$1048576,0,"&amp;Q$2&amp;"),"&amp;IF(OR(ISTEXT(P46),ISBLANK(P46)),CHAR(34),"")&amp;IF(O46="is","",""&amp;"&lt;&gt;")&amp;P46&amp;IF(OR(ISTEXT(P46),ISBLANK(P46)),CHAR(34),""))</f>
        <v/>
      </c>
      <c r="T46" s="137" t="str">
        <f t="shared" si="4"/>
        <v/>
      </c>
      <c r="V46" s="139"/>
      <c r="W46" s="137" t="str">
        <f t="shared" si="5"/>
        <v/>
      </c>
      <c r="Y46" s="139"/>
      <c r="Z46" s="137" t="str">
        <f t="shared" si="6"/>
        <v/>
      </c>
      <c r="AB46" s="139"/>
      <c r="AC46" s="137" t="str">
        <f t="shared" si="7"/>
        <v/>
      </c>
      <c r="AD46" s="137" t="s">
        <v>331</v>
      </c>
      <c r="AE46" s="140" t="s">
        <v>122</v>
      </c>
      <c r="AF46" s="137" t="str">
        <f t="shared" si="8"/>
        <v>,INDEX(REPORT_FR2052a!$1:$1048576,0,26),"Retail"</v>
      </c>
      <c r="AH46" s="139"/>
      <c r="AI46" s="137" t="str">
        <f t="shared" si="9"/>
        <v/>
      </c>
      <c r="AJ46" s="137" t="s">
        <v>331</v>
      </c>
      <c r="AK46" s="139" t="s">
        <v>154</v>
      </c>
      <c r="AL46" s="137" t="str">
        <f t="shared" si="10"/>
        <v>,INDEX(REPORT_FR2052a!$1:$1048576,0,27),"FDIC"</v>
      </c>
      <c r="AO46" s="137" t="str">
        <f t="shared" ref="AO46" si="171">IF(AM46="","",",INDEX(REPORT_FR2052a!$1:$1048576,0,"&amp;AO$2&amp;"),"&amp;IF(ISTEXT(AN46),CHAR(34),"")&amp;IF(AM46="is","",""&amp;"&lt;&gt;")&amp;AN46&amp;IF(ISTEXT(AN46),CHAR(34),""))</f>
        <v/>
      </c>
      <c r="AR46" s="137" t="str">
        <f t="shared" si="14"/>
        <v/>
      </c>
      <c r="AU46" s="137" t="str">
        <f t="shared" si="15"/>
        <v/>
      </c>
      <c r="BA46" s="137" t="s">
        <v>13</v>
      </c>
      <c r="BB46" s="137" t="str">
        <f>"=SUMIFS(INDEX(REPORT_FR2052a!$1:$1048576,0,"&amp;(MATCH(BA46,REPORT_FR2052a!$1:$1,0))&amp;")"</f>
        <v>=SUMIFS(INDEX(REPORT_FR2052a!$1:$1048576,0,14)</v>
      </c>
      <c r="BC46" s="137" t="str">
        <f t="shared" si="17"/>
        <v>=SUMIFS(INDEX(REPORT_FR2052a!$1:$1048576,0,14),INDEX(REPORT_FR2052a!$1:$1048576,0,44),"O.D.9",INDEX(REPORT_FR2052a!$1:$1048576,0,26),"Retail",INDEX(REPORT_FR2052a!$1:$1048576,0,27),"FDIC")</v>
      </c>
      <c r="BD46" s="141">
        <f>SUMIFS(INDEX(REPORT_FR2052a!$1:$1048576,0,14),INDEX(REPORT_FR2052a!$1:$1048576,0,44),"O.D.9",INDEX(REPORT_FR2052a!$1:$1048576,0,26),"Retail",INDEX(REPORT_FR2052a!$1:$1048576,0,27),"FDIC")</f>
        <v>2989.07</v>
      </c>
      <c r="BE46" s="137" t="s">
        <v>331</v>
      </c>
      <c r="BF46" s="139" t="s">
        <v>47</v>
      </c>
      <c r="BG46" s="137" t="str">
        <f t="shared" si="13"/>
        <v>,INDEX(REPORT_FR2052a!$1:$1048576,0,5),"Bank of China - Combined US Branches and Agencies"</v>
      </c>
      <c r="BI46" s="137" t="str">
        <f t="shared" ref="BI46" si="172">LEFT(BC46,LEN(BC46)-1)&amp;BG46&amp;")"</f>
        <v>=SUMIFS(INDEX(REPORT_FR2052a!$1:$1048576,0,14),INDEX(REPORT_FR2052a!$1:$1048576,0,44),"O.D.9",INDEX(REPORT_FR2052a!$1:$1048576,0,26),"Retail",INDEX(REPORT_FR2052a!$1:$1048576,0,27),"FDIC",INDEX(REPORT_FR2052a!$1:$1048576,0,5),"Bank of China - Combined US Branches and Agencies")</v>
      </c>
      <c r="BJ46" s="142">
        <f>SUMIFS(INDEX(REPORT_FR2052a!$1:$1048576,0,14),INDEX(REPORT_FR2052a!$1:$1048576,0,44),"O.D.9",INDEX(REPORT_FR2052a!$1:$1048576,0,26),"Retail",INDEX(REPORT_FR2052a!$1:$1048576,0,27),"FDIC",INDEX(REPORT_FR2052a!$1:$1048576,0,5),"Bank of China - Combined US Branches and Agencies")</f>
        <v>2989.07</v>
      </c>
      <c r="BK46" s="143">
        <f t="shared" ref="BK46" si="173">BD46-BJ46</f>
        <v>0</v>
      </c>
    </row>
    <row r="47" spans="1:63">
      <c r="A47" s="136">
        <v>46</v>
      </c>
      <c r="B47" s="137" t="str">
        <f>IFERROR(INDEX('LCR TYPE EXPLAIN'!B:B,MATCH(A47,'LCR TYPE EXPLAIN'!A:A,0)),"")</f>
        <v>Insured Unsecured Wholesale Non-Operational Non-Financial (§.32(h)(1)(i))</v>
      </c>
      <c r="F47" s="137" t="s">
        <v>331</v>
      </c>
      <c r="G47" s="138" t="s">
        <v>329</v>
      </c>
      <c r="H47" s="137" t="str">
        <f t="shared" si="98"/>
        <v>,INDEX(REPORT_FR2052a!$1:$1048576,0,44),"O.D.5"</v>
      </c>
      <c r="I47" s="137" t="s">
        <v>331</v>
      </c>
      <c r="J47" s="137">
        <v>1</v>
      </c>
      <c r="K47" s="137" t="str">
        <f t="shared" si="1"/>
        <v>,INDEX(REPORT_FR2052a!$1:$1048576,0,43),1</v>
      </c>
      <c r="N47" s="137" t="str">
        <f t="shared" si="2"/>
        <v/>
      </c>
      <c r="Q47" s="137" t="str">
        <f t="shared" si="3"/>
        <v/>
      </c>
      <c r="T47" s="137" t="str">
        <f t="shared" si="4"/>
        <v/>
      </c>
      <c r="V47" s="139"/>
      <c r="W47" s="137" t="str">
        <f t="shared" si="5"/>
        <v/>
      </c>
      <c r="Y47" s="139"/>
      <c r="Z47" s="137" t="str">
        <f t="shared" si="6"/>
        <v/>
      </c>
      <c r="AB47" s="139"/>
      <c r="AC47" s="137" t="str">
        <f t="shared" si="7"/>
        <v/>
      </c>
      <c r="AD47" s="137" t="s">
        <v>331</v>
      </c>
      <c r="AE47" s="140" t="s">
        <v>162</v>
      </c>
      <c r="AF47" s="137" t="str">
        <f t="shared" si="8"/>
        <v>,INDEX(REPORT_FR2052a!$1:$1048576,0,26),"Sovereign"</v>
      </c>
      <c r="AH47" s="139"/>
      <c r="AI47" s="137" t="str">
        <f t="shared" si="9"/>
        <v/>
      </c>
      <c r="AJ47" s="137" t="s">
        <v>331</v>
      </c>
      <c r="AK47" s="139" t="s">
        <v>154</v>
      </c>
      <c r="AL47" s="137" t="str">
        <f t="shared" si="10"/>
        <v>,INDEX(REPORT_FR2052a!$1:$1048576,0,27),"FDIC"</v>
      </c>
      <c r="AO47" s="137" t="str">
        <f t="shared" si="11"/>
        <v/>
      </c>
      <c r="AR47" s="137" t="str">
        <f t="shared" si="14"/>
        <v/>
      </c>
      <c r="AU47" s="137" t="str">
        <f t="shared" si="15"/>
        <v/>
      </c>
      <c r="BA47" s="137" t="s">
        <v>13</v>
      </c>
      <c r="BB47" s="137" t="str">
        <f>"=SUMIFS(INDEX(REPORT_FR2052a!$1:$1048576,0,"&amp;(MATCH(BA47,REPORT_FR2052a!$1:$1,0))&amp;")"</f>
        <v>=SUMIFS(INDEX(REPORT_FR2052a!$1:$1048576,0,14)</v>
      </c>
      <c r="BC47" s="137" t="str">
        <f t="shared" si="17"/>
        <v>=SUMIFS(INDEX(REPORT_FR2052a!$1:$1048576,0,14),INDEX(REPORT_FR2052a!$1:$1048576,0,44),"O.D.5",INDEX(REPORT_FR2052a!$1:$1048576,0,43),1,INDEX(REPORT_FR2052a!$1:$1048576,0,26),"Sovereign",INDEX(REPORT_FR2052a!$1:$1048576,0,27),"FDIC")</v>
      </c>
      <c r="BD47" s="141">
        <f>SUMIFS(INDEX(REPORT_FR2052a!$1:$1048576,0,14),INDEX(REPORT_FR2052a!$1:$1048576,0,44),"O.D.5",INDEX(REPORT_FR2052a!$1:$1048576,0,43),1,INDEX(REPORT_FR2052a!$1:$1048576,0,26),"Sovereign",INDEX(REPORT_FR2052a!$1:$1048576,0,27),"FDIC")</f>
        <v>0.06</v>
      </c>
      <c r="BE47" s="137" t="s">
        <v>331</v>
      </c>
      <c r="BF47" s="139" t="s">
        <v>47</v>
      </c>
      <c r="BG47" s="137" t="str">
        <f t="shared" si="13"/>
        <v>,INDEX(REPORT_FR2052a!$1:$1048576,0,5),"Bank of China - Combined US Branches and Agencies"</v>
      </c>
      <c r="BI47" s="137" t="str">
        <f t="shared" si="18"/>
        <v>=SUMIFS(INDEX(REPORT_FR2052a!$1:$1048576,0,14),INDEX(REPORT_FR2052a!$1:$1048576,0,44),"O.D.5",INDEX(REPORT_FR2052a!$1:$1048576,0,43),1,INDEX(REPORT_FR2052a!$1:$1048576,0,26),"Sovereign",INDEX(REPORT_FR2052a!$1:$1048576,0,27),"FDIC",INDEX(REPORT_FR2052a!$1:$1048576,0,5),"Bank of China - Combined US Branches and Agencies")</v>
      </c>
      <c r="BJ47" s="142">
        <f>SUMIFS(INDEX(REPORT_FR2052a!$1:$1048576,0,14),INDEX(REPORT_FR2052a!$1:$1048576,0,44),"O.D.5",INDEX(REPORT_FR2052a!$1:$1048576,0,43),1,INDEX(REPORT_FR2052a!$1:$1048576,0,26),"Sovereign",INDEX(REPORT_FR2052a!$1:$1048576,0,27),"FDIC",INDEX(REPORT_FR2052a!$1:$1048576,0,5),"Bank of China - Combined US Branches and Agencies")</f>
        <v>0.06</v>
      </c>
      <c r="BK47" s="143">
        <f t="shared" si="19"/>
        <v>0</v>
      </c>
    </row>
    <row r="48" spans="1:63">
      <c r="A48" s="136">
        <v>46</v>
      </c>
      <c r="B48" s="137" t="str">
        <f>IFERROR(INDEX('LCR TYPE EXPLAIN'!B:B,MATCH(A48,'LCR TYPE EXPLAIN'!A:A,0)),"")</f>
        <v>Insured Unsecured Wholesale Non-Operational Non-Financial (§.32(h)(1)(i))</v>
      </c>
      <c r="F48" s="137" t="s">
        <v>331</v>
      </c>
      <c r="G48" s="138" t="s">
        <v>329</v>
      </c>
      <c r="H48" s="137" t="str">
        <f t="shared" si="98"/>
        <v>,INDEX(REPORT_FR2052a!$1:$1048576,0,44),"O.D.5"</v>
      </c>
      <c r="I48" s="137" t="s">
        <v>331</v>
      </c>
      <c r="J48" s="137">
        <v>1</v>
      </c>
      <c r="K48" s="137" t="str">
        <f t="shared" ref="K48:K118" si="174">IF(I48="","",",INDEX(REPORT_FR2052a!$1:$1048576,0,"&amp;K$2&amp;"),"&amp;IF(ISTEXT(J48),CHAR(34),"")&amp;IF(I48="is","",""&amp;"&lt;&gt;")&amp;J48&amp;IF(ISTEXT(J48),CHAR(34),""))</f>
        <v>,INDEX(REPORT_FR2052a!$1:$1048576,0,43),1</v>
      </c>
      <c r="N48" s="137" t="str">
        <f t="shared" ref="N48:N118" si="175">IF(L48="","",",INDEX(REPORT_FR2052a!$1:$1048576,0,"&amp;N$2&amp;"),"&amp;IF(ISTEXT(M48),CHAR(34),"")&amp;IF(L48="is","",""&amp;"&lt;&gt;")&amp;M48&amp;IF(ISTEXT(M48),CHAR(34),""))</f>
        <v/>
      </c>
      <c r="Q48" s="137" t="str">
        <f t="shared" si="3"/>
        <v/>
      </c>
      <c r="T48" s="137" t="str">
        <f t="shared" ref="T48:T118" si="176">IF(R48="","",",INDEX(REPORT_FR2052a!$1:$1048576,0,"&amp;T$2&amp;"),"&amp;IF(ISTEXT(S48),CHAR(34),"")&amp;IF(R48="is","",""&amp;"&lt;&gt;")&amp;S48&amp;IF(ISTEXT(S48),CHAR(34),""))</f>
        <v/>
      </c>
      <c r="V48" s="139"/>
      <c r="W48" s="137" t="str">
        <f t="shared" ref="W48:W118" si="177">IF(U48="","",",INDEX(REPORT_FR2052a!$1:$1048576,0,"&amp;W$2&amp;"),"&amp;IF(ISTEXT(V48),CHAR(34),"")&amp;IF(U48="is","",""&amp;"&lt;&gt;")&amp;V48&amp;IF(ISTEXT(V48),CHAR(34),""))</f>
        <v/>
      </c>
      <c r="Y48" s="139"/>
      <c r="Z48" s="137" t="str">
        <f t="shared" ref="Z48:Z118" si="178">IF(X48="","",",INDEX(REPORT_FR2052a!$1:$1048576,0,"&amp;Z$2&amp;"),"&amp;IF(ISTEXT(Y48),CHAR(34),"")&amp;IF(X48="is","",""&amp;"&lt;&gt;")&amp;Y48&amp;IF(ISTEXT(Y48),CHAR(34),""))</f>
        <v/>
      </c>
      <c r="AB48" s="139"/>
      <c r="AC48" s="137" t="str">
        <f t="shared" ref="AC48:AC117" si="179">IF(AA48="","",",INDEX(REPORT_FR2052a!$1:$1048576,0,"&amp;AC$2&amp;"),"&amp;IF(ISTEXT(AB48),CHAR(34),"")&amp;IF(AA48="is","",""&amp;"&lt;&gt;")&amp;AB48&amp;IF(ISTEXT(AB48),CHAR(34),""))</f>
        <v/>
      </c>
      <c r="AD48" s="137" t="s">
        <v>331</v>
      </c>
      <c r="AE48" s="140" t="s">
        <v>84</v>
      </c>
      <c r="AF48" s="137" t="str">
        <f t="shared" ref="AF48:AF118" si="180">IF(AD48="","",",INDEX(REPORT_FR2052a!$1:$1048576,0,"&amp;AF$2&amp;"),"&amp;IF(ISTEXT(AE48),CHAR(34),"")&amp;IF(AD48="is","",""&amp;"&lt;&gt;")&amp;AE48&amp;IF(ISTEXT(AE48),CHAR(34),""))</f>
        <v>,INDEX(REPORT_FR2052a!$1:$1048576,0,26),"Non-Financial Corporate"</v>
      </c>
      <c r="AH48" s="139"/>
      <c r="AI48" s="137" t="str">
        <f t="shared" ref="AI48:AI118" si="181">IF(AG48="","",",INDEX(REPORT_FR2052a!$1:$1048576,0,"&amp;AI$2&amp;"),"&amp;IF(ISTEXT(AH48),CHAR(34),"")&amp;IF(AG48="is","",""&amp;"&lt;&gt;")&amp;AH48&amp;IF(ISTEXT(AH48),CHAR(34),""))</f>
        <v/>
      </c>
      <c r="AJ48" s="137" t="s">
        <v>331</v>
      </c>
      <c r="AK48" s="139" t="s">
        <v>154</v>
      </c>
      <c r="AL48" s="137" t="str">
        <f t="shared" ref="AL48:AL118" si="182">IF(AJ48="","",",INDEX(REPORT_FR2052a!$1:$1048576,0,"&amp;AL$2&amp;"),"&amp;IF(ISTEXT(AK48),CHAR(34),"")&amp;IF(AJ48="is","",""&amp;"&lt;&gt;")&amp;AK48&amp;IF(ISTEXT(AK48),CHAR(34),""))</f>
        <v>,INDEX(REPORT_FR2052a!$1:$1048576,0,27),"FDIC"</v>
      </c>
      <c r="AO48" s="137" t="str">
        <f t="shared" si="11"/>
        <v/>
      </c>
      <c r="AR48" s="137" t="str">
        <f t="shared" si="14"/>
        <v/>
      </c>
      <c r="AU48" s="137" t="str">
        <f t="shared" si="15"/>
        <v/>
      </c>
      <c r="BA48" s="137" t="s">
        <v>13</v>
      </c>
      <c r="BB48" s="137" t="str">
        <f>"=SUMIFS(INDEX(REPORT_FR2052a!$1:$1048576,0,"&amp;(MATCH(BA48,REPORT_FR2052a!$1:$1,0))&amp;")"</f>
        <v>=SUMIFS(INDEX(REPORT_FR2052a!$1:$1048576,0,14)</v>
      </c>
      <c r="BC48" s="137" t="str">
        <f t="shared" si="17"/>
        <v>=SUMIFS(INDEX(REPORT_FR2052a!$1:$1048576,0,14),INDEX(REPORT_FR2052a!$1:$1048576,0,44),"O.D.5",INDEX(REPORT_FR2052a!$1:$1048576,0,43),1,INDEX(REPORT_FR2052a!$1:$1048576,0,26),"Non-Financial Corporate",INDEX(REPORT_FR2052a!$1:$1048576,0,27),"FDIC")</v>
      </c>
      <c r="BD48" s="141">
        <f>SUMIFS(INDEX(REPORT_FR2052a!$1:$1048576,0,14),INDEX(REPORT_FR2052a!$1:$1048576,0,44),"O.D.5",INDEX(REPORT_FR2052a!$1:$1048576,0,43),1,INDEX(REPORT_FR2052a!$1:$1048576,0,26),"Non-Financial Corporate",INDEX(REPORT_FR2052a!$1:$1048576,0,27),"FDIC")</f>
        <v>15.019999999999998</v>
      </c>
      <c r="BE48" s="137" t="s">
        <v>331</v>
      </c>
      <c r="BF48" s="139" t="s">
        <v>47</v>
      </c>
      <c r="BG48" s="137" t="str">
        <f t="shared" ref="BG48:BG118" si="183">IF(BE48="","",",INDEX(REPORT_FR2052a!$1:$1048576,0,"&amp;BG$2&amp;"),"&amp;IF(ISTEXT(BF48),CHAR(34),"")&amp;IF(BE48="is","",""&amp;"&lt;&gt;")&amp;BF48&amp;IF(ISTEXT(BF48),CHAR(34),""))</f>
        <v>,INDEX(REPORT_FR2052a!$1:$1048576,0,5),"Bank of China - Combined US Branches and Agencies"</v>
      </c>
      <c r="BI48" s="137" t="str">
        <f t="shared" si="18"/>
        <v>=SUMIFS(INDEX(REPORT_FR2052a!$1:$1048576,0,14),INDEX(REPORT_FR2052a!$1:$1048576,0,44),"O.D.5",INDEX(REPORT_FR2052a!$1:$1048576,0,43),1,INDEX(REPORT_FR2052a!$1:$1048576,0,26),"Non-Financial Corporate",INDEX(REPORT_FR2052a!$1:$1048576,0,27),"FDIC",INDEX(REPORT_FR2052a!$1:$1048576,0,5),"Bank of China - Combined US Branches and Agencies")</v>
      </c>
      <c r="BJ48" s="142">
        <f>SUMIFS(INDEX(REPORT_FR2052a!$1:$1048576,0,14),INDEX(REPORT_FR2052a!$1:$1048576,0,44),"O.D.5",INDEX(REPORT_FR2052a!$1:$1048576,0,43),1,INDEX(REPORT_FR2052a!$1:$1048576,0,26),"Non-Financial Corporate",INDEX(REPORT_FR2052a!$1:$1048576,0,27),"FDIC",INDEX(REPORT_FR2052a!$1:$1048576,0,5),"Bank of China - Combined US Branches and Agencies")</f>
        <v>15.019999999999998</v>
      </c>
      <c r="BK48" s="143">
        <f t="shared" si="19"/>
        <v>0</v>
      </c>
    </row>
    <row r="49" spans="1:63">
      <c r="A49" s="136">
        <v>46</v>
      </c>
      <c r="B49" s="137" t="str">
        <f>IFERROR(INDEX('LCR TYPE EXPLAIN'!B:B,MATCH(A49,'LCR TYPE EXPLAIN'!A:A,0)),"")</f>
        <v>Insured Unsecured Wholesale Non-Operational Non-Financial (§.32(h)(1)(i))</v>
      </c>
      <c r="F49" s="137" t="s">
        <v>331</v>
      </c>
      <c r="G49" s="138" t="s">
        <v>329</v>
      </c>
      <c r="H49" s="137" t="str">
        <f t="shared" si="98"/>
        <v>,INDEX(REPORT_FR2052a!$1:$1048576,0,44),"O.D.5"</v>
      </c>
      <c r="I49" s="137" t="s">
        <v>331</v>
      </c>
      <c r="J49" s="137">
        <v>1</v>
      </c>
      <c r="K49" s="137" t="str">
        <f t="shared" si="174"/>
        <v>,INDEX(REPORT_FR2052a!$1:$1048576,0,43),1</v>
      </c>
      <c r="N49" s="137" t="str">
        <f t="shared" si="175"/>
        <v/>
      </c>
      <c r="Q49" s="137" t="str">
        <f t="shared" si="3"/>
        <v/>
      </c>
      <c r="T49" s="137" t="str">
        <f t="shared" si="176"/>
        <v/>
      </c>
      <c r="V49" s="139"/>
      <c r="W49" s="137" t="str">
        <f t="shared" si="177"/>
        <v/>
      </c>
      <c r="Y49" s="139"/>
      <c r="Z49" s="137" t="str">
        <f t="shared" si="178"/>
        <v/>
      </c>
      <c r="AB49" s="139"/>
      <c r="AC49" s="137" t="str">
        <f t="shared" si="179"/>
        <v/>
      </c>
      <c r="AD49" s="137" t="s">
        <v>331</v>
      </c>
      <c r="AE49" s="140" t="s">
        <v>158</v>
      </c>
      <c r="AF49" s="137" t="str">
        <f t="shared" si="180"/>
        <v>,INDEX(REPORT_FR2052a!$1:$1048576,0,26),"Central Bank"</v>
      </c>
      <c r="AH49" s="139"/>
      <c r="AI49" s="137" t="str">
        <f t="shared" si="181"/>
        <v/>
      </c>
      <c r="AJ49" s="137" t="s">
        <v>331</v>
      </c>
      <c r="AK49" s="139" t="s">
        <v>154</v>
      </c>
      <c r="AL49" s="137" t="str">
        <f t="shared" si="182"/>
        <v>,INDEX(REPORT_FR2052a!$1:$1048576,0,27),"FDIC"</v>
      </c>
      <c r="AO49" s="137" t="str">
        <f t="shared" si="11"/>
        <v/>
      </c>
      <c r="AR49" s="137" t="str">
        <f t="shared" si="14"/>
        <v/>
      </c>
      <c r="AU49" s="137" t="str">
        <f t="shared" si="15"/>
        <v/>
      </c>
      <c r="BA49" s="137" t="s">
        <v>13</v>
      </c>
      <c r="BB49" s="137" t="str">
        <f>"=SUMIFS(INDEX(REPORT_FR2052a!$1:$1048576,0,"&amp;(MATCH(BA49,REPORT_FR2052a!$1:$1,0))&amp;")"</f>
        <v>=SUMIFS(INDEX(REPORT_FR2052a!$1:$1048576,0,14)</v>
      </c>
      <c r="BC49" s="137" t="str">
        <f t="shared" si="17"/>
        <v>=SUMIFS(INDEX(REPORT_FR2052a!$1:$1048576,0,14),INDEX(REPORT_FR2052a!$1:$1048576,0,44),"O.D.5",INDEX(REPORT_FR2052a!$1:$1048576,0,43),1,INDEX(REPORT_FR2052a!$1:$1048576,0,26),"Central Bank",INDEX(REPORT_FR2052a!$1:$1048576,0,27),"FDIC")</v>
      </c>
      <c r="BD49" s="141">
        <f>SUMIFS(INDEX(REPORT_FR2052a!$1:$1048576,0,14),INDEX(REPORT_FR2052a!$1:$1048576,0,44),"O.D.5",INDEX(REPORT_FR2052a!$1:$1048576,0,43),1,INDEX(REPORT_FR2052a!$1:$1048576,0,26),"Central Bank",INDEX(REPORT_FR2052a!$1:$1048576,0,27),"FDIC")</f>
        <v>0</v>
      </c>
      <c r="BE49" s="137" t="s">
        <v>331</v>
      </c>
      <c r="BF49" s="139" t="s">
        <v>47</v>
      </c>
      <c r="BG49" s="137" t="str">
        <f t="shared" si="183"/>
        <v>,INDEX(REPORT_FR2052a!$1:$1048576,0,5),"Bank of China - Combined US Branches and Agencies"</v>
      </c>
      <c r="BI49" s="137" t="str">
        <f t="shared" si="18"/>
        <v>=SUMIFS(INDEX(REPORT_FR2052a!$1:$1048576,0,14),INDEX(REPORT_FR2052a!$1:$1048576,0,44),"O.D.5",INDEX(REPORT_FR2052a!$1:$1048576,0,43),1,INDEX(REPORT_FR2052a!$1:$1048576,0,26),"Central Bank",INDEX(REPORT_FR2052a!$1:$1048576,0,27),"FDIC",INDEX(REPORT_FR2052a!$1:$1048576,0,5),"Bank of China - Combined US Branches and Agencies")</v>
      </c>
      <c r="BJ49" s="142">
        <f>SUMIFS(INDEX(REPORT_FR2052a!$1:$1048576,0,14),INDEX(REPORT_FR2052a!$1:$1048576,0,44),"O.D.5",INDEX(REPORT_FR2052a!$1:$1048576,0,43),1,INDEX(REPORT_FR2052a!$1:$1048576,0,26),"Central Bank",INDEX(REPORT_FR2052a!$1:$1048576,0,27),"FDIC",INDEX(REPORT_FR2052a!$1:$1048576,0,5),"Bank of China - Combined US Branches and Agencies")</f>
        <v>0</v>
      </c>
      <c r="BK49" s="143">
        <f t="shared" si="19"/>
        <v>0</v>
      </c>
    </row>
    <row r="50" spans="1:63">
      <c r="A50" s="136">
        <v>46</v>
      </c>
      <c r="B50" s="137" t="str">
        <f>IFERROR(INDEX('LCR TYPE EXPLAIN'!B:B,MATCH(A50,'LCR TYPE EXPLAIN'!A:A,0)),"")</f>
        <v>Insured Unsecured Wholesale Non-Operational Non-Financial (§.32(h)(1)(i))</v>
      </c>
      <c r="F50" s="137" t="s">
        <v>331</v>
      </c>
      <c r="G50" s="138" t="s">
        <v>329</v>
      </c>
      <c r="H50" s="137" t="str">
        <f t="shared" si="98"/>
        <v>,INDEX(REPORT_FR2052a!$1:$1048576,0,44),"O.D.5"</v>
      </c>
      <c r="I50" s="137" t="s">
        <v>331</v>
      </c>
      <c r="J50" s="137">
        <v>1</v>
      </c>
      <c r="K50" s="137" t="str">
        <f t="shared" si="174"/>
        <v>,INDEX(REPORT_FR2052a!$1:$1048576,0,43),1</v>
      </c>
      <c r="N50" s="137" t="str">
        <f t="shared" si="175"/>
        <v/>
      </c>
      <c r="Q50" s="137" t="str">
        <f t="shared" si="3"/>
        <v/>
      </c>
      <c r="T50" s="137" t="str">
        <f t="shared" si="176"/>
        <v/>
      </c>
      <c r="V50" s="139"/>
      <c r="W50" s="137" t="str">
        <f t="shared" si="177"/>
        <v/>
      </c>
      <c r="Y50" s="139"/>
      <c r="Z50" s="137" t="str">
        <f t="shared" si="178"/>
        <v/>
      </c>
      <c r="AB50" s="139"/>
      <c r="AC50" s="137" t="str">
        <f t="shared" si="179"/>
        <v/>
      </c>
      <c r="AD50" s="137" t="s">
        <v>331</v>
      </c>
      <c r="AE50" s="140" t="s">
        <v>136</v>
      </c>
      <c r="AF50" s="137" t="str">
        <f t="shared" si="180"/>
        <v>,INDEX(REPORT_FR2052a!$1:$1048576,0,26),"Other"</v>
      </c>
      <c r="AH50" s="139"/>
      <c r="AI50" s="137" t="str">
        <f t="shared" si="181"/>
        <v/>
      </c>
      <c r="AJ50" s="137" t="s">
        <v>331</v>
      </c>
      <c r="AK50" s="139" t="s">
        <v>154</v>
      </c>
      <c r="AL50" s="137" t="str">
        <f t="shared" si="182"/>
        <v>,INDEX(REPORT_FR2052a!$1:$1048576,0,27),"FDIC"</v>
      </c>
      <c r="AO50" s="137" t="str">
        <f t="shared" si="11"/>
        <v/>
      </c>
      <c r="AR50" s="137" t="str">
        <f t="shared" si="14"/>
        <v/>
      </c>
      <c r="AU50" s="137" t="str">
        <f t="shared" si="15"/>
        <v/>
      </c>
      <c r="BA50" s="137" t="s">
        <v>13</v>
      </c>
      <c r="BB50" s="137" t="str">
        <f>"=SUMIFS(INDEX(REPORT_FR2052a!$1:$1048576,0,"&amp;(MATCH(BA50,REPORT_FR2052a!$1:$1,0))&amp;")"</f>
        <v>=SUMIFS(INDEX(REPORT_FR2052a!$1:$1048576,0,14)</v>
      </c>
      <c r="BC50" s="137" t="str">
        <f t="shared" si="17"/>
        <v>=SUMIFS(INDEX(REPORT_FR2052a!$1:$1048576,0,14),INDEX(REPORT_FR2052a!$1:$1048576,0,44),"O.D.5",INDEX(REPORT_FR2052a!$1:$1048576,0,43),1,INDEX(REPORT_FR2052a!$1:$1048576,0,26),"Other",INDEX(REPORT_FR2052a!$1:$1048576,0,27),"FDIC")</v>
      </c>
      <c r="BD50" s="141">
        <f>SUMIFS(INDEX(REPORT_FR2052a!$1:$1048576,0,14),INDEX(REPORT_FR2052a!$1:$1048576,0,44),"O.D.5",INDEX(REPORT_FR2052a!$1:$1048576,0,43),1,INDEX(REPORT_FR2052a!$1:$1048576,0,26),"Other",INDEX(REPORT_FR2052a!$1:$1048576,0,27),"FDIC")</f>
        <v>0</v>
      </c>
      <c r="BE50" s="137" t="s">
        <v>331</v>
      </c>
      <c r="BF50" s="139" t="s">
        <v>47</v>
      </c>
      <c r="BG50" s="137" t="str">
        <f t="shared" si="183"/>
        <v>,INDEX(REPORT_FR2052a!$1:$1048576,0,5),"Bank of China - Combined US Branches and Agencies"</v>
      </c>
      <c r="BI50" s="137" t="str">
        <f t="shared" si="18"/>
        <v>=SUMIFS(INDEX(REPORT_FR2052a!$1:$1048576,0,14),INDEX(REPORT_FR2052a!$1:$1048576,0,44),"O.D.5",INDEX(REPORT_FR2052a!$1:$1048576,0,43),1,INDEX(REPORT_FR2052a!$1:$1048576,0,26),"Other",INDEX(REPORT_FR2052a!$1:$1048576,0,27),"FDIC",INDEX(REPORT_FR2052a!$1:$1048576,0,5),"Bank of China - Combined US Branches and Agencies")</v>
      </c>
      <c r="BJ50" s="142">
        <f>SUMIFS(INDEX(REPORT_FR2052a!$1:$1048576,0,14),INDEX(REPORT_FR2052a!$1:$1048576,0,44),"O.D.5",INDEX(REPORT_FR2052a!$1:$1048576,0,43),1,INDEX(REPORT_FR2052a!$1:$1048576,0,26),"Other",INDEX(REPORT_FR2052a!$1:$1048576,0,27),"FDIC",INDEX(REPORT_FR2052a!$1:$1048576,0,5),"Bank of China - Combined US Branches and Agencies")</f>
        <v>0</v>
      </c>
      <c r="BK50" s="143">
        <f t="shared" si="19"/>
        <v>0</v>
      </c>
    </row>
    <row r="51" spans="1:63">
      <c r="A51" s="136">
        <v>47</v>
      </c>
      <c r="B51" s="137" t="str">
        <f>IFERROR(INDEX('LCR TYPE EXPLAIN'!B:B,MATCH(A51,'LCR TYPE EXPLAIN'!A:A,0)),"")</f>
        <v>Not Fully Insured Unsecured Wholesale Non-Operational Non-Financial (§.32(h)(1)(ii)(A))</v>
      </c>
      <c r="F51" s="137" t="s">
        <v>331</v>
      </c>
      <c r="G51" s="138" t="s">
        <v>329</v>
      </c>
      <c r="H51" s="137" t="str">
        <f t="shared" si="98"/>
        <v>,INDEX(REPORT_FR2052a!$1:$1048576,0,44),"O.D.5"</v>
      </c>
      <c r="I51" s="137" t="s">
        <v>331</v>
      </c>
      <c r="J51" s="137">
        <v>1</v>
      </c>
      <c r="K51" s="137" t="str">
        <f t="shared" si="174"/>
        <v>,INDEX(REPORT_FR2052a!$1:$1048576,0,43),1</v>
      </c>
      <c r="N51" s="137" t="str">
        <f t="shared" si="175"/>
        <v/>
      </c>
      <c r="Q51" s="137" t="str">
        <f t="shared" si="3"/>
        <v/>
      </c>
      <c r="T51" s="137" t="str">
        <f t="shared" si="176"/>
        <v/>
      </c>
      <c r="V51" s="139"/>
      <c r="W51" s="137" t="str">
        <f t="shared" si="177"/>
        <v/>
      </c>
      <c r="Y51" s="139"/>
      <c r="Z51" s="137" t="str">
        <f t="shared" si="178"/>
        <v/>
      </c>
      <c r="AB51" s="139"/>
      <c r="AC51" s="137" t="str">
        <f t="shared" si="179"/>
        <v/>
      </c>
      <c r="AD51" s="137" t="s">
        <v>331</v>
      </c>
      <c r="AE51" s="140" t="s">
        <v>162</v>
      </c>
      <c r="AF51" s="137" t="str">
        <f t="shared" si="180"/>
        <v>,INDEX(REPORT_FR2052a!$1:$1048576,0,26),"Sovereign"</v>
      </c>
      <c r="AH51" s="139"/>
      <c r="AI51" s="137" t="str">
        <f t="shared" si="181"/>
        <v/>
      </c>
      <c r="AJ51" s="137" t="s">
        <v>332</v>
      </c>
      <c r="AK51" s="139" t="s">
        <v>154</v>
      </c>
      <c r="AL51" s="137" t="str">
        <f t="shared" si="182"/>
        <v>,INDEX(REPORT_FR2052a!$1:$1048576,0,27),"&lt;&gt;FDIC"</v>
      </c>
      <c r="AO51" s="137" t="str">
        <f t="shared" si="11"/>
        <v/>
      </c>
      <c r="AR51" s="137" t="str">
        <f t="shared" si="14"/>
        <v/>
      </c>
      <c r="AU51" s="137" t="str">
        <f t="shared" si="15"/>
        <v/>
      </c>
      <c r="BA51" s="137" t="s">
        <v>13</v>
      </c>
      <c r="BB51" s="137" t="str">
        <f>"=SUMIFS(INDEX(REPORT_FR2052a!$1:$1048576,0,"&amp;(MATCH(BA51,REPORT_FR2052a!$1:$1,0))&amp;")"</f>
        <v>=SUMIFS(INDEX(REPORT_FR2052a!$1:$1048576,0,14)</v>
      </c>
      <c r="BC51" s="137" t="str">
        <f t="shared" si="17"/>
        <v>=SUMIFS(INDEX(REPORT_FR2052a!$1:$1048576,0,14),INDEX(REPORT_FR2052a!$1:$1048576,0,44),"O.D.5",INDEX(REPORT_FR2052a!$1:$1048576,0,43),1,INDEX(REPORT_FR2052a!$1:$1048576,0,26),"Sovereign",INDEX(REPORT_FR2052a!$1:$1048576,0,27),"&lt;&gt;FDIC")</v>
      </c>
      <c r="BD51" s="141">
        <f>SUMIFS(INDEX(REPORT_FR2052a!$1:$1048576,0,14),INDEX(REPORT_FR2052a!$1:$1048576,0,44),"O.D.5",INDEX(REPORT_FR2052a!$1:$1048576,0,43),1,INDEX(REPORT_FR2052a!$1:$1048576,0,26),"Sovereign",INDEX(REPORT_FR2052a!$1:$1048576,0,27),"&lt;&gt;FDIC")</f>
        <v>0.01</v>
      </c>
      <c r="BE51" s="137" t="s">
        <v>331</v>
      </c>
      <c r="BF51" s="139" t="s">
        <v>47</v>
      </c>
      <c r="BG51" s="137" t="str">
        <f t="shared" si="183"/>
        <v>,INDEX(REPORT_FR2052a!$1:$1048576,0,5),"Bank of China - Combined US Branches and Agencies"</v>
      </c>
      <c r="BI51" s="137" t="str">
        <f t="shared" si="18"/>
        <v>=SUMIFS(INDEX(REPORT_FR2052a!$1:$1048576,0,14),INDEX(REPORT_FR2052a!$1:$1048576,0,44),"O.D.5",INDEX(REPORT_FR2052a!$1:$1048576,0,43),1,INDEX(REPORT_FR2052a!$1:$1048576,0,26),"Sovereign",INDEX(REPORT_FR2052a!$1:$1048576,0,27),"&lt;&gt;FDIC",INDEX(REPORT_FR2052a!$1:$1048576,0,5),"Bank of China - Combined US Branches and Agencies")</v>
      </c>
      <c r="BJ51" s="142">
        <f>SUMIFS(INDEX(REPORT_FR2052a!$1:$1048576,0,14),INDEX(REPORT_FR2052a!$1:$1048576,0,44),"O.D.5",INDEX(REPORT_FR2052a!$1:$1048576,0,43),1,INDEX(REPORT_FR2052a!$1:$1048576,0,26),"Sovereign",INDEX(REPORT_FR2052a!$1:$1048576,0,27),"&lt;&gt;FDIC",INDEX(REPORT_FR2052a!$1:$1048576,0,5),"Bank of China - Combined US Branches and Agencies")</f>
        <v>0.01</v>
      </c>
      <c r="BK51" s="143">
        <f t="shared" si="19"/>
        <v>0</v>
      </c>
    </row>
    <row r="52" spans="1:63">
      <c r="A52" s="136">
        <v>47</v>
      </c>
      <c r="B52" s="137" t="str">
        <f>IFERROR(INDEX('LCR TYPE EXPLAIN'!B:B,MATCH(A52,'LCR TYPE EXPLAIN'!A:A,0)),"")</f>
        <v>Not Fully Insured Unsecured Wholesale Non-Operational Non-Financial (§.32(h)(1)(ii)(A))</v>
      </c>
      <c r="F52" s="137" t="s">
        <v>331</v>
      </c>
      <c r="G52" s="138" t="s">
        <v>329</v>
      </c>
      <c r="H52" s="137" t="str">
        <f t="shared" si="98"/>
        <v>,INDEX(REPORT_FR2052a!$1:$1048576,0,44),"O.D.5"</v>
      </c>
      <c r="I52" s="137" t="s">
        <v>331</v>
      </c>
      <c r="J52" s="137">
        <v>1</v>
      </c>
      <c r="K52" s="137" t="str">
        <f t="shared" si="174"/>
        <v>,INDEX(REPORT_FR2052a!$1:$1048576,0,43),1</v>
      </c>
      <c r="N52" s="137" t="str">
        <f t="shared" si="175"/>
        <v/>
      </c>
      <c r="Q52" s="137" t="str">
        <f t="shared" si="3"/>
        <v/>
      </c>
      <c r="T52" s="137" t="str">
        <f t="shared" si="176"/>
        <v/>
      </c>
      <c r="V52" s="139"/>
      <c r="W52" s="137" t="str">
        <f t="shared" si="177"/>
        <v/>
      </c>
      <c r="Y52" s="139"/>
      <c r="Z52" s="137" t="str">
        <f t="shared" si="178"/>
        <v/>
      </c>
      <c r="AB52" s="139"/>
      <c r="AC52" s="137" t="str">
        <f t="shared" si="179"/>
        <v/>
      </c>
      <c r="AD52" s="137" t="s">
        <v>331</v>
      </c>
      <c r="AE52" s="140" t="s">
        <v>84</v>
      </c>
      <c r="AF52" s="137" t="str">
        <f t="shared" si="180"/>
        <v>,INDEX(REPORT_FR2052a!$1:$1048576,0,26),"Non-Financial Corporate"</v>
      </c>
      <c r="AH52" s="139"/>
      <c r="AI52" s="137" t="str">
        <f t="shared" si="181"/>
        <v/>
      </c>
      <c r="AJ52" s="137" t="s">
        <v>332</v>
      </c>
      <c r="AK52" s="139" t="s">
        <v>154</v>
      </c>
      <c r="AL52" s="137" t="str">
        <f t="shared" si="182"/>
        <v>,INDEX(REPORT_FR2052a!$1:$1048576,0,27),"&lt;&gt;FDIC"</v>
      </c>
      <c r="AO52" s="137" t="str">
        <f t="shared" si="11"/>
        <v/>
      </c>
      <c r="AR52" s="137" t="str">
        <f t="shared" si="14"/>
        <v/>
      </c>
      <c r="AU52" s="137" t="str">
        <f t="shared" si="15"/>
        <v/>
      </c>
      <c r="BA52" s="137" t="s">
        <v>13</v>
      </c>
      <c r="BB52" s="137" t="str">
        <f>"=SUMIFS(INDEX(REPORT_FR2052a!$1:$1048576,0,"&amp;(MATCH(BA52,REPORT_FR2052a!$1:$1,0))&amp;")"</f>
        <v>=SUMIFS(INDEX(REPORT_FR2052a!$1:$1048576,0,14)</v>
      </c>
      <c r="BC52" s="137" t="str">
        <f t="shared" si="17"/>
        <v>=SUMIFS(INDEX(REPORT_FR2052a!$1:$1048576,0,14),INDEX(REPORT_FR2052a!$1:$1048576,0,44),"O.D.5",INDEX(REPORT_FR2052a!$1:$1048576,0,43),1,INDEX(REPORT_FR2052a!$1:$1048576,0,26),"Non-Financial Corporate",INDEX(REPORT_FR2052a!$1:$1048576,0,27),"&lt;&gt;FDIC")</v>
      </c>
      <c r="BD52" s="141">
        <f>SUMIFS(INDEX(REPORT_FR2052a!$1:$1048576,0,14),INDEX(REPORT_FR2052a!$1:$1048576,0,44),"O.D.5",INDEX(REPORT_FR2052a!$1:$1048576,0,43),1,INDEX(REPORT_FR2052a!$1:$1048576,0,26),"Non-Financial Corporate",INDEX(REPORT_FR2052a!$1:$1048576,0,27),"&lt;&gt;FDIC")</f>
        <v>3044.41</v>
      </c>
      <c r="BE52" s="137" t="s">
        <v>331</v>
      </c>
      <c r="BF52" s="139" t="s">
        <v>47</v>
      </c>
      <c r="BG52" s="137" t="str">
        <f t="shared" si="183"/>
        <v>,INDEX(REPORT_FR2052a!$1:$1048576,0,5),"Bank of China - Combined US Branches and Agencies"</v>
      </c>
      <c r="BI52" s="137" t="str">
        <f t="shared" si="18"/>
        <v>=SUMIFS(INDEX(REPORT_FR2052a!$1:$1048576,0,14),INDEX(REPORT_FR2052a!$1:$1048576,0,44),"O.D.5",INDEX(REPORT_FR2052a!$1:$1048576,0,43),1,INDEX(REPORT_FR2052a!$1:$1048576,0,26),"Non-Financial Corporate",INDEX(REPORT_FR2052a!$1:$1048576,0,27),"&lt;&gt;FDIC",INDEX(REPORT_FR2052a!$1:$1048576,0,5),"Bank of China - Combined US Branches and Agencies")</v>
      </c>
      <c r="BJ52" s="142">
        <f>SUMIFS(INDEX(REPORT_FR2052a!$1:$1048576,0,14),INDEX(REPORT_FR2052a!$1:$1048576,0,44),"O.D.5",INDEX(REPORT_FR2052a!$1:$1048576,0,43),1,INDEX(REPORT_FR2052a!$1:$1048576,0,26),"Non-Financial Corporate",INDEX(REPORT_FR2052a!$1:$1048576,0,27),"&lt;&gt;FDIC",INDEX(REPORT_FR2052a!$1:$1048576,0,5),"Bank of China - Combined US Branches and Agencies")</f>
        <v>3044.41</v>
      </c>
      <c r="BK52" s="143">
        <f t="shared" si="19"/>
        <v>0</v>
      </c>
    </row>
    <row r="53" spans="1:63">
      <c r="A53" s="136">
        <v>47</v>
      </c>
      <c r="B53" s="137" t="str">
        <f>IFERROR(INDEX('LCR TYPE EXPLAIN'!B:B,MATCH(A53,'LCR TYPE EXPLAIN'!A:A,0)),"")</f>
        <v>Not Fully Insured Unsecured Wholesale Non-Operational Non-Financial (§.32(h)(1)(ii)(A))</v>
      </c>
      <c r="F53" s="137" t="s">
        <v>331</v>
      </c>
      <c r="G53" s="138" t="s">
        <v>329</v>
      </c>
      <c r="H53" s="137" t="str">
        <f t="shared" si="98"/>
        <v>,INDEX(REPORT_FR2052a!$1:$1048576,0,44),"O.D.5"</v>
      </c>
      <c r="I53" s="137" t="s">
        <v>331</v>
      </c>
      <c r="J53" s="137">
        <v>1</v>
      </c>
      <c r="K53" s="137" t="str">
        <f t="shared" si="174"/>
        <v>,INDEX(REPORT_FR2052a!$1:$1048576,0,43),1</v>
      </c>
      <c r="N53" s="137" t="str">
        <f t="shared" si="175"/>
        <v/>
      </c>
      <c r="Q53" s="137" t="str">
        <f t="shared" si="3"/>
        <v/>
      </c>
      <c r="T53" s="137" t="str">
        <f t="shared" si="176"/>
        <v/>
      </c>
      <c r="V53" s="139"/>
      <c r="W53" s="137" t="str">
        <f t="shared" si="177"/>
        <v/>
      </c>
      <c r="Y53" s="139"/>
      <c r="Z53" s="137" t="str">
        <f t="shared" si="178"/>
        <v/>
      </c>
      <c r="AB53" s="139"/>
      <c r="AC53" s="137" t="str">
        <f t="shared" si="179"/>
        <v/>
      </c>
      <c r="AD53" s="137" t="s">
        <v>331</v>
      </c>
      <c r="AE53" s="140" t="s">
        <v>158</v>
      </c>
      <c r="AF53" s="137" t="str">
        <f t="shared" si="180"/>
        <v>,INDEX(REPORT_FR2052a!$1:$1048576,0,26),"Central Bank"</v>
      </c>
      <c r="AH53" s="139"/>
      <c r="AI53" s="137" t="str">
        <f t="shared" si="181"/>
        <v/>
      </c>
      <c r="AJ53" s="137" t="s">
        <v>332</v>
      </c>
      <c r="AK53" s="139" t="s">
        <v>154</v>
      </c>
      <c r="AL53" s="137" t="str">
        <f t="shared" si="182"/>
        <v>,INDEX(REPORT_FR2052a!$1:$1048576,0,27),"&lt;&gt;FDIC"</v>
      </c>
      <c r="AO53" s="137" t="str">
        <f t="shared" si="11"/>
        <v/>
      </c>
      <c r="AR53" s="137" t="str">
        <f t="shared" si="14"/>
        <v/>
      </c>
      <c r="AU53" s="137" t="str">
        <f t="shared" si="15"/>
        <v/>
      </c>
      <c r="BA53" s="137" t="s">
        <v>13</v>
      </c>
      <c r="BB53" s="137" t="str">
        <f>"=SUMIFS(INDEX(REPORT_FR2052a!$1:$1048576,0,"&amp;(MATCH(BA53,REPORT_FR2052a!$1:$1,0))&amp;")"</f>
        <v>=SUMIFS(INDEX(REPORT_FR2052a!$1:$1048576,0,14)</v>
      </c>
      <c r="BC53" s="137" t="str">
        <f t="shared" si="17"/>
        <v>=SUMIFS(INDEX(REPORT_FR2052a!$1:$1048576,0,14),INDEX(REPORT_FR2052a!$1:$1048576,0,44),"O.D.5",INDEX(REPORT_FR2052a!$1:$1048576,0,43),1,INDEX(REPORT_FR2052a!$1:$1048576,0,26),"Central Bank",INDEX(REPORT_FR2052a!$1:$1048576,0,27),"&lt;&gt;FDIC")</v>
      </c>
      <c r="BD53" s="141">
        <f>SUMIFS(INDEX(REPORT_FR2052a!$1:$1048576,0,14),INDEX(REPORT_FR2052a!$1:$1048576,0,44),"O.D.5",INDEX(REPORT_FR2052a!$1:$1048576,0,43),1,INDEX(REPORT_FR2052a!$1:$1048576,0,26),"Central Bank",INDEX(REPORT_FR2052a!$1:$1048576,0,27),"&lt;&gt;FDIC")</f>
        <v>0</v>
      </c>
      <c r="BE53" s="137" t="s">
        <v>331</v>
      </c>
      <c r="BF53" s="139" t="s">
        <v>47</v>
      </c>
      <c r="BG53" s="137" t="str">
        <f t="shared" si="183"/>
        <v>,INDEX(REPORT_FR2052a!$1:$1048576,0,5),"Bank of China - Combined US Branches and Agencies"</v>
      </c>
      <c r="BI53" s="137" t="str">
        <f t="shared" si="18"/>
        <v>=SUMIFS(INDEX(REPORT_FR2052a!$1:$1048576,0,14),INDEX(REPORT_FR2052a!$1:$1048576,0,44),"O.D.5",INDEX(REPORT_FR2052a!$1:$1048576,0,43),1,INDEX(REPORT_FR2052a!$1:$1048576,0,26),"Central Bank",INDEX(REPORT_FR2052a!$1:$1048576,0,27),"&lt;&gt;FDIC",INDEX(REPORT_FR2052a!$1:$1048576,0,5),"Bank of China - Combined US Branches and Agencies")</v>
      </c>
      <c r="BJ53" s="142">
        <f>SUMIFS(INDEX(REPORT_FR2052a!$1:$1048576,0,14),INDEX(REPORT_FR2052a!$1:$1048576,0,44),"O.D.5",INDEX(REPORT_FR2052a!$1:$1048576,0,43),1,INDEX(REPORT_FR2052a!$1:$1048576,0,26),"Central Bank",INDEX(REPORT_FR2052a!$1:$1048576,0,27),"&lt;&gt;FDIC",INDEX(REPORT_FR2052a!$1:$1048576,0,5),"Bank of China - Combined US Branches and Agencies")</f>
        <v>0</v>
      </c>
      <c r="BK53" s="143">
        <f t="shared" si="19"/>
        <v>0</v>
      </c>
    </row>
    <row r="54" spans="1:63">
      <c r="A54" s="136">
        <v>47</v>
      </c>
      <c r="B54" s="137" t="str">
        <f>IFERROR(INDEX('LCR TYPE EXPLAIN'!B:B,MATCH(A54,'LCR TYPE EXPLAIN'!A:A,0)),"")</f>
        <v>Not Fully Insured Unsecured Wholesale Non-Operational Non-Financial (§.32(h)(1)(ii)(A))</v>
      </c>
      <c r="F54" s="137" t="s">
        <v>331</v>
      </c>
      <c r="G54" s="138" t="s">
        <v>329</v>
      </c>
      <c r="H54" s="137" t="str">
        <f t="shared" si="98"/>
        <v>,INDEX(REPORT_FR2052a!$1:$1048576,0,44),"O.D.5"</v>
      </c>
      <c r="I54" s="137" t="s">
        <v>331</v>
      </c>
      <c r="J54" s="137">
        <v>1</v>
      </c>
      <c r="K54" s="137" t="str">
        <f t="shared" si="174"/>
        <v>,INDEX(REPORT_FR2052a!$1:$1048576,0,43),1</v>
      </c>
      <c r="N54" s="137" t="str">
        <f t="shared" si="175"/>
        <v/>
      </c>
      <c r="Q54" s="137" t="str">
        <f t="shared" si="3"/>
        <v/>
      </c>
      <c r="T54" s="137" t="str">
        <f t="shared" si="176"/>
        <v/>
      </c>
      <c r="V54" s="139"/>
      <c r="W54" s="137" t="str">
        <f t="shared" si="177"/>
        <v/>
      </c>
      <c r="Y54" s="139"/>
      <c r="Z54" s="137" t="str">
        <f t="shared" si="178"/>
        <v/>
      </c>
      <c r="AB54" s="139"/>
      <c r="AC54" s="137" t="str">
        <f t="shared" si="179"/>
        <v/>
      </c>
      <c r="AD54" s="137" t="s">
        <v>331</v>
      </c>
      <c r="AE54" s="140" t="s">
        <v>136</v>
      </c>
      <c r="AF54" s="137" t="str">
        <f t="shared" si="180"/>
        <v>,INDEX(REPORT_FR2052a!$1:$1048576,0,26),"Other"</v>
      </c>
      <c r="AH54" s="139"/>
      <c r="AI54" s="137" t="str">
        <f t="shared" si="181"/>
        <v/>
      </c>
      <c r="AJ54" s="137" t="s">
        <v>332</v>
      </c>
      <c r="AK54" s="139" t="s">
        <v>154</v>
      </c>
      <c r="AL54" s="137" t="str">
        <f t="shared" si="182"/>
        <v>,INDEX(REPORT_FR2052a!$1:$1048576,0,27),"&lt;&gt;FDIC"</v>
      </c>
      <c r="AO54" s="137" t="str">
        <f t="shared" si="11"/>
        <v/>
      </c>
      <c r="AR54" s="137" t="str">
        <f t="shared" si="14"/>
        <v/>
      </c>
      <c r="AU54" s="137" t="str">
        <f t="shared" si="15"/>
        <v/>
      </c>
      <c r="BA54" s="137" t="s">
        <v>13</v>
      </c>
      <c r="BB54" s="137" t="str">
        <f>"=SUMIFS(INDEX(REPORT_FR2052a!$1:$1048576,0,"&amp;(MATCH(BA54,REPORT_FR2052a!$1:$1,0))&amp;")"</f>
        <v>=SUMIFS(INDEX(REPORT_FR2052a!$1:$1048576,0,14)</v>
      </c>
      <c r="BC54" s="137" t="str">
        <f t="shared" si="17"/>
        <v>=SUMIFS(INDEX(REPORT_FR2052a!$1:$1048576,0,14),INDEX(REPORT_FR2052a!$1:$1048576,0,44),"O.D.5",INDEX(REPORT_FR2052a!$1:$1048576,0,43),1,INDEX(REPORT_FR2052a!$1:$1048576,0,26),"Other",INDEX(REPORT_FR2052a!$1:$1048576,0,27),"&lt;&gt;FDIC")</v>
      </c>
      <c r="BD54" s="141">
        <f>SUMIFS(INDEX(REPORT_FR2052a!$1:$1048576,0,14),INDEX(REPORT_FR2052a!$1:$1048576,0,44),"O.D.5",INDEX(REPORT_FR2052a!$1:$1048576,0,43),1,INDEX(REPORT_FR2052a!$1:$1048576,0,26),"Other",INDEX(REPORT_FR2052a!$1:$1048576,0,27),"&lt;&gt;FDIC")</f>
        <v>2.69</v>
      </c>
      <c r="BE54" s="137" t="s">
        <v>331</v>
      </c>
      <c r="BF54" s="139" t="s">
        <v>47</v>
      </c>
      <c r="BG54" s="137" t="str">
        <f t="shared" si="183"/>
        <v>,INDEX(REPORT_FR2052a!$1:$1048576,0,5),"Bank of China - Combined US Branches and Agencies"</v>
      </c>
      <c r="BI54" s="137" t="str">
        <f t="shared" si="18"/>
        <v>=SUMIFS(INDEX(REPORT_FR2052a!$1:$1048576,0,14),INDEX(REPORT_FR2052a!$1:$1048576,0,44),"O.D.5",INDEX(REPORT_FR2052a!$1:$1048576,0,43),1,INDEX(REPORT_FR2052a!$1:$1048576,0,26),"Other",INDEX(REPORT_FR2052a!$1:$1048576,0,27),"&lt;&gt;FDIC",INDEX(REPORT_FR2052a!$1:$1048576,0,5),"Bank of China - Combined US Branches and Agencies")</v>
      </c>
      <c r="BJ54" s="142">
        <f>SUMIFS(INDEX(REPORT_FR2052a!$1:$1048576,0,14),INDEX(REPORT_FR2052a!$1:$1048576,0,44),"O.D.5",INDEX(REPORT_FR2052a!$1:$1048576,0,43),1,INDEX(REPORT_FR2052a!$1:$1048576,0,26),"Other",INDEX(REPORT_FR2052a!$1:$1048576,0,27),"&lt;&gt;FDIC",INDEX(REPORT_FR2052a!$1:$1048576,0,5),"Bank of China - Combined US Branches and Agencies")</f>
        <v>2.69</v>
      </c>
      <c r="BK54" s="143">
        <f t="shared" si="19"/>
        <v>0</v>
      </c>
    </row>
    <row r="55" spans="1:63">
      <c r="A55" s="136">
        <v>49</v>
      </c>
      <c r="B55" s="137" t="str">
        <f>IFERROR(INDEX('LCR TYPE EXPLAIN'!B:B,MATCH(A55,'LCR TYPE EXPLAIN'!A:A,0)),"")</f>
        <v>Unsecured Wholesale Brokered Deposit Non-Operational Non-Financial (§.32(h)(1)(ii)(B))</v>
      </c>
      <c r="F55" s="137" t="s">
        <v>331</v>
      </c>
      <c r="G55" s="138" t="s">
        <v>407</v>
      </c>
      <c r="H55" s="137" t="str">
        <f t="shared" si="98"/>
        <v>,INDEX(REPORT_FR2052a!$1:$1048576,0,44),"O.D.11"</v>
      </c>
      <c r="I55" s="137" t="s">
        <v>331</v>
      </c>
      <c r="J55" s="137">
        <v>1</v>
      </c>
      <c r="K55" s="137" t="str">
        <f t="shared" ref="K55:K70" si="184">IF(I55="","",",INDEX(REPORT_FR2052a!$1:$1048576,0,"&amp;K$2&amp;"),"&amp;IF(ISTEXT(J55),CHAR(34),"")&amp;IF(I55="is","",""&amp;"&lt;&gt;")&amp;J55&amp;IF(ISTEXT(J55),CHAR(34),""))</f>
        <v>,INDEX(REPORT_FR2052a!$1:$1048576,0,43),1</v>
      </c>
      <c r="N55" s="137" t="str">
        <f t="shared" ref="N55:N70" si="185">IF(L55="","",",INDEX(REPORT_FR2052a!$1:$1048576,0,"&amp;N$2&amp;"),"&amp;IF(ISTEXT(M55),CHAR(34),"")&amp;IF(L55="is","",""&amp;"&lt;&gt;")&amp;M55&amp;IF(ISTEXT(M55),CHAR(34),""))</f>
        <v/>
      </c>
      <c r="Q55" s="137" t="str">
        <f t="shared" ref="Q55:Q70" si="186">IF(O55="","",",INDEX(REPORT_FR2052a!$1:$1048576,0,"&amp;Q$2&amp;"),"&amp;IF(OR(ISTEXT(P55),ISBLANK(P55)),CHAR(34),"")&amp;IF(O55="is","",""&amp;"&lt;&gt;")&amp;P55&amp;IF(OR(ISTEXT(P55),ISBLANK(P55)),CHAR(34),""))</f>
        <v/>
      </c>
      <c r="T55" s="137" t="str">
        <f t="shared" ref="T55:T70" si="187">IF(R55="","",",INDEX(REPORT_FR2052a!$1:$1048576,0,"&amp;T$2&amp;"),"&amp;IF(ISTEXT(S55),CHAR(34),"")&amp;IF(R55="is","",""&amp;"&lt;&gt;")&amp;S55&amp;IF(ISTEXT(S55),CHAR(34),""))</f>
        <v/>
      </c>
      <c r="V55" s="139"/>
      <c r="W55" s="137" t="str">
        <f t="shared" ref="W55:W70" si="188">IF(U55="","",",INDEX(REPORT_FR2052a!$1:$1048576,0,"&amp;W$2&amp;"),"&amp;IF(ISTEXT(V55),CHAR(34),"")&amp;IF(U55="is","",""&amp;"&lt;&gt;")&amp;V55&amp;IF(ISTEXT(V55),CHAR(34),""))</f>
        <v/>
      </c>
      <c r="Y55" s="139"/>
      <c r="Z55" s="137" t="str">
        <f t="shared" ref="Z55:Z70" si="189">IF(X55="","",",INDEX(REPORT_FR2052a!$1:$1048576,0,"&amp;Z$2&amp;"),"&amp;IF(ISTEXT(Y55),CHAR(34),"")&amp;IF(X55="is","",""&amp;"&lt;&gt;")&amp;Y55&amp;IF(ISTEXT(Y55),CHAR(34),""))</f>
        <v/>
      </c>
      <c r="AB55" s="139"/>
      <c r="AC55" s="137" t="str">
        <f t="shared" ref="AC55:AC70" si="190">IF(AA55="","",",INDEX(REPORT_FR2052a!$1:$1048576,0,"&amp;AC$2&amp;"),"&amp;IF(ISTEXT(AB55),CHAR(34),"")&amp;IF(AA55="is","",""&amp;"&lt;&gt;")&amp;AB55&amp;IF(ISTEXT(AB55),CHAR(34),""))</f>
        <v/>
      </c>
      <c r="AD55" s="137" t="s">
        <v>331</v>
      </c>
      <c r="AE55" s="140" t="s">
        <v>84</v>
      </c>
      <c r="AF55" s="137" t="str">
        <f t="shared" ref="AF55:AF70" si="191">IF(AD55="","",",INDEX(REPORT_FR2052a!$1:$1048576,0,"&amp;AF$2&amp;"),"&amp;IF(ISTEXT(AE55),CHAR(34),"")&amp;IF(AD55="is","",""&amp;"&lt;&gt;")&amp;AE55&amp;IF(ISTEXT(AE55),CHAR(34),""))</f>
        <v>,INDEX(REPORT_FR2052a!$1:$1048576,0,26),"Non-Financial Corporate"</v>
      </c>
      <c r="AH55" s="139"/>
      <c r="AI55" s="137" t="str">
        <f t="shared" ref="AI55:AI70" si="192">IF(AG55="","",",INDEX(REPORT_FR2052a!$1:$1048576,0,"&amp;AI$2&amp;"),"&amp;IF(ISTEXT(AH55),CHAR(34),"")&amp;IF(AG55="is","",""&amp;"&lt;&gt;")&amp;AH55&amp;IF(ISTEXT(AH55),CHAR(34),""))</f>
        <v/>
      </c>
      <c r="AK55" s="139"/>
      <c r="AL55" s="137" t="str">
        <f t="shared" ref="AL55:AL70" si="193">IF(AJ55="","",",INDEX(REPORT_FR2052a!$1:$1048576,0,"&amp;AL$2&amp;"),"&amp;IF(ISTEXT(AK55),CHAR(34),"")&amp;IF(AJ55="is","",""&amp;"&lt;&gt;")&amp;AK55&amp;IF(ISTEXT(AK55),CHAR(34),""))</f>
        <v/>
      </c>
      <c r="AO55" s="137" t="str">
        <f t="shared" ref="AO55:AO70" si="194">IF(AM55="","",",INDEX(REPORT_FR2052a!$1:$1048576,0,"&amp;AO$2&amp;"),"&amp;IF(ISTEXT(AN55),CHAR(34),"")&amp;IF(AM55="is","",""&amp;"&lt;&gt;")&amp;AN55&amp;IF(ISTEXT(AN55),CHAR(34),""))</f>
        <v/>
      </c>
      <c r="AR55" s="137" t="str">
        <f t="shared" si="14"/>
        <v/>
      </c>
      <c r="AU55" s="137" t="str">
        <f t="shared" si="15"/>
        <v/>
      </c>
      <c r="BA55" s="137" t="s">
        <v>13</v>
      </c>
      <c r="BB55" s="137" t="str">
        <f>"=SUMIFS(INDEX(REPORT_FR2052a!$1:$1048576,0,"&amp;(MATCH(BA55,REPORT_FR2052a!$1:$1,0))&amp;")"</f>
        <v>=SUMIFS(INDEX(REPORT_FR2052a!$1:$1048576,0,14)</v>
      </c>
      <c r="BC55" s="137" t="str">
        <f t="shared" si="17"/>
        <v>=SUMIFS(INDEX(REPORT_FR2052a!$1:$1048576,0,14),INDEX(REPORT_FR2052a!$1:$1048576,0,44),"O.D.11",INDEX(REPORT_FR2052a!$1:$1048576,0,43),1,INDEX(REPORT_FR2052a!$1:$1048576,0,26),"Non-Financial Corporate")</v>
      </c>
      <c r="BD55" s="141">
        <f>SUMIFS(INDEX(REPORT_FR2052a!$1:$1048576,0,14),INDEX(REPORT_FR2052a!$1:$1048576,0,44),"O.D.11",INDEX(REPORT_FR2052a!$1:$1048576,0,43),1,INDEX(REPORT_FR2052a!$1:$1048576,0,26),"Non-Financial Corporate")</f>
        <v>12.18</v>
      </c>
      <c r="BE55" s="137" t="s">
        <v>331</v>
      </c>
      <c r="BF55" s="139" t="s">
        <v>47</v>
      </c>
      <c r="BG55" s="137" t="str">
        <f t="shared" ref="BG55:BG70" si="195">IF(BE55="","",",INDEX(REPORT_FR2052a!$1:$1048576,0,"&amp;BG$2&amp;"),"&amp;IF(ISTEXT(BF55),CHAR(34),"")&amp;IF(BE55="is","",""&amp;"&lt;&gt;")&amp;BF55&amp;IF(ISTEXT(BF55),CHAR(34),""))</f>
        <v>,INDEX(REPORT_FR2052a!$1:$1048576,0,5),"Bank of China - Combined US Branches and Agencies"</v>
      </c>
      <c r="BI55" s="137" t="str">
        <f t="shared" ref="BI55:BI70" si="196">LEFT(BC55,LEN(BC55)-1)&amp;BG55&amp;")"</f>
        <v>=SUMIFS(INDEX(REPORT_FR2052a!$1:$1048576,0,14),INDEX(REPORT_FR2052a!$1:$1048576,0,44),"O.D.11",INDEX(REPORT_FR2052a!$1:$1048576,0,43),1,INDEX(REPORT_FR2052a!$1:$1048576,0,26),"Non-Financial Corporate",INDEX(REPORT_FR2052a!$1:$1048576,0,5),"Bank of China - Combined US Branches and Agencies")</v>
      </c>
      <c r="BJ55" s="142">
        <f>SUMIFS(INDEX(REPORT_FR2052a!$1:$1048576,0,14),INDEX(REPORT_FR2052a!$1:$1048576,0,44),"O.D.11",INDEX(REPORT_FR2052a!$1:$1048576,0,43),1,INDEX(REPORT_FR2052a!$1:$1048576,0,26),"Non-Financial Corporate",INDEX(REPORT_FR2052a!$1:$1048576,0,5),"Bank of China - Combined US Branches and Agencies")</f>
        <v>12.18</v>
      </c>
      <c r="BK55" s="143">
        <f t="shared" ref="BK55:BK70" si="197">BD55-BJ55</f>
        <v>0</v>
      </c>
    </row>
    <row r="56" spans="1:63">
      <c r="A56" s="136">
        <v>49</v>
      </c>
      <c r="B56" s="137" t="str">
        <f>IFERROR(INDEX('LCR TYPE EXPLAIN'!B:B,MATCH(A56,'LCR TYPE EXPLAIN'!A:A,0)),"")</f>
        <v>Unsecured Wholesale Brokered Deposit Non-Operational Non-Financial (§.32(h)(1)(ii)(B))</v>
      </c>
      <c r="F56" s="137" t="s">
        <v>331</v>
      </c>
      <c r="G56" s="138" t="s">
        <v>407</v>
      </c>
      <c r="H56" s="137" t="str">
        <f t="shared" si="98"/>
        <v>,INDEX(REPORT_FR2052a!$1:$1048576,0,44),"O.D.11"</v>
      </c>
      <c r="I56" s="137" t="s">
        <v>331</v>
      </c>
      <c r="J56" s="137">
        <v>1</v>
      </c>
      <c r="K56" s="137" t="str">
        <f t="shared" si="184"/>
        <v>,INDEX(REPORT_FR2052a!$1:$1048576,0,43),1</v>
      </c>
      <c r="N56" s="137" t="str">
        <f t="shared" si="185"/>
        <v/>
      </c>
      <c r="Q56" s="137" t="str">
        <f t="shared" si="186"/>
        <v/>
      </c>
      <c r="T56" s="137" t="str">
        <f t="shared" si="187"/>
        <v/>
      </c>
      <c r="V56" s="139"/>
      <c r="W56" s="137" t="str">
        <f t="shared" si="188"/>
        <v/>
      </c>
      <c r="Y56" s="139"/>
      <c r="Z56" s="137" t="str">
        <f t="shared" si="189"/>
        <v/>
      </c>
      <c r="AB56" s="139"/>
      <c r="AC56" s="137" t="str">
        <f t="shared" si="190"/>
        <v/>
      </c>
      <c r="AD56" s="137" t="s">
        <v>331</v>
      </c>
      <c r="AE56" s="140" t="s">
        <v>162</v>
      </c>
      <c r="AF56" s="137" t="str">
        <f t="shared" si="191"/>
        <v>,INDEX(REPORT_FR2052a!$1:$1048576,0,26),"Sovereign"</v>
      </c>
      <c r="AH56" s="139"/>
      <c r="AI56" s="137" t="str">
        <f t="shared" si="192"/>
        <v/>
      </c>
      <c r="AK56" s="139"/>
      <c r="AL56" s="137" t="str">
        <f t="shared" si="193"/>
        <v/>
      </c>
      <c r="AO56" s="137" t="str">
        <f t="shared" si="194"/>
        <v/>
      </c>
      <c r="AR56" s="137" t="str">
        <f t="shared" si="14"/>
        <v/>
      </c>
      <c r="AU56" s="137" t="str">
        <f t="shared" si="15"/>
        <v/>
      </c>
      <c r="BA56" s="137" t="s">
        <v>13</v>
      </c>
      <c r="BB56" s="137" t="str">
        <f>"=SUMIFS(INDEX(REPORT_FR2052a!$1:$1048576,0,"&amp;(MATCH(BA56,REPORT_FR2052a!$1:$1,0))&amp;")"</f>
        <v>=SUMIFS(INDEX(REPORT_FR2052a!$1:$1048576,0,14)</v>
      </c>
      <c r="BC56" s="137" t="str">
        <f t="shared" si="17"/>
        <v>=SUMIFS(INDEX(REPORT_FR2052a!$1:$1048576,0,14),INDEX(REPORT_FR2052a!$1:$1048576,0,44),"O.D.11",INDEX(REPORT_FR2052a!$1:$1048576,0,43),1,INDEX(REPORT_FR2052a!$1:$1048576,0,26),"Sovereign")</v>
      </c>
      <c r="BD56" s="141">
        <f>SUMIFS(INDEX(REPORT_FR2052a!$1:$1048576,0,14),INDEX(REPORT_FR2052a!$1:$1048576,0,44),"O.D.11",INDEX(REPORT_FR2052a!$1:$1048576,0,43),1,INDEX(REPORT_FR2052a!$1:$1048576,0,26),"Sovereign")</f>
        <v>0</v>
      </c>
      <c r="BE56" s="137" t="s">
        <v>331</v>
      </c>
      <c r="BF56" s="139" t="s">
        <v>47</v>
      </c>
      <c r="BG56" s="137" t="str">
        <f t="shared" si="195"/>
        <v>,INDEX(REPORT_FR2052a!$1:$1048576,0,5),"Bank of China - Combined US Branches and Agencies"</v>
      </c>
      <c r="BI56" s="137" t="str">
        <f t="shared" si="196"/>
        <v>=SUMIFS(INDEX(REPORT_FR2052a!$1:$1048576,0,14),INDEX(REPORT_FR2052a!$1:$1048576,0,44),"O.D.11",INDEX(REPORT_FR2052a!$1:$1048576,0,43),1,INDEX(REPORT_FR2052a!$1:$1048576,0,26),"Sovereign",INDEX(REPORT_FR2052a!$1:$1048576,0,5),"Bank of China - Combined US Branches and Agencies")</v>
      </c>
      <c r="BJ56" s="142">
        <f>SUMIFS(INDEX(REPORT_FR2052a!$1:$1048576,0,14),INDEX(REPORT_FR2052a!$1:$1048576,0,44),"O.D.11",INDEX(REPORT_FR2052a!$1:$1048576,0,43),1,INDEX(REPORT_FR2052a!$1:$1048576,0,26),"Sovereign",INDEX(REPORT_FR2052a!$1:$1048576,0,5),"Bank of China - Combined US Branches and Agencies")</f>
        <v>0</v>
      </c>
      <c r="BK56" s="143">
        <f t="shared" si="197"/>
        <v>0</v>
      </c>
    </row>
    <row r="57" spans="1:63">
      <c r="A57" s="136">
        <v>49</v>
      </c>
      <c r="B57" s="137" t="str">
        <f>IFERROR(INDEX('LCR TYPE EXPLAIN'!B:B,MATCH(A57,'LCR TYPE EXPLAIN'!A:A,0)),"")</f>
        <v>Unsecured Wholesale Brokered Deposit Non-Operational Non-Financial (§.32(h)(1)(ii)(B))</v>
      </c>
      <c r="F57" s="137" t="s">
        <v>331</v>
      </c>
      <c r="G57" s="138" t="s">
        <v>407</v>
      </c>
      <c r="H57" s="137" t="str">
        <f t="shared" si="98"/>
        <v>,INDEX(REPORT_FR2052a!$1:$1048576,0,44),"O.D.11"</v>
      </c>
      <c r="I57" s="137" t="s">
        <v>331</v>
      </c>
      <c r="J57" s="137">
        <v>1</v>
      </c>
      <c r="K57" s="137" t="str">
        <f t="shared" si="184"/>
        <v>,INDEX(REPORT_FR2052a!$1:$1048576,0,43),1</v>
      </c>
      <c r="N57" s="137" t="str">
        <f t="shared" si="185"/>
        <v/>
      </c>
      <c r="Q57" s="137" t="str">
        <f t="shared" si="186"/>
        <v/>
      </c>
      <c r="T57" s="137" t="str">
        <f t="shared" si="187"/>
        <v/>
      </c>
      <c r="V57" s="139"/>
      <c r="W57" s="137" t="str">
        <f t="shared" si="188"/>
        <v/>
      </c>
      <c r="Y57" s="139"/>
      <c r="Z57" s="137" t="str">
        <f t="shared" si="189"/>
        <v/>
      </c>
      <c r="AB57" s="139"/>
      <c r="AC57" s="137" t="str">
        <f t="shared" si="190"/>
        <v/>
      </c>
      <c r="AD57" s="137" t="s">
        <v>331</v>
      </c>
      <c r="AE57" s="140" t="s">
        <v>158</v>
      </c>
      <c r="AF57" s="137" t="str">
        <f t="shared" si="191"/>
        <v>,INDEX(REPORT_FR2052a!$1:$1048576,0,26),"Central Bank"</v>
      </c>
      <c r="AH57" s="139"/>
      <c r="AI57" s="137" t="str">
        <f t="shared" si="192"/>
        <v/>
      </c>
      <c r="AK57" s="139"/>
      <c r="AL57" s="137" t="str">
        <f t="shared" si="193"/>
        <v/>
      </c>
      <c r="AO57" s="137" t="str">
        <f t="shared" si="194"/>
        <v/>
      </c>
      <c r="AR57" s="137" t="str">
        <f t="shared" si="14"/>
        <v/>
      </c>
      <c r="AU57" s="137" t="str">
        <f t="shared" si="15"/>
        <v/>
      </c>
      <c r="BA57" s="137" t="s">
        <v>13</v>
      </c>
      <c r="BB57" s="137" t="str">
        <f>"=SUMIFS(INDEX(REPORT_FR2052a!$1:$1048576,0,"&amp;(MATCH(BA57,REPORT_FR2052a!$1:$1,0))&amp;")"</f>
        <v>=SUMIFS(INDEX(REPORT_FR2052a!$1:$1048576,0,14)</v>
      </c>
      <c r="BC57" s="137" t="str">
        <f t="shared" si="17"/>
        <v>=SUMIFS(INDEX(REPORT_FR2052a!$1:$1048576,0,14),INDEX(REPORT_FR2052a!$1:$1048576,0,44),"O.D.11",INDEX(REPORT_FR2052a!$1:$1048576,0,43),1,INDEX(REPORT_FR2052a!$1:$1048576,0,26),"Central Bank")</v>
      </c>
      <c r="BD57" s="141">
        <f>SUMIFS(INDEX(REPORT_FR2052a!$1:$1048576,0,14),INDEX(REPORT_FR2052a!$1:$1048576,0,44),"O.D.11",INDEX(REPORT_FR2052a!$1:$1048576,0,43),1,INDEX(REPORT_FR2052a!$1:$1048576,0,26),"Central Bank")</f>
        <v>0</v>
      </c>
      <c r="BE57" s="137" t="s">
        <v>331</v>
      </c>
      <c r="BF57" s="139" t="s">
        <v>47</v>
      </c>
      <c r="BG57" s="137" t="str">
        <f t="shared" si="195"/>
        <v>,INDEX(REPORT_FR2052a!$1:$1048576,0,5),"Bank of China - Combined US Branches and Agencies"</v>
      </c>
      <c r="BI57" s="137" t="str">
        <f t="shared" si="196"/>
        <v>=SUMIFS(INDEX(REPORT_FR2052a!$1:$1048576,0,14),INDEX(REPORT_FR2052a!$1:$1048576,0,44),"O.D.11",INDEX(REPORT_FR2052a!$1:$1048576,0,43),1,INDEX(REPORT_FR2052a!$1:$1048576,0,26),"Central Bank",INDEX(REPORT_FR2052a!$1:$1048576,0,5),"Bank of China - Combined US Branches and Agencies")</v>
      </c>
      <c r="BJ57" s="142">
        <f>SUMIFS(INDEX(REPORT_FR2052a!$1:$1048576,0,14),INDEX(REPORT_FR2052a!$1:$1048576,0,44),"O.D.11",INDEX(REPORT_FR2052a!$1:$1048576,0,43),1,INDEX(REPORT_FR2052a!$1:$1048576,0,26),"Central Bank",INDEX(REPORT_FR2052a!$1:$1048576,0,5),"Bank of China - Combined US Branches and Agencies")</f>
        <v>0</v>
      </c>
      <c r="BK57" s="143">
        <f t="shared" si="197"/>
        <v>0</v>
      </c>
    </row>
    <row r="58" spans="1:63">
      <c r="A58" s="136">
        <v>49</v>
      </c>
      <c r="B58" s="137" t="str">
        <f>IFERROR(INDEX('LCR TYPE EXPLAIN'!B:B,MATCH(A58,'LCR TYPE EXPLAIN'!A:A,0)),"")</f>
        <v>Unsecured Wholesale Brokered Deposit Non-Operational Non-Financial (§.32(h)(1)(ii)(B))</v>
      </c>
      <c r="F58" s="137" t="s">
        <v>331</v>
      </c>
      <c r="G58" s="138" t="s">
        <v>407</v>
      </c>
      <c r="H58" s="137" t="str">
        <f t="shared" si="98"/>
        <v>,INDEX(REPORT_FR2052a!$1:$1048576,0,44),"O.D.11"</v>
      </c>
      <c r="I58" s="137" t="s">
        <v>331</v>
      </c>
      <c r="J58" s="137">
        <v>1</v>
      </c>
      <c r="K58" s="137" t="str">
        <f t="shared" si="184"/>
        <v>,INDEX(REPORT_FR2052a!$1:$1048576,0,43),1</v>
      </c>
      <c r="N58" s="137" t="str">
        <f t="shared" si="185"/>
        <v/>
      </c>
      <c r="Q58" s="137" t="str">
        <f t="shared" si="186"/>
        <v/>
      </c>
      <c r="T58" s="137" t="str">
        <f t="shared" si="187"/>
        <v/>
      </c>
      <c r="V58" s="139"/>
      <c r="W58" s="137" t="str">
        <f t="shared" si="188"/>
        <v/>
      </c>
      <c r="Y58" s="139"/>
      <c r="Z58" s="137" t="str">
        <f t="shared" si="189"/>
        <v/>
      </c>
      <c r="AB58" s="139"/>
      <c r="AC58" s="137" t="str">
        <f t="shared" si="190"/>
        <v/>
      </c>
      <c r="AD58" s="137" t="s">
        <v>331</v>
      </c>
      <c r="AE58" s="140" t="s">
        <v>136</v>
      </c>
      <c r="AF58" s="137" t="str">
        <f t="shared" si="191"/>
        <v>,INDEX(REPORT_FR2052a!$1:$1048576,0,26),"Other"</v>
      </c>
      <c r="AH58" s="139"/>
      <c r="AI58" s="137" t="str">
        <f t="shared" si="192"/>
        <v/>
      </c>
      <c r="AK58" s="139"/>
      <c r="AL58" s="137" t="str">
        <f t="shared" si="193"/>
        <v/>
      </c>
      <c r="AO58" s="137" t="str">
        <f t="shared" si="194"/>
        <v/>
      </c>
      <c r="AR58" s="137" t="str">
        <f t="shared" si="14"/>
        <v/>
      </c>
      <c r="AU58" s="137" t="str">
        <f t="shared" si="15"/>
        <v/>
      </c>
      <c r="BA58" s="137" t="s">
        <v>13</v>
      </c>
      <c r="BB58" s="137" t="str">
        <f>"=SUMIFS(INDEX(REPORT_FR2052a!$1:$1048576,0,"&amp;(MATCH(BA58,REPORT_FR2052a!$1:$1,0))&amp;")"</f>
        <v>=SUMIFS(INDEX(REPORT_FR2052a!$1:$1048576,0,14)</v>
      </c>
      <c r="BC58" s="137" t="str">
        <f t="shared" si="17"/>
        <v>=SUMIFS(INDEX(REPORT_FR2052a!$1:$1048576,0,14),INDEX(REPORT_FR2052a!$1:$1048576,0,44),"O.D.11",INDEX(REPORT_FR2052a!$1:$1048576,0,43),1,INDEX(REPORT_FR2052a!$1:$1048576,0,26),"Other")</v>
      </c>
      <c r="BD58" s="141">
        <f>SUMIFS(INDEX(REPORT_FR2052a!$1:$1048576,0,14),INDEX(REPORT_FR2052a!$1:$1048576,0,44),"O.D.11",INDEX(REPORT_FR2052a!$1:$1048576,0,43),1,INDEX(REPORT_FR2052a!$1:$1048576,0,26),"Other")</f>
        <v>0</v>
      </c>
      <c r="BE58" s="137" t="s">
        <v>331</v>
      </c>
      <c r="BF58" s="139" t="s">
        <v>47</v>
      </c>
      <c r="BG58" s="137" t="str">
        <f t="shared" si="195"/>
        <v>,INDEX(REPORT_FR2052a!$1:$1048576,0,5),"Bank of China - Combined US Branches and Agencies"</v>
      </c>
      <c r="BI58" s="137" t="str">
        <f t="shared" si="196"/>
        <v>=SUMIFS(INDEX(REPORT_FR2052a!$1:$1048576,0,14),INDEX(REPORT_FR2052a!$1:$1048576,0,44),"O.D.11",INDEX(REPORT_FR2052a!$1:$1048576,0,43),1,INDEX(REPORT_FR2052a!$1:$1048576,0,26),"Other",INDEX(REPORT_FR2052a!$1:$1048576,0,5),"Bank of China - Combined US Branches and Agencies")</v>
      </c>
      <c r="BJ58" s="142">
        <f>SUMIFS(INDEX(REPORT_FR2052a!$1:$1048576,0,14),INDEX(REPORT_FR2052a!$1:$1048576,0,44),"O.D.11",INDEX(REPORT_FR2052a!$1:$1048576,0,43),1,INDEX(REPORT_FR2052a!$1:$1048576,0,26),"Other",INDEX(REPORT_FR2052a!$1:$1048576,0,5),"Bank of China - Combined US Branches and Agencies")</f>
        <v>0</v>
      </c>
      <c r="BK58" s="143">
        <f t="shared" si="197"/>
        <v>0</v>
      </c>
    </row>
    <row r="59" spans="1:63">
      <c r="A59" s="136">
        <v>49</v>
      </c>
      <c r="B59" s="137" t="str">
        <f>IFERROR(INDEX('LCR TYPE EXPLAIN'!B:B,MATCH(A59,'LCR TYPE EXPLAIN'!A:A,0)),"")</f>
        <v>Unsecured Wholesale Brokered Deposit Non-Operational Non-Financial (§.32(h)(1)(ii)(B))</v>
      </c>
      <c r="F59" s="137" t="s">
        <v>331</v>
      </c>
      <c r="G59" s="138" t="s">
        <v>334</v>
      </c>
      <c r="H59" s="137" t="str">
        <f t="shared" si="98"/>
        <v>,INDEX(REPORT_FR2052a!$1:$1048576,0,44),"O.D.7"</v>
      </c>
      <c r="I59" s="137" t="s">
        <v>331</v>
      </c>
      <c r="J59" s="137">
        <v>1</v>
      </c>
      <c r="K59" s="137" t="str">
        <f t="shared" si="184"/>
        <v>,INDEX(REPORT_FR2052a!$1:$1048576,0,43),1</v>
      </c>
      <c r="N59" s="137" t="str">
        <f t="shared" si="185"/>
        <v/>
      </c>
      <c r="Q59" s="137" t="str">
        <f t="shared" si="186"/>
        <v/>
      </c>
      <c r="T59" s="137" t="str">
        <f t="shared" si="187"/>
        <v/>
      </c>
      <c r="V59" s="139"/>
      <c r="W59" s="137" t="str">
        <f t="shared" si="188"/>
        <v/>
      </c>
      <c r="Y59" s="139"/>
      <c r="Z59" s="137" t="str">
        <f t="shared" si="189"/>
        <v/>
      </c>
      <c r="AB59" s="139"/>
      <c r="AC59" s="137" t="str">
        <f t="shared" si="190"/>
        <v/>
      </c>
      <c r="AD59" s="137" t="s">
        <v>331</v>
      </c>
      <c r="AE59" s="140" t="s">
        <v>84</v>
      </c>
      <c r="AF59" s="137" t="str">
        <f t="shared" si="191"/>
        <v>,INDEX(REPORT_FR2052a!$1:$1048576,0,26),"Non-Financial Corporate"</v>
      </c>
      <c r="AH59" s="139"/>
      <c r="AI59" s="137" t="str">
        <f t="shared" si="192"/>
        <v/>
      </c>
      <c r="AK59" s="139"/>
      <c r="AL59" s="137" t="str">
        <f t="shared" si="193"/>
        <v/>
      </c>
      <c r="AO59" s="137" t="str">
        <f t="shared" si="194"/>
        <v/>
      </c>
      <c r="AR59" s="137" t="str">
        <f t="shared" si="14"/>
        <v/>
      </c>
      <c r="AU59" s="137" t="str">
        <f t="shared" si="15"/>
        <v/>
      </c>
      <c r="BA59" s="137" t="s">
        <v>13</v>
      </c>
      <c r="BB59" s="137" t="str">
        <f>"=SUMIFS(INDEX(REPORT_FR2052a!$1:$1048576,0,"&amp;(MATCH(BA59,REPORT_FR2052a!$1:$1,0))&amp;")"</f>
        <v>=SUMIFS(INDEX(REPORT_FR2052a!$1:$1048576,0,14)</v>
      </c>
      <c r="BC59" s="137" t="str">
        <f t="shared" si="17"/>
        <v>=SUMIFS(INDEX(REPORT_FR2052a!$1:$1048576,0,14),INDEX(REPORT_FR2052a!$1:$1048576,0,44),"O.D.7",INDEX(REPORT_FR2052a!$1:$1048576,0,43),1,INDEX(REPORT_FR2052a!$1:$1048576,0,26),"Non-Financial Corporate")</v>
      </c>
      <c r="BD59" s="141">
        <f>SUMIFS(INDEX(REPORT_FR2052a!$1:$1048576,0,14),INDEX(REPORT_FR2052a!$1:$1048576,0,44),"O.D.7",INDEX(REPORT_FR2052a!$1:$1048576,0,43),1,INDEX(REPORT_FR2052a!$1:$1048576,0,26),"Non-Financial Corporate")</f>
        <v>0</v>
      </c>
      <c r="BE59" s="137" t="s">
        <v>331</v>
      </c>
      <c r="BF59" s="139" t="s">
        <v>47</v>
      </c>
      <c r="BG59" s="137" t="str">
        <f t="shared" si="195"/>
        <v>,INDEX(REPORT_FR2052a!$1:$1048576,0,5),"Bank of China - Combined US Branches and Agencies"</v>
      </c>
      <c r="BI59" s="137" t="str">
        <f t="shared" si="196"/>
        <v>=SUMIFS(INDEX(REPORT_FR2052a!$1:$1048576,0,14),INDEX(REPORT_FR2052a!$1:$1048576,0,44),"O.D.7",INDEX(REPORT_FR2052a!$1:$1048576,0,43),1,INDEX(REPORT_FR2052a!$1:$1048576,0,26),"Non-Financial Corporate",INDEX(REPORT_FR2052a!$1:$1048576,0,5),"Bank of China - Combined US Branches and Agencies")</v>
      </c>
      <c r="BJ59" s="142">
        <f>SUMIFS(INDEX(REPORT_FR2052a!$1:$1048576,0,14),INDEX(REPORT_FR2052a!$1:$1048576,0,44),"O.D.7",INDEX(REPORT_FR2052a!$1:$1048576,0,43),1,INDEX(REPORT_FR2052a!$1:$1048576,0,26),"Non-Financial Corporate",INDEX(REPORT_FR2052a!$1:$1048576,0,5),"Bank of China - Combined US Branches and Agencies")</f>
        <v>0</v>
      </c>
      <c r="BK59" s="143">
        <f t="shared" si="197"/>
        <v>0</v>
      </c>
    </row>
    <row r="60" spans="1:63">
      <c r="A60" s="136">
        <v>49</v>
      </c>
      <c r="B60" s="137" t="str">
        <f>IFERROR(INDEX('LCR TYPE EXPLAIN'!B:B,MATCH(A60,'LCR TYPE EXPLAIN'!A:A,0)),"")</f>
        <v>Unsecured Wholesale Brokered Deposit Non-Operational Non-Financial (§.32(h)(1)(ii)(B))</v>
      </c>
      <c r="F60" s="137" t="s">
        <v>331</v>
      </c>
      <c r="G60" s="138" t="s">
        <v>334</v>
      </c>
      <c r="H60" s="137" t="str">
        <f t="shared" si="98"/>
        <v>,INDEX(REPORT_FR2052a!$1:$1048576,0,44),"O.D.7"</v>
      </c>
      <c r="I60" s="137" t="s">
        <v>331</v>
      </c>
      <c r="J60" s="137">
        <v>1</v>
      </c>
      <c r="K60" s="137" t="str">
        <f t="shared" si="184"/>
        <v>,INDEX(REPORT_FR2052a!$1:$1048576,0,43),1</v>
      </c>
      <c r="N60" s="137" t="str">
        <f t="shared" si="185"/>
        <v/>
      </c>
      <c r="Q60" s="137" t="str">
        <f t="shared" si="186"/>
        <v/>
      </c>
      <c r="T60" s="137" t="str">
        <f t="shared" si="187"/>
        <v/>
      </c>
      <c r="V60" s="139"/>
      <c r="W60" s="137" t="str">
        <f t="shared" si="188"/>
        <v/>
      </c>
      <c r="Y60" s="139"/>
      <c r="Z60" s="137" t="str">
        <f t="shared" si="189"/>
        <v/>
      </c>
      <c r="AB60" s="139"/>
      <c r="AC60" s="137" t="str">
        <f t="shared" si="190"/>
        <v/>
      </c>
      <c r="AD60" s="137" t="s">
        <v>331</v>
      </c>
      <c r="AE60" s="140" t="s">
        <v>162</v>
      </c>
      <c r="AF60" s="137" t="str">
        <f t="shared" si="191"/>
        <v>,INDEX(REPORT_FR2052a!$1:$1048576,0,26),"Sovereign"</v>
      </c>
      <c r="AH60" s="139"/>
      <c r="AI60" s="137" t="str">
        <f t="shared" si="192"/>
        <v/>
      </c>
      <c r="AK60" s="139"/>
      <c r="AL60" s="137" t="str">
        <f t="shared" si="193"/>
        <v/>
      </c>
      <c r="AO60" s="137" t="str">
        <f t="shared" si="194"/>
        <v/>
      </c>
      <c r="AR60" s="137" t="str">
        <f t="shared" si="14"/>
        <v/>
      </c>
      <c r="AU60" s="137" t="str">
        <f t="shared" si="15"/>
        <v/>
      </c>
      <c r="BA60" s="137" t="s">
        <v>13</v>
      </c>
      <c r="BB60" s="137" t="str">
        <f>"=SUMIFS(INDEX(REPORT_FR2052a!$1:$1048576,0,"&amp;(MATCH(BA60,REPORT_FR2052a!$1:$1,0))&amp;")"</f>
        <v>=SUMIFS(INDEX(REPORT_FR2052a!$1:$1048576,0,14)</v>
      </c>
      <c r="BC60" s="137" t="str">
        <f t="shared" si="17"/>
        <v>=SUMIFS(INDEX(REPORT_FR2052a!$1:$1048576,0,14),INDEX(REPORT_FR2052a!$1:$1048576,0,44),"O.D.7",INDEX(REPORT_FR2052a!$1:$1048576,0,43),1,INDEX(REPORT_FR2052a!$1:$1048576,0,26),"Sovereign")</v>
      </c>
      <c r="BD60" s="141">
        <f>SUMIFS(INDEX(REPORT_FR2052a!$1:$1048576,0,14),INDEX(REPORT_FR2052a!$1:$1048576,0,44),"O.D.7",INDEX(REPORT_FR2052a!$1:$1048576,0,43),1,INDEX(REPORT_FR2052a!$1:$1048576,0,26),"Sovereign")</f>
        <v>0</v>
      </c>
      <c r="BE60" s="137" t="s">
        <v>331</v>
      </c>
      <c r="BF60" s="139" t="s">
        <v>47</v>
      </c>
      <c r="BG60" s="137" t="str">
        <f t="shared" si="195"/>
        <v>,INDEX(REPORT_FR2052a!$1:$1048576,0,5),"Bank of China - Combined US Branches and Agencies"</v>
      </c>
      <c r="BI60" s="137" t="str">
        <f t="shared" si="196"/>
        <v>=SUMIFS(INDEX(REPORT_FR2052a!$1:$1048576,0,14),INDEX(REPORT_FR2052a!$1:$1048576,0,44),"O.D.7",INDEX(REPORT_FR2052a!$1:$1048576,0,43),1,INDEX(REPORT_FR2052a!$1:$1048576,0,26),"Sovereign",INDEX(REPORT_FR2052a!$1:$1048576,0,5),"Bank of China - Combined US Branches and Agencies")</v>
      </c>
      <c r="BJ60" s="142">
        <f>SUMIFS(INDEX(REPORT_FR2052a!$1:$1048576,0,14),INDEX(REPORT_FR2052a!$1:$1048576,0,44),"O.D.7",INDEX(REPORT_FR2052a!$1:$1048576,0,43),1,INDEX(REPORT_FR2052a!$1:$1048576,0,26),"Sovereign",INDEX(REPORT_FR2052a!$1:$1048576,0,5),"Bank of China - Combined US Branches and Agencies")</f>
        <v>0</v>
      </c>
      <c r="BK60" s="143">
        <f t="shared" si="197"/>
        <v>0</v>
      </c>
    </row>
    <row r="61" spans="1:63">
      <c r="A61" s="136">
        <v>49</v>
      </c>
      <c r="B61" s="137" t="str">
        <f>IFERROR(INDEX('LCR TYPE EXPLAIN'!B:B,MATCH(A61,'LCR TYPE EXPLAIN'!A:A,0)),"")</f>
        <v>Unsecured Wholesale Brokered Deposit Non-Operational Non-Financial (§.32(h)(1)(ii)(B))</v>
      </c>
      <c r="F61" s="137" t="s">
        <v>331</v>
      </c>
      <c r="G61" s="138" t="s">
        <v>334</v>
      </c>
      <c r="H61" s="137" t="str">
        <f t="shared" si="98"/>
        <v>,INDEX(REPORT_FR2052a!$1:$1048576,0,44),"O.D.7"</v>
      </c>
      <c r="I61" s="137" t="s">
        <v>331</v>
      </c>
      <c r="J61" s="137">
        <v>1</v>
      </c>
      <c r="K61" s="137" t="str">
        <f t="shared" si="184"/>
        <v>,INDEX(REPORT_FR2052a!$1:$1048576,0,43),1</v>
      </c>
      <c r="N61" s="137" t="str">
        <f t="shared" si="185"/>
        <v/>
      </c>
      <c r="Q61" s="137" t="str">
        <f t="shared" si="186"/>
        <v/>
      </c>
      <c r="T61" s="137" t="str">
        <f t="shared" si="187"/>
        <v/>
      </c>
      <c r="V61" s="139"/>
      <c r="W61" s="137" t="str">
        <f t="shared" si="188"/>
        <v/>
      </c>
      <c r="Y61" s="139"/>
      <c r="Z61" s="137" t="str">
        <f t="shared" si="189"/>
        <v/>
      </c>
      <c r="AB61" s="139"/>
      <c r="AC61" s="137" t="str">
        <f t="shared" si="190"/>
        <v/>
      </c>
      <c r="AD61" s="137" t="s">
        <v>331</v>
      </c>
      <c r="AE61" s="140" t="s">
        <v>158</v>
      </c>
      <c r="AF61" s="137" t="str">
        <f t="shared" si="191"/>
        <v>,INDEX(REPORT_FR2052a!$1:$1048576,0,26),"Central Bank"</v>
      </c>
      <c r="AH61" s="139"/>
      <c r="AI61" s="137" t="str">
        <f t="shared" si="192"/>
        <v/>
      </c>
      <c r="AK61" s="139"/>
      <c r="AL61" s="137" t="str">
        <f t="shared" si="193"/>
        <v/>
      </c>
      <c r="AO61" s="137" t="str">
        <f t="shared" si="194"/>
        <v/>
      </c>
      <c r="AR61" s="137" t="str">
        <f t="shared" si="14"/>
        <v/>
      </c>
      <c r="AU61" s="137" t="str">
        <f t="shared" si="15"/>
        <v/>
      </c>
      <c r="BA61" s="137" t="s">
        <v>13</v>
      </c>
      <c r="BB61" s="137" t="str">
        <f>"=SUMIFS(INDEX(REPORT_FR2052a!$1:$1048576,0,"&amp;(MATCH(BA61,REPORT_FR2052a!$1:$1,0))&amp;")"</f>
        <v>=SUMIFS(INDEX(REPORT_FR2052a!$1:$1048576,0,14)</v>
      </c>
      <c r="BC61" s="137" t="str">
        <f t="shared" si="17"/>
        <v>=SUMIFS(INDEX(REPORT_FR2052a!$1:$1048576,0,14),INDEX(REPORT_FR2052a!$1:$1048576,0,44),"O.D.7",INDEX(REPORT_FR2052a!$1:$1048576,0,43),1,INDEX(REPORT_FR2052a!$1:$1048576,0,26),"Central Bank")</v>
      </c>
      <c r="BD61" s="141">
        <f>SUMIFS(INDEX(REPORT_FR2052a!$1:$1048576,0,14),INDEX(REPORT_FR2052a!$1:$1048576,0,44),"O.D.7",INDEX(REPORT_FR2052a!$1:$1048576,0,43),1,INDEX(REPORT_FR2052a!$1:$1048576,0,26),"Central Bank")</f>
        <v>0</v>
      </c>
      <c r="BE61" s="137" t="s">
        <v>331</v>
      </c>
      <c r="BF61" s="139" t="s">
        <v>47</v>
      </c>
      <c r="BG61" s="137" t="str">
        <f t="shared" si="195"/>
        <v>,INDEX(REPORT_FR2052a!$1:$1048576,0,5),"Bank of China - Combined US Branches and Agencies"</v>
      </c>
      <c r="BI61" s="137" t="str">
        <f t="shared" si="196"/>
        <v>=SUMIFS(INDEX(REPORT_FR2052a!$1:$1048576,0,14),INDEX(REPORT_FR2052a!$1:$1048576,0,44),"O.D.7",INDEX(REPORT_FR2052a!$1:$1048576,0,43),1,INDEX(REPORT_FR2052a!$1:$1048576,0,26),"Central Bank",INDEX(REPORT_FR2052a!$1:$1048576,0,5),"Bank of China - Combined US Branches and Agencies")</v>
      </c>
      <c r="BJ61" s="142">
        <f>SUMIFS(INDEX(REPORT_FR2052a!$1:$1048576,0,14),INDEX(REPORT_FR2052a!$1:$1048576,0,44),"O.D.7",INDEX(REPORT_FR2052a!$1:$1048576,0,43),1,INDEX(REPORT_FR2052a!$1:$1048576,0,26),"Central Bank",INDEX(REPORT_FR2052a!$1:$1048576,0,5),"Bank of China - Combined US Branches and Agencies")</f>
        <v>0</v>
      </c>
      <c r="BK61" s="143">
        <f t="shared" si="197"/>
        <v>0</v>
      </c>
    </row>
    <row r="62" spans="1:63">
      <c r="A62" s="136">
        <v>49</v>
      </c>
      <c r="B62" s="137" t="str">
        <f>IFERROR(INDEX('LCR TYPE EXPLAIN'!B:B,MATCH(A62,'LCR TYPE EXPLAIN'!A:A,0)),"")</f>
        <v>Unsecured Wholesale Brokered Deposit Non-Operational Non-Financial (§.32(h)(1)(ii)(B))</v>
      </c>
      <c r="F62" s="137" t="s">
        <v>331</v>
      </c>
      <c r="G62" s="138" t="s">
        <v>334</v>
      </c>
      <c r="H62" s="137" t="str">
        <f t="shared" si="98"/>
        <v>,INDEX(REPORT_FR2052a!$1:$1048576,0,44),"O.D.7"</v>
      </c>
      <c r="I62" s="137" t="s">
        <v>331</v>
      </c>
      <c r="J62" s="137">
        <v>1</v>
      </c>
      <c r="K62" s="137" t="str">
        <f t="shared" si="184"/>
        <v>,INDEX(REPORT_FR2052a!$1:$1048576,0,43),1</v>
      </c>
      <c r="N62" s="137" t="str">
        <f t="shared" si="185"/>
        <v/>
      </c>
      <c r="Q62" s="137" t="str">
        <f t="shared" si="186"/>
        <v/>
      </c>
      <c r="T62" s="137" t="str">
        <f t="shared" si="187"/>
        <v/>
      </c>
      <c r="V62" s="139"/>
      <c r="W62" s="137" t="str">
        <f t="shared" si="188"/>
        <v/>
      </c>
      <c r="Y62" s="139"/>
      <c r="Z62" s="137" t="str">
        <f t="shared" si="189"/>
        <v/>
      </c>
      <c r="AB62" s="139"/>
      <c r="AC62" s="137" t="str">
        <f t="shared" si="190"/>
        <v/>
      </c>
      <c r="AD62" s="137" t="s">
        <v>331</v>
      </c>
      <c r="AE62" s="140" t="s">
        <v>136</v>
      </c>
      <c r="AF62" s="137" t="str">
        <f t="shared" si="191"/>
        <v>,INDEX(REPORT_FR2052a!$1:$1048576,0,26),"Other"</v>
      </c>
      <c r="AH62" s="139"/>
      <c r="AI62" s="137" t="str">
        <f t="shared" si="192"/>
        <v/>
      </c>
      <c r="AK62" s="139"/>
      <c r="AL62" s="137" t="str">
        <f t="shared" si="193"/>
        <v/>
      </c>
      <c r="AO62" s="137" t="str">
        <f t="shared" si="194"/>
        <v/>
      </c>
      <c r="AR62" s="137" t="str">
        <f t="shared" si="14"/>
        <v/>
      </c>
      <c r="AU62" s="137" t="str">
        <f t="shared" si="15"/>
        <v/>
      </c>
      <c r="BA62" s="137" t="s">
        <v>13</v>
      </c>
      <c r="BB62" s="137" t="str">
        <f>"=SUMIFS(INDEX(REPORT_FR2052a!$1:$1048576,0,"&amp;(MATCH(BA62,REPORT_FR2052a!$1:$1,0))&amp;")"</f>
        <v>=SUMIFS(INDEX(REPORT_FR2052a!$1:$1048576,0,14)</v>
      </c>
      <c r="BC62" s="137" t="str">
        <f t="shared" si="17"/>
        <v>=SUMIFS(INDEX(REPORT_FR2052a!$1:$1048576,0,14),INDEX(REPORT_FR2052a!$1:$1048576,0,44),"O.D.7",INDEX(REPORT_FR2052a!$1:$1048576,0,43),1,INDEX(REPORT_FR2052a!$1:$1048576,0,26),"Other")</v>
      </c>
      <c r="BD62" s="141">
        <f>SUMIFS(INDEX(REPORT_FR2052a!$1:$1048576,0,14),INDEX(REPORT_FR2052a!$1:$1048576,0,44),"O.D.7",INDEX(REPORT_FR2052a!$1:$1048576,0,43),1,INDEX(REPORT_FR2052a!$1:$1048576,0,26),"Other")</f>
        <v>0</v>
      </c>
      <c r="BE62" s="137" t="s">
        <v>331</v>
      </c>
      <c r="BF62" s="139" t="s">
        <v>47</v>
      </c>
      <c r="BG62" s="137" t="str">
        <f t="shared" si="195"/>
        <v>,INDEX(REPORT_FR2052a!$1:$1048576,0,5),"Bank of China - Combined US Branches and Agencies"</v>
      </c>
      <c r="BI62" s="137" t="str">
        <f t="shared" si="196"/>
        <v>=SUMIFS(INDEX(REPORT_FR2052a!$1:$1048576,0,14),INDEX(REPORT_FR2052a!$1:$1048576,0,44),"O.D.7",INDEX(REPORT_FR2052a!$1:$1048576,0,43),1,INDEX(REPORT_FR2052a!$1:$1048576,0,26),"Other",INDEX(REPORT_FR2052a!$1:$1048576,0,5),"Bank of China - Combined US Branches and Agencies")</v>
      </c>
      <c r="BJ62" s="142">
        <f>SUMIFS(INDEX(REPORT_FR2052a!$1:$1048576,0,14),INDEX(REPORT_FR2052a!$1:$1048576,0,44),"O.D.7",INDEX(REPORT_FR2052a!$1:$1048576,0,43),1,INDEX(REPORT_FR2052a!$1:$1048576,0,26),"Other",INDEX(REPORT_FR2052a!$1:$1048576,0,5),"Bank of China - Combined US Branches and Agencies")</f>
        <v>0</v>
      </c>
      <c r="BK62" s="143">
        <f t="shared" si="197"/>
        <v>0</v>
      </c>
    </row>
    <row r="63" spans="1:63">
      <c r="A63" s="136">
        <v>49</v>
      </c>
      <c r="B63" s="137" t="str">
        <f>IFERROR(INDEX('LCR TYPE EXPLAIN'!B:B,MATCH(A63,'LCR TYPE EXPLAIN'!A:A,0)),"")</f>
        <v>Unsecured Wholesale Brokered Deposit Non-Operational Non-Financial (§.32(h)(1)(ii)(B))</v>
      </c>
      <c r="F63" s="137" t="s">
        <v>331</v>
      </c>
      <c r="G63" s="138" t="s">
        <v>335</v>
      </c>
      <c r="H63" s="137" t="str">
        <f t="shared" si="98"/>
        <v>,INDEX(REPORT_FR2052a!$1:$1048576,0,44),"O.D.8"</v>
      </c>
      <c r="I63" s="137" t="s">
        <v>331</v>
      </c>
      <c r="J63" s="137">
        <v>1</v>
      </c>
      <c r="K63" s="137" t="str">
        <f t="shared" si="184"/>
        <v>,INDEX(REPORT_FR2052a!$1:$1048576,0,43),1</v>
      </c>
      <c r="N63" s="137" t="str">
        <f t="shared" si="185"/>
        <v/>
      </c>
      <c r="Q63" s="137" t="str">
        <f t="shared" si="186"/>
        <v/>
      </c>
      <c r="T63" s="137" t="str">
        <f t="shared" si="187"/>
        <v/>
      </c>
      <c r="V63" s="139"/>
      <c r="W63" s="137" t="str">
        <f t="shared" si="188"/>
        <v/>
      </c>
      <c r="Y63" s="139"/>
      <c r="Z63" s="137" t="str">
        <f t="shared" si="189"/>
        <v/>
      </c>
      <c r="AB63" s="139"/>
      <c r="AC63" s="137" t="str">
        <f t="shared" si="190"/>
        <v/>
      </c>
      <c r="AD63" s="137" t="s">
        <v>331</v>
      </c>
      <c r="AE63" s="140" t="s">
        <v>84</v>
      </c>
      <c r="AF63" s="137" t="str">
        <f t="shared" si="191"/>
        <v>,INDEX(REPORT_FR2052a!$1:$1048576,0,26),"Non-Financial Corporate"</v>
      </c>
      <c r="AH63" s="139"/>
      <c r="AI63" s="137" t="str">
        <f t="shared" si="192"/>
        <v/>
      </c>
      <c r="AK63" s="139"/>
      <c r="AL63" s="137" t="str">
        <f t="shared" si="193"/>
        <v/>
      </c>
      <c r="AO63" s="137" t="str">
        <f t="shared" si="194"/>
        <v/>
      </c>
      <c r="AR63" s="137" t="str">
        <f t="shared" si="14"/>
        <v/>
      </c>
      <c r="AU63" s="137" t="str">
        <f t="shared" si="15"/>
        <v/>
      </c>
      <c r="BA63" s="137" t="s">
        <v>13</v>
      </c>
      <c r="BB63" s="137" t="str">
        <f>"=SUMIFS(INDEX(REPORT_FR2052a!$1:$1048576,0,"&amp;(MATCH(BA63,REPORT_FR2052a!$1:$1,0))&amp;")"</f>
        <v>=SUMIFS(INDEX(REPORT_FR2052a!$1:$1048576,0,14)</v>
      </c>
      <c r="BC63" s="137" t="str">
        <f t="shared" si="17"/>
        <v>=SUMIFS(INDEX(REPORT_FR2052a!$1:$1048576,0,14),INDEX(REPORT_FR2052a!$1:$1048576,0,44),"O.D.8",INDEX(REPORT_FR2052a!$1:$1048576,0,43),1,INDEX(REPORT_FR2052a!$1:$1048576,0,26),"Non-Financial Corporate")</v>
      </c>
      <c r="BD63" s="141">
        <f>SUMIFS(INDEX(REPORT_FR2052a!$1:$1048576,0,14),INDEX(REPORT_FR2052a!$1:$1048576,0,44),"O.D.8",INDEX(REPORT_FR2052a!$1:$1048576,0,43),1,INDEX(REPORT_FR2052a!$1:$1048576,0,26),"Non-Financial Corporate")</f>
        <v>0</v>
      </c>
      <c r="BE63" s="137" t="s">
        <v>331</v>
      </c>
      <c r="BF63" s="139" t="s">
        <v>47</v>
      </c>
      <c r="BG63" s="137" t="str">
        <f t="shared" si="195"/>
        <v>,INDEX(REPORT_FR2052a!$1:$1048576,0,5),"Bank of China - Combined US Branches and Agencies"</v>
      </c>
      <c r="BI63" s="137" t="str">
        <f t="shared" si="196"/>
        <v>=SUMIFS(INDEX(REPORT_FR2052a!$1:$1048576,0,14),INDEX(REPORT_FR2052a!$1:$1048576,0,44),"O.D.8",INDEX(REPORT_FR2052a!$1:$1048576,0,43),1,INDEX(REPORT_FR2052a!$1:$1048576,0,26),"Non-Financial Corporate",INDEX(REPORT_FR2052a!$1:$1048576,0,5),"Bank of China - Combined US Branches and Agencies")</v>
      </c>
      <c r="BJ63" s="142">
        <f>SUMIFS(INDEX(REPORT_FR2052a!$1:$1048576,0,14),INDEX(REPORT_FR2052a!$1:$1048576,0,44),"O.D.8",INDEX(REPORT_FR2052a!$1:$1048576,0,43),1,INDEX(REPORT_FR2052a!$1:$1048576,0,26),"Non-Financial Corporate",INDEX(REPORT_FR2052a!$1:$1048576,0,5),"Bank of China - Combined US Branches and Agencies")</f>
        <v>0</v>
      </c>
      <c r="BK63" s="143">
        <f t="shared" si="197"/>
        <v>0</v>
      </c>
    </row>
    <row r="64" spans="1:63">
      <c r="A64" s="136">
        <v>49</v>
      </c>
      <c r="B64" s="137" t="str">
        <f>IFERROR(INDEX('LCR TYPE EXPLAIN'!B:B,MATCH(A64,'LCR TYPE EXPLAIN'!A:A,0)),"")</f>
        <v>Unsecured Wholesale Brokered Deposit Non-Operational Non-Financial (§.32(h)(1)(ii)(B))</v>
      </c>
      <c r="F64" s="137" t="s">
        <v>331</v>
      </c>
      <c r="G64" s="138" t="s">
        <v>335</v>
      </c>
      <c r="H64" s="137" t="str">
        <f t="shared" si="98"/>
        <v>,INDEX(REPORT_FR2052a!$1:$1048576,0,44),"O.D.8"</v>
      </c>
      <c r="I64" s="137" t="s">
        <v>331</v>
      </c>
      <c r="J64" s="137">
        <v>1</v>
      </c>
      <c r="K64" s="137" t="str">
        <f t="shared" si="184"/>
        <v>,INDEX(REPORT_FR2052a!$1:$1048576,0,43),1</v>
      </c>
      <c r="N64" s="137" t="str">
        <f t="shared" si="185"/>
        <v/>
      </c>
      <c r="Q64" s="137" t="str">
        <f t="shared" si="186"/>
        <v/>
      </c>
      <c r="T64" s="137" t="str">
        <f t="shared" si="187"/>
        <v/>
      </c>
      <c r="V64" s="139"/>
      <c r="W64" s="137" t="str">
        <f t="shared" si="188"/>
        <v/>
      </c>
      <c r="Y64" s="139"/>
      <c r="Z64" s="137" t="str">
        <f t="shared" si="189"/>
        <v/>
      </c>
      <c r="AB64" s="139"/>
      <c r="AC64" s="137" t="str">
        <f t="shared" si="190"/>
        <v/>
      </c>
      <c r="AD64" s="137" t="s">
        <v>331</v>
      </c>
      <c r="AE64" s="140" t="s">
        <v>162</v>
      </c>
      <c r="AF64" s="137" t="str">
        <f t="shared" si="191"/>
        <v>,INDEX(REPORT_FR2052a!$1:$1048576,0,26),"Sovereign"</v>
      </c>
      <c r="AH64" s="139"/>
      <c r="AI64" s="137" t="str">
        <f t="shared" si="192"/>
        <v/>
      </c>
      <c r="AK64" s="139"/>
      <c r="AL64" s="137" t="str">
        <f t="shared" si="193"/>
        <v/>
      </c>
      <c r="AO64" s="137" t="str">
        <f t="shared" si="194"/>
        <v/>
      </c>
      <c r="AR64" s="137" t="str">
        <f t="shared" si="14"/>
        <v/>
      </c>
      <c r="AU64" s="137" t="str">
        <f t="shared" si="15"/>
        <v/>
      </c>
      <c r="BA64" s="137" t="s">
        <v>13</v>
      </c>
      <c r="BB64" s="137" t="str">
        <f>"=SUMIFS(INDEX(REPORT_FR2052a!$1:$1048576,0,"&amp;(MATCH(BA64,REPORT_FR2052a!$1:$1,0))&amp;")"</f>
        <v>=SUMIFS(INDEX(REPORT_FR2052a!$1:$1048576,0,14)</v>
      </c>
      <c r="BC64" s="137" t="str">
        <f t="shared" si="17"/>
        <v>=SUMIFS(INDEX(REPORT_FR2052a!$1:$1048576,0,14),INDEX(REPORT_FR2052a!$1:$1048576,0,44),"O.D.8",INDEX(REPORT_FR2052a!$1:$1048576,0,43),1,INDEX(REPORT_FR2052a!$1:$1048576,0,26),"Sovereign")</v>
      </c>
      <c r="BD64" s="141">
        <f>SUMIFS(INDEX(REPORT_FR2052a!$1:$1048576,0,14),INDEX(REPORT_FR2052a!$1:$1048576,0,44),"O.D.8",INDEX(REPORT_FR2052a!$1:$1048576,0,43),1,INDEX(REPORT_FR2052a!$1:$1048576,0,26),"Sovereign")</f>
        <v>0</v>
      </c>
      <c r="BE64" s="137" t="s">
        <v>331</v>
      </c>
      <c r="BF64" s="139" t="s">
        <v>47</v>
      </c>
      <c r="BG64" s="137" t="str">
        <f t="shared" si="195"/>
        <v>,INDEX(REPORT_FR2052a!$1:$1048576,0,5),"Bank of China - Combined US Branches and Agencies"</v>
      </c>
      <c r="BI64" s="137" t="str">
        <f t="shared" si="196"/>
        <v>=SUMIFS(INDEX(REPORT_FR2052a!$1:$1048576,0,14),INDEX(REPORT_FR2052a!$1:$1048576,0,44),"O.D.8",INDEX(REPORT_FR2052a!$1:$1048576,0,43),1,INDEX(REPORT_FR2052a!$1:$1048576,0,26),"Sovereign",INDEX(REPORT_FR2052a!$1:$1048576,0,5),"Bank of China - Combined US Branches and Agencies")</v>
      </c>
      <c r="BJ64" s="142">
        <f>SUMIFS(INDEX(REPORT_FR2052a!$1:$1048576,0,14),INDEX(REPORT_FR2052a!$1:$1048576,0,44),"O.D.8",INDEX(REPORT_FR2052a!$1:$1048576,0,43),1,INDEX(REPORT_FR2052a!$1:$1048576,0,26),"Sovereign",INDEX(REPORT_FR2052a!$1:$1048576,0,5),"Bank of China - Combined US Branches and Agencies")</f>
        <v>0</v>
      </c>
      <c r="BK64" s="143">
        <f t="shared" si="197"/>
        <v>0</v>
      </c>
    </row>
    <row r="65" spans="1:63">
      <c r="A65" s="136">
        <v>49</v>
      </c>
      <c r="B65" s="137" t="str">
        <f>IFERROR(INDEX('LCR TYPE EXPLAIN'!B:B,MATCH(A65,'LCR TYPE EXPLAIN'!A:A,0)),"")</f>
        <v>Unsecured Wholesale Brokered Deposit Non-Operational Non-Financial (§.32(h)(1)(ii)(B))</v>
      </c>
      <c r="F65" s="137" t="s">
        <v>331</v>
      </c>
      <c r="G65" s="138" t="s">
        <v>335</v>
      </c>
      <c r="H65" s="137" t="str">
        <f t="shared" si="98"/>
        <v>,INDEX(REPORT_FR2052a!$1:$1048576,0,44),"O.D.8"</v>
      </c>
      <c r="I65" s="137" t="s">
        <v>331</v>
      </c>
      <c r="J65" s="137">
        <v>1</v>
      </c>
      <c r="K65" s="137" t="str">
        <f t="shared" si="184"/>
        <v>,INDEX(REPORT_FR2052a!$1:$1048576,0,43),1</v>
      </c>
      <c r="N65" s="137" t="str">
        <f t="shared" si="185"/>
        <v/>
      </c>
      <c r="Q65" s="137" t="str">
        <f t="shared" si="186"/>
        <v/>
      </c>
      <c r="T65" s="137" t="str">
        <f t="shared" si="187"/>
        <v/>
      </c>
      <c r="V65" s="139"/>
      <c r="W65" s="137" t="str">
        <f t="shared" si="188"/>
        <v/>
      </c>
      <c r="Y65" s="139"/>
      <c r="Z65" s="137" t="str">
        <f t="shared" si="189"/>
        <v/>
      </c>
      <c r="AB65" s="139"/>
      <c r="AC65" s="137" t="str">
        <f t="shared" si="190"/>
        <v/>
      </c>
      <c r="AD65" s="137" t="s">
        <v>331</v>
      </c>
      <c r="AE65" s="140" t="s">
        <v>158</v>
      </c>
      <c r="AF65" s="137" t="str">
        <f t="shared" si="191"/>
        <v>,INDEX(REPORT_FR2052a!$1:$1048576,0,26),"Central Bank"</v>
      </c>
      <c r="AH65" s="139"/>
      <c r="AI65" s="137" t="str">
        <f t="shared" si="192"/>
        <v/>
      </c>
      <c r="AK65" s="139"/>
      <c r="AL65" s="137" t="str">
        <f t="shared" si="193"/>
        <v/>
      </c>
      <c r="AO65" s="137" t="str">
        <f t="shared" si="194"/>
        <v/>
      </c>
      <c r="AR65" s="137" t="str">
        <f t="shared" si="14"/>
        <v/>
      </c>
      <c r="AU65" s="137" t="str">
        <f t="shared" si="15"/>
        <v/>
      </c>
      <c r="BA65" s="137" t="s">
        <v>13</v>
      </c>
      <c r="BB65" s="137" t="str">
        <f>"=SUMIFS(INDEX(REPORT_FR2052a!$1:$1048576,0,"&amp;(MATCH(BA65,REPORT_FR2052a!$1:$1,0))&amp;")"</f>
        <v>=SUMIFS(INDEX(REPORT_FR2052a!$1:$1048576,0,14)</v>
      </c>
      <c r="BC65" s="137" t="str">
        <f t="shared" si="17"/>
        <v>=SUMIFS(INDEX(REPORT_FR2052a!$1:$1048576,0,14),INDEX(REPORT_FR2052a!$1:$1048576,0,44),"O.D.8",INDEX(REPORT_FR2052a!$1:$1048576,0,43),1,INDEX(REPORT_FR2052a!$1:$1048576,0,26),"Central Bank")</v>
      </c>
      <c r="BD65" s="141">
        <f>SUMIFS(INDEX(REPORT_FR2052a!$1:$1048576,0,14),INDEX(REPORT_FR2052a!$1:$1048576,0,44),"O.D.8",INDEX(REPORT_FR2052a!$1:$1048576,0,43),1,INDEX(REPORT_FR2052a!$1:$1048576,0,26),"Central Bank")</f>
        <v>0</v>
      </c>
      <c r="BE65" s="137" t="s">
        <v>331</v>
      </c>
      <c r="BF65" s="139" t="s">
        <v>47</v>
      </c>
      <c r="BG65" s="137" t="str">
        <f t="shared" si="195"/>
        <v>,INDEX(REPORT_FR2052a!$1:$1048576,0,5),"Bank of China - Combined US Branches and Agencies"</v>
      </c>
      <c r="BI65" s="137" t="str">
        <f t="shared" si="196"/>
        <v>=SUMIFS(INDEX(REPORT_FR2052a!$1:$1048576,0,14),INDEX(REPORT_FR2052a!$1:$1048576,0,44),"O.D.8",INDEX(REPORT_FR2052a!$1:$1048576,0,43),1,INDEX(REPORT_FR2052a!$1:$1048576,0,26),"Central Bank",INDEX(REPORT_FR2052a!$1:$1048576,0,5),"Bank of China - Combined US Branches and Agencies")</v>
      </c>
      <c r="BJ65" s="142">
        <f>SUMIFS(INDEX(REPORT_FR2052a!$1:$1048576,0,14),INDEX(REPORT_FR2052a!$1:$1048576,0,44),"O.D.8",INDEX(REPORT_FR2052a!$1:$1048576,0,43),1,INDEX(REPORT_FR2052a!$1:$1048576,0,26),"Central Bank",INDEX(REPORT_FR2052a!$1:$1048576,0,5),"Bank of China - Combined US Branches and Agencies")</f>
        <v>0</v>
      </c>
      <c r="BK65" s="143">
        <f t="shared" si="197"/>
        <v>0</v>
      </c>
    </row>
    <row r="66" spans="1:63">
      <c r="A66" s="136">
        <v>49</v>
      </c>
      <c r="B66" s="137" t="str">
        <f>IFERROR(INDEX('LCR TYPE EXPLAIN'!B:B,MATCH(A66,'LCR TYPE EXPLAIN'!A:A,0)),"")</f>
        <v>Unsecured Wholesale Brokered Deposit Non-Operational Non-Financial (§.32(h)(1)(ii)(B))</v>
      </c>
      <c r="F66" s="137" t="s">
        <v>331</v>
      </c>
      <c r="G66" s="138" t="s">
        <v>335</v>
      </c>
      <c r="H66" s="137" t="str">
        <f t="shared" si="98"/>
        <v>,INDEX(REPORT_FR2052a!$1:$1048576,0,44),"O.D.8"</v>
      </c>
      <c r="I66" s="137" t="s">
        <v>331</v>
      </c>
      <c r="J66" s="137">
        <v>1</v>
      </c>
      <c r="K66" s="137" t="str">
        <f t="shared" si="184"/>
        <v>,INDEX(REPORT_FR2052a!$1:$1048576,0,43),1</v>
      </c>
      <c r="N66" s="137" t="str">
        <f t="shared" si="185"/>
        <v/>
      </c>
      <c r="Q66" s="137" t="str">
        <f t="shared" si="186"/>
        <v/>
      </c>
      <c r="T66" s="137" t="str">
        <f t="shared" si="187"/>
        <v/>
      </c>
      <c r="V66" s="139"/>
      <c r="W66" s="137" t="str">
        <f t="shared" si="188"/>
        <v/>
      </c>
      <c r="Y66" s="139"/>
      <c r="Z66" s="137" t="str">
        <f t="shared" si="189"/>
        <v/>
      </c>
      <c r="AB66" s="139"/>
      <c r="AC66" s="137" t="str">
        <f t="shared" si="190"/>
        <v/>
      </c>
      <c r="AD66" s="137" t="s">
        <v>331</v>
      </c>
      <c r="AE66" s="140" t="s">
        <v>136</v>
      </c>
      <c r="AF66" s="137" t="str">
        <f t="shared" si="191"/>
        <v>,INDEX(REPORT_FR2052a!$1:$1048576,0,26),"Other"</v>
      </c>
      <c r="AH66" s="139"/>
      <c r="AI66" s="137" t="str">
        <f t="shared" si="192"/>
        <v/>
      </c>
      <c r="AK66" s="139"/>
      <c r="AL66" s="137" t="str">
        <f t="shared" si="193"/>
        <v/>
      </c>
      <c r="AO66" s="137" t="str">
        <f t="shared" si="194"/>
        <v/>
      </c>
      <c r="AR66" s="137" t="str">
        <f t="shared" si="14"/>
        <v/>
      </c>
      <c r="AU66" s="137" t="str">
        <f t="shared" si="15"/>
        <v/>
      </c>
      <c r="BA66" s="137" t="s">
        <v>13</v>
      </c>
      <c r="BB66" s="137" t="str">
        <f>"=SUMIFS(INDEX(REPORT_FR2052a!$1:$1048576,0,"&amp;(MATCH(BA66,REPORT_FR2052a!$1:$1,0))&amp;")"</f>
        <v>=SUMIFS(INDEX(REPORT_FR2052a!$1:$1048576,0,14)</v>
      </c>
      <c r="BC66" s="137" t="str">
        <f t="shared" si="17"/>
        <v>=SUMIFS(INDEX(REPORT_FR2052a!$1:$1048576,0,14),INDEX(REPORT_FR2052a!$1:$1048576,0,44),"O.D.8",INDEX(REPORT_FR2052a!$1:$1048576,0,43),1,INDEX(REPORT_FR2052a!$1:$1048576,0,26),"Other")</v>
      </c>
      <c r="BD66" s="141">
        <f>SUMIFS(INDEX(REPORT_FR2052a!$1:$1048576,0,14),INDEX(REPORT_FR2052a!$1:$1048576,0,44),"O.D.8",INDEX(REPORT_FR2052a!$1:$1048576,0,43),1,INDEX(REPORT_FR2052a!$1:$1048576,0,26),"Other")</f>
        <v>0</v>
      </c>
      <c r="BE66" s="137" t="s">
        <v>331</v>
      </c>
      <c r="BF66" s="139" t="s">
        <v>47</v>
      </c>
      <c r="BG66" s="137" t="str">
        <f t="shared" si="195"/>
        <v>,INDEX(REPORT_FR2052a!$1:$1048576,0,5),"Bank of China - Combined US Branches and Agencies"</v>
      </c>
      <c r="BI66" s="137" t="str">
        <f t="shared" si="196"/>
        <v>=SUMIFS(INDEX(REPORT_FR2052a!$1:$1048576,0,14),INDEX(REPORT_FR2052a!$1:$1048576,0,44),"O.D.8",INDEX(REPORT_FR2052a!$1:$1048576,0,43),1,INDEX(REPORT_FR2052a!$1:$1048576,0,26),"Other",INDEX(REPORT_FR2052a!$1:$1048576,0,5),"Bank of China - Combined US Branches and Agencies")</v>
      </c>
      <c r="BJ66" s="142">
        <f>SUMIFS(INDEX(REPORT_FR2052a!$1:$1048576,0,14),INDEX(REPORT_FR2052a!$1:$1048576,0,44),"O.D.8",INDEX(REPORT_FR2052a!$1:$1048576,0,43),1,INDEX(REPORT_FR2052a!$1:$1048576,0,26),"Other",INDEX(REPORT_FR2052a!$1:$1048576,0,5),"Bank of China - Combined US Branches and Agencies")</f>
        <v>0</v>
      </c>
      <c r="BK66" s="143">
        <f t="shared" si="197"/>
        <v>0</v>
      </c>
    </row>
    <row r="67" spans="1:63">
      <c r="A67" s="136">
        <v>49</v>
      </c>
      <c r="B67" s="137" t="str">
        <f>IFERROR(INDEX('LCR TYPE EXPLAIN'!B:B,MATCH(A67,'LCR TYPE EXPLAIN'!A:A,0)),"")</f>
        <v>Unsecured Wholesale Brokered Deposit Non-Operational Non-Financial (§.32(h)(1)(ii)(B))</v>
      </c>
      <c r="F67" s="137" t="s">
        <v>331</v>
      </c>
      <c r="G67" s="138" t="s">
        <v>406</v>
      </c>
      <c r="H67" s="137" t="str">
        <f t="shared" si="98"/>
        <v>,INDEX(REPORT_FR2052a!$1:$1048576,0,44),"O.D.9"</v>
      </c>
      <c r="I67" s="137" t="s">
        <v>331</v>
      </c>
      <c r="J67" s="137">
        <v>1</v>
      </c>
      <c r="K67" s="137" t="str">
        <f t="shared" si="184"/>
        <v>,INDEX(REPORT_FR2052a!$1:$1048576,0,43),1</v>
      </c>
      <c r="N67" s="137" t="str">
        <f t="shared" si="185"/>
        <v/>
      </c>
      <c r="Q67" s="137" t="str">
        <f t="shared" si="186"/>
        <v/>
      </c>
      <c r="T67" s="137" t="str">
        <f t="shared" si="187"/>
        <v/>
      </c>
      <c r="V67" s="139"/>
      <c r="W67" s="137" t="str">
        <f t="shared" si="188"/>
        <v/>
      </c>
      <c r="Y67" s="139"/>
      <c r="Z67" s="137" t="str">
        <f t="shared" si="189"/>
        <v/>
      </c>
      <c r="AB67" s="139"/>
      <c r="AC67" s="137" t="str">
        <f t="shared" si="190"/>
        <v/>
      </c>
      <c r="AD67" s="137" t="s">
        <v>331</v>
      </c>
      <c r="AE67" s="140" t="s">
        <v>84</v>
      </c>
      <c r="AF67" s="137" t="str">
        <f t="shared" si="191"/>
        <v>,INDEX(REPORT_FR2052a!$1:$1048576,0,26),"Non-Financial Corporate"</v>
      </c>
      <c r="AH67" s="139"/>
      <c r="AI67" s="137" t="str">
        <f t="shared" si="192"/>
        <v/>
      </c>
      <c r="AK67" s="139"/>
      <c r="AL67" s="137" t="str">
        <f t="shared" si="193"/>
        <v/>
      </c>
      <c r="AO67" s="137" t="str">
        <f t="shared" si="194"/>
        <v/>
      </c>
      <c r="AR67" s="137" t="str">
        <f t="shared" si="14"/>
        <v/>
      </c>
      <c r="AU67" s="137" t="str">
        <f t="shared" si="15"/>
        <v/>
      </c>
      <c r="BA67" s="137" t="s">
        <v>13</v>
      </c>
      <c r="BB67" s="137" t="str">
        <f>"=SUMIFS(INDEX(REPORT_FR2052a!$1:$1048576,0,"&amp;(MATCH(BA67,REPORT_FR2052a!$1:$1,0))&amp;")"</f>
        <v>=SUMIFS(INDEX(REPORT_FR2052a!$1:$1048576,0,14)</v>
      </c>
      <c r="BC67" s="137" t="str">
        <f t="shared" si="17"/>
        <v>=SUMIFS(INDEX(REPORT_FR2052a!$1:$1048576,0,14),INDEX(REPORT_FR2052a!$1:$1048576,0,44),"O.D.9",INDEX(REPORT_FR2052a!$1:$1048576,0,43),1,INDEX(REPORT_FR2052a!$1:$1048576,0,26),"Non-Financial Corporate")</v>
      </c>
      <c r="BD67" s="141">
        <f>SUMIFS(INDEX(REPORT_FR2052a!$1:$1048576,0,14),INDEX(REPORT_FR2052a!$1:$1048576,0,44),"O.D.9",INDEX(REPORT_FR2052a!$1:$1048576,0,43),1,INDEX(REPORT_FR2052a!$1:$1048576,0,26),"Non-Financial Corporate")</f>
        <v>1074.5999999999999</v>
      </c>
      <c r="BE67" s="137" t="s">
        <v>331</v>
      </c>
      <c r="BF67" s="139" t="s">
        <v>47</v>
      </c>
      <c r="BG67" s="137" t="str">
        <f t="shared" si="195"/>
        <v>,INDEX(REPORT_FR2052a!$1:$1048576,0,5),"Bank of China - Combined US Branches and Agencies"</v>
      </c>
      <c r="BI67" s="137" t="str">
        <f t="shared" si="196"/>
        <v>=SUMIFS(INDEX(REPORT_FR2052a!$1:$1048576,0,14),INDEX(REPORT_FR2052a!$1:$1048576,0,44),"O.D.9",INDEX(REPORT_FR2052a!$1:$1048576,0,43),1,INDEX(REPORT_FR2052a!$1:$1048576,0,26),"Non-Financial Corporate",INDEX(REPORT_FR2052a!$1:$1048576,0,5),"Bank of China - Combined US Branches and Agencies")</v>
      </c>
      <c r="BJ67" s="142">
        <f>SUMIFS(INDEX(REPORT_FR2052a!$1:$1048576,0,14),INDEX(REPORT_FR2052a!$1:$1048576,0,44),"O.D.9",INDEX(REPORT_FR2052a!$1:$1048576,0,43),1,INDEX(REPORT_FR2052a!$1:$1048576,0,26),"Non-Financial Corporate",INDEX(REPORT_FR2052a!$1:$1048576,0,5),"Bank of China - Combined US Branches and Agencies")</f>
        <v>1074.5999999999999</v>
      </c>
      <c r="BK67" s="143">
        <f t="shared" si="197"/>
        <v>0</v>
      </c>
    </row>
    <row r="68" spans="1:63">
      <c r="A68" s="136">
        <v>49</v>
      </c>
      <c r="B68" s="137" t="str">
        <f>IFERROR(INDEX('LCR TYPE EXPLAIN'!B:B,MATCH(A68,'LCR TYPE EXPLAIN'!A:A,0)),"")</f>
        <v>Unsecured Wholesale Brokered Deposit Non-Operational Non-Financial (§.32(h)(1)(ii)(B))</v>
      </c>
      <c r="F68" s="137" t="s">
        <v>331</v>
      </c>
      <c r="G68" s="138" t="s">
        <v>406</v>
      </c>
      <c r="H68" s="137" t="str">
        <f t="shared" si="98"/>
        <v>,INDEX(REPORT_FR2052a!$1:$1048576,0,44),"O.D.9"</v>
      </c>
      <c r="I68" s="137" t="s">
        <v>331</v>
      </c>
      <c r="J68" s="137">
        <v>1</v>
      </c>
      <c r="K68" s="137" t="str">
        <f t="shared" si="184"/>
        <v>,INDEX(REPORT_FR2052a!$1:$1048576,0,43),1</v>
      </c>
      <c r="N68" s="137" t="str">
        <f t="shared" si="185"/>
        <v/>
      </c>
      <c r="Q68" s="137" t="str">
        <f t="shared" si="186"/>
        <v/>
      </c>
      <c r="T68" s="137" t="str">
        <f t="shared" si="187"/>
        <v/>
      </c>
      <c r="V68" s="139"/>
      <c r="W68" s="137" t="str">
        <f t="shared" si="188"/>
        <v/>
      </c>
      <c r="Y68" s="139"/>
      <c r="Z68" s="137" t="str">
        <f t="shared" si="189"/>
        <v/>
      </c>
      <c r="AB68" s="139"/>
      <c r="AC68" s="137" t="str">
        <f t="shared" si="190"/>
        <v/>
      </c>
      <c r="AD68" s="137" t="s">
        <v>331</v>
      </c>
      <c r="AE68" s="140" t="s">
        <v>162</v>
      </c>
      <c r="AF68" s="137" t="str">
        <f t="shared" si="191"/>
        <v>,INDEX(REPORT_FR2052a!$1:$1048576,0,26),"Sovereign"</v>
      </c>
      <c r="AH68" s="139"/>
      <c r="AI68" s="137" t="str">
        <f t="shared" si="192"/>
        <v/>
      </c>
      <c r="AK68" s="139"/>
      <c r="AL68" s="137" t="str">
        <f t="shared" si="193"/>
        <v/>
      </c>
      <c r="AO68" s="137" t="str">
        <f t="shared" si="194"/>
        <v/>
      </c>
      <c r="AR68" s="137" t="str">
        <f t="shared" si="14"/>
        <v/>
      </c>
      <c r="AU68" s="137" t="str">
        <f t="shared" si="15"/>
        <v/>
      </c>
      <c r="BA68" s="137" t="s">
        <v>13</v>
      </c>
      <c r="BB68" s="137" t="str">
        <f>"=SUMIFS(INDEX(REPORT_FR2052a!$1:$1048576,0,"&amp;(MATCH(BA68,REPORT_FR2052a!$1:$1,0))&amp;")"</f>
        <v>=SUMIFS(INDEX(REPORT_FR2052a!$1:$1048576,0,14)</v>
      </c>
      <c r="BC68" s="137" t="str">
        <f t="shared" ref="BC68:BC131" si="198">BB68&amp;H68&amp;K68&amp;N68&amp;Q68&amp;T68&amp;W68&amp;Z68&amp;AC68&amp;AF68&amp;AI68&amp;AL68&amp;AO68&amp;AR68&amp;AU68&amp;AX68&amp;")"</f>
        <v>=SUMIFS(INDEX(REPORT_FR2052a!$1:$1048576,0,14),INDEX(REPORT_FR2052a!$1:$1048576,0,44),"O.D.9",INDEX(REPORT_FR2052a!$1:$1048576,0,43),1,INDEX(REPORT_FR2052a!$1:$1048576,0,26),"Sovereign")</v>
      </c>
      <c r="BD68" s="141">
        <f>SUMIFS(INDEX(REPORT_FR2052a!$1:$1048576,0,14),INDEX(REPORT_FR2052a!$1:$1048576,0,44),"O.D.9",INDEX(REPORT_FR2052a!$1:$1048576,0,43),1,INDEX(REPORT_FR2052a!$1:$1048576,0,26),"Sovereign")</f>
        <v>0</v>
      </c>
      <c r="BE68" s="137" t="s">
        <v>331</v>
      </c>
      <c r="BF68" s="139" t="s">
        <v>47</v>
      </c>
      <c r="BG68" s="137" t="str">
        <f t="shared" si="195"/>
        <v>,INDEX(REPORT_FR2052a!$1:$1048576,0,5),"Bank of China - Combined US Branches and Agencies"</v>
      </c>
      <c r="BI68" s="137" t="str">
        <f t="shared" si="196"/>
        <v>=SUMIFS(INDEX(REPORT_FR2052a!$1:$1048576,0,14),INDEX(REPORT_FR2052a!$1:$1048576,0,44),"O.D.9",INDEX(REPORT_FR2052a!$1:$1048576,0,43),1,INDEX(REPORT_FR2052a!$1:$1048576,0,26),"Sovereign",INDEX(REPORT_FR2052a!$1:$1048576,0,5),"Bank of China - Combined US Branches and Agencies")</v>
      </c>
      <c r="BJ68" s="142">
        <f>SUMIFS(INDEX(REPORT_FR2052a!$1:$1048576,0,14),INDEX(REPORT_FR2052a!$1:$1048576,0,44),"O.D.9",INDEX(REPORT_FR2052a!$1:$1048576,0,43),1,INDEX(REPORT_FR2052a!$1:$1048576,0,26),"Sovereign",INDEX(REPORT_FR2052a!$1:$1048576,0,5),"Bank of China - Combined US Branches and Agencies")</f>
        <v>0</v>
      </c>
      <c r="BK68" s="143">
        <f t="shared" si="197"/>
        <v>0</v>
      </c>
    </row>
    <row r="69" spans="1:63">
      <c r="A69" s="136">
        <v>49</v>
      </c>
      <c r="B69" s="137" t="str">
        <f>IFERROR(INDEX('LCR TYPE EXPLAIN'!B:B,MATCH(A69,'LCR TYPE EXPLAIN'!A:A,0)),"")</f>
        <v>Unsecured Wholesale Brokered Deposit Non-Operational Non-Financial (§.32(h)(1)(ii)(B))</v>
      </c>
      <c r="F69" s="137" t="s">
        <v>331</v>
      </c>
      <c r="G69" s="138" t="s">
        <v>406</v>
      </c>
      <c r="H69" s="137" t="str">
        <f t="shared" si="98"/>
        <v>,INDEX(REPORT_FR2052a!$1:$1048576,0,44),"O.D.9"</v>
      </c>
      <c r="I69" s="137" t="s">
        <v>331</v>
      </c>
      <c r="J69" s="137">
        <v>1</v>
      </c>
      <c r="K69" s="137" t="str">
        <f t="shared" si="184"/>
        <v>,INDEX(REPORT_FR2052a!$1:$1048576,0,43),1</v>
      </c>
      <c r="N69" s="137" t="str">
        <f t="shared" si="185"/>
        <v/>
      </c>
      <c r="Q69" s="137" t="str">
        <f t="shared" si="186"/>
        <v/>
      </c>
      <c r="T69" s="137" t="str">
        <f t="shared" si="187"/>
        <v/>
      </c>
      <c r="V69" s="139"/>
      <c r="W69" s="137" t="str">
        <f t="shared" si="188"/>
        <v/>
      </c>
      <c r="Y69" s="139"/>
      <c r="Z69" s="137" t="str">
        <f t="shared" si="189"/>
        <v/>
      </c>
      <c r="AB69" s="139"/>
      <c r="AC69" s="137" t="str">
        <f t="shared" si="190"/>
        <v/>
      </c>
      <c r="AD69" s="137" t="s">
        <v>331</v>
      </c>
      <c r="AE69" s="140" t="s">
        <v>158</v>
      </c>
      <c r="AF69" s="137" t="str">
        <f t="shared" si="191"/>
        <v>,INDEX(REPORT_FR2052a!$1:$1048576,0,26),"Central Bank"</v>
      </c>
      <c r="AH69" s="139"/>
      <c r="AI69" s="137" t="str">
        <f t="shared" si="192"/>
        <v/>
      </c>
      <c r="AK69" s="139"/>
      <c r="AL69" s="137" t="str">
        <f t="shared" si="193"/>
        <v/>
      </c>
      <c r="AO69" s="137" t="str">
        <f t="shared" si="194"/>
        <v/>
      </c>
      <c r="AR69" s="137" t="str">
        <f t="shared" si="14"/>
        <v/>
      </c>
      <c r="AU69" s="137" t="str">
        <f t="shared" si="15"/>
        <v/>
      </c>
      <c r="BA69" s="137" t="s">
        <v>13</v>
      </c>
      <c r="BB69" s="137" t="str">
        <f>"=SUMIFS(INDEX(REPORT_FR2052a!$1:$1048576,0,"&amp;(MATCH(BA69,REPORT_FR2052a!$1:$1,0))&amp;")"</f>
        <v>=SUMIFS(INDEX(REPORT_FR2052a!$1:$1048576,0,14)</v>
      </c>
      <c r="BC69" s="137" t="str">
        <f t="shared" si="198"/>
        <v>=SUMIFS(INDEX(REPORT_FR2052a!$1:$1048576,0,14),INDEX(REPORT_FR2052a!$1:$1048576,0,44),"O.D.9",INDEX(REPORT_FR2052a!$1:$1048576,0,43),1,INDEX(REPORT_FR2052a!$1:$1048576,0,26),"Central Bank")</v>
      </c>
      <c r="BD69" s="141">
        <f>SUMIFS(INDEX(REPORT_FR2052a!$1:$1048576,0,14),INDEX(REPORT_FR2052a!$1:$1048576,0,44),"O.D.9",INDEX(REPORT_FR2052a!$1:$1048576,0,43),1,INDEX(REPORT_FR2052a!$1:$1048576,0,26),"Central Bank")</f>
        <v>0</v>
      </c>
      <c r="BE69" s="137" t="s">
        <v>331</v>
      </c>
      <c r="BF69" s="139" t="s">
        <v>47</v>
      </c>
      <c r="BG69" s="137" t="str">
        <f t="shared" si="195"/>
        <v>,INDEX(REPORT_FR2052a!$1:$1048576,0,5),"Bank of China - Combined US Branches and Agencies"</v>
      </c>
      <c r="BI69" s="137" t="str">
        <f t="shared" si="196"/>
        <v>=SUMIFS(INDEX(REPORT_FR2052a!$1:$1048576,0,14),INDEX(REPORT_FR2052a!$1:$1048576,0,44),"O.D.9",INDEX(REPORT_FR2052a!$1:$1048576,0,43),1,INDEX(REPORT_FR2052a!$1:$1048576,0,26),"Central Bank",INDEX(REPORT_FR2052a!$1:$1048576,0,5),"Bank of China - Combined US Branches and Agencies")</v>
      </c>
      <c r="BJ69" s="142">
        <f>SUMIFS(INDEX(REPORT_FR2052a!$1:$1048576,0,14),INDEX(REPORT_FR2052a!$1:$1048576,0,44),"O.D.9",INDEX(REPORT_FR2052a!$1:$1048576,0,43),1,INDEX(REPORT_FR2052a!$1:$1048576,0,26),"Central Bank",INDEX(REPORT_FR2052a!$1:$1048576,0,5),"Bank of China - Combined US Branches and Agencies")</f>
        <v>0</v>
      </c>
      <c r="BK69" s="143">
        <f t="shared" si="197"/>
        <v>0</v>
      </c>
    </row>
    <row r="70" spans="1:63">
      <c r="A70" s="136">
        <v>49</v>
      </c>
      <c r="B70" s="137" t="str">
        <f>IFERROR(INDEX('LCR TYPE EXPLAIN'!B:B,MATCH(A70,'LCR TYPE EXPLAIN'!A:A,0)),"")</f>
        <v>Unsecured Wholesale Brokered Deposit Non-Operational Non-Financial (§.32(h)(1)(ii)(B))</v>
      </c>
      <c r="F70" s="137" t="s">
        <v>331</v>
      </c>
      <c r="G70" s="138" t="s">
        <v>406</v>
      </c>
      <c r="H70" s="137" t="str">
        <f t="shared" ref="H70:H101" si="199">IF(F70="","",",INDEX(REPORT_FR2052a!$1:$1048576,0,"&amp;H$2&amp;"),"&amp;IF(ISTEXT(G70),CHAR(34),"")&amp;IF(F70="is","",""&amp;"&lt;&gt;")&amp;G70&amp;IF(ISTEXT(G70),CHAR(34),""))</f>
        <v>,INDEX(REPORT_FR2052a!$1:$1048576,0,44),"O.D.9"</v>
      </c>
      <c r="I70" s="137" t="s">
        <v>331</v>
      </c>
      <c r="J70" s="137">
        <v>1</v>
      </c>
      <c r="K70" s="137" t="str">
        <f t="shared" si="184"/>
        <v>,INDEX(REPORT_FR2052a!$1:$1048576,0,43),1</v>
      </c>
      <c r="N70" s="137" t="str">
        <f t="shared" si="185"/>
        <v/>
      </c>
      <c r="Q70" s="137" t="str">
        <f t="shared" si="186"/>
        <v/>
      </c>
      <c r="T70" s="137" t="str">
        <f t="shared" si="187"/>
        <v/>
      </c>
      <c r="V70" s="139"/>
      <c r="W70" s="137" t="str">
        <f t="shared" si="188"/>
        <v/>
      </c>
      <c r="Y70" s="139"/>
      <c r="Z70" s="137" t="str">
        <f t="shared" si="189"/>
        <v/>
      </c>
      <c r="AB70" s="139"/>
      <c r="AC70" s="137" t="str">
        <f t="shared" si="190"/>
        <v/>
      </c>
      <c r="AD70" s="137" t="s">
        <v>331</v>
      </c>
      <c r="AE70" s="140" t="s">
        <v>136</v>
      </c>
      <c r="AF70" s="137" t="str">
        <f t="shared" si="191"/>
        <v>,INDEX(REPORT_FR2052a!$1:$1048576,0,26),"Other"</v>
      </c>
      <c r="AH70" s="139"/>
      <c r="AI70" s="137" t="str">
        <f t="shared" si="192"/>
        <v/>
      </c>
      <c r="AK70" s="139"/>
      <c r="AL70" s="137" t="str">
        <f t="shared" si="193"/>
        <v/>
      </c>
      <c r="AO70" s="137" t="str">
        <f t="shared" si="194"/>
        <v/>
      </c>
      <c r="AR70" s="137" t="str">
        <f t="shared" si="14"/>
        <v/>
      </c>
      <c r="AU70" s="137" t="str">
        <f t="shared" si="15"/>
        <v/>
      </c>
      <c r="BA70" s="137" t="s">
        <v>13</v>
      </c>
      <c r="BB70" s="137" t="str">
        <f>"=SUMIFS(INDEX(REPORT_FR2052a!$1:$1048576,0,"&amp;(MATCH(BA70,REPORT_FR2052a!$1:$1,0))&amp;")"</f>
        <v>=SUMIFS(INDEX(REPORT_FR2052a!$1:$1048576,0,14)</v>
      </c>
      <c r="BC70" s="137" t="str">
        <f t="shared" si="198"/>
        <v>=SUMIFS(INDEX(REPORT_FR2052a!$1:$1048576,0,14),INDEX(REPORT_FR2052a!$1:$1048576,0,44),"O.D.9",INDEX(REPORT_FR2052a!$1:$1048576,0,43),1,INDEX(REPORT_FR2052a!$1:$1048576,0,26),"Other")</v>
      </c>
      <c r="BD70" s="141">
        <f>SUMIFS(INDEX(REPORT_FR2052a!$1:$1048576,0,14),INDEX(REPORT_FR2052a!$1:$1048576,0,44),"O.D.9",INDEX(REPORT_FR2052a!$1:$1048576,0,43),1,INDEX(REPORT_FR2052a!$1:$1048576,0,26),"Other")</f>
        <v>0</v>
      </c>
      <c r="BE70" s="137" t="s">
        <v>331</v>
      </c>
      <c r="BF70" s="139" t="s">
        <v>47</v>
      </c>
      <c r="BG70" s="137" t="str">
        <f t="shared" si="195"/>
        <v>,INDEX(REPORT_FR2052a!$1:$1048576,0,5),"Bank of China - Combined US Branches and Agencies"</v>
      </c>
      <c r="BI70" s="137" t="str">
        <f t="shared" si="196"/>
        <v>=SUMIFS(INDEX(REPORT_FR2052a!$1:$1048576,0,14),INDEX(REPORT_FR2052a!$1:$1048576,0,44),"O.D.9",INDEX(REPORT_FR2052a!$1:$1048576,0,43),1,INDEX(REPORT_FR2052a!$1:$1048576,0,26),"Other",INDEX(REPORT_FR2052a!$1:$1048576,0,5),"Bank of China - Combined US Branches and Agencies")</v>
      </c>
      <c r="BJ70" s="142">
        <f>SUMIFS(INDEX(REPORT_FR2052a!$1:$1048576,0,14),INDEX(REPORT_FR2052a!$1:$1048576,0,44),"O.D.9",INDEX(REPORT_FR2052a!$1:$1048576,0,43),1,INDEX(REPORT_FR2052a!$1:$1048576,0,26),"Other",INDEX(REPORT_FR2052a!$1:$1048576,0,5),"Bank of China - Combined US Branches and Agencies")</f>
        <v>0</v>
      </c>
      <c r="BK70" s="143">
        <f t="shared" si="197"/>
        <v>0</v>
      </c>
    </row>
    <row r="71" spans="1:63">
      <c r="A71" s="136">
        <v>50</v>
      </c>
      <c r="B71" s="137" t="str">
        <f>IFERROR(INDEX('LCR TYPE EXPLAIN'!B:B,MATCH(A71,'LCR TYPE EXPLAIN'!A:A,0)),"")</f>
        <v>Financial Non-Operational (§.32(h)(2))</v>
      </c>
      <c r="F71" s="137" t="s">
        <v>331</v>
      </c>
      <c r="G71" s="138" t="s">
        <v>329</v>
      </c>
      <c r="H71" s="137" t="str">
        <f t="shared" si="199"/>
        <v>,INDEX(REPORT_FR2052a!$1:$1048576,0,44),"O.D.5"</v>
      </c>
      <c r="I71" s="137" t="s">
        <v>331</v>
      </c>
      <c r="J71" s="137">
        <v>1</v>
      </c>
      <c r="K71" s="137" t="str">
        <f t="shared" si="174"/>
        <v>,INDEX(REPORT_FR2052a!$1:$1048576,0,43),1</v>
      </c>
      <c r="N71" s="137" t="str">
        <f t="shared" si="175"/>
        <v/>
      </c>
      <c r="Q71" s="137" t="str">
        <f t="shared" si="3"/>
        <v/>
      </c>
      <c r="T71" s="137" t="str">
        <f t="shared" si="176"/>
        <v/>
      </c>
      <c r="V71" s="139"/>
      <c r="W71" s="137" t="str">
        <f t="shared" si="177"/>
        <v/>
      </c>
      <c r="Y71" s="139"/>
      <c r="Z71" s="137" t="str">
        <f t="shared" si="178"/>
        <v/>
      </c>
      <c r="AB71" s="139"/>
      <c r="AC71" s="137" t="str">
        <f t="shared" si="179"/>
        <v/>
      </c>
      <c r="AD71" s="137" t="s">
        <v>331</v>
      </c>
      <c r="AE71" s="140" t="s">
        <v>759</v>
      </c>
      <c r="AF71" s="137" t="str">
        <f t="shared" si="180"/>
        <v>,INDEX(REPORT_FR2052a!$1:$1048576,0,26),"Bank"</v>
      </c>
      <c r="AH71" s="139"/>
      <c r="AI71" s="137" t="str">
        <f t="shared" si="181"/>
        <v/>
      </c>
      <c r="AK71" s="139"/>
      <c r="AL71" s="137" t="str">
        <f t="shared" si="182"/>
        <v/>
      </c>
      <c r="AO71" s="137" t="str">
        <f t="shared" si="11"/>
        <v/>
      </c>
      <c r="AR71" s="137" t="str">
        <f t="shared" si="14"/>
        <v/>
      </c>
      <c r="AU71" s="137" t="str">
        <f t="shared" si="15"/>
        <v/>
      </c>
      <c r="BA71" s="137" t="s">
        <v>13</v>
      </c>
      <c r="BB71" s="137" t="str">
        <f>"=SUMIFS(INDEX(REPORT_FR2052a!$1:$1048576,0,"&amp;(MATCH(BA71,REPORT_FR2052a!$1:$1,0))&amp;")"</f>
        <v>=SUMIFS(INDEX(REPORT_FR2052a!$1:$1048576,0,14)</v>
      </c>
      <c r="BC71" s="137" t="str">
        <f t="shared" si="198"/>
        <v>=SUMIFS(INDEX(REPORT_FR2052a!$1:$1048576,0,14),INDEX(REPORT_FR2052a!$1:$1048576,0,44),"O.D.5",INDEX(REPORT_FR2052a!$1:$1048576,0,43),1,INDEX(REPORT_FR2052a!$1:$1048576,0,26),"Bank")</v>
      </c>
      <c r="BD71" s="141">
        <f>SUMIFS(INDEX(REPORT_FR2052a!$1:$1048576,0,14),INDEX(REPORT_FR2052a!$1:$1048576,0,44),"O.D.5",INDEX(REPORT_FR2052a!$1:$1048576,0,43),1,INDEX(REPORT_FR2052a!$1:$1048576,0,26),"Bank")</f>
        <v>8.06</v>
      </c>
      <c r="BE71" s="137" t="s">
        <v>331</v>
      </c>
      <c r="BF71" s="139" t="s">
        <v>47</v>
      </c>
      <c r="BG71" s="137" t="str">
        <f t="shared" si="183"/>
        <v>,INDEX(REPORT_FR2052a!$1:$1048576,0,5),"Bank of China - Combined US Branches and Agencies"</v>
      </c>
      <c r="BI71" s="137" t="str">
        <f t="shared" si="18"/>
        <v>=SUMIFS(INDEX(REPORT_FR2052a!$1:$1048576,0,14),INDEX(REPORT_FR2052a!$1:$1048576,0,44),"O.D.5",INDEX(REPORT_FR2052a!$1:$1048576,0,43),1,INDEX(REPORT_FR2052a!$1:$1048576,0,26),"Bank",INDEX(REPORT_FR2052a!$1:$1048576,0,5),"Bank of China - Combined US Branches and Agencies")</v>
      </c>
      <c r="BJ71" s="142">
        <f>SUMIFS(INDEX(REPORT_FR2052a!$1:$1048576,0,14),INDEX(REPORT_FR2052a!$1:$1048576,0,44),"O.D.5",INDEX(REPORT_FR2052a!$1:$1048576,0,43),1,INDEX(REPORT_FR2052a!$1:$1048576,0,26),"Bank",INDEX(REPORT_FR2052a!$1:$1048576,0,5),"Bank of China - Combined US Branches and Agencies")</f>
        <v>8.06</v>
      </c>
      <c r="BK71" s="143">
        <f t="shared" si="19"/>
        <v>0</v>
      </c>
    </row>
    <row r="72" spans="1:63">
      <c r="A72" s="136">
        <v>50</v>
      </c>
      <c r="B72" s="137" t="str">
        <f>IFERROR(INDEX('LCR TYPE EXPLAIN'!B:B,MATCH(A72,'LCR TYPE EXPLAIN'!A:A,0)),"")</f>
        <v>Financial Non-Operational (§.32(h)(2))</v>
      </c>
      <c r="F72" s="137" t="s">
        <v>331</v>
      </c>
      <c r="G72" s="138" t="s">
        <v>329</v>
      </c>
      <c r="H72" s="137" t="str">
        <f t="shared" si="199"/>
        <v>,INDEX(REPORT_FR2052a!$1:$1048576,0,44),"O.D.5"</v>
      </c>
      <c r="I72" s="137" t="s">
        <v>331</v>
      </c>
      <c r="J72" s="137">
        <v>1</v>
      </c>
      <c r="K72" s="137" t="str">
        <f t="shared" si="174"/>
        <v>,INDEX(REPORT_FR2052a!$1:$1048576,0,43),1</v>
      </c>
      <c r="N72" s="137" t="str">
        <f t="shared" si="175"/>
        <v/>
      </c>
      <c r="Q72" s="137" t="str">
        <f t="shared" si="3"/>
        <v/>
      </c>
      <c r="T72" s="137" t="str">
        <f t="shared" si="176"/>
        <v/>
      </c>
      <c r="V72" s="139"/>
      <c r="W72" s="137" t="str">
        <f t="shared" si="177"/>
        <v/>
      </c>
      <c r="Y72" s="139"/>
      <c r="Z72" s="137" t="str">
        <f t="shared" si="178"/>
        <v/>
      </c>
      <c r="AB72" s="139"/>
      <c r="AC72" s="137" t="str">
        <f t="shared" si="179"/>
        <v/>
      </c>
      <c r="AD72" s="137" t="s">
        <v>331</v>
      </c>
      <c r="AE72" s="140" t="s">
        <v>116</v>
      </c>
      <c r="AF72" s="137" t="str">
        <f t="shared" si="180"/>
        <v>,INDEX(REPORT_FR2052a!$1:$1048576,0,26),"Supervised Non-Bank Financial Entity"</v>
      </c>
      <c r="AH72" s="139"/>
      <c r="AI72" s="137" t="str">
        <f t="shared" si="181"/>
        <v/>
      </c>
      <c r="AK72" s="139"/>
      <c r="AL72" s="137" t="str">
        <f t="shared" si="182"/>
        <v/>
      </c>
      <c r="AO72" s="137" t="str">
        <f t="shared" si="11"/>
        <v/>
      </c>
      <c r="AR72" s="137" t="str">
        <f t="shared" si="14"/>
        <v/>
      </c>
      <c r="AU72" s="137" t="str">
        <f t="shared" si="15"/>
        <v/>
      </c>
      <c r="BA72" s="137" t="s">
        <v>13</v>
      </c>
      <c r="BB72" s="137" t="str">
        <f>"=SUMIFS(INDEX(REPORT_FR2052a!$1:$1048576,0,"&amp;(MATCH(BA72,REPORT_FR2052a!$1:$1,0))&amp;")"</f>
        <v>=SUMIFS(INDEX(REPORT_FR2052a!$1:$1048576,0,14)</v>
      </c>
      <c r="BC72" s="137" t="str">
        <f t="shared" si="198"/>
        <v>=SUMIFS(INDEX(REPORT_FR2052a!$1:$1048576,0,14),INDEX(REPORT_FR2052a!$1:$1048576,0,44),"O.D.5",INDEX(REPORT_FR2052a!$1:$1048576,0,43),1,INDEX(REPORT_FR2052a!$1:$1048576,0,26),"Supervised Non-Bank Financial Entity")</v>
      </c>
      <c r="BD72" s="141">
        <f>SUMIFS(INDEX(REPORT_FR2052a!$1:$1048576,0,14),INDEX(REPORT_FR2052a!$1:$1048576,0,44),"O.D.5",INDEX(REPORT_FR2052a!$1:$1048576,0,43),1,INDEX(REPORT_FR2052a!$1:$1048576,0,26),"Supervised Non-Bank Financial Entity")</f>
        <v>0</v>
      </c>
      <c r="BE72" s="137" t="s">
        <v>331</v>
      </c>
      <c r="BF72" s="139" t="s">
        <v>47</v>
      </c>
      <c r="BG72" s="137" t="str">
        <f t="shared" si="183"/>
        <v>,INDEX(REPORT_FR2052a!$1:$1048576,0,5),"Bank of China - Combined US Branches and Agencies"</v>
      </c>
      <c r="BI72" s="137" t="str">
        <f t="shared" si="18"/>
        <v>=SUMIFS(INDEX(REPORT_FR2052a!$1:$1048576,0,14),INDEX(REPORT_FR2052a!$1:$1048576,0,44),"O.D.5",INDEX(REPORT_FR2052a!$1:$1048576,0,43),1,INDEX(REPORT_FR2052a!$1:$1048576,0,26),"Supervised Non-Bank Financial Entity",INDEX(REPORT_FR2052a!$1:$1048576,0,5),"Bank of China - Combined US Branches and Agencies")</v>
      </c>
      <c r="BJ72" s="142">
        <f>SUMIFS(INDEX(REPORT_FR2052a!$1:$1048576,0,14),INDEX(REPORT_FR2052a!$1:$1048576,0,44),"O.D.5",INDEX(REPORT_FR2052a!$1:$1048576,0,43),1,INDEX(REPORT_FR2052a!$1:$1048576,0,26),"Supervised Non-Bank Financial Entity",INDEX(REPORT_FR2052a!$1:$1048576,0,5),"Bank of China - Combined US Branches and Agencies")</f>
        <v>0</v>
      </c>
      <c r="BK72" s="143">
        <f t="shared" si="19"/>
        <v>0</v>
      </c>
    </row>
    <row r="73" spans="1:63">
      <c r="A73" s="136">
        <v>50</v>
      </c>
      <c r="B73" s="137" t="str">
        <f>IFERROR(INDEX('LCR TYPE EXPLAIN'!B:B,MATCH(A73,'LCR TYPE EXPLAIN'!A:A,0)),"")</f>
        <v>Financial Non-Operational (§.32(h)(2))</v>
      </c>
      <c r="F73" s="137" t="s">
        <v>331</v>
      </c>
      <c r="G73" s="138" t="s">
        <v>334</v>
      </c>
      <c r="H73" s="137" t="str">
        <f t="shared" si="199"/>
        <v>,INDEX(REPORT_FR2052a!$1:$1048576,0,44),"O.D.7"</v>
      </c>
      <c r="I73" s="137" t="s">
        <v>331</v>
      </c>
      <c r="J73" s="137">
        <v>1</v>
      </c>
      <c r="K73" s="137" t="str">
        <f t="shared" si="174"/>
        <v>,INDEX(REPORT_FR2052a!$1:$1048576,0,43),1</v>
      </c>
      <c r="N73" s="137" t="str">
        <f t="shared" si="175"/>
        <v/>
      </c>
      <c r="Q73" s="137" t="str">
        <f t="shared" si="3"/>
        <v/>
      </c>
      <c r="T73" s="137" t="str">
        <f t="shared" si="176"/>
        <v/>
      </c>
      <c r="V73" s="139"/>
      <c r="W73" s="137" t="str">
        <f t="shared" si="177"/>
        <v/>
      </c>
      <c r="Y73" s="139"/>
      <c r="Z73" s="137" t="str">
        <f t="shared" si="178"/>
        <v/>
      </c>
      <c r="AB73" s="139"/>
      <c r="AC73" s="137" t="str">
        <f t="shared" si="179"/>
        <v/>
      </c>
      <c r="AD73" s="137" t="s">
        <v>331</v>
      </c>
      <c r="AE73" s="140" t="s">
        <v>116</v>
      </c>
      <c r="AF73" s="137" t="str">
        <f t="shared" si="180"/>
        <v>,INDEX(REPORT_FR2052a!$1:$1048576,0,26),"Supervised Non-Bank Financial Entity"</v>
      </c>
      <c r="AH73" s="139"/>
      <c r="AI73" s="137" t="str">
        <f t="shared" si="181"/>
        <v/>
      </c>
      <c r="AK73" s="139"/>
      <c r="AL73" s="137" t="str">
        <f t="shared" si="182"/>
        <v/>
      </c>
      <c r="AO73" s="137" t="str">
        <f t="shared" si="11"/>
        <v/>
      </c>
      <c r="AR73" s="137" t="str">
        <f t="shared" si="14"/>
        <v/>
      </c>
      <c r="AU73" s="137" t="str">
        <f t="shared" si="15"/>
        <v/>
      </c>
      <c r="BA73" s="137" t="s">
        <v>13</v>
      </c>
      <c r="BB73" s="137" t="str">
        <f>"=SUMIFS(INDEX(REPORT_FR2052a!$1:$1048576,0,"&amp;(MATCH(BA73,REPORT_FR2052a!$1:$1,0))&amp;")"</f>
        <v>=SUMIFS(INDEX(REPORT_FR2052a!$1:$1048576,0,14)</v>
      </c>
      <c r="BC73" s="137" t="str">
        <f t="shared" si="198"/>
        <v>=SUMIFS(INDEX(REPORT_FR2052a!$1:$1048576,0,14),INDEX(REPORT_FR2052a!$1:$1048576,0,44),"O.D.7",INDEX(REPORT_FR2052a!$1:$1048576,0,43),1,INDEX(REPORT_FR2052a!$1:$1048576,0,26),"Supervised Non-Bank Financial Entity")</v>
      </c>
      <c r="BD73" s="141">
        <f>SUMIFS(INDEX(REPORT_FR2052a!$1:$1048576,0,14),INDEX(REPORT_FR2052a!$1:$1048576,0,44),"O.D.7",INDEX(REPORT_FR2052a!$1:$1048576,0,43),1,INDEX(REPORT_FR2052a!$1:$1048576,0,26),"Supervised Non-Bank Financial Entity")</f>
        <v>2423.08</v>
      </c>
      <c r="BE73" s="137" t="s">
        <v>331</v>
      </c>
      <c r="BF73" s="139" t="s">
        <v>47</v>
      </c>
      <c r="BG73" s="137" t="str">
        <f t="shared" si="183"/>
        <v>,INDEX(REPORT_FR2052a!$1:$1048576,0,5),"Bank of China - Combined US Branches and Agencies"</v>
      </c>
      <c r="BI73" s="137" t="str">
        <f t="shared" si="18"/>
        <v>=SUMIFS(INDEX(REPORT_FR2052a!$1:$1048576,0,14),INDEX(REPORT_FR2052a!$1:$1048576,0,44),"O.D.7",INDEX(REPORT_FR2052a!$1:$1048576,0,43),1,INDEX(REPORT_FR2052a!$1:$1048576,0,26),"Supervised Non-Bank Financial Entity",INDEX(REPORT_FR2052a!$1:$1048576,0,5),"Bank of China - Combined US Branches and Agencies")</v>
      </c>
      <c r="BJ73" s="142">
        <f>SUMIFS(INDEX(REPORT_FR2052a!$1:$1048576,0,14),INDEX(REPORT_FR2052a!$1:$1048576,0,44),"O.D.7",INDEX(REPORT_FR2052a!$1:$1048576,0,43),1,INDEX(REPORT_FR2052a!$1:$1048576,0,26),"Supervised Non-Bank Financial Entity",INDEX(REPORT_FR2052a!$1:$1048576,0,5),"Bank of China - Combined US Branches and Agencies")</f>
        <v>2423.08</v>
      </c>
      <c r="BK73" s="143">
        <f t="shared" si="19"/>
        <v>0</v>
      </c>
    </row>
    <row r="74" spans="1:63">
      <c r="A74" s="136">
        <v>50</v>
      </c>
      <c r="B74" s="137" t="str">
        <f>IFERROR(INDEX('LCR TYPE EXPLAIN'!B:B,MATCH(A74,'LCR TYPE EXPLAIN'!A:A,0)),"")</f>
        <v>Financial Non-Operational (§.32(h)(2))</v>
      </c>
      <c r="F74" s="137" t="s">
        <v>331</v>
      </c>
      <c r="G74" s="138" t="s">
        <v>334</v>
      </c>
      <c r="H74" s="137" t="str">
        <f t="shared" si="199"/>
        <v>,INDEX(REPORT_FR2052a!$1:$1048576,0,44),"O.D.7"</v>
      </c>
      <c r="I74" s="137" t="s">
        <v>331</v>
      </c>
      <c r="J74" s="137">
        <v>1</v>
      </c>
      <c r="K74" s="137" t="str">
        <f t="shared" ref="K74" si="200">IF(I74="","",",INDEX(REPORT_FR2052a!$1:$1048576,0,"&amp;K$2&amp;"),"&amp;IF(ISTEXT(J74),CHAR(34),"")&amp;IF(I74="is","",""&amp;"&lt;&gt;")&amp;J74&amp;IF(ISTEXT(J74),CHAR(34),""))</f>
        <v>,INDEX(REPORT_FR2052a!$1:$1048576,0,43),1</v>
      </c>
      <c r="N74" s="137" t="str">
        <f t="shared" ref="N74" si="201">IF(L74="","",",INDEX(REPORT_FR2052a!$1:$1048576,0,"&amp;N$2&amp;"),"&amp;IF(ISTEXT(M74),CHAR(34),"")&amp;IF(L74="is","",""&amp;"&lt;&gt;")&amp;M74&amp;IF(ISTEXT(M74),CHAR(34),""))</f>
        <v/>
      </c>
      <c r="Q74" s="137" t="str">
        <f t="shared" ref="Q74" si="202">IF(O74="","",",INDEX(REPORT_FR2052a!$1:$1048576,0,"&amp;Q$2&amp;"),"&amp;IF(OR(ISTEXT(P74),ISBLANK(P74)),CHAR(34),"")&amp;IF(O74="is","",""&amp;"&lt;&gt;")&amp;P74&amp;IF(OR(ISTEXT(P74),ISBLANK(P74)),CHAR(34),""))</f>
        <v/>
      </c>
      <c r="T74" s="137" t="str">
        <f t="shared" ref="T74" si="203">IF(R74="","",",INDEX(REPORT_FR2052a!$1:$1048576,0,"&amp;T$2&amp;"),"&amp;IF(ISTEXT(S74),CHAR(34),"")&amp;IF(R74="is","",""&amp;"&lt;&gt;")&amp;S74&amp;IF(ISTEXT(S74),CHAR(34),""))</f>
        <v/>
      </c>
      <c r="V74" s="139"/>
      <c r="W74" s="137" t="str">
        <f t="shared" ref="W74" si="204">IF(U74="","",",INDEX(REPORT_FR2052a!$1:$1048576,0,"&amp;W$2&amp;"),"&amp;IF(ISTEXT(V74),CHAR(34),"")&amp;IF(U74="is","",""&amp;"&lt;&gt;")&amp;V74&amp;IF(ISTEXT(V74),CHAR(34),""))</f>
        <v/>
      </c>
      <c r="Y74" s="139"/>
      <c r="Z74" s="137" t="str">
        <f t="shared" ref="Z74" si="205">IF(X74="","",",INDEX(REPORT_FR2052a!$1:$1048576,0,"&amp;Z$2&amp;"),"&amp;IF(ISTEXT(Y74),CHAR(34),"")&amp;IF(X74="is","",""&amp;"&lt;&gt;")&amp;Y74&amp;IF(ISTEXT(Y74),CHAR(34),""))</f>
        <v/>
      </c>
      <c r="AB74" s="139"/>
      <c r="AC74" s="137" t="str">
        <f t="shared" ref="AC74" si="206">IF(AA74="","",",INDEX(REPORT_FR2052a!$1:$1048576,0,"&amp;AC$2&amp;"),"&amp;IF(ISTEXT(AB74),CHAR(34),"")&amp;IF(AA74="is","",""&amp;"&lt;&gt;")&amp;AB74&amp;IF(ISTEXT(AB74),CHAR(34),""))</f>
        <v/>
      </c>
      <c r="AD74" s="137" t="s">
        <v>331</v>
      </c>
      <c r="AE74" s="140" t="s">
        <v>759</v>
      </c>
      <c r="AF74" s="137" t="str">
        <f t="shared" ref="AF74" si="207">IF(AD74="","",",INDEX(REPORT_FR2052a!$1:$1048576,0,"&amp;AF$2&amp;"),"&amp;IF(ISTEXT(AE74),CHAR(34),"")&amp;IF(AD74="is","",""&amp;"&lt;&gt;")&amp;AE74&amp;IF(ISTEXT(AE74),CHAR(34),""))</f>
        <v>,INDEX(REPORT_FR2052a!$1:$1048576,0,26),"Bank"</v>
      </c>
      <c r="AH74" s="139"/>
      <c r="AI74" s="137" t="str">
        <f t="shared" ref="AI74" si="208">IF(AG74="","",",INDEX(REPORT_FR2052a!$1:$1048576,0,"&amp;AI$2&amp;"),"&amp;IF(ISTEXT(AH74),CHAR(34),"")&amp;IF(AG74="is","",""&amp;"&lt;&gt;")&amp;AH74&amp;IF(ISTEXT(AH74),CHAR(34),""))</f>
        <v/>
      </c>
      <c r="AK74" s="139"/>
      <c r="AL74" s="137" t="str">
        <f t="shared" ref="AL74" si="209">IF(AJ74="","",",INDEX(REPORT_FR2052a!$1:$1048576,0,"&amp;AL$2&amp;"),"&amp;IF(ISTEXT(AK74),CHAR(34),"")&amp;IF(AJ74="is","",""&amp;"&lt;&gt;")&amp;AK74&amp;IF(ISTEXT(AK74),CHAR(34),""))</f>
        <v/>
      </c>
      <c r="AO74" s="137" t="str">
        <f t="shared" ref="AO74" si="210">IF(AM74="","",",INDEX(REPORT_FR2052a!$1:$1048576,0,"&amp;AO$2&amp;"),"&amp;IF(ISTEXT(AN74),CHAR(34),"")&amp;IF(AM74="is","",""&amp;"&lt;&gt;")&amp;AN74&amp;IF(ISTEXT(AN74),CHAR(34),""))</f>
        <v/>
      </c>
      <c r="AR74" s="137" t="str">
        <f t="shared" si="14"/>
        <v/>
      </c>
      <c r="AU74" s="137" t="str">
        <f t="shared" si="15"/>
        <v/>
      </c>
      <c r="BA74" s="137" t="s">
        <v>13</v>
      </c>
      <c r="BB74" s="137" t="str">
        <f>"=SUMIFS(INDEX(REPORT_FR2052a!$1:$1048576,0,"&amp;(MATCH(BA74,REPORT_FR2052a!$1:$1,0))&amp;")"</f>
        <v>=SUMIFS(INDEX(REPORT_FR2052a!$1:$1048576,0,14)</v>
      </c>
      <c r="BC74" s="137" t="str">
        <f t="shared" si="198"/>
        <v>=SUMIFS(INDEX(REPORT_FR2052a!$1:$1048576,0,14),INDEX(REPORT_FR2052a!$1:$1048576,0,44),"O.D.7",INDEX(REPORT_FR2052a!$1:$1048576,0,43),1,INDEX(REPORT_FR2052a!$1:$1048576,0,26),"Bank")</v>
      </c>
      <c r="BD74" s="141">
        <f>SUMIFS(INDEX(REPORT_FR2052a!$1:$1048576,0,14),INDEX(REPORT_FR2052a!$1:$1048576,0,44),"O.D.7",INDEX(REPORT_FR2052a!$1:$1048576,0,43),1,INDEX(REPORT_FR2052a!$1:$1048576,0,26),"Bank")</f>
        <v>0</v>
      </c>
      <c r="BE74" s="137" t="s">
        <v>331</v>
      </c>
      <c r="BF74" s="139" t="s">
        <v>47</v>
      </c>
      <c r="BG74" s="137" t="str">
        <f t="shared" ref="BG74" si="211">IF(BE74="","",",INDEX(REPORT_FR2052a!$1:$1048576,0,"&amp;BG$2&amp;"),"&amp;IF(ISTEXT(BF74),CHAR(34),"")&amp;IF(BE74="is","",""&amp;"&lt;&gt;")&amp;BF74&amp;IF(ISTEXT(BF74),CHAR(34),""))</f>
        <v>,INDEX(REPORT_FR2052a!$1:$1048576,0,5),"Bank of China - Combined US Branches and Agencies"</v>
      </c>
      <c r="BI74" s="137" t="str">
        <f t="shared" ref="BI74" si="212">LEFT(BC74,LEN(BC74)-1)&amp;BG74&amp;")"</f>
        <v>=SUMIFS(INDEX(REPORT_FR2052a!$1:$1048576,0,14),INDEX(REPORT_FR2052a!$1:$1048576,0,44),"O.D.7",INDEX(REPORT_FR2052a!$1:$1048576,0,43),1,INDEX(REPORT_FR2052a!$1:$1048576,0,26),"Bank",INDEX(REPORT_FR2052a!$1:$1048576,0,5),"Bank of China - Combined US Branches and Agencies")</v>
      </c>
      <c r="BJ74" s="142">
        <f>SUMIFS(INDEX(REPORT_FR2052a!$1:$1048576,0,14),INDEX(REPORT_FR2052a!$1:$1048576,0,44),"O.D.7",INDEX(REPORT_FR2052a!$1:$1048576,0,43),1,INDEX(REPORT_FR2052a!$1:$1048576,0,26),"Bank",INDEX(REPORT_FR2052a!$1:$1048576,0,5),"Bank of China - Combined US Branches and Agencies")</f>
        <v>0</v>
      </c>
      <c r="BK74" s="143">
        <f t="shared" ref="BK74" si="213">BD74-BJ74</f>
        <v>0</v>
      </c>
    </row>
    <row r="75" spans="1:63">
      <c r="A75" s="136">
        <v>50</v>
      </c>
      <c r="B75" s="137" t="str">
        <f>IFERROR(INDEX('LCR TYPE EXPLAIN'!B:B,MATCH(A75,'LCR TYPE EXPLAIN'!A:A,0)),"")</f>
        <v>Financial Non-Operational (§.32(h)(2))</v>
      </c>
      <c r="F75" s="137" t="s">
        <v>331</v>
      </c>
      <c r="G75" s="138" t="s">
        <v>335</v>
      </c>
      <c r="H75" s="137" t="str">
        <f t="shared" si="199"/>
        <v>,INDEX(REPORT_FR2052a!$1:$1048576,0,44),"O.D.8"</v>
      </c>
      <c r="I75" s="137" t="s">
        <v>331</v>
      </c>
      <c r="J75" s="137">
        <v>1</v>
      </c>
      <c r="K75" s="137" t="str">
        <f t="shared" si="174"/>
        <v>,INDEX(REPORT_FR2052a!$1:$1048576,0,43),1</v>
      </c>
      <c r="N75" s="137" t="str">
        <f t="shared" si="175"/>
        <v/>
      </c>
      <c r="Q75" s="137" t="str">
        <f t="shared" si="3"/>
        <v/>
      </c>
      <c r="T75" s="137" t="str">
        <f t="shared" si="176"/>
        <v/>
      </c>
      <c r="V75" s="139"/>
      <c r="W75" s="137" t="str">
        <f t="shared" si="177"/>
        <v/>
      </c>
      <c r="Y75" s="139"/>
      <c r="Z75" s="137" t="str">
        <f t="shared" si="178"/>
        <v/>
      </c>
      <c r="AB75" s="139"/>
      <c r="AC75" s="137" t="str">
        <f t="shared" si="179"/>
        <v/>
      </c>
      <c r="AD75" s="137" t="s">
        <v>331</v>
      </c>
      <c r="AE75" s="140" t="s">
        <v>116</v>
      </c>
      <c r="AF75" s="137" t="str">
        <f t="shared" si="180"/>
        <v>,INDEX(REPORT_FR2052a!$1:$1048576,0,26),"Supervised Non-Bank Financial Entity"</v>
      </c>
      <c r="AH75" s="139"/>
      <c r="AI75" s="137" t="str">
        <f t="shared" si="181"/>
        <v/>
      </c>
      <c r="AK75" s="139"/>
      <c r="AL75" s="137" t="str">
        <f t="shared" si="182"/>
        <v/>
      </c>
      <c r="AO75" s="137" t="str">
        <f t="shared" si="11"/>
        <v/>
      </c>
      <c r="AR75" s="137" t="str">
        <f t="shared" ref="AR75:AR145" si="214">IF(AP75="","",",INDEX(REPORT_FR2052a!$1:$1048576,0,"&amp;AR$2&amp;"),"&amp;IF(ISTEXT(AQ75),CHAR(34),"")&amp;IF(AP75="is","",""&amp;"&lt;&gt;")&amp;AQ75&amp;IF(ISTEXT(AQ75),CHAR(34),""))</f>
        <v/>
      </c>
      <c r="AU75" s="137" t="str">
        <f t="shared" ref="AU75:AU109" si="215">IF(AS75="","",",INDEX(REPORT_FR2052a!$1:$1048576,0,"&amp;AU$2&amp;"),"&amp;IF(ISTEXT(AT75),CHAR(34),"")&amp;IF(AS75="is","",""&amp;"&lt;&gt;")&amp;AT75&amp;IF(ISTEXT(AT75),CHAR(34),""))</f>
        <v/>
      </c>
      <c r="BA75" s="137" t="s">
        <v>13</v>
      </c>
      <c r="BB75" s="137" t="str">
        <f>"=SUMIFS(INDEX(REPORT_FR2052a!$1:$1048576,0,"&amp;(MATCH(BA75,REPORT_FR2052a!$1:$1,0))&amp;")"</f>
        <v>=SUMIFS(INDEX(REPORT_FR2052a!$1:$1048576,0,14)</v>
      </c>
      <c r="BC75" s="137" t="str">
        <f t="shared" si="198"/>
        <v>=SUMIFS(INDEX(REPORT_FR2052a!$1:$1048576,0,14),INDEX(REPORT_FR2052a!$1:$1048576,0,44),"O.D.8",INDEX(REPORT_FR2052a!$1:$1048576,0,43),1,INDEX(REPORT_FR2052a!$1:$1048576,0,26),"Supervised Non-Bank Financial Entity")</v>
      </c>
      <c r="BD75" s="141">
        <f>SUMIFS(INDEX(REPORT_FR2052a!$1:$1048576,0,14),INDEX(REPORT_FR2052a!$1:$1048576,0,44),"O.D.8",INDEX(REPORT_FR2052a!$1:$1048576,0,43),1,INDEX(REPORT_FR2052a!$1:$1048576,0,26),"Supervised Non-Bank Financial Entity")</f>
        <v>0</v>
      </c>
      <c r="BE75" s="137" t="s">
        <v>331</v>
      </c>
      <c r="BF75" s="139" t="s">
        <v>47</v>
      </c>
      <c r="BG75" s="137" t="str">
        <f t="shared" si="183"/>
        <v>,INDEX(REPORT_FR2052a!$1:$1048576,0,5),"Bank of China - Combined US Branches and Agencies"</v>
      </c>
      <c r="BI75" s="137" t="str">
        <f t="shared" si="18"/>
        <v>=SUMIFS(INDEX(REPORT_FR2052a!$1:$1048576,0,14),INDEX(REPORT_FR2052a!$1:$1048576,0,44),"O.D.8",INDEX(REPORT_FR2052a!$1:$1048576,0,43),1,INDEX(REPORT_FR2052a!$1:$1048576,0,26),"Supervised Non-Bank Financial Entity",INDEX(REPORT_FR2052a!$1:$1048576,0,5),"Bank of China - Combined US Branches and Agencies")</v>
      </c>
      <c r="BJ75" s="142">
        <f>SUMIFS(INDEX(REPORT_FR2052a!$1:$1048576,0,14),INDEX(REPORT_FR2052a!$1:$1048576,0,44),"O.D.8",INDEX(REPORT_FR2052a!$1:$1048576,0,43),1,INDEX(REPORT_FR2052a!$1:$1048576,0,26),"Supervised Non-Bank Financial Entity",INDEX(REPORT_FR2052a!$1:$1048576,0,5),"Bank of China - Combined US Branches and Agencies")</f>
        <v>0</v>
      </c>
      <c r="BK75" s="143">
        <f t="shared" si="19"/>
        <v>0</v>
      </c>
    </row>
    <row r="76" spans="1:63">
      <c r="A76" s="136">
        <v>50</v>
      </c>
      <c r="B76" s="137" t="str">
        <f>IFERROR(INDEX('LCR TYPE EXPLAIN'!B:B,MATCH(A76,'LCR TYPE EXPLAIN'!A:A,0)),"")</f>
        <v>Financial Non-Operational (§.32(h)(2))</v>
      </c>
      <c r="F76" s="137" t="s">
        <v>331</v>
      </c>
      <c r="G76" s="138" t="s">
        <v>335</v>
      </c>
      <c r="H76" s="137" t="str">
        <f t="shared" si="199"/>
        <v>,INDEX(REPORT_FR2052a!$1:$1048576,0,44),"O.D.8"</v>
      </c>
      <c r="I76" s="137" t="s">
        <v>331</v>
      </c>
      <c r="J76" s="137">
        <v>1</v>
      </c>
      <c r="K76" s="137" t="str">
        <f t="shared" ref="K76" si="216">IF(I76="","",",INDEX(REPORT_FR2052a!$1:$1048576,0,"&amp;K$2&amp;"),"&amp;IF(ISTEXT(J76),CHAR(34),"")&amp;IF(I76="is","",""&amp;"&lt;&gt;")&amp;J76&amp;IF(ISTEXT(J76),CHAR(34),""))</f>
        <v>,INDEX(REPORT_FR2052a!$1:$1048576,0,43),1</v>
      </c>
      <c r="N76" s="137" t="str">
        <f t="shared" ref="N76" si="217">IF(L76="","",",INDEX(REPORT_FR2052a!$1:$1048576,0,"&amp;N$2&amp;"),"&amp;IF(ISTEXT(M76),CHAR(34),"")&amp;IF(L76="is","",""&amp;"&lt;&gt;")&amp;M76&amp;IF(ISTEXT(M76),CHAR(34),""))</f>
        <v/>
      </c>
      <c r="Q76" s="137" t="str">
        <f t="shared" ref="Q76" si="218">IF(O76="","",",INDEX(REPORT_FR2052a!$1:$1048576,0,"&amp;Q$2&amp;"),"&amp;IF(OR(ISTEXT(P76),ISBLANK(P76)),CHAR(34),"")&amp;IF(O76="is","",""&amp;"&lt;&gt;")&amp;P76&amp;IF(OR(ISTEXT(P76),ISBLANK(P76)),CHAR(34),""))</f>
        <v/>
      </c>
      <c r="T76" s="137" t="str">
        <f t="shared" ref="T76" si="219">IF(R76="","",",INDEX(REPORT_FR2052a!$1:$1048576,0,"&amp;T$2&amp;"),"&amp;IF(ISTEXT(S76),CHAR(34),"")&amp;IF(R76="is","",""&amp;"&lt;&gt;")&amp;S76&amp;IF(ISTEXT(S76),CHAR(34),""))</f>
        <v/>
      </c>
      <c r="V76" s="139"/>
      <c r="W76" s="137" t="str">
        <f t="shared" ref="W76" si="220">IF(U76="","",",INDEX(REPORT_FR2052a!$1:$1048576,0,"&amp;W$2&amp;"),"&amp;IF(ISTEXT(V76),CHAR(34),"")&amp;IF(U76="is","",""&amp;"&lt;&gt;")&amp;V76&amp;IF(ISTEXT(V76),CHAR(34),""))</f>
        <v/>
      </c>
      <c r="Y76" s="139"/>
      <c r="Z76" s="137" t="str">
        <f t="shared" ref="Z76" si="221">IF(X76="","",",INDEX(REPORT_FR2052a!$1:$1048576,0,"&amp;Z$2&amp;"),"&amp;IF(ISTEXT(Y76),CHAR(34),"")&amp;IF(X76="is","",""&amp;"&lt;&gt;")&amp;Y76&amp;IF(ISTEXT(Y76),CHAR(34),""))</f>
        <v/>
      </c>
      <c r="AB76" s="139"/>
      <c r="AC76" s="137" t="str">
        <f t="shared" ref="AC76" si="222">IF(AA76="","",",INDEX(REPORT_FR2052a!$1:$1048576,0,"&amp;AC$2&amp;"),"&amp;IF(ISTEXT(AB76),CHAR(34),"")&amp;IF(AA76="is","",""&amp;"&lt;&gt;")&amp;AB76&amp;IF(ISTEXT(AB76),CHAR(34),""))</f>
        <v/>
      </c>
      <c r="AD76" s="137" t="s">
        <v>331</v>
      </c>
      <c r="AE76" s="140" t="s">
        <v>759</v>
      </c>
      <c r="AF76" s="137" t="str">
        <f t="shared" ref="AF76" si="223">IF(AD76="","",",INDEX(REPORT_FR2052a!$1:$1048576,0,"&amp;AF$2&amp;"),"&amp;IF(ISTEXT(AE76),CHAR(34),"")&amp;IF(AD76="is","",""&amp;"&lt;&gt;")&amp;AE76&amp;IF(ISTEXT(AE76),CHAR(34),""))</f>
        <v>,INDEX(REPORT_FR2052a!$1:$1048576,0,26),"Bank"</v>
      </c>
      <c r="AH76" s="139"/>
      <c r="AI76" s="137" t="str">
        <f t="shared" ref="AI76" si="224">IF(AG76="","",",INDEX(REPORT_FR2052a!$1:$1048576,0,"&amp;AI$2&amp;"),"&amp;IF(ISTEXT(AH76),CHAR(34),"")&amp;IF(AG76="is","",""&amp;"&lt;&gt;")&amp;AH76&amp;IF(ISTEXT(AH76),CHAR(34),""))</f>
        <v/>
      </c>
      <c r="AK76" s="139"/>
      <c r="AL76" s="137" t="str">
        <f t="shared" ref="AL76" si="225">IF(AJ76="","",",INDEX(REPORT_FR2052a!$1:$1048576,0,"&amp;AL$2&amp;"),"&amp;IF(ISTEXT(AK76),CHAR(34),"")&amp;IF(AJ76="is","",""&amp;"&lt;&gt;")&amp;AK76&amp;IF(ISTEXT(AK76),CHAR(34),""))</f>
        <v/>
      </c>
      <c r="AO76" s="137" t="str">
        <f t="shared" ref="AO76" si="226">IF(AM76="","",",INDEX(REPORT_FR2052a!$1:$1048576,0,"&amp;AO$2&amp;"),"&amp;IF(ISTEXT(AN76),CHAR(34),"")&amp;IF(AM76="is","",""&amp;"&lt;&gt;")&amp;AN76&amp;IF(ISTEXT(AN76),CHAR(34),""))</f>
        <v/>
      </c>
      <c r="AR76" s="137" t="str">
        <f t="shared" si="214"/>
        <v/>
      </c>
      <c r="AU76" s="137" t="str">
        <f t="shared" si="215"/>
        <v/>
      </c>
      <c r="BA76" s="137" t="s">
        <v>13</v>
      </c>
      <c r="BB76" s="137" t="str">
        <f>"=SUMIFS(INDEX(REPORT_FR2052a!$1:$1048576,0,"&amp;(MATCH(BA76,REPORT_FR2052a!$1:$1,0))&amp;")"</f>
        <v>=SUMIFS(INDEX(REPORT_FR2052a!$1:$1048576,0,14)</v>
      </c>
      <c r="BC76" s="137" t="str">
        <f t="shared" si="198"/>
        <v>=SUMIFS(INDEX(REPORT_FR2052a!$1:$1048576,0,14),INDEX(REPORT_FR2052a!$1:$1048576,0,44),"O.D.8",INDEX(REPORT_FR2052a!$1:$1048576,0,43),1,INDEX(REPORT_FR2052a!$1:$1048576,0,26),"Bank")</v>
      </c>
      <c r="BD76" s="141">
        <f>SUMIFS(INDEX(REPORT_FR2052a!$1:$1048576,0,14),INDEX(REPORT_FR2052a!$1:$1048576,0,44),"O.D.8",INDEX(REPORT_FR2052a!$1:$1048576,0,43),1,INDEX(REPORT_FR2052a!$1:$1048576,0,26),"Bank")</f>
        <v>0</v>
      </c>
      <c r="BE76" s="137" t="s">
        <v>331</v>
      </c>
      <c r="BF76" s="139" t="s">
        <v>47</v>
      </c>
      <c r="BG76" s="137" t="str">
        <f t="shared" ref="BG76" si="227">IF(BE76="","",",INDEX(REPORT_FR2052a!$1:$1048576,0,"&amp;BG$2&amp;"),"&amp;IF(ISTEXT(BF76),CHAR(34),"")&amp;IF(BE76="is","",""&amp;"&lt;&gt;")&amp;BF76&amp;IF(ISTEXT(BF76),CHAR(34),""))</f>
        <v>,INDEX(REPORT_FR2052a!$1:$1048576,0,5),"Bank of China - Combined US Branches and Agencies"</v>
      </c>
      <c r="BI76" s="137" t="str">
        <f t="shared" ref="BI76" si="228">LEFT(BC76,LEN(BC76)-1)&amp;BG76&amp;")"</f>
        <v>=SUMIFS(INDEX(REPORT_FR2052a!$1:$1048576,0,14),INDEX(REPORT_FR2052a!$1:$1048576,0,44),"O.D.8",INDEX(REPORT_FR2052a!$1:$1048576,0,43),1,INDEX(REPORT_FR2052a!$1:$1048576,0,26),"Bank",INDEX(REPORT_FR2052a!$1:$1048576,0,5),"Bank of China - Combined US Branches and Agencies")</v>
      </c>
      <c r="BJ76" s="142">
        <f>SUMIFS(INDEX(REPORT_FR2052a!$1:$1048576,0,14),INDEX(REPORT_FR2052a!$1:$1048576,0,44),"O.D.8",INDEX(REPORT_FR2052a!$1:$1048576,0,43),1,INDEX(REPORT_FR2052a!$1:$1048576,0,26),"Bank",INDEX(REPORT_FR2052a!$1:$1048576,0,5),"Bank of China - Combined US Branches and Agencies")</f>
        <v>0</v>
      </c>
      <c r="BK76" s="143">
        <f t="shared" ref="BK76" si="229">BD76-BJ76</f>
        <v>0</v>
      </c>
    </row>
    <row r="77" spans="1:63">
      <c r="A77" s="136">
        <v>50</v>
      </c>
      <c r="B77" s="137" t="str">
        <f>IFERROR(INDEX('LCR TYPE EXPLAIN'!B:B,MATCH(A77,'LCR TYPE EXPLAIN'!A:A,0)),"")</f>
        <v>Financial Non-Operational (§.32(h)(2))</v>
      </c>
      <c r="F77" s="137" t="s">
        <v>331</v>
      </c>
      <c r="G77" s="138" t="s">
        <v>406</v>
      </c>
      <c r="H77" s="137" t="str">
        <f t="shared" si="199"/>
        <v>,INDEX(REPORT_FR2052a!$1:$1048576,0,44),"O.D.9"</v>
      </c>
      <c r="I77" s="137" t="s">
        <v>331</v>
      </c>
      <c r="J77" s="137">
        <v>1</v>
      </c>
      <c r="K77" s="137" t="str">
        <f t="shared" si="174"/>
        <v>,INDEX(REPORT_FR2052a!$1:$1048576,0,43),1</v>
      </c>
      <c r="N77" s="137" t="str">
        <f t="shared" si="175"/>
        <v/>
      </c>
      <c r="Q77" s="137" t="str">
        <f t="shared" si="3"/>
        <v/>
      </c>
      <c r="T77" s="137" t="str">
        <f t="shared" si="176"/>
        <v/>
      </c>
      <c r="V77" s="139"/>
      <c r="W77" s="137" t="str">
        <f t="shared" si="177"/>
        <v/>
      </c>
      <c r="Y77" s="139"/>
      <c r="Z77" s="137" t="str">
        <f t="shared" si="178"/>
        <v/>
      </c>
      <c r="AB77" s="139"/>
      <c r="AC77" s="137" t="str">
        <f t="shared" si="179"/>
        <v/>
      </c>
      <c r="AD77" s="137" t="s">
        <v>331</v>
      </c>
      <c r="AE77" s="140" t="s">
        <v>116</v>
      </c>
      <c r="AF77" s="137" t="str">
        <f t="shared" si="180"/>
        <v>,INDEX(REPORT_FR2052a!$1:$1048576,0,26),"Supervised Non-Bank Financial Entity"</v>
      </c>
      <c r="AH77" s="139"/>
      <c r="AI77" s="137" t="str">
        <f t="shared" si="181"/>
        <v/>
      </c>
      <c r="AK77" s="139"/>
      <c r="AL77" s="137" t="str">
        <f t="shared" si="182"/>
        <v/>
      </c>
      <c r="AO77" s="137" t="str">
        <f t="shared" si="11"/>
        <v/>
      </c>
      <c r="AR77" s="137" t="str">
        <f t="shared" si="214"/>
        <v/>
      </c>
      <c r="AU77" s="137" t="str">
        <f t="shared" si="215"/>
        <v/>
      </c>
      <c r="BA77" s="137" t="s">
        <v>13</v>
      </c>
      <c r="BB77" s="137" t="str">
        <f>"=SUMIFS(INDEX(REPORT_FR2052a!$1:$1048576,0,"&amp;(MATCH(BA77,REPORT_FR2052a!$1:$1,0))&amp;")"</f>
        <v>=SUMIFS(INDEX(REPORT_FR2052a!$1:$1048576,0,14)</v>
      </c>
      <c r="BC77" s="137" t="str">
        <f t="shared" si="198"/>
        <v>=SUMIFS(INDEX(REPORT_FR2052a!$1:$1048576,0,14),INDEX(REPORT_FR2052a!$1:$1048576,0,44),"O.D.9",INDEX(REPORT_FR2052a!$1:$1048576,0,43),1,INDEX(REPORT_FR2052a!$1:$1048576,0,26),"Supervised Non-Bank Financial Entity")</v>
      </c>
      <c r="BD77" s="141">
        <f>SUMIFS(INDEX(REPORT_FR2052a!$1:$1048576,0,14),INDEX(REPORT_FR2052a!$1:$1048576,0,44),"O.D.9",INDEX(REPORT_FR2052a!$1:$1048576,0,43),1,INDEX(REPORT_FR2052a!$1:$1048576,0,26),"Supervised Non-Bank Financial Entity")</f>
        <v>0</v>
      </c>
      <c r="BE77" s="137" t="s">
        <v>331</v>
      </c>
      <c r="BF77" s="139" t="s">
        <v>47</v>
      </c>
      <c r="BG77" s="137" t="str">
        <f t="shared" si="183"/>
        <v>,INDEX(REPORT_FR2052a!$1:$1048576,0,5),"Bank of China - Combined US Branches and Agencies"</v>
      </c>
      <c r="BI77" s="137" t="str">
        <f t="shared" si="18"/>
        <v>=SUMIFS(INDEX(REPORT_FR2052a!$1:$1048576,0,14),INDEX(REPORT_FR2052a!$1:$1048576,0,44),"O.D.9",INDEX(REPORT_FR2052a!$1:$1048576,0,43),1,INDEX(REPORT_FR2052a!$1:$1048576,0,26),"Supervised Non-Bank Financial Entity",INDEX(REPORT_FR2052a!$1:$1048576,0,5),"Bank of China - Combined US Branches and Agencies")</v>
      </c>
      <c r="BJ77" s="142">
        <f>SUMIFS(INDEX(REPORT_FR2052a!$1:$1048576,0,14),INDEX(REPORT_FR2052a!$1:$1048576,0,44),"O.D.9",INDEX(REPORT_FR2052a!$1:$1048576,0,43),1,INDEX(REPORT_FR2052a!$1:$1048576,0,26),"Supervised Non-Bank Financial Entity",INDEX(REPORT_FR2052a!$1:$1048576,0,5),"Bank of China - Combined US Branches and Agencies")</f>
        <v>0</v>
      </c>
      <c r="BK77" s="143">
        <f t="shared" si="19"/>
        <v>0</v>
      </c>
    </row>
    <row r="78" spans="1:63">
      <c r="A78" s="136">
        <v>50</v>
      </c>
      <c r="B78" s="137" t="str">
        <f>IFERROR(INDEX('LCR TYPE EXPLAIN'!B:B,MATCH(A78,'LCR TYPE EXPLAIN'!A:A,0)),"")</f>
        <v>Financial Non-Operational (§.32(h)(2))</v>
      </c>
      <c r="F78" s="137" t="s">
        <v>331</v>
      </c>
      <c r="G78" s="138" t="s">
        <v>406</v>
      </c>
      <c r="H78" s="137" t="str">
        <f t="shared" si="199"/>
        <v>,INDEX(REPORT_FR2052a!$1:$1048576,0,44),"O.D.9"</v>
      </c>
      <c r="I78" s="137" t="s">
        <v>331</v>
      </c>
      <c r="J78" s="137">
        <v>1</v>
      </c>
      <c r="K78" s="137" t="str">
        <f t="shared" ref="K78" si="230">IF(I78="","",",INDEX(REPORT_FR2052a!$1:$1048576,0,"&amp;K$2&amp;"),"&amp;IF(ISTEXT(J78),CHAR(34),"")&amp;IF(I78="is","",""&amp;"&lt;&gt;")&amp;J78&amp;IF(ISTEXT(J78),CHAR(34),""))</f>
        <v>,INDEX(REPORT_FR2052a!$1:$1048576,0,43),1</v>
      </c>
      <c r="N78" s="137" t="str">
        <f t="shared" ref="N78" si="231">IF(L78="","",",INDEX(REPORT_FR2052a!$1:$1048576,0,"&amp;N$2&amp;"),"&amp;IF(ISTEXT(M78),CHAR(34),"")&amp;IF(L78="is","",""&amp;"&lt;&gt;")&amp;M78&amp;IF(ISTEXT(M78),CHAR(34),""))</f>
        <v/>
      </c>
      <c r="Q78" s="137" t="str">
        <f t="shared" ref="Q78" si="232">IF(O78="","",",INDEX(REPORT_FR2052a!$1:$1048576,0,"&amp;Q$2&amp;"),"&amp;IF(OR(ISTEXT(P78),ISBLANK(P78)),CHAR(34),"")&amp;IF(O78="is","",""&amp;"&lt;&gt;")&amp;P78&amp;IF(OR(ISTEXT(P78),ISBLANK(P78)),CHAR(34),""))</f>
        <v/>
      </c>
      <c r="T78" s="137" t="str">
        <f t="shared" ref="T78" si="233">IF(R78="","",",INDEX(REPORT_FR2052a!$1:$1048576,0,"&amp;T$2&amp;"),"&amp;IF(ISTEXT(S78),CHAR(34),"")&amp;IF(R78="is","",""&amp;"&lt;&gt;")&amp;S78&amp;IF(ISTEXT(S78),CHAR(34),""))</f>
        <v/>
      </c>
      <c r="V78" s="139"/>
      <c r="W78" s="137" t="str">
        <f t="shared" ref="W78" si="234">IF(U78="","",",INDEX(REPORT_FR2052a!$1:$1048576,0,"&amp;W$2&amp;"),"&amp;IF(ISTEXT(V78),CHAR(34),"")&amp;IF(U78="is","",""&amp;"&lt;&gt;")&amp;V78&amp;IF(ISTEXT(V78),CHAR(34),""))</f>
        <v/>
      </c>
      <c r="Y78" s="139"/>
      <c r="Z78" s="137" t="str">
        <f t="shared" ref="Z78" si="235">IF(X78="","",",INDEX(REPORT_FR2052a!$1:$1048576,0,"&amp;Z$2&amp;"),"&amp;IF(ISTEXT(Y78),CHAR(34),"")&amp;IF(X78="is","",""&amp;"&lt;&gt;")&amp;Y78&amp;IF(ISTEXT(Y78),CHAR(34),""))</f>
        <v/>
      </c>
      <c r="AB78" s="139"/>
      <c r="AC78" s="137" t="str">
        <f t="shared" ref="AC78" si="236">IF(AA78="","",",INDEX(REPORT_FR2052a!$1:$1048576,0,"&amp;AC$2&amp;"),"&amp;IF(ISTEXT(AB78),CHAR(34),"")&amp;IF(AA78="is","",""&amp;"&lt;&gt;")&amp;AB78&amp;IF(ISTEXT(AB78),CHAR(34),""))</f>
        <v/>
      </c>
      <c r="AD78" s="137" t="s">
        <v>331</v>
      </c>
      <c r="AE78" s="140" t="s">
        <v>759</v>
      </c>
      <c r="AF78" s="137" t="str">
        <f t="shared" ref="AF78" si="237">IF(AD78="","",",INDEX(REPORT_FR2052a!$1:$1048576,0,"&amp;AF$2&amp;"),"&amp;IF(ISTEXT(AE78),CHAR(34),"")&amp;IF(AD78="is","",""&amp;"&lt;&gt;")&amp;AE78&amp;IF(ISTEXT(AE78),CHAR(34),""))</f>
        <v>,INDEX(REPORT_FR2052a!$1:$1048576,0,26),"Bank"</v>
      </c>
      <c r="AH78" s="139"/>
      <c r="AI78" s="137" t="str">
        <f t="shared" ref="AI78" si="238">IF(AG78="","",",INDEX(REPORT_FR2052a!$1:$1048576,0,"&amp;AI$2&amp;"),"&amp;IF(ISTEXT(AH78),CHAR(34),"")&amp;IF(AG78="is","",""&amp;"&lt;&gt;")&amp;AH78&amp;IF(ISTEXT(AH78),CHAR(34),""))</f>
        <v/>
      </c>
      <c r="AK78" s="139"/>
      <c r="AL78" s="137" t="str">
        <f t="shared" ref="AL78" si="239">IF(AJ78="","",",INDEX(REPORT_FR2052a!$1:$1048576,0,"&amp;AL$2&amp;"),"&amp;IF(ISTEXT(AK78),CHAR(34),"")&amp;IF(AJ78="is","",""&amp;"&lt;&gt;")&amp;AK78&amp;IF(ISTEXT(AK78),CHAR(34),""))</f>
        <v/>
      </c>
      <c r="AO78" s="137" t="str">
        <f t="shared" ref="AO78" si="240">IF(AM78="","",",INDEX(REPORT_FR2052a!$1:$1048576,0,"&amp;AO$2&amp;"),"&amp;IF(ISTEXT(AN78),CHAR(34),"")&amp;IF(AM78="is","",""&amp;"&lt;&gt;")&amp;AN78&amp;IF(ISTEXT(AN78),CHAR(34),""))</f>
        <v/>
      </c>
      <c r="AR78" s="137" t="str">
        <f t="shared" si="214"/>
        <v/>
      </c>
      <c r="AU78" s="137" t="str">
        <f t="shared" si="215"/>
        <v/>
      </c>
      <c r="BA78" s="137" t="s">
        <v>13</v>
      </c>
      <c r="BB78" s="137" t="str">
        <f>"=SUMIFS(INDEX(REPORT_FR2052a!$1:$1048576,0,"&amp;(MATCH(BA78,REPORT_FR2052a!$1:$1,0))&amp;")"</f>
        <v>=SUMIFS(INDEX(REPORT_FR2052a!$1:$1048576,0,14)</v>
      </c>
      <c r="BC78" s="137" t="str">
        <f t="shared" si="198"/>
        <v>=SUMIFS(INDEX(REPORT_FR2052a!$1:$1048576,0,14),INDEX(REPORT_FR2052a!$1:$1048576,0,44),"O.D.9",INDEX(REPORT_FR2052a!$1:$1048576,0,43),1,INDEX(REPORT_FR2052a!$1:$1048576,0,26),"Bank")</v>
      </c>
      <c r="BD78" s="141">
        <f>SUMIFS(INDEX(REPORT_FR2052a!$1:$1048576,0,14),INDEX(REPORT_FR2052a!$1:$1048576,0,44),"O.D.9",INDEX(REPORT_FR2052a!$1:$1048576,0,43),1,INDEX(REPORT_FR2052a!$1:$1048576,0,26),"Bank")</f>
        <v>0</v>
      </c>
      <c r="BE78" s="137" t="s">
        <v>331</v>
      </c>
      <c r="BF78" s="139" t="s">
        <v>47</v>
      </c>
      <c r="BG78" s="137" t="str">
        <f t="shared" ref="BG78" si="241">IF(BE78="","",",INDEX(REPORT_FR2052a!$1:$1048576,0,"&amp;BG$2&amp;"),"&amp;IF(ISTEXT(BF78),CHAR(34),"")&amp;IF(BE78="is","",""&amp;"&lt;&gt;")&amp;BF78&amp;IF(ISTEXT(BF78),CHAR(34),""))</f>
        <v>,INDEX(REPORT_FR2052a!$1:$1048576,0,5),"Bank of China - Combined US Branches and Agencies"</v>
      </c>
      <c r="BI78" s="137" t="str">
        <f t="shared" ref="BI78" si="242">LEFT(BC78,LEN(BC78)-1)&amp;BG78&amp;")"</f>
        <v>=SUMIFS(INDEX(REPORT_FR2052a!$1:$1048576,0,14),INDEX(REPORT_FR2052a!$1:$1048576,0,44),"O.D.9",INDEX(REPORT_FR2052a!$1:$1048576,0,43),1,INDEX(REPORT_FR2052a!$1:$1048576,0,26),"Bank",INDEX(REPORT_FR2052a!$1:$1048576,0,5),"Bank of China - Combined US Branches and Agencies")</v>
      </c>
      <c r="BJ78" s="142">
        <f>SUMIFS(INDEX(REPORT_FR2052a!$1:$1048576,0,14),INDEX(REPORT_FR2052a!$1:$1048576,0,44),"O.D.9",INDEX(REPORT_FR2052a!$1:$1048576,0,43),1,INDEX(REPORT_FR2052a!$1:$1048576,0,26),"Bank",INDEX(REPORT_FR2052a!$1:$1048576,0,5),"Bank of China - Combined US Branches and Agencies")</f>
        <v>0</v>
      </c>
      <c r="BK78" s="143">
        <f t="shared" ref="BK78" si="243">BD78-BJ78</f>
        <v>0</v>
      </c>
    </row>
    <row r="79" spans="1:63">
      <c r="A79" s="136">
        <v>50</v>
      </c>
      <c r="B79" s="137" t="str">
        <f>IFERROR(INDEX('LCR TYPE EXPLAIN'!B:B,MATCH(A79,'LCR TYPE EXPLAIN'!A:A,0)),"")</f>
        <v>Financial Non-Operational (§.32(h)(2))</v>
      </c>
      <c r="F79" s="137" t="s">
        <v>331</v>
      </c>
      <c r="G79" s="138" t="s">
        <v>407</v>
      </c>
      <c r="H79" s="137" t="str">
        <f t="shared" si="199"/>
        <v>,INDEX(REPORT_FR2052a!$1:$1048576,0,44),"O.D.11"</v>
      </c>
      <c r="I79" s="137" t="s">
        <v>331</v>
      </c>
      <c r="J79" s="137">
        <v>1</v>
      </c>
      <c r="K79" s="137" t="str">
        <f t="shared" si="174"/>
        <v>,INDEX(REPORT_FR2052a!$1:$1048576,0,43),1</v>
      </c>
      <c r="N79" s="137" t="str">
        <f t="shared" si="175"/>
        <v/>
      </c>
      <c r="Q79" s="137" t="str">
        <f t="shared" si="3"/>
        <v/>
      </c>
      <c r="T79" s="137" t="str">
        <f t="shared" si="176"/>
        <v/>
      </c>
      <c r="V79" s="139"/>
      <c r="W79" s="137" t="str">
        <f t="shared" si="177"/>
        <v/>
      </c>
      <c r="Y79" s="139"/>
      <c r="Z79" s="137" t="str">
        <f t="shared" si="178"/>
        <v/>
      </c>
      <c r="AB79" s="139"/>
      <c r="AC79" s="137" t="str">
        <f t="shared" si="179"/>
        <v/>
      </c>
      <c r="AD79" s="137" t="s">
        <v>331</v>
      </c>
      <c r="AE79" s="140" t="s">
        <v>116</v>
      </c>
      <c r="AF79" s="137" t="str">
        <f t="shared" si="180"/>
        <v>,INDEX(REPORT_FR2052a!$1:$1048576,0,26),"Supervised Non-Bank Financial Entity"</v>
      </c>
      <c r="AH79" s="139"/>
      <c r="AI79" s="137" t="str">
        <f t="shared" si="181"/>
        <v/>
      </c>
      <c r="AK79" s="139"/>
      <c r="AL79" s="137" t="str">
        <f t="shared" si="182"/>
        <v/>
      </c>
      <c r="AO79" s="137" t="str">
        <f t="shared" si="11"/>
        <v/>
      </c>
      <c r="AR79" s="137" t="str">
        <f t="shared" si="214"/>
        <v/>
      </c>
      <c r="AU79" s="137" t="str">
        <f t="shared" si="215"/>
        <v/>
      </c>
      <c r="BA79" s="137" t="s">
        <v>13</v>
      </c>
      <c r="BB79" s="137" t="str">
        <f>"=SUMIFS(INDEX(REPORT_FR2052a!$1:$1048576,0,"&amp;(MATCH(BA79,REPORT_FR2052a!$1:$1,0))&amp;")"</f>
        <v>=SUMIFS(INDEX(REPORT_FR2052a!$1:$1048576,0,14)</v>
      </c>
      <c r="BC79" s="137" t="str">
        <f t="shared" si="198"/>
        <v>=SUMIFS(INDEX(REPORT_FR2052a!$1:$1048576,0,14),INDEX(REPORT_FR2052a!$1:$1048576,0,44),"O.D.11",INDEX(REPORT_FR2052a!$1:$1048576,0,43),1,INDEX(REPORT_FR2052a!$1:$1048576,0,26),"Supervised Non-Bank Financial Entity")</v>
      </c>
      <c r="BD79" s="141">
        <f>SUMIFS(INDEX(REPORT_FR2052a!$1:$1048576,0,14),INDEX(REPORT_FR2052a!$1:$1048576,0,44),"O.D.11",INDEX(REPORT_FR2052a!$1:$1048576,0,43),1,INDEX(REPORT_FR2052a!$1:$1048576,0,26),"Supervised Non-Bank Financial Entity")</f>
        <v>0</v>
      </c>
      <c r="BE79" s="137" t="s">
        <v>331</v>
      </c>
      <c r="BF79" s="139" t="s">
        <v>47</v>
      </c>
      <c r="BG79" s="137" t="str">
        <f t="shared" si="183"/>
        <v>,INDEX(REPORT_FR2052a!$1:$1048576,0,5),"Bank of China - Combined US Branches and Agencies"</v>
      </c>
      <c r="BI79" s="137" t="str">
        <f t="shared" si="18"/>
        <v>=SUMIFS(INDEX(REPORT_FR2052a!$1:$1048576,0,14),INDEX(REPORT_FR2052a!$1:$1048576,0,44),"O.D.11",INDEX(REPORT_FR2052a!$1:$1048576,0,43),1,INDEX(REPORT_FR2052a!$1:$1048576,0,26),"Supervised Non-Bank Financial Entity",INDEX(REPORT_FR2052a!$1:$1048576,0,5),"Bank of China - Combined US Branches and Agencies")</v>
      </c>
      <c r="BJ79" s="142">
        <f>SUMIFS(INDEX(REPORT_FR2052a!$1:$1048576,0,14),INDEX(REPORT_FR2052a!$1:$1048576,0,44),"O.D.11",INDEX(REPORT_FR2052a!$1:$1048576,0,43),1,INDEX(REPORT_FR2052a!$1:$1048576,0,26),"Supervised Non-Bank Financial Entity",INDEX(REPORT_FR2052a!$1:$1048576,0,5),"Bank of China - Combined US Branches and Agencies")</f>
        <v>0</v>
      </c>
      <c r="BK79" s="143">
        <f t="shared" si="19"/>
        <v>0</v>
      </c>
    </row>
    <row r="80" spans="1:63">
      <c r="A80" s="136">
        <v>50</v>
      </c>
      <c r="B80" s="137" t="str">
        <f>IFERROR(INDEX('LCR TYPE EXPLAIN'!B:B,MATCH(A80,'LCR TYPE EXPLAIN'!A:A,0)),"")</f>
        <v>Financial Non-Operational (§.32(h)(2))</v>
      </c>
      <c r="F80" s="137" t="s">
        <v>331</v>
      </c>
      <c r="G80" s="138" t="s">
        <v>407</v>
      </c>
      <c r="H80" s="137" t="str">
        <f t="shared" si="199"/>
        <v>,INDEX(REPORT_FR2052a!$1:$1048576,0,44),"O.D.11"</v>
      </c>
      <c r="I80" s="137" t="s">
        <v>331</v>
      </c>
      <c r="J80" s="137">
        <v>1</v>
      </c>
      <c r="K80" s="137" t="str">
        <f t="shared" ref="K80" si="244">IF(I80="","",",INDEX(REPORT_FR2052a!$1:$1048576,0,"&amp;K$2&amp;"),"&amp;IF(ISTEXT(J80),CHAR(34),"")&amp;IF(I80="is","",""&amp;"&lt;&gt;")&amp;J80&amp;IF(ISTEXT(J80),CHAR(34),""))</f>
        <v>,INDEX(REPORT_FR2052a!$1:$1048576,0,43),1</v>
      </c>
      <c r="N80" s="137" t="str">
        <f t="shared" ref="N80" si="245">IF(L80="","",",INDEX(REPORT_FR2052a!$1:$1048576,0,"&amp;N$2&amp;"),"&amp;IF(ISTEXT(M80),CHAR(34),"")&amp;IF(L80="is","",""&amp;"&lt;&gt;")&amp;M80&amp;IF(ISTEXT(M80),CHAR(34),""))</f>
        <v/>
      </c>
      <c r="Q80" s="137" t="str">
        <f t="shared" ref="Q80" si="246">IF(O80="","",",INDEX(REPORT_FR2052a!$1:$1048576,0,"&amp;Q$2&amp;"),"&amp;IF(OR(ISTEXT(P80),ISBLANK(P80)),CHAR(34),"")&amp;IF(O80="is","",""&amp;"&lt;&gt;")&amp;P80&amp;IF(OR(ISTEXT(P80),ISBLANK(P80)),CHAR(34),""))</f>
        <v/>
      </c>
      <c r="T80" s="137" t="str">
        <f t="shared" ref="T80" si="247">IF(R80="","",",INDEX(REPORT_FR2052a!$1:$1048576,0,"&amp;T$2&amp;"),"&amp;IF(ISTEXT(S80),CHAR(34),"")&amp;IF(R80="is","",""&amp;"&lt;&gt;")&amp;S80&amp;IF(ISTEXT(S80),CHAR(34),""))</f>
        <v/>
      </c>
      <c r="V80" s="139"/>
      <c r="W80" s="137" t="str">
        <f t="shared" ref="W80" si="248">IF(U80="","",",INDEX(REPORT_FR2052a!$1:$1048576,0,"&amp;W$2&amp;"),"&amp;IF(ISTEXT(V80),CHAR(34),"")&amp;IF(U80="is","",""&amp;"&lt;&gt;")&amp;V80&amp;IF(ISTEXT(V80),CHAR(34),""))</f>
        <v/>
      </c>
      <c r="Y80" s="139"/>
      <c r="Z80" s="137" t="str">
        <f t="shared" ref="Z80" si="249">IF(X80="","",",INDEX(REPORT_FR2052a!$1:$1048576,0,"&amp;Z$2&amp;"),"&amp;IF(ISTEXT(Y80),CHAR(34),"")&amp;IF(X80="is","",""&amp;"&lt;&gt;")&amp;Y80&amp;IF(ISTEXT(Y80),CHAR(34),""))</f>
        <v/>
      </c>
      <c r="AB80" s="139"/>
      <c r="AC80" s="137" t="str">
        <f t="shared" ref="AC80" si="250">IF(AA80="","",",INDEX(REPORT_FR2052a!$1:$1048576,0,"&amp;AC$2&amp;"),"&amp;IF(ISTEXT(AB80),CHAR(34),"")&amp;IF(AA80="is","",""&amp;"&lt;&gt;")&amp;AB80&amp;IF(ISTEXT(AB80),CHAR(34),""))</f>
        <v/>
      </c>
      <c r="AD80" s="137" t="s">
        <v>331</v>
      </c>
      <c r="AE80" s="140" t="s">
        <v>759</v>
      </c>
      <c r="AF80" s="137" t="str">
        <f t="shared" ref="AF80" si="251">IF(AD80="","",",INDEX(REPORT_FR2052a!$1:$1048576,0,"&amp;AF$2&amp;"),"&amp;IF(ISTEXT(AE80),CHAR(34),"")&amp;IF(AD80="is","",""&amp;"&lt;&gt;")&amp;AE80&amp;IF(ISTEXT(AE80),CHAR(34),""))</f>
        <v>,INDEX(REPORT_FR2052a!$1:$1048576,0,26),"Bank"</v>
      </c>
      <c r="AH80" s="139"/>
      <c r="AI80" s="137" t="str">
        <f t="shared" ref="AI80" si="252">IF(AG80="","",",INDEX(REPORT_FR2052a!$1:$1048576,0,"&amp;AI$2&amp;"),"&amp;IF(ISTEXT(AH80),CHAR(34),"")&amp;IF(AG80="is","",""&amp;"&lt;&gt;")&amp;AH80&amp;IF(ISTEXT(AH80),CHAR(34),""))</f>
        <v/>
      </c>
      <c r="AK80" s="139"/>
      <c r="AL80" s="137" t="str">
        <f t="shared" ref="AL80" si="253">IF(AJ80="","",",INDEX(REPORT_FR2052a!$1:$1048576,0,"&amp;AL$2&amp;"),"&amp;IF(ISTEXT(AK80),CHAR(34),"")&amp;IF(AJ80="is","",""&amp;"&lt;&gt;")&amp;AK80&amp;IF(ISTEXT(AK80),CHAR(34),""))</f>
        <v/>
      </c>
      <c r="AO80" s="137" t="str">
        <f t="shared" ref="AO80" si="254">IF(AM80="","",",INDEX(REPORT_FR2052a!$1:$1048576,0,"&amp;AO$2&amp;"),"&amp;IF(ISTEXT(AN80),CHAR(34),"")&amp;IF(AM80="is","",""&amp;"&lt;&gt;")&amp;AN80&amp;IF(ISTEXT(AN80),CHAR(34),""))</f>
        <v/>
      </c>
      <c r="AR80" s="137" t="str">
        <f t="shared" si="214"/>
        <v/>
      </c>
      <c r="AU80" s="137" t="str">
        <f t="shared" si="215"/>
        <v/>
      </c>
      <c r="BA80" s="137" t="s">
        <v>13</v>
      </c>
      <c r="BB80" s="137" t="str">
        <f>"=SUMIFS(INDEX(REPORT_FR2052a!$1:$1048576,0,"&amp;(MATCH(BA80,REPORT_FR2052a!$1:$1,0))&amp;")"</f>
        <v>=SUMIFS(INDEX(REPORT_FR2052a!$1:$1048576,0,14)</v>
      </c>
      <c r="BC80" s="137" t="str">
        <f t="shared" si="198"/>
        <v>=SUMIFS(INDEX(REPORT_FR2052a!$1:$1048576,0,14),INDEX(REPORT_FR2052a!$1:$1048576,0,44),"O.D.11",INDEX(REPORT_FR2052a!$1:$1048576,0,43),1,INDEX(REPORT_FR2052a!$1:$1048576,0,26),"Bank")</v>
      </c>
      <c r="BD80" s="141">
        <f>SUMIFS(INDEX(REPORT_FR2052a!$1:$1048576,0,14),INDEX(REPORT_FR2052a!$1:$1048576,0,44),"O.D.11",INDEX(REPORT_FR2052a!$1:$1048576,0,43),1,INDEX(REPORT_FR2052a!$1:$1048576,0,26),"Bank")</f>
        <v>0</v>
      </c>
      <c r="BE80" s="137" t="s">
        <v>331</v>
      </c>
      <c r="BF80" s="139" t="s">
        <v>47</v>
      </c>
      <c r="BG80" s="137" t="str">
        <f t="shared" ref="BG80" si="255">IF(BE80="","",",INDEX(REPORT_FR2052a!$1:$1048576,0,"&amp;BG$2&amp;"),"&amp;IF(ISTEXT(BF80),CHAR(34),"")&amp;IF(BE80="is","",""&amp;"&lt;&gt;")&amp;BF80&amp;IF(ISTEXT(BF80),CHAR(34),""))</f>
        <v>,INDEX(REPORT_FR2052a!$1:$1048576,0,5),"Bank of China - Combined US Branches and Agencies"</v>
      </c>
      <c r="BI80" s="137" t="str">
        <f t="shared" ref="BI80" si="256">LEFT(BC80,LEN(BC80)-1)&amp;BG80&amp;")"</f>
        <v>=SUMIFS(INDEX(REPORT_FR2052a!$1:$1048576,0,14),INDEX(REPORT_FR2052a!$1:$1048576,0,44),"O.D.11",INDEX(REPORT_FR2052a!$1:$1048576,0,43),1,INDEX(REPORT_FR2052a!$1:$1048576,0,26),"Bank",INDEX(REPORT_FR2052a!$1:$1048576,0,5),"Bank of China - Combined US Branches and Agencies")</v>
      </c>
      <c r="BJ80" s="142">
        <f>SUMIFS(INDEX(REPORT_FR2052a!$1:$1048576,0,14),INDEX(REPORT_FR2052a!$1:$1048576,0,44),"O.D.11",INDEX(REPORT_FR2052a!$1:$1048576,0,43),1,INDEX(REPORT_FR2052a!$1:$1048576,0,26),"Bank",INDEX(REPORT_FR2052a!$1:$1048576,0,5),"Bank of China - Combined US Branches and Agencies")</f>
        <v>0</v>
      </c>
      <c r="BK80" s="143">
        <f t="shared" ref="BK80" si="257">BD80-BJ80</f>
        <v>0</v>
      </c>
    </row>
    <row r="81" spans="1:63">
      <c r="A81" s="136">
        <v>51</v>
      </c>
      <c r="B81" s="137" t="str">
        <f>IFERROR(INDEX('LCR TYPE EXPLAIN'!B:B,MATCH(A81,'LCR TYPE EXPLAIN'!A:A,0)),"")</f>
        <v>Financial Non-Operational (§.32(h)(2))</v>
      </c>
      <c r="F81" s="137" t="s">
        <v>331</v>
      </c>
      <c r="G81" s="138" t="s">
        <v>401</v>
      </c>
      <c r="H81" s="137" t="str">
        <f t="shared" si="199"/>
        <v>,INDEX(REPORT_FR2052a!$1:$1048576,0,44),"O.W.10"</v>
      </c>
      <c r="I81" s="137" t="s">
        <v>331</v>
      </c>
      <c r="J81" s="137">
        <v>1</v>
      </c>
      <c r="K81" s="137" t="str">
        <f t="shared" si="174"/>
        <v>,INDEX(REPORT_FR2052a!$1:$1048576,0,43),1</v>
      </c>
      <c r="N81" s="137" t="str">
        <f t="shared" si="175"/>
        <v/>
      </c>
      <c r="Q81" s="137" t="str">
        <f t="shared" si="3"/>
        <v/>
      </c>
      <c r="T81" s="137" t="str">
        <f t="shared" si="176"/>
        <v/>
      </c>
      <c r="V81" s="139"/>
      <c r="W81" s="137" t="str">
        <f t="shared" si="177"/>
        <v/>
      </c>
      <c r="Y81" s="139"/>
      <c r="Z81" s="137" t="str">
        <f t="shared" si="178"/>
        <v/>
      </c>
      <c r="AB81" s="139"/>
      <c r="AC81" s="137" t="str">
        <f t="shared" si="179"/>
        <v/>
      </c>
      <c r="AD81" s="137" t="s">
        <v>331</v>
      </c>
      <c r="AE81" s="140" t="s">
        <v>759</v>
      </c>
      <c r="AF81" s="137" t="str">
        <f t="shared" si="180"/>
        <v>,INDEX(REPORT_FR2052a!$1:$1048576,0,26),"Bank"</v>
      </c>
      <c r="AH81" s="139"/>
      <c r="AI81" s="137" t="str">
        <f t="shared" si="181"/>
        <v/>
      </c>
      <c r="AK81" s="139"/>
      <c r="AL81" s="137" t="str">
        <f t="shared" si="182"/>
        <v/>
      </c>
      <c r="AO81" s="137" t="str">
        <f t="shared" si="11"/>
        <v/>
      </c>
      <c r="AR81" s="137" t="str">
        <f t="shared" si="214"/>
        <v/>
      </c>
      <c r="AU81" s="137" t="str">
        <f t="shared" si="215"/>
        <v/>
      </c>
      <c r="AV81" s="137" t="s">
        <v>331</v>
      </c>
      <c r="AW81" s="139" t="s">
        <v>762</v>
      </c>
      <c r="AX81" s="137" t="str">
        <f t="shared" ref="AX81:AX82" si="258">IF(AV81="","",",INDEX(REPORT_FR2052a!$1:$1048576,0,"&amp;AX$2&amp;"),"&amp;IF(ISTEXT(AW81),CHAR(34),"")&amp;IF(AV81="is","",""&amp;"&lt;&gt;")&amp;AW81&amp;IF(ISTEXT(AW81),CHAR(34),""))</f>
        <v>,INDEX(REPORT_FR2052a!$1:$1048576,0,7),""</v>
      </c>
      <c r="BA81" s="137" t="s">
        <v>13</v>
      </c>
      <c r="BB81" s="137" t="str">
        <f>"=SUMIFS(INDEX(REPORT_FR2052a!$1:$1048576,0,"&amp;(MATCH(BA81,REPORT_FR2052a!$1:$1,0))&amp;")"</f>
        <v>=SUMIFS(INDEX(REPORT_FR2052a!$1:$1048576,0,14)</v>
      </c>
      <c r="BC81" s="137" t="str">
        <f t="shared" si="198"/>
        <v>=SUMIFS(INDEX(REPORT_FR2052a!$1:$1048576,0,14),INDEX(REPORT_FR2052a!$1:$1048576,0,44),"O.W.10",INDEX(REPORT_FR2052a!$1:$1048576,0,43),1,INDEX(REPORT_FR2052a!$1:$1048576,0,26),"Bank",INDEX(REPORT_FR2052a!$1:$1048576,0,7),"")</v>
      </c>
      <c r="BD81" s="141">
        <f>SUMIFS(INDEX(REPORT_FR2052a!$1:$1048576,0,14),INDEX(REPORT_FR2052a!$1:$1048576,0,44),"O.W.10",INDEX(REPORT_FR2052a!$1:$1048576,0,43),1,INDEX(REPORT_FR2052a!$1:$1048576,0,26),"Bank",INDEX(REPORT_FR2052a!$1:$1048576,0,7),"")</f>
        <v>14240.84</v>
      </c>
      <c r="BE81" s="137" t="s">
        <v>331</v>
      </c>
      <c r="BF81" s="139" t="s">
        <v>47</v>
      </c>
      <c r="BG81" s="137" t="str">
        <f t="shared" si="183"/>
        <v>,INDEX(REPORT_FR2052a!$1:$1048576,0,5),"Bank of China - Combined US Branches and Agencies"</v>
      </c>
      <c r="BI81" s="137" t="str">
        <f t="shared" si="18"/>
        <v>=SUMIFS(INDEX(REPORT_FR2052a!$1:$1048576,0,14),INDEX(REPORT_FR2052a!$1:$1048576,0,44),"O.W.10",INDEX(REPORT_FR2052a!$1:$1048576,0,43),1,INDEX(REPORT_FR2052a!$1:$1048576,0,26),"Bank",INDEX(REPORT_FR2052a!$1:$1048576,0,7),"",INDEX(REPORT_FR2052a!$1:$1048576,0,5),"Bank of China - Combined US Branches and Agencies")</v>
      </c>
      <c r="BJ81" s="142">
        <f>SUMIFS(INDEX(REPORT_FR2052a!$1:$1048576,0,14),INDEX(REPORT_FR2052a!$1:$1048576,0,44),"O.W.10",INDEX(REPORT_FR2052a!$1:$1048576,0,43),1,INDEX(REPORT_FR2052a!$1:$1048576,0,26),"Bank",INDEX(REPORT_FR2052a!$1:$1048576,0,7),"",INDEX(REPORT_FR2052a!$1:$1048576,0,5),"Bank of China - Combined US Branches and Agencies")</f>
        <v>14240.84</v>
      </c>
      <c r="BK81" s="143">
        <f t="shared" si="19"/>
        <v>0</v>
      </c>
    </row>
    <row r="82" spans="1:63">
      <c r="A82" s="136">
        <v>51</v>
      </c>
      <c r="B82" s="137" t="str">
        <f>IFERROR(INDEX('LCR TYPE EXPLAIN'!B:B,MATCH(A82,'LCR TYPE EXPLAIN'!A:A,0)),"")</f>
        <v>Financial Non-Operational (§.32(h)(2))</v>
      </c>
      <c r="F82" s="137" t="s">
        <v>331</v>
      </c>
      <c r="G82" s="138" t="s">
        <v>401</v>
      </c>
      <c r="H82" s="137" t="str">
        <f t="shared" si="199"/>
        <v>,INDEX(REPORT_FR2052a!$1:$1048576,0,44),"O.W.10"</v>
      </c>
      <c r="I82" s="137" t="s">
        <v>331</v>
      </c>
      <c r="J82" s="137">
        <v>1</v>
      </c>
      <c r="K82" s="137" t="str">
        <f t="shared" ref="K82" si="259">IF(I82="","",",INDEX(REPORT_FR2052a!$1:$1048576,0,"&amp;K$2&amp;"),"&amp;IF(ISTEXT(J82),CHAR(34),"")&amp;IF(I82="is","",""&amp;"&lt;&gt;")&amp;J82&amp;IF(ISTEXT(J82),CHAR(34),""))</f>
        <v>,INDEX(REPORT_FR2052a!$1:$1048576,0,43),1</v>
      </c>
      <c r="N82" s="137" t="str">
        <f t="shared" ref="N82" si="260">IF(L82="","",",INDEX(REPORT_FR2052a!$1:$1048576,0,"&amp;N$2&amp;"),"&amp;IF(ISTEXT(M82),CHAR(34),"")&amp;IF(L82="is","",""&amp;"&lt;&gt;")&amp;M82&amp;IF(ISTEXT(M82),CHAR(34),""))</f>
        <v/>
      </c>
      <c r="Q82" s="137" t="str">
        <f t="shared" ref="Q82" si="261">IF(O82="","",",INDEX(REPORT_FR2052a!$1:$1048576,0,"&amp;Q$2&amp;"),"&amp;IF(OR(ISTEXT(P82),ISBLANK(P82)),CHAR(34),"")&amp;IF(O82="is","",""&amp;"&lt;&gt;")&amp;P82&amp;IF(OR(ISTEXT(P82),ISBLANK(P82)),CHAR(34),""))</f>
        <v/>
      </c>
      <c r="T82" s="137" t="str">
        <f t="shared" ref="T82" si="262">IF(R82="","",",INDEX(REPORT_FR2052a!$1:$1048576,0,"&amp;T$2&amp;"),"&amp;IF(ISTEXT(S82),CHAR(34),"")&amp;IF(R82="is","",""&amp;"&lt;&gt;")&amp;S82&amp;IF(ISTEXT(S82),CHAR(34),""))</f>
        <v/>
      </c>
      <c r="V82" s="139"/>
      <c r="W82" s="137" t="str">
        <f t="shared" ref="W82" si="263">IF(U82="","",",INDEX(REPORT_FR2052a!$1:$1048576,0,"&amp;W$2&amp;"),"&amp;IF(ISTEXT(V82),CHAR(34),"")&amp;IF(U82="is","",""&amp;"&lt;&gt;")&amp;V82&amp;IF(ISTEXT(V82),CHAR(34),""))</f>
        <v/>
      </c>
      <c r="Y82" s="139"/>
      <c r="Z82" s="137" t="str">
        <f t="shared" ref="Z82" si="264">IF(X82="","",",INDEX(REPORT_FR2052a!$1:$1048576,0,"&amp;Z$2&amp;"),"&amp;IF(ISTEXT(Y82),CHAR(34),"")&amp;IF(X82="is","",""&amp;"&lt;&gt;")&amp;Y82&amp;IF(ISTEXT(Y82),CHAR(34),""))</f>
        <v/>
      </c>
      <c r="AB82" s="139"/>
      <c r="AC82" s="137" t="str">
        <f t="shared" ref="AC82" si="265">IF(AA82="","",",INDEX(REPORT_FR2052a!$1:$1048576,0,"&amp;AC$2&amp;"),"&amp;IF(ISTEXT(AB82),CHAR(34),"")&amp;IF(AA82="is","",""&amp;"&lt;&gt;")&amp;AB82&amp;IF(ISTEXT(AB82),CHAR(34),""))</f>
        <v/>
      </c>
      <c r="AD82" s="137" t="s">
        <v>331</v>
      </c>
      <c r="AE82" s="140" t="s">
        <v>116</v>
      </c>
      <c r="AF82" s="137" t="str">
        <f t="shared" ref="AF82" si="266">IF(AD82="","",",INDEX(REPORT_FR2052a!$1:$1048576,0,"&amp;AF$2&amp;"),"&amp;IF(ISTEXT(AE82),CHAR(34),"")&amp;IF(AD82="is","",""&amp;"&lt;&gt;")&amp;AE82&amp;IF(ISTEXT(AE82),CHAR(34),""))</f>
        <v>,INDEX(REPORT_FR2052a!$1:$1048576,0,26),"Supervised Non-Bank Financial Entity"</v>
      </c>
      <c r="AH82" s="139"/>
      <c r="AI82" s="137" t="str">
        <f t="shared" ref="AI82" si="267">IF(AG82="","",",INDEX(REPORT_FR2052a!$1:$1048576,0,"&amp;AI$2&amp;"),"&amp;IF(ISTEXT(AH82),CHAR(34),"")&amp;IF(AG82="is","",""&amp;"&lt;&gt;")&amp;AH82&amp;IF(ISTEXT(AH82),CHAR(34),""))</f>
        <v/>
      </c>
      <c r="AK82" s="139"/>
      <c r="AL82" s="137" t="str">
        <f t="shared" ref="AL82" si="268">IF(AJ82="","",",INDEX(REPORT_FR2052a!$1:$1048576,0,"&amp;AL$2&amp;"),"&amp;IF(ISTEXT(AK82),CHAR(34),"")&amp;IF(AJ82="is","",""&amp;"&lt;&gt;")&amp;AK82&amp;IF(ISTEXT(AK82),CHAR(34),""))</f>
        <v/>
      </c>
      <c r="AO82" s="137" t="str">
        <f t="shared" ref="AO82" si="269">IF(AM82="","",",INDEX(REPORT_FR2052a!$1:$1048576,0,"&amp;AO$2&amp;"),"&amp;IF(ISTEXT(AN82),CHAR(34),"")&amp;IF(AM82="is","",""&amp;"&lt;&gt;")&amp;AN82&amp;IF(ISTEXT(AN82),CHAR(34),""))</f>
        <v/>
      </c>
      <c r="AR82" s="137" t="str">
        <f t="shared" si="214"/>
        <v/>
      </c>
      <c r="AU82" s="137" t="str">
        <f t="shared" si="215"/>
        <v/>
      </c>
      <c r="AV82" s="137" t="s">
        <v>331</v>
      </c>
      <c r="AW82" s="139" t="s">
        <v>762</v>
      </c>
      <c r="AX82" s="137" t="str">
        <f t="shared" si="258"/>
        <v>,INDEX(REPORT_FR2052a!$1:$1048576,0,7),""</v>
      </c>
      <c r="BA82" s="137" t="s">
        <v>13</v>
      </c>
      <c r="BB82" s="137" t="str">
        <f>"=SUMIFS(INDEX(REPORT_FR2052a!$1:$1048576,0,"&amp;(MATCH(BA82,REPORT_FR2052a!$1:$1,0))&amp;")"</f>
        <v>=SUMIFS(INDEX(REPORT_FR2052a!$1:$1048576,0,14)</v>
      </c>
      <c r="BC82" s="137" t="str">
        <f t="shared" si="198"/>
        <v>=SUMIFS(INDEX(REPORT_FR2052a!$1:$1048576,0,14),INDEX(REPORT_FR2052a!$1:$1048576,0,44),"O.W.10",INDEX(REPORT_FR2052a!$1:$1048576,0,43),1,INDEX(REPORT_FR2052a!$1:$1048576,0,26),"Supervised Non-Bank Financial Entity",INDEX(REPORT_FR2052a!$1:$1048576,0,7),"")</v>
      </c>
      <c r="BD82" s="141">
        <f>SUMIFS(INDEX(REPORT_FR2052a!$1:$1048576,0,14),INDEX(REPORT_FR2052a!$1:$1048576,0,44),"O.W.10",INDEX(REPORT_FR2052a!$1:$1048576,0,43),1,INDEX(REPORT_FR2052a!$1:$1048576,0,26),"Supervised Non-Bank Financial Entity",INDEX(REPORT_FR2052a!$1:$1048576,0,7),"")</f>
        <v>0</v>
      </c>
      <c r="BE82" s="137" t="s">
        <v>331</v>
      </c>
      <c r="BF82" s="139" t="s">
        <v>47</v>
      </c>
      <c r="BG82" s="137" t="str">
        <f t="shared" ref="BG82" si="270">IF(BE82="","",",INDEX(REPORT_FR2052a!$1:$1048576,0,"&amp;BG$2&amp;"),"&amp;IF(ISTEXT(BF82),CHAR(34),"")&amp;IF(BE82="is","",""&amp;"&lt;&gt;")&amp;BF82&amp;IF(ISTEXT(BF82),CHAR(34),""))</f>
        <v>,INDEX(REPORT_FR2052a!$1:$1048576,0,5),"Bank of China - Combined US Branches and Agencies"</v>
      </c>
      <c r="BI82" s="137" t="str">
        <f t="shared" ref="BI82" si="271">LEFT(BC82,LEN(BC82)-1)&amp;BG82&amp;")"</f>
        <v>=SUMIFS(INDEX(REPORT_FR2052a!$1:$1048576,0,14),INDEX(REPORT_FR2052a!$1:$1048576,0,44),"O.W.10",INDEX(REPORT_FR2052a!$1:$1048576,0,43),1,INDEX(REPORT_FR2052a!$1:$1048576,0,26),"Supervised Non-Bank Financial Entity",INDEX(REPORT_FR2052a!$1:$1048576,0,7),"",INDEX(REPORT_FR2052a!$1:$1048576,0,5),"Bank of China - Combined US Branches and Agencies")</v>
      </c>
      <c r="BJ82" s="142">
        <f>SUMIFS(INDEX(REPORT_FR2052a!$1:$1048576,0,14),INDEX(REPORT_FR2052a!$1:$1048576,0,44),"O.W.10",INDEX(REPORT_FR2052a!$1:$1048576,0,43),1,INDEX(REPORT_FR2052a!$1:$1048576,0,26),"Supervised Non-Bank Financial Entity",INDEX(REPORT_FR2052a!$1:$1048576,0,7),"",INDEX(REPORT_FR2052a!$1:$1048576,0,5),"Bank of China - Combined US Branches and Agencies")</f>
        <v>0</v>
      </c>
      <c r="BK82" s="143">
        <f t="shared" ref="BK82" si="272">BD82-BJ82</f>
        <v>0</v>
      </c>
    </row>
    <row r="83" spans="1:63">
      <c r="A83" s="136">
        <v>52</v>
      </c>
      <c r="B83" s="137" t="str">
        <f>IFERROR(INDEX('LCR TYPE EXPLAIN'!B:B,MATCH(A83,'LCR TYPE EXPLAIN'!A:A,0)),"")</f>
        <v>Issued Debt Securities Maturing within 30 days (§.32(h)(2))</v>
      </c>
      <c r="F83" s="137" t="s">
        <v>331</v>
      </c>
      <c r="G83" s="138" t="s">
        <v>399</v>
      </c>
      <c r="H83" s="137" t="str">
        <f t="shared" si="199"/>
        <v>,INDEX(REPORT_FR2052a!$1:$1048576,0,44),"O.W.11"</v>
      </c>
      <c r="I83" s="137" t="s">
        <v>331</v>
      </c>
      <c r="J83" s="137">
        <v>1</v>
      </c>
      <c r="K83" s="137" t="str">
        <f t="shared" si="174"/>
        <v>,INDEX(REPORT_FR2052a!$1:$1048576,0,43),1</v>
      </c>
      <c r="N83" s="137" t="str">
        <f t="shared" si="175"/>
        <v/>
      </c>
      <c r="Q83" s="137" t="str">
        <f t="shared" si="3"/>
        <v/>
      </c>
      <c r="T83" s="137" t="str">
        <f t="shared" si="176"/>
        <v/>
      </c>
      <c r="V83" s="139"/>
      <c r="W83" s="137" t="str">
        <f t="shared" si="177"/>
        <v/>
      </c>
      <c r="Y83" s="139"/>
      <c r="Z83" s="137" t="str">
        <f t="shared" si="178"/>
        <v/>
      </c>
      <c r="AB83" s="139"/>
      <c r="AC83" s="137" t="str">
        <f t="shared" si="179"/>
        <v/>
      </c>
      <c r="AF83" s="137" t="str">
        <f t="shared" si="180"/>
        <v/>
      </c>
      <c r="AH83" s="139"/>
      <c r="AI83" s="137" t="str">
        <f t="shared" si="181"/>
        <v/>
      </c>
      <c r="AK83" s="139"/>
      <c r="AL83" s="137" t="str">
        <f t="shared" si="182"/>
        <v/>
      </c>
      <c r="AO83" s="137" t="str">
        <f t="shared" si="11"/>
        <v/>
      </c>
      <c r="AR83" s="137" t="str">
        <f t="shared" si="214"/>
        <v/>
      </c>
      <c r="AU83" s="137" t="str">
        <f t="shared" si="215"/>
        <v/>
      </c>
      <c r="AV83" s="137" t="s">
        <v>331</v>
      </c>
      <c r="AW83" s="139" t="s">
        <v>762</v>
      </c>
      <c r="AX83" s="137" t="str">
        <f t="shared" ref="AX83:AX84" si="273">IF(AV83="","",",INDEX(REPORT_FR2052a!$1:$1048576,0,"&amp;AX$2&amp;"),"&amp;IF(ISTEXT(AW83),CHAR(34),"")&amp;IF(AV83="is","",""&amp;"&lt;&gt;")&amp;AW83&amp;IF(ISTEXT(AW83),CHAR(34),""))</f>
        <v>,INDEX(REPORT_FR2052a!$1:$1048576,0,7),""</v>
      </c>
      <c r="BA83" s="137" t="s">
        <v>13</v>
      </c>
      <c r="BB83" s="137" t="str">
        <f>"=SUMIFS(INDEX(REPORT_FR2052a!$1:$1048576,0,"&amp;(MATCH(BA83,REPORT_FR2052a!$1:$1,0))&amp;")"</f>
        <v>=SUMIFS(INDEX(REPORT_FR2052a!$1:$1048576,0,14)</v>
      </c>
      <c r="BC83" s="137" t="str">
        <f t="shared" si="198"/>
        <v>=SUMIFS(INDEX(REPORT_FR2052a!$1:$1048576,0,14),INDEX(REPORT_FR2052a!$1:$1048576,0,44),"O.W.11",INDEX(REPORT_FR2052a!$1:$1048576,0,43),1,INDEX(REPORT_FR2052a!$1:$1048576,0,7),"")</v>
      </c>
      <c r="BD83" s="141">
        <f>SUMIFS(INDEX(REPORT_FR2052a!$1:$1048576,0,14),INDEX(REPORT_FR2052a!$1:$1048576,0,44),"O.W.11",INDEX(REPORT_FR2052a!$1:$1048576,0,43),1,INDEX(REPORT_FR2052a!$1:$1048576,0,7),"")</f>
        <v>0</v>
      </c>
      <c r="BE83" s="137" t="s">
        <v>331</v>
      </c>
      <c r="BF83" s="139" t="s">
        <v>47</v>
      </c>
      <c r="BG83" s="137" t="str">
        <f t="shared" si="183"/>
        <v>,INDEX(REPORT_FR2052a!$1:$1048576,0,5),"Bank of China - Combined US Branches and Agencies"</v>
      </c>
      <c r="BI83" s="137" t="str">
        <f t="shared" si="18"/>
        <v>=SUMIFS(INDEX(REPORT_FR2052a!$1:$1048576,0,14),INDEX(REPORT_FR2052a!$1:$1048576,0,44),"O.W.11",INDEX(REPORT_FR2052a!$1:$1048576,0,43),1,INDEX(REPORT_FR2052a!$1:$1048576,0,7),"",INDEX(REPORT_FR2052a!$1:$1048576,0,5),"Bank of China - Combined US Branches and Agencies")</v>
      </c>
      <c r="BJ83" s="142">
        <f>SUMIFS(INDEX(REPORT_FR2052a!$1:$1048576,0,14),INDEX(REPORT_FR2052a!$1:$1048576,0,44),"O.W.11",INDEX(REPORT_FR2052a!$1:$1048576,0,43),1,INDEX(REPORT_FR2052a!$1:$1048576,0,7),"",INDEX(REPORT_FR2052a!$1:$1048576,0,5),"Bank of China - Combined US Branches and Agencies")</f>
        <v>0</v>
      </c>
      <c r="BK83" s="143">
        <f t="shared" si="19"/>
        <v>0</v>
      </c>
    </row>
    <row r="84" spans="1:63">
      <c r="A84" s="136">
        <v>52</v>
      </c>
      <c r="B84" s="137" t="str">
        <f>IFERROR(INDEX('LCR TYPE EXPLAIN'!B:B,MATCH(A84,'LCR TYPE EXPLAIN'!A:A,0)),"")</f>
        <v>Issued Debt Securities Maturing within 30 days (§.32(h)(2))</v>
      </c>
      <c r="F84" s="137" t="s">
        <v>331</v>
      </c>
      <c r="G84" s="138" t="s">
        <v>641</v>
      </c>
      <c r="H84" s="137" t="str">
        <f t="shared" si="199"/>
        <v>,INDEX(REPORT_FR2052a!$1:$1048576,0,44),"O.W.16"</v>
      </c>
      <c r="I84" s="137" t="s">
        <v>331</v>
      </c>
      <c r="J84" s="137">
        <v>1</v>
      </c>
      <c r="K84" s="137" t="str">
        <f t="shared" ref="K84" si="274">IF(I84="","",",INDEX(REPORT_FR2052a!$1:$1048576,0,"&amp;K$2&amp;"),"&amp;IF(ISTEXT(J84),CHAR(34),"")&amp;IF(I84="is","",""&amp;"&lt;&gt;")&amp;J84&amp;IF(ISTEXT(J84),CHAR(34),""))</f>
        <v>,INDEX(REPORT_FR2052a!$1:$1048576,0,43),1</v>
      </c>
      <c r="N84" s="137" t="str">
        <f t="shared" ref="N84" si="275">IF(L84="","",",INDEX(REPORT_FR2052a!$1:$1048576,0,"&amp;N$2&amp;"),"&amp;IF(ISTEXT(M84),CHAR(34),"")&amp;IF(L84="is","",""&amp;"&lt;&gt;")&amp;M84&amp;IF(ISTEXT(M84),CHAR(34),""))</f>
        <v/>
      </c>
      <c r="Q84" s="137" t="str">
        <f t="shared" ref="Q84" si="276">IF(O84="","",",INDEX(REPORT_FR2052a!$1:$1048576,0,"&amp;Q$2&amp;"),"&amp;IF(OR(ISTEXT(P84),ISBLANK(P84)),CHAR(34),"")&amp;IF(O84="is","",""&amp;"&lt;&gt;")&amp;P84&amp;IF(OR(ISTEXT(P84),ISBLANK(P84)),CHAR(34),""))</f>
        <v/>
      </c>
      <c r="T84" s="137" t="str">
        <f t="shared" ref="T84" si="277">IF(R84="","",",INDEX(REPORT_FR2052a!$1:$1048576,0,"&amp;T$2&amp;"),"&amp;IF(ISTEXT(S84),CHAR(34),"")&amp;IF(R84="is","",""&amp;"&lt;&gt;")&amp;S84&amp;IF(ISTEXT(S84),CHAR(34),""))</f>
        <v/>
      </c>
      <c r="V84" s="139"/>
      <c r="W84" s="137" t="str">
        <f t="shared" ref="W84" si="278">IF(U84="","",",INDEX(REPORT_FR2052a!$1:$1048576,0,"&amp;W$2&amp;"),"&amp;IF(ISTEXT(V84),CHAR(34),"")&amp;IF(U84="is","",""&amp;"&lt;&gt;")&amp;V84&amp;IF(ISTEXT(V84),CHAR(34),""))</f>
        <v/>
      </c>
      <c r="Y84" s="139"/>
      <c r="Z84" s="137" t="str">
        <f t="shared" ref="Z84" si="279">IF(X84="","",",INDEX(REPORT_FR2052a!$1:$1048576,0,"&amp;Z$2&amp;"),"&amp;IF(ISTEXT(Y84),CHAR(34),"")&amp;IF(X84="is","",""&amp;"&lt;&gt;")&amp;Y84&amp;IF(ISTEXT(Y84),CHAR(34),""))</f>
        <v/>
      </c>
      <c r="AB84" s="139"/>
      <c r="AC84" s="137" t="str">
        <f t="shared" ref="AC84" si="280">IF(AA84="","",",INDEX(REPORT_FR2052a!$1:$1048576,0,"&amp;AC$2&amp;"),"&amp;IF(ISTEXT(AB84),CHAR(34),"")&amp;IF(AA84="is","",""&amp;"&lt;&gt;")&amp;AB84&amp;IF(ISTEXT(AB84),CHAR(34),""))</f>
        <v/>
      </c>
      <c r="AF84" s="137" t="str">
        <f t="shared" ref="AF84" si="281">IF(AD84="","",",INDEX(REPORT_FR2052a!$1:$1048576,0,"&amp;AF$2&amp;"),"&amp;IF(ISTEXT(AE84),CHAR(34),"")&amp;IF(AD84="is","",""&amp;"&lt;&gt;")&amp;AE84&amp;IF(ISTEXT(AE84),CHAR(34),""))</f>
        <v/>
      </c>
      <c r="AH84" s="139"/>
      <c r="AI84" s="137" t="str">
        <f t="shared" ref="AI84" si="282">IF(AG84="","",",INDEX(REPORT_FR2052a!$1:$1048576,0,"&amp;AI$2&amp;"),"&amp;IF(ISTEXT(AH84),CHAR(34),"")&amp;IF(AG84="is","",""&amp;"&lt;&gt;")&amp;AH84&amp;IF(ISTEXT(AH84),CHAR(34),""))</f>
        <v/>
      </c>
      <c r="AK84" s="139"/>
      <c r="AL84" s="137" t="str">
        <f t="shared" ref="AL84" si="283">IF(AJ84="","",",INDEX(REPORT_FR2052a!$1:$1048576,0,"&amp;AL$2&amp;"),"&amp;IF(ISTEXT(AK84),CHAR(34),"")&amp;IF(AJ84="is","",""&amp;"&lt;&gt;")&amp;AK84&amp;IF(ISTEXT(AK84),CHAR(34),""))</f>
        <v/>
      </c>
      <c r="AO84" s="137" t="str">
        <f t="shared" ref="AO84" si="284">IF(AM84="","",",INDEX(REPORT_FR2052a!$1:$1048576,0,"&amp;AO$2&amp;"),"&amp;IF(ISTEXT(AN84),CHAR(34),"")&amp;IF(AM84="is","",""&amp;"&lt;&gt;")&amp;AN84&amp;IF(ISTEXT(AN84),CHAR(34),""))</f>
        <v/>
      </c>
      <c r="AR84" s="137" t="str">
        <f t="shared" ref="AR84" si="285">IF(AP84="","",",INDEX(REPORT_FR2052a!$1:$1048576,0,"&amp;AR$2&amp;"),"&amp;IF(ISTEXT(AQ84),CHAR(34),"")&amp;IF(AP84="is","",""&amp;"&lt;&gt;")&amp;AQ84&amp;IF(ISTEXT(AQ84),CHAR(34),""))</f>
        <v/>
      </c>
      <c r="AU84" s="137" t="str">
        <f t="shared" ref="AU84" si="286">IF(AS84="","",",INDEX(REPORT_FR2052a!$1:$1048576,0,"&amp;AU$2&amp;"),"&amp;IF(ISTEXT(AT84),CHAR(34),"")&amp;IF(AS84="is","",""&amp;"&lt;&gt;")&amp;AT84&amp;IF(ISTEXT(AT84),CHAR(34),""))</f>
        <v/>
      </c>
      <c r="AV84" s="137" t="s">
        <v>331</v>
      </c>
      <c r="AW84" s="139" t="s">
        <v>762</v>
      </c>
      <c r="AX84" s="137" t="str">
        <f t="shared" si="273"/>
        <v>,INDEX(REPORT_FR2052a!$1:$1048576,0,7),""</v>
      </c>
      <c r="BA84" s="137" t="s">
        <v>13</v>
      </c>
      <c r="BB84" s="137" t="str">
        <f>"=SUMIFS(INDEX(REPORT_FR2052a!$1:$1048576,0,"&amp;(MATCH(BA84,REPORT_FR2052a!$1:$1,0))&amp;")"</f>
        <v>=SUMIFS(INDEX(REPORT_FR2052a!$1:$1048576,0,14)</v>
      </c>
      <c r="BC84" s="137" t="str">
        <f t="shared" si="198"/>
        <v>=SUMIFS(INDEX(REPORT_FR2052a!$1:$1048576,0,14),INDEX(REPORT_FR2052a!$1:$1048576,0,44),"O.W.16",INDEX(REPORT_FR2052a!$1:$1048576,0,43),1,INDEX(REPORT_FR2052a!$1:$1048576,0,7),"")</v>
      </c>
      <c r="BD84" s="141">
        <f>SUMIFS(INDEX(REPORT_FR2052a!$1:$1048576,0,14),INDEX(REPORT_FR2052a!$1:$1048576,0,44),"O.W.16",INDEX(REPORT_FR2052a!$1:$1048576,0,43),1,INDEX(REPORT_FR2052a!$1:$1048576,0,7),"")</f>
        <v>0</v>
      </c>
      <c r="BE84" s="137" t="s">
        <v>331</v>
      </c>
      <c r="BF84" s="139" t="s">
        <v>47</v>
      </c>
      <c r="BG84" s="137" t="str">
        <f t="shared" ref="BG84" si="287">IF(BE84="","",",INDEX(REPORT_FR2052a!$1:$1048576,0,"&amp;BG$2&amp;"),"&amp;IF(ISTEXT(BF84),CHAR(34),"")&amp;IF(BE84="is","",""&amp;"&lt;&gt;")&amp;BF84&amp;IF(ISTEXT(BF84),CHAR(34),""))</f>
        <v>,INDEX(REPORT_FR2052a!$1:$1048576,0,5),"Bank of China - Combined US Branches and Agencies"</v>
      </c>
      <c r="BI84" s="137" t="str">
        <f t="shared" ref="BI84" si="288">LEFT(BC84,LEN(BC84)-1)&amp;BG84&amp;")"</f>
        <v>=SUMIFS(INDEX(REPORT_FR2052a!$1:$1048576,0,14),INDEX(REPORT_FR2052a!$1:$1048576,0,44),"O.W.16",INDEX(REPORT_FR2052a!$1:$1048576,0,43),1,INDEX(REPORT_FR2052a!$1:$1048576,0,7),"",INDEX(REPORT_FR2052a!$1:$1048576,0,5),"Bank of China - Combined US Branches and Agencies")</v>
      </c>
      <c r="BJ84" s="142">
        <f>SUMIFS(INDEX(REPORT_FR2052a!$1:$1048576,0,14),INDEX(REPORT_FR2052a!$1:$1048576,0,44),"O.W.16",INDEX(REPORT_FR2052a!$1:$1048576,0,43),1,INDEX(REPORT_FR2052a!$1:$1048576,0,7),"",INDEX(REPORT_FR2052a!$1:$1048576,0,5),"Bank of China - Combined US Branches and Agencies")</f>
        <v>0</v>
      </c>
      <c r="BK84" s="143">
        <f t="shared" ref="BK84" si="289">BD84-BJ84</f>
        <v>0</v>
      </c>
    </row>
    <row r="85" spans="1:63">
      <c r="A85" s="136">
        <v>53</v>
      </c>
      <c r="B85" s="137" t="str">
        <f>IFERROR(INDEX('LCR TYPE EXPLAIN'!B:B,MATCH(A85,'LCR TYPE EXPLAIN'!A:A,0)),"")</f>
        <v>Insured Operational Deposits (§.32(h)(3))</v>
      </c>
      <c r="F85" s="137" t="s">
        <v>331</v>
      </c>
      <c r="G85" s="138" t="s">
        <v>393</v>
      </c>
      <c r="H85" s="137" t="str">
        <f t="shared" si="199"/>
        <v>,INDEX(REPORT_FR2052a!$1:$1048576,0,44),"O.D.4"</v>
      </c>
      <c r="I85" s="137" t="s">
        <v>331</v>
      </c>
      <c r="J85" s="137">
        <v>1</v>
      </c>
      <c r="K85" s="137" t="str">
        <f t="shared" si="174"/>
        <v>,INDEX(REPORT_FR2052a!$1:$1048576,0,43),1</v>
      </c>
      <c r="N85" s="137" t="str">
        <f t="shared" si="175"/>
        <v/>
      </c>
      <c r="Q85" s="137" t="str">
        <f t="shared" si="3"/>
        <v/>
      </c>
      <c r="T85" s="137" t="str">
        <f t="shared" si="176"/>
        <v/>
      </c>
      <c r="V85" s="139"/>
      <c r="W85" s="137" t="str">
        <f t="shared" si="177"/>
        <v/>
      </c>
      <c r="Y85" s="139"/>
      <c r="Z85" s="137" t="str">
        <f t="shared" si="178"/>
        <v/>
      </c>
      <c r="AB85" s="139"/>
      <c r="AC85" s="137" t="str">
        <f t="shared" si="179"/>
        <v/>
      </c>
      <c r="AD85" s="137" t="s">
        <v>331</v>
      </c>
      <c r="AE85" s="140" t="s">
        <v>84</v>
      </c>
      <c r="AF85" s="137" t="str">
        <f t="shared" si="180"/>
        <v>,INDEX(REPORT_FR2052a!$1:$1048576,0,26),"Non-Financial Corporate"</v>
      </c>
      <c r="AH85" s="139"/>
      <c r="AI85" s="137" t="str">
        <f t="shared" si="181"/>
        <v/>
      </c>
      <c r="AJ85" s="137" t="s">
        <v>331</v>
      </c>
      <c r="AK85" s="139" t="s">
        <v>154</v>
      </c>
      <c r="AL85" s="137" t="str">
        <f t="shared" si="182"/>
        <v>,INDEX(REPORT_FR2052a!$1:$1048576,0,27),"FDIC"</v>
      </c>
      <c r="AO85" s="137" t="str">
        <f t="shared" si="11"/>
        <v/>
      </c>
      <c r="AR85" s="137" t="str">
        <f t="shared" si="214"/>
        <v/>
      </c>
      <c r="AU85" s="137" t="str">
        <f t="shared" si="215"/>
        <v/>
      </c>
      <c r="BA85" s="137" t="s">
        <v>13</v>
      </c>
      <c r="BB85" s="137" t="str">
        <f>"=SUMIFS(INDEX(REPORT_FR2052a!$1:$1048576,0,"&amp;(MATCH(BA85,REPORT_FR2052a!$1:$1,0))&amp;")"</f>
        <v>=SUMIFS(INDEX(REPORT_FR2052a!$1:$1048576,0,14)</v>
      </c>
      <c r="BC85" s="137" t="str">
        <f t="shared" si="198"/>
        <v>=SUMIFS(INDEX(REPORT_FR2052a!$1:$1048576,0,14),INDEX(REPORT_FR2052a!$1:$1048576,0,44),"O.D.4",INDEX(REPORT_FR2052a!$1:$1048576,0,43),1,INDEX(REPORT_FR2052a!$1:$1048576,0,26),"Non-Financial Corporate",INDEX(REPORT_FR2052a!$1:$1048576,0,27),"FDIC")</v>
      </c>
      <c r="BD85" s="141">
        <f>SUMIFS(INDEX(REPORT_FR2052a!$1:$1048576,0,14),INDEX(REPORT_FR2052a!$1:$1048576,0,44),"O.D.4",INDEX(REPORT_FR2052a!$1:$1048576,0,43),1,INDEX(REPORT_FR2052a!$1:$1048576,0,26),"Non-Financial Corporate",INDEX(REPORT_FR2052a!$1:$1048576,0,27),"FDIC")</f>
        <v>24.31</v>
      </c>
      <c r="BE85" s="137" t="s">
        <v>331</v>
      </c>
      <c r="BF85" s="139" t="s">
        <v>47</v>
      </c>
      <c r="BG85" s="137" t="str">
        <f t="shared" si="183"/>
        <v>,INDEX(REPORT_FR2052a!$1:$1048576,0,5),"Bank of China - Combined US Branches and Agencies"</v>
      </c>
      <c r="BI85" s="137" t="str">
        <f t="shared" si="18"/>
        <v>=SUMIFS(INDEX(REPORT_FR2052a!$1:$1048576,0,14),INDEX(REPORT_FR2052a!$1:$1048576,0,44),"O.D.4",INDEX(REPORT_FR2052a!$1:$1048576,0,43),1,INDEX(REPORT_FR2052a!$1:$1048576,0,26),"Non-Financial Corporate",INDEX(REPORT_FR2052a!$1:$1048576,0,27),"FDIC",INDEX(REPORT_FR2052a!$1:$1048576,0,5),"Bank of China - Combined US Branches and Agencies")</v>
      </c>
      <c r="BJ85" s="142">
        <f>SUMIFS(INDEX(REPORT_FR2052a!$1:$1048576,0,14),INDEX(REPORT_FR2052a!$1:$1048576,0,44),"O.D.4",INDEX(REPORT_FR2052a!$1:$1048576,0,43),1,INDEX(REPORT_FR2052a!$1:$1048576,0,26),"Non-Financial Corporate",INDEX(REPORT_FR2052a!$1:$1048576,0,27),"FDIC",INDEX(REPORT_FR2052a!$1:$1048576,0,5),"Bank of China - Combined US Branches and Agencies")</f>
        <v>24.31</v>
      </c>
      <c r="BK85" s="143">
        <f t="shared" si="19"/>
        <v>0</v>
      </c>
    </row>
    <row r="86" spans="1:63">
      <c r="A86" s="136">
        <v>53</v>
      </c>
      <c r="B86" s="137" t="str">
        <f>IFERROR(INDEX('LCR TYPE EXPLAIN'!B:B,MATCH(A86,'LCR TYPE EXPLAIN'!A:A,0)),"")</f>
        <v>Insured Operational Deposits (§.32(h)(3))</v>
      </c>
      <c r="F86" s="137" t="s">
        <v>331</v>
      </c>
      <c r="G86" s="138" t="s">
        <v>393</v>
      </c>
      <c r="H86" s="137" t="str">
        <f t="shared" si="199"/>
        <v>,INDEX(REPORT_FR2052a!$1:$1048576,0,44),"O.D.4"</v>
      </c>
      <c r="I86" s="137" t="s">
        <v>331</v>
      </c>
      <c r="J86" s="137">
        <v>1</v>
      </c>
      <c r="K86" s="137" t="str">
        <f t="shared" si="174"/>
        <v>,INDEX(REPORT_FR2052a!$1:$1048576,0,43),1</v>
      </c>
      <c r="N86" s="137" t="str">
        <f t="shared" si="175"/>
        <v/>
      </c>
      <c r="Q86" s="137" t="str">
        <f t="shared" si="3"/>
        <v/>
      </c>
      <c r="T86" s="137" t="str">
        <f t="shared" si="176"/>
        <v/>
      </c>
      <c r="V86" s="139"/>
      <c r="W86" s="137" t="str">
        <f t="shared" si="177"/>
        <v/>
      </c>
      <c r="Y86" s="139"/>
      <c r="Z86" s="137" t="str">
        <f t="shared" si="178"/>
        <v/>
      </c>
      <c r="AB86" s="139"/>
      <c r="AC86" s="137" t="str">
        <f t="shared" si="179"/>
        <v/>
      </c>
      <c r="AD86" s="137" t="s">
        <v>331</v>
      </c>
      <c r="AE86" s="140" t="s">
        <v>162</v>
      </c>
      <c r="AF86" s="137" t="str">
        <f t="shared" si="180"/>
        <v>,INDEX(REPORT_FR2052a!$1:$1048576,0,26),"Sovereign"</v>
      </c>
      <c r="AH86" s="139"/>
      <c r="AI86" s="137" t="str">
        <f t="shared" si="181"/>
        <v/>
      </c>
      <c r="AJ86" s="137" t="s">
        <v>331</v>
      </c>
      <c r="AK86" s="139" t="s">
        <v>154</v>
      </c>
      <c r="AL86" s="137" t="str">
        <f t="shared" si="182"/>
        <v>,INDEX(REPORT_FR2052a!$1:$1048576,0,27),"FDIC"</v>
      </c>
      <c r="AO86" s="137" t="str">
        <f t="shared" si="11"/>
        <v/>
      </c>
      <c r="AR86" s="137" t="str">
        <f t="shared" si="214"/>
        <v/>
      </c>
      <c r="AU86" s="137" t="str">
        <f t="shared" si="215"/>
        <v/>
      </c>
      <c r="BA86" s="137" t="s">
        <v>13</v>
      </c>
      <c r="BB86" s="137" t="str">
        <f>"=SUMIFS(INDEX(REPORT_FR2052a!$1:$1048576,0,"&amp;(MATCH(BA86,REPORT_FR2052a!$1:$1,0))&amp;")"</f>
        <v>=SUMIFS(INDEX(REPORT_FR2052a!$1:$1048576,0,14)</v>
      </c>
      <c r="BC86" s="137" t="str">
        <f t="shared" si="198"/>
        <v>=SUMIFS(INDEX(REPORT_FR2052a!$1:$1048576,0,14),INDEX(REPORT_FR2052a!$1:$1048576,0,44),"O.D.4",INDEX(REPORT_FR2052a!$1:$1048576,0,43),1,INDEX(REPORT_FR2052a!$1:$1048576,0,26),"Sovereign",INDEX(REPORT_FR2052a!$1:$1048576,0,27),"FDIC")</v>
      </c>
      <c r="BD86" s="141">
        <f>SUMIFS(INDEX(REPORT_FR2052a!$1:$1048576,0,14),INDEX(REPORT_FR2052a!$1:$1048576,0,44),"O.D.4",INDEX(REPORT_FR2052a!$1:$1048576,0,43),1,INDEX(REPORT_FR2052a!$1:$1048576,0,26),"Sovereign",INDEX(REPORT_FR2052a!$1:$1048576,0,27),"FDIC")</f>
        <v>2.2799999999999998</v>
      </c>
      <c r="BE86" s="137" t="s">
        <v>331</v>
      </c>
      <c r="BF86" s="139" t="s">
        <v>47</v>
      </c>
      <c r="BG86" s="137" t="str">
        <f t="shared" si="183"/>
        <v>,INDEX(REPORT_FR2052a!$1:$1048576,0,5),"Bank of China - Combined US Branches and Agencies"</v>
      </c>
      <c r="BI86" s="137" t="str">
        <f t="shared" si="18"/>
        <v>=SUMIFS(INDEX(REPORT_FR2052a!$1:$1048576,0,14),INDEX(REPORT_FR2052a!$1:$1048576,0,44),"O.D.4",INDEX(REPORT_FR2052a!$1:$1048576,0,43),1,INDEX(REPORT_FR2052a!$1:$1048576,0,26),"Sovereign",INDEX(REPORT_FR2052a!$1:$1048576,0,27),"FDIC",INDEX(REPORT_FR2052a!$1:$1048576,0,5),"Bank of China - Combined US Branches and Agencies")</v>
      </c>
      <c r="BJ86" s="142">
        <f>SUMIFS(INDEX(REPORT_FR2052a!$1:$1048576,0,14),INDEX(REPORT_FR2052a!$1:$1048576,0,44),"O.D.4",INDEX(REPORT_FR2052a!$1:$1048576,0,43),1,INDEX(REPORT_FR2052a!$1:$1048576,0,26),"Sovereign",INDEX(REPORT_FR2052a!$1:$1048576,0,27),"FDIC",INDEX(REPORT_FR2052a!$1:$1048576,0,5),"Bank of China - Combined US Branches and Agencies")</f>
        <v>2.2799999999999998</v>
      </c>
      <c r="BK86" s="143">
        <f t="shared" si="19"/>
        <v>0</v>
      </c>
    </row>
    <row r="87" spans="1:63">
      <c r="A87" s="136">
        <v>53</v>
      </c>
      <c r="B87" s="137" t="str">
        <f>IFERROR(INDEX('LCR TYPE EXPLAIN'!B:B,MATCH(A87,'LCR TYPE EXPLAIN'!A:A,0)),"")</f>
        <v>Insured Operational Deposits (§.32(h)(3))</v>
      </c>
      <c r="F87" s="137" t="s">
        <v>331</v>
      </c>
      <c r="G87" s="138" t="s">
        <v>393</v>
      </c>
      <c r="H87" s="137" t="str">
        <f t="shared" si="199"/>
        <v>,INDEX(REPORT_FR2052a!$1:$1048576,0,44),"O.D.4"</v>
      </c>
      <c r="I87" s="137" t="s">
        <v>331</v>
      </c>
      <c r="J87" s="137">
        <v>1</v>
      </c>
      <c r="K87" s="137" t="str">
        <f t="shared" si="174"/>
        <v>,INDEX(REPORT_FR2052a!$1:$1048576,0,43),1</v>
      </c>
      <c r="N87" s="137" t="str">
        <f t="shared" si="175"/>
        <v/>
      </c>
      <c r="Q87" s="137" t="str">
        <f t="shared" si="3"/>
        <v/>
      </c>
      <c r="T87" s="137" t="str">
        <f t="shared" si="176"/>
        <v/>
      </c>
      <c r="V87" s="139"/>
      <c r="W87" s="137" t="str">
        <f t="shared" si="177"/>
        <v/>
      </c>
      <c r="Y87" s="139"/>
      <c r="Z87" s="137" t="str">
        <f t="shared" si="178"/>
        <v/>
      </c>
      <c r="AB87" s="139"/>
      <c r="AC87" s="137" t="str">
        <f t="shared" si="179"/>
        <v/>
      </c>
      <c r="AD87" s="137" t="s">
        <v>331</v>
      </c>
      <c r="AE87" s="140" t="s">
        <v>759</v>
      </c>
      <c r="AF87" s="137" t="str">
        <f t="shared" si="180"/>
        <v>,INDEX(REPORT_FR2052a!$1:$1048576,0,26),"Bank"</v>
      </c>
      <c r="AH87" s="139"/>
      <c r="AI87" s="137" t="str">
        <f t="shared" si="181"/>
        <v/>
      </c>
      <c r="AJ87" s="137" t="s">
        <v>331</v>
      </c>
      <c r="AK87" s="139" t="s">
        <v>154</v>
      </c>
      <c r="AL87" s="137" t="str">
        <f t="shared" si="182"/>
        <v>,INDEX(REPORT_FR2052a!$1:$1048576,0,27),"FDIC"</v>
      </c>
      <c r="AO87" s="137" t="str">
        <f t="shared" si="11"/>
        <v/>
      </c>
      <c r="AR87" s="137" t="str">
        <f t="shared" si="214"/>
        <v/>
      </c>
      <c r="AU87" s="137" t="str">
        <f t="shared" si="215"/>
        <v/>
      </c>
      <c r="BA87" s="137" t="s">
        <v>13</v>
      </c>
      <c r="BB87" s="137" t="str">
        <f>"=SUMIFS(INDEX(REPORT_FR2052a!$1:$1048576,0,"&amp;(MATCH(BA87,REPORT_FR2052a!$1:$1,0))&amp;")"</f>
        <v>=SUMIFS(INDEX(REPORT_FR2052a!$1:$1048576,0,14)</v>
      </c>
      <c r="BC87" s="137" t="str">
        <f t="shared" si="198"/>
        <v>=SUMIFS(INDEX(REPORT_FR2052a!$1:$1048576,0,14),INDEX(REPORT_FR2052a!$1:$1048576,0,44),"O.D.4",INDEX(REPORT_FR2052a!$1:$1048576,0,43),1,INDEX(REPORT_FR2052a!$1:$1048576,0,26),"Bank",INDEX(REPORT_FR2052a!$1:$1048576,0,27),"FDIC")</v>
      </c>
      <c r="BD87" s="141">
        <f>SUMIFS(INDEX(REPORT_FR2052a!$1:$1048576,0,14),INDEX(REPORT_FR2052a!$1:$1048576,0,44),"O.D.4",INDEX(REPORT_FR2052a!$1:$1048576,0,43),1,INDEX(REPORT_FR2052a!$1:$1048576,0,26),"Bank",INDEX(REPORT_FR2052a!$1:$1048576,0,27),"FDIC")</f>
        <v>1.92</v>
      </c>
      <c r="BE87" s="137" t="s">
        <v>331</v>
      </c>
      <c r="BF87" s="139" t="s">
        <v>47</v>
      </c>
      <c r="BG87" s="137" t="str">
        <f t="shared" si="183"/>
        <v>,INDEX(REPORT_FR2052a!$1:$1048576,0,5),"Bank of China - Combined US Branches and Agencies"</v>
      </c>
      <c r="BI87" s="137" t="str">
        <f t="shared" si="18"/>
        <v>=SUMIFS(INDEX(REPORT_FR2052a!$1:$1048576,0,14),INDEX(REPORT_FR2052a!$1:$1048576,0,44),"O.D.4",INDEX(REPORT_FR2052a!$1:$1048576,0,43),1,INDEX(REPORT_FR2052a!$1:$1048576,0,26),"Bank",INDEX(REPORT_FR2052a!$1:$1048576,0,27),"FDIC",INDEX(REPORT_FR2052a!$1:$1048576,0,5),"Bank of China - Combined US Branches and Agencies")</v>
      </c>
      <c r="BJ87" s="142">
        <f>SUMIFS(INDEX(REPORT_FR2052a!$1:$1048576,0,14),INDEX(REPORT_FR2052a!$1:$1048576,0,44),"O.D.4",INDEX(REPORT_FR2052a!$1:$1048576,0,43),1,INDEX(REPORT_FR2052a!$1:$1048576,0,26),"Bank",INDEX(REPORT_FR2052a!$1:$1048576,0,27),"FDIC",INDEX(REPORT_FR2052a!$1:$1048576,0,5),"Bank of China - Combined US Branches and Agencies")</f>
        <v>1.92</v>
      </c>
      <c r="BK87" s="143">
        <f t="shared" si="19"/>
        <v>0</v>
      </c>
    </row>
    <row r="88" spans="1:63">
      <c r="A88" s="136">
        <v>53</v>
      </c>
      <c r="B88" s="137" t="str">
        <f>IFERROR(INDEX('LCR TYPE EXPLAIN'!B:B,MATCH(A88,'LCR TYPE EXPLAIN'!A:A,0)),"")</f>
        <v>Insured Operational Deposits (§.32(h)(3))</v>
      </c>
      <c r="F88" s="137" t="s">
        <v>331</v>
      </c>
      <c r="G88" s="138" t="s">
        <v>393</v>
      </c>
      <c r="H88" s="137" t="str">
        <f t="shared" si="199"/>
        <v>,INDEX(REPORT_FR2052a!$1:$1048576,0,44),"O.D.4"</v>
      </c>
      <c r="I88" s="137" t="s">
        <v>331</v>
      </c>
      <c r="J88" s="137">
        <v>1</v>
      </c>
      <c r="K88" s="137" t="str">
        <f t="shared" si="174"/>
        <v>,INDEX(REPORT_FR2052a!$1:$1048576,0,43),1</v>
      </c>
      <c r="N88" s="137" t="str">
        <f t="shared" si="175"/>
        <v/>
      </c>
      <c r="Q88" s="137" t="str">
        <f t="shared" si="3"/>
        <v/>
      </c>
      <c r="T88" s="137" t="str">
        <f t="shared" si="176"/>
        <v/>
      </c>
      <c r="V88" s="139"/>
      <c r="W88" s="137" t="str">
        <f t="shared" si="177"/>
        <v/>
      </c>
      <c r="Y88" s="139"/>
      <c r="Z88" s="137" t="str">
        <f t="shared" si="178"/>
        <v/>
      </c>
      <c r="AB88" s="139"/>
      <c r="AC88" s="137" t="str">
        <f t="shared" si="179"/>
        <v/>
      </c>
      <c r="AD88" s="137" t="s">
        <v>331</v>
      </c>
      <c r="AE88" s="140" t="s">
        <v>116</v>
      </c>
      <c r="AF88" s="137" t="str">
        <f t="shared" si="180"/>
        <v>,INDEX(REPORT_FR2052a!$1:$1048576,0,26),"Supervised Non-Bank Financial Entity"</v>
      </c>
      <c r="AH88" s="139"/>
      <c r="AI88" s="137" t="str">
        <f t="shared" si="181"/>
        <v/>
      </c>
      <c r="AJ88" s="137" t="s">
        <v>331</v>
      </c>
      <c r="AK88" s="139" t="s">
        <v>154</v>
      </c>
      <c r="AL88" s="137" t="str">
        <f t="shared" si="182"/>
        <v>,INDEX(REPORT_FR2052a!$1:$1048576,0,27),"FDIC"</v>
      </c>
      <c r="AO88" s="137" t="str">
        <f t="shared" si="11"/>
        <v/>
      </c>
      <c r="AR88" s="137" t="str">
        <f t="shared" si="214"/>
        <v/>
      </c>
      <c r="AU88" s="137" t="str">
        <f t="shared" si="215"/>
        <v/>
      </c>
      <c r="BA88" s="137" t="s">
        <v>13</v>
      </c>
      <c r="BB88" s="137" t="str">
        <f>"=SUMIFS(INDEX(REPORT_FR2052a!$1:$1048576,0,"&amp;(MATCH(BA88,REPORT_FR2052a!$1:$1,0))&amp;")"</f>
        <v>=SUMIFS(INDEX(REPORT_FR2052a!$1:$1048576,0,14)</v>
      </c>
      <c r="BC88" s="137" t="str">
        <f t="shared" si="198"/>
        <v>=SUMIFS(INDEX(REPORT_FR2052a!$1:$1048576,0,14),INDEX(REPORT_FR2052a!$1:$1048576,0,44),"O.D.4",INDEX(REPORT_FR2052a!$1:$1048576,0,43),1,INDEX(REPORT_FR2052a!$1:$1048576,0,26),"Supervised Non-Bank Financial Entity",INDEX(REPORT_FR2052a!$1:$1048576,0,27),"FDIC")</v>
      </c>
      <c r="BD88" s="141">
        <f>SUMIFS(INDEX(REPORT_FR2052a!$1:$1048576,0,14),INDEX(REPORT_FR2052a!$1:$1048576,0,44),"O.D.4",INDEX(REPORT_FR2052a!$1:$1048576,0,43),1,INDEX(REPORT_FR2052a!$1:$1048576,0,26),"Supervised Non-Bank Financial Entity",INDEX(REPORT_FR2052a!$1:$1048576,0,27),"FDIC")</f>
        <v>2.2400000000000002</v>
      </c>
      <c r="BE88" s="137" t="s">
        <v>331</v>
      </c>
      <c r="BF88" s="139" t="s">
        <v>47</v>
      </c>
      <c r="BG88" s="137" t="str">
        <f t="shared" si="183"/>
        <v>,INDEX(REPORT_FR2052a!$1:$1048576,0,5),"Bank of China - Combined US Branches and Agencies"</v>
      </c>
      <c r="BI88" s="137" t="str">
        <f t="shared" si="18"/>
        <v>=SUMIFS(INDEX(REPORT_FR2052a!$1:$1048576,0,14),INDEX(REPORT_FR2052a!$1:$1048576,0,44),"O.D.4",INDEX(REPORT_FR2052a!$1:$1048576,0,43),1,INDEX(REPORT_FR2052a!$1:$1048576,0,26),"Supervised Non-Bank Financial Entity",INDEX(REPORT_FR2052a!$1:$1048576,0,27),"FDIC",INDEX(REPORT_FR2052a!$1:$1048576,0,5),"Bank of China - Combined US Branches and Agencies")</v>
      </c>
      <c r="BJ88" s="142">
        <f>SUMIFS(INDEX(REPORT_FR2052a!$1:$1048576,0,14),INDEX(REPORT_FR2052a!$1:$1048576,0,44),"O.D.4",INDEX(REPORT_FR2052a!$1:$1048576,0,43),1,INDEX(REPORT_FR2052a!$1:$1048576,0,26),"Supervised Non-Bank Financial Entity",INDEX(REPORT_FR2052a!$1:$1048576,0,27),"FDIC",INDEX(REPORT_FR2052a!$1:$1048576,0,5),"Bank of China - Combined US Branches and Agencies")</f>
        <v>2.2400000000000002</v>
      </c>
      <c r="BK88" s="143">
        <f t="shared" si="19"/>
        <v>0</v>
      </c>
    </row>
    <row r="89" spans="1:63">
      <c r="A89" s="136">
        <v>53</v>
      </c>
      <c r="B89" s="137" t="str">
        <f>IFERROR(INDEX('LCR TYPE EXPLAIN'!B:B,MATCH(A89,'LCR TYPE EXPLAIN'!A:A,0)),"")</f>
        <v>Insured Operational Deposits (§.32(h)(3))</v>
      </c>
      <c r="F89" s="137" t="s">
        <v>331</v>
      </c>
      <c r="G89" s="138" t="s">
        <v>393</v>
      </c>
      <c r="H89" s="137" t="str">
        <f t="shared" si="199"/>
        <v>,INDEX(REPORT_FR2052a!$1:$1048576,0,44),"O.D.4"</v>
      </c>
      <c r="I89" s="137" t="s">
        <v>331</v>
      </c>
      <c r="J89" s="137">
        <v>1</v>
      </c>
      <c r="K89" s="137" t="str">
        <f t="shared" ref="K89" si="290">IF(I89="","",",INDEX(REPORT_FR2052a!$1:$1048576,0,"&amp;K$2&amp;"),"&amp;IF(ISTEXT(J89),CHAR(34),"")&amp;IF(I89="is","",""&amp;"&lt;&gt;")&amp;J89&amp;IF(ISTEXT(J89),CHAR(34),""))</f>
        <v>,INDEX(REPORT_FR2052a!$1:$1048576,0,43),1</v>
      </c>
      <c r="N89" s="137" t="str">
        <f t="shared" ref="N89" si="291">IF(L89="","",",INDEX(REPORT_FR2052a!$1:$1048576,0,"&amp;N$2&amp;"),"&amp;IF(ISTEXT(M89),CHAR(34),"")&amp;IF(L89="is","",""&amp;"&lt;&gt;")&amp;M89&amp;IF(ISTEXT(M89),CHAR(34),""))</f>
        <v/>
      </c>
      <c r="Q89" s="137" t="str">
        <f t="shared" ref="Q89" si="292">IF(O89="","",",INDEX(REPORT_FR2052a!$1:$1048576,0,"&amp;Q$2&amp;"),"&amp;IF(OR(ISTEXT(P89),ISBLANK(P89)),CHAR(34),"")&amp;IF(O89="is","",""&amp;"&lt;&gt;")&amp;P89&amp;IF(OR(ISTEXT(P89),ISBLANK(P89)),CHAR(34),""))</f>
        <v/>
      </c>
      <c r="T89" s="137" t="str">
        <f t="shared" ref="T89" si="293">IF(R89="","",",INDEX(REPORT_FR2052a!$1:$1048576,0,"&amp;T$2&amp;"),"&amp;IF(ISTEXT(S89),CHAR(34),"")&amp;IF(R89="is","",""&amp;"&lt;&gt;")&amp;S89&amp;IF(ISTEXT(S89),CHAR(34),""))</f>
        <v/>
      </c>
      <c r="V89" s="139"/>
      <c r="W89" s="137" t="str">
        <f t="shared" ref="W89" si="294">IF(U89="","",",INDEX(REPORT_FR2052a!$1:$1048576,0,"&amp;W$2&amp;"),"&amp;IF(ISTEXT(V89),CHAR(34),"")&amp;IF(U89="is","",""&amp;"&lt;&gt;")&amp;V89&amp;IF(ISTEXT(V89),CHAR(34),""))</f>
        <v/>
      </c>
      <c r="Y89" s="139"/>
      <c r="Z89" s="137" t="str">
        <f t="shared" ref="Z89" si="295">IF(X89="","",",INDEX(REPORT_FR2052a!$1:$1048576,0,"&amp;Z$2&amp;"),"&amp;IF(ISTEXT(Y89),CHAR(34),"")&amp;IF(X89="is","",""&amp;"&lt;&gt;")&amp;Y89&amp;IF(ISTEXT(Y89),CHAR(34),""))</f>
        <v/>
      </c>
      <c r="AB89" s="139"/>
      <c r="AC89" s="137" t="str">
        <f t="shared" ref="AC89" si="296">IF(AA89="","",",INDEX(REPORT_FR2052a!$1:$1048576,0,"&amp;AC$2&amp;"),"&amp;IF(ISTEXT(AB89),CHAR(34),"")&amp;IF(AA89="is","",""&amp;"&lt;&gt;")&amp;AB89&amp;IF(ISTEXT(AB89),CHAR(34),""))</f>
        <v/>
      </c>
      <c r="AD89" s="137" t="s">
        <v>331</v>
      </c>
      <c r="AE89" s="140" t="s">
        <v>158</v>
      </c>
      <c r="AF89" s="137" t="str">
        <f t="shared" ref="AF89" si="297">IF(AD89="","",",INDEX(REPORT_FR2052a!$1:$1048576,0,"&amp;AF$2&amp;"),"&amp;IF(ISTEXT(AE89),CHAR(34),"")&amp;IF(AD89="is","",""&amp;"&lt;&gt;")&amp;AE89&amp;IF(ISTEXT(AE89),CHAR(34),""))</f>
        <v>,INDEX(REPORT_FR2052a!$1:$1048576,0,26),"Central Bank"</v>
      </c>
      <c r="AH89" s="139"/>
      <c r="AI89" s="137" t="str">
        <f t="shared" ref="AI89" si="298">IF(AG89="","",",INDEX(REPORT_FR2052a!$1:$1048576,0,"&amp;AI$2&amp;"),"&amp;IF(ISTEXT(AH89),CHAR(34),"")&amp;IF(AG89="is","",""&amp;"&lt;&gt;")&amp;AH89&amp;IF(ISTEXT(AH89),CHAR(34),""))</f>
        <v/>
      </c>
      <c r="AJ89" s="137" t="s">
        <v>331</v>
      </c>
      <c r="AK89" s="139" t="s">
        <v>154</v>
      </c>
      <c r="AL89" s="137" t="str">
        <f t="shared" ref="AL89" si="299">IF(AJ89="","",",INDEX(REPORT_FR2052a!$1:$1048576,0,"&amp;AL$2&amp;"),"&amp;IF(ISTEXT(AK89),CHAR(34),"")&amp;IF(AJ89="is","",""&amp;"&lt;&gt;")&amp;AK89&amp;IF(ISTEXT(AK89),CHAR(34),""))</f>
        <v>,INDEX(REPORT_FR2052a!$1:$1048576,0,27),"FDIC"</v>
      </c>
      <c r="AO89" s="137" t="str">
        <f t="shared" ref="AO89" si="300">IF(AM89="","",",INDEX(REPORT_FR2052a!$1:$1048576,0,"&amp;AO$2&amp;"),"&amp;IF(ISTEXT(AN89),CHAR(34),"")&amp;IF(AM89="is","",""&amp;"&lt;&gt;")&amp;AN89&amp;IF(ISTEXT(AN89),CHAR(34),""))</f>
        <v/>
      </c>
      <c r="AR89" s="137" t="str">
        <f t="shared" si="214"/>
        <v/>
      </c>
      <c r="AU89" s="137" t="str">
        <f t="shared" si="215"/>
        <v/>
      </c>
      <c r="BA89" s="137" t="s">
        <v>13</v>
      </c>
      <c r="BB89" s="137" t="str">
        <f>"=SUMIFS(INDEX(REPORT_FR2052a!$1:$1048576,0,"&amp;(MATCH(BA89,REPORT_FR2052a!$1:$1,0))&amp;")"</f>
        <v>=SUMIFS(INDEX(REPORT_FR2052a!$1:$1048576,0,14)</v>
      </c>
      <c r="BC89" s="137" t="str">
        <f t="shared" si="198"/>
        <v>=SUMIFS(INDEX(REPORT_FR2052a!$1:$1048576,0,14),INDEX(REPORT_FR2052a!$1:$1048576,0,44),"O.D.4",INDEX(REPORT_FR2052a!$1:$1048576,0,43),1,INDEX(REPORT_FR2052a!$1:$1048576,0,26),"Central Bank",INDEX(REPORT_FR2052a!$1:$1048576,0,27),"FDIC")</v>
      </c>
      <c r="BD89" s="141">
        <f>SUMIFS(INDEX(REPORT_FR2052a!$1:$1048576,0,14),INDEX(REPORT_FR2052a!$1:$1048576,0,44),"O.D.4",INDEX(REPORT_FR2052a!$1:$1048576,0,43),1,INDEX(REPORT_FR2052a!$1:$1048576,0,26),"Central Bank",INDEX(REPORT_FR2052a!$1:$1048576,0,27),"FDIC")</f>
        <v>0</v>
      </c>
      <c r="BE89" s="137" t="s">
        <v>331</v>
      </c>
      <c r="BF89" s="139" t="s">
        <v>47</v>
      </c>
      <c r="BG89" s="137" t="str">
        <f t="shared" ref="BG89" si="301">IF(BE89="","",",INDEX(REPORT_FR2052a!$1:$1048576,0,"&amp;BG$2&amp;"),"&amp;IF(ISTEXT(BF89),CHAR(34),"")&amp;IF(BE89="is","",""&amp;"&lt;&gt;")&amp;BF89&amp;IF(ISTEXT(BF89),CHAR(34),""))</f>
        <v>,INDEX(REPORT_FR2052a!$1:$1048576,0,5),"Bank of China - Combined US Branches and Agencies"</v>
      </c>
      <c r="BI89" s="137" t="str">
        <f t="shared" ref="BI89" si="302">LEFT(BC89,LEN(BC89)-1)&amp;BG89&amp;")"</f>
        <v>=SUMIFS(INDEX(REPORT_FR2052a!$1:$1048576,0,14),INDEX(REPORT_FR2052a!$1:$1048576,0,44),"O.D.4",INDEX(REPORT_FR2052a!$1:$1048576,0,43),1,INDEX(REPORT_FR2052a!$1:$1048576,0,26),"Central Bank",INDEX(REPORT_FR2052a!$1:$1048576,0,27),"FDIC",INDEX(REPORT_FR2052a!$1:$1048576,0,5),"Bank of China - Combined US Branches and Agencies")</v>
      </c>
      <c r="BJ89" s="142">
        <f>SUMIFS(INDEX(REPORT_FR2052a!$1:$1048576,0,14),INDEX(REPORT_FR2052a!$1:$1048576,0,44),"O.D.4",INDEX(REPORT_FR2052a!$1:$1048576,0,43),1,INDEX(REPORT_FR2052a!$1:$1048576,0,26),"Central Bank",INDEX(REPORT_FR2052a!$1:$1048576,0,27),"FDIC",INDEX(REPORT_FR2052a!$1:$1048576,0,5),"Bank of China - Combined US Branches and Agencies")</f>
        <v>0</v>
      </c>
      <c r="BK89" s="143">
        <f t="shared" ref="BK89" si="303">BD89-BJ89</f>
        <v>0</v>
      </c>
    </row>
    <row r="90" spans="1:63">
      <c r="A90" s="136">
        <v>53</v>
      </c>
      <c r="B90" s="137" t="str">
        <f>IFERROR(INDEX('LCR TYPE EXPLAIN'!B:B,MATCH(A90,'LCR TYPE EXPLAIN'!A:A,0)),"")</f>
        <v>Insured Operational Deposits (§.32(h)(3))</v>
      </c>
      <c r="F90" s="137" t="s">
        <v>331</v>
      </c>
      <c r="G90" s="138" t="s">
        <v>393</v>
      </c>
      <c r="H90" s="137" t="str">
        <f t="shared" si="199"/>
        <v>,INDEX(REPORT_FR2052a!$1:$1048576,0,44),"O.D.4"</v>
      </c>
      <c r="I90" s="137" t="s">
        <v>331</v>
      </c>
      <c r="J90" s="137">
        <v>1</v>
      </c>
      <c r="K90" s="137" t="str">
        <f t="shared" ref="K90" si="304">IF(I90="","",",INDEX(REPORT_FR2052a!$1:$1048576,0,"&amp;K$2&amp;"),"&amp;IF(ISTEXT(J90),CHAR(34),"")&amp;IF(I90="is","",""&amp;"&lt;&gt;")&amp;J90&amp;IF(ISTEXT(J90),CHAR(34),""))</f>
        <v>,INDEX(REPORT_FR2052a!$1:$1048576,0,43),1</v>
      </c>
      <c r="N90" s="137" t="str">
        <f t="shared" ref="N90" si="305">IF(L90="","",",INDEX(REPORT_FR2052a!$1:$1048576,0,"&amp;N$2&amp;"),"&amp;IF(ISTEXT(M90),CHAR(34),"")&amp;IF(L90="is","",""&amp;"&lt;&gt;")&amp;M90&amp;IF(ISTEXT(M90),CHAR(34),""))</f>
        <v/>
      </c>
      <c r="Q90" s="137" t="str">
        <f t="shared" ref="Q90" si="306">IF(O90="","",",INDEX(REPORT_FR2052a!$1:$1048576,0,"&amp;Q$2&amp;"),"&amp;IF(OR(ISTEXT(P90),ISBLANK(P90)),CHAR(34),"")&amp;IF(O90="is","",""&amp;"&lt;&gt;")&amp;P90&amp;IF(OR(ISTEXT(P90),ISBLANK(P90)),CHAR(34),""))</f>
        <v/>
      </c>
      <c r="T90" s="137" t="str">
        <f t="shared" ref="T90" si="307">IF(R90="","",",INDEX(REPORT_FR2052a!$1:$1048576,0,"&amp;T$2&amp;"),"&amp;IF(ISTEXT(S90),CHAR(34),"")&amp;IF(R90="is","",""&amp;"&lt;&gt;")&amp;S90&amp;IF(ISTEXT(S90),CHAR(34),""))</f>
        <v/>
      </c>
      <c r="V90" s="139"/>
      <c r="W90" s="137" t="str">
        <f t="shared" ref="W90" si="308">IF(U90="","",",INDEX(REPORT_FR2052a!$1:$1048576,0,"&amp;W$2&amp;"),"&amp;IF(ISTEXT(V90),CHAR(34),"")&amp;IF(U90="is","",""&amp;"&lt;&gt;")&amp;V90&amp;IF(ISTEXT(V90),CHAR(34),""))</f>
        <v/>
      </c>
      <c r="Y90" s="139"/>
      <c r="Z90" s="137" t="str">
        <f t="shared" ref="Z90" si="309">IF(X90="","",",INDEX(REPORT_FR2052a!$1:$1048576,0,"&amp;Z$2&amp;"),"&amp;IF(ISTEXT(Y90),CHAR(34),"")&amp;IF(X90="is","",""&amp;"&lt;&gt;")&amp;Y90&amp;IF(ISTEXT(Y90),CHAR(34),""))</f>
        <v/>
      </c>
      <c r="AB90" s="139"/>
      <c r="AC90" s="137" t="str">
        <f t="shared" ref="AC90" si="310">IF(AA90="","",",INDEX(REPORT_FR2052a!$1:$1048576,0,"&amp;AC$2&amp;"),"&amp;IF(ISTEXT(AB90),CHAR(34),"")&amp;IF(AA90="is","",""&amp;"&lt;&gt;")&amp;AB90&amp;IF(ISTEXT(AB90),CHAR(34),""))</f>
        <v/>
      </c>
      <c r="AD90" s="137" t="s">
        <v>331</v>
      </c>
      <c r="AE90" s="140" t="s">
        <v>136</v>
      </c>
      <c r="AF90" s="137" t="str">
        <f t="shared" ref="AF90" si="311">IF(AD90="","",",INDEX(REPORT_FR2052a!$1:$1048576,0,"&amp;AF$2&amp;"),"&amp;IF(ISTEXT(AE90),CHAR(34),"")&amp;IF(AD90="is","",""&amp;"&lt;&gt;")&amp;AE90&amp;IF(ISTEXT(AE90),CHAR(34),""))</f>
        <v>,INDEX(REPORT_FR2052a!$1:$1048576,0,26),"Other"</v>
      </c>
      <c r="AH90" s="139"/>
      <c r="AI90" s="137" t="str">
        <f t="shared" ref="AI90" si="312">IF(AG90="","",",INDEX(REPORT_FR2052a!$1:$1048576,0,"&amp;AI$2&amp;"),"&amp;IF(ISTEXT(AH90),CHAR(34),"")&amp;IF(AG90="is","",""&amp;"&lt;&gt;")&amp;AH90&amp;IF(ISTEXT(AH90),CHAR(34),""))</f>
        <v/>
      </c>
      <c r="AJ90" s="137" t="s">
        <v>331</v>
      </c>
      <c r="AK90" s="139" t="s">
        <v>154</v>
      </c>
      <c r="AL90" s="137" t="str">
        <f t="shared" ref="AL90" si="313">IF(AJ90="","",",INDEX(REPORT_FR2052a!$1:$1048576,0,"&amp;AL$2&amp;"),"&amp;IF(ISTEXT(AK90),CHAR(34),"")&amp;IF(AJ90="is","",""&amp;"&lt;&gt;")&amp;AK90&amp;IF(ISTEXT(AK90),CHAR(34),""))</f>
        <v>,INDEX(REPORT_FR2052a!$1:$1048576,0,27),"FDIC"</v>
      </c>
      <c r="AO90" s="137" t="str">
        <f t="shared" ref="AO90" si="314">IF(AM90="","",",INDEX(REPORT_FR2052a!$1:$1048576,0,"&amp;AO$2&amp;"),"&amp;IF(ISTEXT(AN90),CHAR(34),"")&amp;IF(AM90="is","",""&amp;"&lt;&gt;")&amp;AN90&amp;IF(ISTEXT(AN90),CHAR(34),""))</f>
        <v/>
      </c>
      <c r="AR90" s="137" t="str">
        <f t="shared" si="214"/>
        <v/>
      </c>
      <c r="AU90" s="137" t="str">
        <f t="shared" si="215"/>
        <v/>
      </c>
      <c r="BA90" s="137" t="s">
        <v>13</v>
      </c>
      <c r="BB90" s="137" t="str">
        <f>"=SUMIFS(INDEX(REPORT_FR2052a!$1:$1048576,0,"&amp;(MATCH(BA90,REPORT_FR2052a!$1:$1,0))&amp;")"</f>
        <v>=SUMIFS(INDEX(REPORT_FR2052a!$1:$1048576,0,14)</v>
      </c>
      <c r="BC90" s="137" t="str">
        <f t="shared" si="198"/>
        <v>=SUMIFS(INDEX(REPORT_FR2052a!$1:$1048576,0,14),INDEX(REPORT_FR2052a!$1:$1048576,0,44),"O.D.4",INDEX(REPORT_FR2052a!$1:$1048576,0,43),1,INDEX(REPORT_FR2052a!$1:$1048576,0,26),"Other",INDEX(REPORT_FR2052a!$1:$1048576,0,27),"FDIC")</v>
      </c>
      <c r="BD90" s="141">
        <f>SUMIFS(INDEX(REPORT_FR2052a!$1:$1048576,0,14),INDEX(REPORT_FR2052a!$1:$1048576,0,44),"O.D.4",INDEX(REPORT_FR2052a!$1:$1048576,0,43),1,INDEX(REPORT_FR2052a!$1:$1048576,0,26),"Other",INDEX(REPORT_FR2052a!$1:$1048576,0,27),"FDIC")</f>
        <v>0</v>
      </c>
      <c r="BE90" s="137" t="s">
        <v>331</v>
      </c>
      <c r="BF90" s="139" t="s">
        <v>47</v>
      </c>
      <c r="BG90" s="137" t="str">
        <f t="shared" ref="BG90" si="315">IF(BE90="","",",INDEX(REPORT_FR2052a!$1:$1048576,0,"&amp;BG$2&amp;"),"&amp;IF(ISTEXT(BF90),CHAR(34),"")&amp;IF(BE90="is","",""&amp;"&lt;&gt;")&amp;BF90&amp;IF(ISTEXT(BF90),CHAR(34),""))</f>
        <v>,INDEX(REPORT_FR2052a!$1:$1048576,0,5),"Bank of China - Combined US Branches and Agencies"</v>
      </c>
      <c r="BI90" s="137" t="str">
        <f t="shared" ref="BI90" si="316">LEFT(BC90,LEN(BC90)-1)&amp;BG90&amp;")"</f>
        <v>=SUMIFS(INDEX(REPORT_FR2052a!$1:$1048576,0,14),INDEX(REPORT_FR2052a!$1:$1048576,0,44),"O.D.4",INDEX(REPORT_FR2052a!$1:$1048576,0,43),1,INDEX(REPORT_FR2052a!$1:$1048576,0,26),"Other",INDEX(REPORT_FR2052a!$1:$1048576,0,27),"FDIC",INDEX(REPORT_FR2052a!$1:$1048576,0,5),"Bank of China - Combined US Branches and Agencies")</v>
      </c>
      <c r="BJ90" s="142">
        <f>SUMIFS(INDEX(REPORT_FR2052a!$1:$1048576,0,14),INDEX(REPORT_FR2052a!$1:$1048576,0,44),"O.D.4",INDEX(REPORT_FR2052a!$1:$1048576,0,43),1,INDEX(REPORT_FR2052a!$1:$1048576,0,26),"Other",INDEX(REPORT_FR2052a!$1:$1048576,0,27),"FDIC",INDEX(REPORT_FR2052a!$1:$1048576,0,5),"Bank of China - Combined US Branches and Agencies")</f>
        <v>0</v>
      </c>
      <c r="BK90" s="143">
        <f t="shared" ref="BK90" si="317">BD90-BJ90</f>
        <v>0</v>
      </c>
    </row>
    <row r="91" spans="1:63">
      <c r="A91" s="136">
        <v>54</v>
      </c>
      <c r="B91" s="137" t="str">
        <f>IFERROR(INDEX('LCR TYPE EXPLAIN'!B:B,MATCH(A91,'LCR TYPE EXPLAIN'!A:A,0)),"")</f>
        <v>Not Fully Insured Operational Deposits (§.32(h)(4))</v>
      </c>
      <c r="F91" s="137" t="s">
        <v>331</v>
      </c>
      <c r="G91" s="138" t="s">
        <v>393</v>
      </c>
      <c r="H91" s="137" t="str">
        <f t="shared" si="199"/>
        <v>,INDEX(REPORT_FR2052a!$1:$1048576,0,44),"O.D.4"</v>
      </c>
      <c r="I91" s="137" t="s">
        <v>331</v>
      </c>
      <c r="J91" s="137">
        <v>1</v>
      </c>
      <c r="K91" s="137" t="str">
        <f t="shared" si="174"/>
        <v>,INDEX(REPORT_FR2052a!$1:$1048576,0,43),1</v>
      </c>
      <c r="N91" s="137" t="str">
        <f t="shared" si="175"/>
        <v/>
      </c>
      <c r="Q91" s="137" t="str">
        <f t="shared" si="3"/>
        <v/>
      </c>
      <c r="T91" s="137" t="str">
        <f t="shared" si="176"/>
        <v/>
      </c>
      <c r="V91" s="139"/>
      <c r="W91" s="137" t="str">
        <f t="shared" si="177"/>
        <v/>
      </c>
      <c r="Y91" s="139"/>
      <c r="Z91" s="137" t="str">
        <f t="shared" si="178"/>
        <v/>
      </c>
      <c r="AB91" s="139"/>
      <c r="AC91" s="137" t="str">
        <f t="shared" si="179"/>
        <v/>
      </c>
      <c r="AD91" s="137" t="s">
        <v>331</v>
      </c>
      <c r="AE91" s="140" t="s">
        <v>84</v>
      </c>
      <c r="AF91" s="137" t="str">
        <f t="shared" si="180"/>
        <v>,INDEX(REPORT_FR2052a!$1:$1048576,0,26),"Non-Financial Corporate"</v>
      </c>
      <c r="AH91" s="139"/>
      <c r="AI91" s="137" t="str">
        <f t="shared" si="181"/>
        <v/>
      </c>
      <c r="AJ91" s="137" t="s">
        <v>332</v>
      </c>
      <c r="AK91" s="139" t="s">
        <v>154</v>
      </c>
      <c r="AL91" s="137" t="str">
        <f t="shared" si="182"/>
        <v>,INDEX(REPORT_FR2052a!$1:$1048576,0,27),"&lt;&gt;FDIC"</v>
      </c>
      <c r="AO91" s="137" t="str">
        <f t="shared" si="11"/>
        <v/>
      </c>
      <c r="AR91" s="137" t="str">
        <f t="shared" si="214"/>
        <v/>
      </c>
      <c r="AU91" s="137" t="str">
        <f t="shared" si="215"/>
        <v/>
      </c>
      <c r="BA91" s="137" t="s">
        <v>13</v>
      </c>
      <c r="BB91" s="137" t="str">
        <f>"=SUMIFS(INDEX(REPORT_FR2052a!$1:$1048576,0,"&amp;(MATCH(BA91,REPORT_FR2052a!$1:$1,0))&amp;")"</f>
        <v>=SUMIFS(INDEX(REPORT_FR2052a!$1:$1048576,0,14)</v>
      </c>
      <c r="BC91" s="137" t="str">
        <f t="shared" si="198"/>
        <v>=SUMIFS(INDEX(REPORT_FR2052a!$1:$1048576,0,14),INDEX(REPORT_FR2052a!$1:$1048576,0,44),"O.D.4",INDEX(REPORT_FR2052a!$1:$1048576,0,43),1,INDEX(REPORT_FR2052a!$1:$1048576,0,26),"Non-Financial Corporate",INDEX(REPORT_FR2052a!$1:$1048576,0,27),"&lt;&gt;FDIC")</v>
      </c>
      <c r="BD91" s="141">
        <f>SUMIFS(INDEX(REPORT_FR2052a!$1:$1048576,0,14),INDEX(REPORT_FR2052a!$1:$1048576,0,44),"O.D.4",INDEX(REPORT_FR2052a!$1:$1048576,0,43),1,INDEX(REPORT_FR2052a!$1:$1048576,0,26),"Non-Financial Corporate",INDEX(REPORT_FR2052a!$1:$1048576,0,27),"&lt;&gt;FDIC")</f>
        <v>2767.77</v>
      </c>
      <c r="BE91" s="137" t="s">
        <v>331</v>
      </c>
      <c r="BF91" s="139" t="s">
        <v>47</v>
      </c>
      <c r="BG91" s="137" t="str">
        <f t="shared" si="183"/>
        <v>,INDEX(REPORT_FR2052a!$1:$1048576,0,5),"Bank of China - Combined US Branches and Agencies"</v>
      </c>
      <c r="BI91" s="137" t="str">
        <f t="shared" si="18"/>
        <v>=SUMIFS(INDEX(REPORT_FR2052a!$1:$1048576,0,14),INDEX(REPORT_FR2052a!$1:$1048576,0,44),"O.D.4",INDEX(REPORT_FR2052a!$1:$1048576,0,43),1,INDEX(REPORT_FR2052a!$1:$1048576,0,26),"Non-Financial Corporate",INDEX(REPORT_FR2052a!$1:$1048576,0,27),"&lt;&gt;FDIC",INDEX(REPORT_FR2052a!$1:$1048576,0,5),"Bank of China - Combined US Branches and Agencies")</v>
      </c>
      <c r="BJ91" s="142">
        <f>SUMIFS(INDEX(REPORT_FR2052a!$1:$1048576,0,14),INDEX(REPORT_FR2052a!$1:$1048576,0,44),"O.D.4",INDEX(REPORT_FR2052a!$1:$1048576,0,43),1,INDEX(REPORT_FR2052a!$1:$1048576,0,26),"Non-Financial Corporate",INDEX(REPORT_FR2052a!$1:$1048576,0,27),"&lt;&gt;FDIC",INDEX(REPORT_FR2052a!$1:$1048576,0,5),"Bank of China - Combined US Branches and Agencies")</f>
        <v>2767.77</v>
      </c>
      <c r="BK91" s="143">
        <f t="shared" si="19"/>
        <v>0</v>
      </c>
    </row>
    <row r="92" spans="1:63">
      <c r="A92" s="136">
        <v>54</v>
      </c>
      <c r="B92" s="137" t="str">
        <f>IFERROR(INDEX('LCR TYPE EXPLAIN'!B:B,MATCH(A92,'LCR TYPE EXPLAIN'!A:A,0)),"")</f>
        <v>Not Fully Insured Operational Deposits (§.32(h)(4))</v>
      </c>
      <c r="F92" s="137" t="s">
        <v>331</v>
      </c>
      <c r="G92" s="138" t="s">
        <v>393</v>
      </c>
      <c r="H92" s="137" t="str">
        <f t="shared" si="199"/>
        <v>,INDEX(REPORT_FR2052a!$1:$1048576,0,44),"O.D.4"</v>
      </c>
      <c r="I92" s="137" t="s">
        <v>331</v>
      </c>
      <c r="J92" s="137">
        <v>1</v>
      </c>
      <c r="K92" s="137" t="str">
        <f t="shared" si="174"/>
        <v>,INDEX(REPORT_FR2052a!$1:$1048576,0,43),1</v>
      </c>
      <c r="N92" s="137" t="str">
        <f t="shared" si="175"/>
        <v/>
      </c>
      <c r="Q92" s="137" t="str">
        <f t="shared" si="3"/>
        <v/>
      </c>
      <c r="T92" s="137" t="str">
        <f t="shared" si="176"/>
        <v/>
      </c>
      <c r="V92" s="139"/>
      <c r="W92" s="137" t="str">
        <f t="shared" si="177"/>
        <v/>
      </c>
      <c r="Y92" s="139"/>
      <c r="Z92" s="137" t="str">
        <f t="shared" si="178"/>
        <v/>
      </c>
      <c r="AB92" s="139"/>
      <c r="AC92" s="137" t="str">
        <f t="shared" si="179"/>
        <v/>
      </c>
      <c r="AD92" s="137" t="s">
        <v>331</v>
      </c>
      <c r="AE92" s="140" t="s">
        <v>162</v>
      </c>
      <c r="AF92" s="137" t="str">
        <f t="shared" si="180"/>
        <v>,INDEX(REPORT_FR2052a!$1:$1048576,0,26),"Sovereign"</v>
      </c>
      <c r="AH92" s="139"/>
      <c r="AI92" s="137" t="str">
        <f t="shared" si="181"/>
        <v/>
      </c>
      <c r="AJ92" s="137" t="s">
        <v>332</v>
      </c>
      <c r="AK92" s="139" t="s">
        <v>154</v>
      </c>
      <c r="AL92" s="137" t="str">
        <f t="shared" si="182"/>
        <v>,INDEX(REPORT_FR2052a!$1:$1048576,0,27),"&lt;&gt;FDIC"</v>
      </c>
      <c r="AO92" s="137" t="str">
        <f t="shared" si="11"/>
        <v/>
      </c>
      <c r="AR92" s="137" t="str">
        <f t="shared" si="214"/>
        <v/>
      </c>
      <c r="AU92" s="137" t="str">
        <f t="shared" si="215"/>
        <v/>
      </c>
      <c r="BA92" s="137" t="s">
        <v>13</v>
      </c>
      <c r="BB92" s="137" t="str">
        <f>"=SUMIFS(INDEX(REPORT_FR2052a!$1:$1048576,0,"&amp;(MATCH(BA92,REPORT_FR2052a!$1:$1,0))&amp;")"</f>
        <v>=SUMIFS(INDEX(REPORT_FR2052a!$1:$1048576,0,14)</v>
      </c>
      <c r="BC92" s="137" t="str">
        <f t="shared" si="198"/>
        <v>=SUMIFS(INDEX(REPORT_FR2052a!$1:$1048576,0,14),INDEX(REPORT_FR2052a!$1:$1048576,0,44),"O.D.4",INDEX(REPORT_FR2052a!$1:$1048576,0,43),1,INDEX(REPORT_FR2052a!$1:$1048576,0,26),"Sovereign",INDEX(REPORT_FR2052a!$1:$1048576,0,27),"&lt;&gt;FDIC")</v>
      </c>
      <c r="BD92" s="141">
        <f>SUMIFS(INDEX(REPORT_FR2052a!$1:$1048576,0,14),INDEX(REPORT_FR2052a!$1:$1048576,0,44),"O.D.4",INDEX(REPORT_FR2052a!$1:$1048576,0,43),1,INDEX(REPORT_FR2052a!$1:$1048576,0,26),"Sovereign",INDEX(REPORT_FR2052a!$1:$1048576,0,27),"&lt;&gt;FDIC")</f>
        <v>367.56</v>
      </c>
      <c r="BE92" s="137" t="s">
        <v>331</v>
      </c>
      <c r="BF92" s="139" t="s">
        <v>47</v>
      </c>
      <c r="BG92" s="137" t="str">
        <f t="shared" si="183"/>
        <v>,INDEX(REPORT_FR2052a!$1:$1048576,0,5),"Bank of China - Combined US Branches and Agencies"</v>
      </c>
      <c r="BI92" s="137" t="str">
        <f t="shared" si="18"/>
        <v>=SUMIFS(INDEX(REPORT_FR2052a!$1:$1048576,0,14),INDEX(REPORT_FR2052a!$1:$1048576,0,44),"O.D.4",INDEX(REPORT_FR2052a!$1:$1048576,0,43),1,INDEX(REPORT_FR2052a!$1:$1048576,0,26),"Sovereign",INDEX(REPORT_FR2052a!$1:$1048576,0,27),"&lt;&gt;FDIC",INDEX(REPORT_FR2052a!$1:$1048576,0,5),"Bank of China - Combined US Branches and Agencies")</v>
      </c>
      <c r="BJ92" s="142">
        <f>SUMIFS(INDEX(REPORT_FR2052a!$1:$1048576,0,14),INDEX(REPORT_FR2052a!$1:$1048576,0,44),"O.D.4",INDEX(REPORT_FR2052a!$1:$1048576,0,43),1,INDEX(REPORT_FR2052a!$1:$1048576,0,26),"Sovereign",INDEX(REPORT_FR2052a!$1:$1048576,0,27),"&lt;&gt;FDIC",INDEX(REPORT_FR2052a!$1:$1048576,0,5),"Bank of China - Combined US Branches and Agencies")</f>
        <v>367.56</v>
      </c>
      <c r="BK92" s="143">
        <f t="shared" si="19"/>
        <v>0</v>
      </c>
    </row>
    <row r="93" spans="1:63">
      <c r="A93" s="136">
        <v>54</v>
      </c>
      <c r="B93" s="137" t="str">
        <f>IFERROR(INDEX('LCR TYPE EXPLAIN'!B:B,MATCH(A93,'LCR TYPE EXPLAIN'!A:A,0)),"")</f>
        <v>Not Fully Insured Operational Deposits (§.32(h)(4))</v>
      </c>
      <c r="F93" s="137" t="s">
        <v>331</v>
      </c>
      <c r="G93" s="138" t="s">
        <v>393</v>
      </c>
      <c r="H93" s="137" t="str">
        <f t="shared" si="199"/>
        <v>,INDEX(REPORT_FR2052a!$1:$1048576,0,44),"O.D.4"</v>
      </c>
      <c r="I93" s="137" t="s">
        <v>331</v>
      </c>
      <c r="J93" s="137">
        <v>1</v>
      </c>
      <c r="K93" s="137" t="str">
        <f t="shared" si="174"/>
        <v>,INDEX(REPORT_FR2052a!$1:$1048576,0,43),1</v>
      </c>
      <c r="N93" s="137" t="str">
        <f t="shared" si="175"/>
        <v/>
      </c>
      <c r="Q93" s="137" t="str">
        <f t="shared" si="3"/>
        <v/>
      </c>
      <c r="T93" s="137" t="str">
        <f t="shared" si="176"/>
        <v/>
      </c>
      <c r="V93" s="139"/>
      <c r="W93" s="137" t="str">
        <f t="shared" si="177"/>
        <v/>
      </c>
      <c r="Y93" s="139"/>
      <c r="Z93" s="137" t="str">
        <f t="shared" si="178"/>
        <v/>
      </c>
      <c r="AB93" s="139"/>
      <c r="AC93" s="137" t="str">
        <f t="shared" si="179"/>
        <v/>
      </c>
      <c r="AD93" s="137" t="s">
        <v>331</v>
      </c>
      <c r="AE93" s="140" t="s">
        <v>759</v>
      </c>
      <c r="AF93" s="137" t="str">
        <f t="shared" si="180"/>
        <v>,INDEX(REPORT_FR2052a!$1:$1048576,0,26),"Bank"</v>
      </c>
      <c r="AH93" s="139"/>
      <c r="AI93" s="137" t="str">
        <f t="shared" si="181"/>
        <v/>
      </c>
      <c r="AJ93" s="137" t="s">
        <v>332</v>
      </c>
      <c r="AK93" s="139" t="s">
        <v>154</v>
      </c>
      <c r="AL93" s="137" t="str">
        <f t="shared" si="182"/>
        <v>,INDEX(REPORT_FR2052a!$1:$1048576,0,27),"&lt;&gt;FDIC"</v>
      </c>
      <c r="AO93" s="137" t="str">
        <f t="shared" si="11"/>
        <v/>
      </c>
      <c r="AR93" s="137" t="str">
        <f t="shared" si="214"/>
        <v/>
      </c>
      <c r="AU93" s="137" t="str">
        <f t="shared" si="215"/>
        <v/>
      </c>
      <c r="BA93" s="137" t="s">
        <v>13</v>
      </c>
      <c r="BB93" s="137" t="str">
        <f>"=SUMIFS(INDEX(REPORT_FR2052a!$1:$1048576,0,"&amp;(MATCH(BA93,REPORT_FR2052a!$1:$1,0))&amp;")"</f>
        <v>=SUMIFS(INDEX(REPORT_FR2052a!$1:$1048576,0,14)</v>
      </c>
      <c r="BC93" s="137" t="str">
        <f t="shared" si="198"/>
        <v>=SUMIFS(INDEX(REPORT_FR2052a!$1:$1048576,0,14),INDEX(REPORT_FR2052a!$1:$1048576,0,44),"O.D.4",INDEX(REPORT_FR2052a!$1:$1048576,0,43),1,INDEX(REPORT_FR2052a!$1:$1048576,0,26),"Bank",INDEX(REPORT_FR2052a!$1:$1048576,0,27),"&lt;&gt;FDIC")</v>
      </c>
      <c r="BD93" s="141">
        <f>SUMIFS(INDEX(REPORT_FR2052a!$1:$1048576,0,14),INDEX(REPORT_FR2052a!$1:$1048576,0,44),"O.D.4",INDEX(REPORT_FR2052a!$1:$1048576,0,43),1,INDEX(REPORT_FR2052a!$1:$1048576,0,26),"Bank",INDEX(REPORT_FR2052a!$1:$1048576,0,27),"&lt;&gt;FDIC")</f>
        <v>11846.510000000002</v>
      </c>
      <c r="BE93" s="137" t="s">
        <v>331</v>
      </c>
      <c r="BF93" s="139" t="s">
        <v>47</v>
      </c>
      <c r="BG93" s="137" t="str">
        <f t="shared" si="183"/>
        <v>,INDEX(REPORT_FR2052a!$1:$1048576,0,5),"Bank of China - Combined US Branches and Agencies"</v>
      </c>
      <c r="BI93" s="137" t="str">
        <f t="shared" si="18"/>
        <v>=SUMIFS(INDEX(REPORT_FR2052a!$1:$1048576,0,14),INDEX(REPORT_FR2052a!$1:$1048576,0,44),"O.D.4",INDEX(REPORT_FR2052a!$1:$1048576,0,43),1,INDEX(REPORT_FR2052a!$1:$1048576,0,26),"Bank",INDEX(REPORT_FR2052a!$1:$1048576,0,27),"&lt;&gt;FDIC",INDEX(REPORT_FR2052a!$1:$1048576,0,5),"Bank of China - Combined US Branches and Agencies")</v>
      </c>
      <c r="BJ93" s="142">
        <f>SUMIFS(INDEX(REPORT_FR2052a!$1:$1048576,0,14),INDEX(REPORT_FR2052a!$1:$1048576,0,44),"O.D.4",INDEX(REPORT_FR2052a!$1:$1048576,0,43),1,INDEX(REPORT_FR2052a!$1:$1048576,0,26),"Bank",INDEX(REPORT_FR2052a!$1:$1048576,0,27),"&lt;&gt;FDIC",INDEX(REPORT_FR2052a!$1:$1048576,0,5),"Bank of China - Combined US Branches and Agencies")</f>
        <v>11846.510000000002</v>
      </c>
      <c r="BK93" s="143">
        <f t="shared" si="19"/>
        <v>0</v>
      </c>
    </row>
    <row r="94" spans="1:63">
      <c r="A94" s="136">
        <v>54</v>
      </c>
      <c r="B94" s="137" t="str">
        <f>IFERROR(INDEX('LCR TYPE EXPLAIN'!B:B,MATCH(A94,'LCR TYPE EXPLAIN'!A:A,0)),"")</f>
        <v>Not Fully Insured Operational Deposits (§.32(h)(4))</v>
      </c>
      <c r="F94" s="137" t="s">
        <v>331</v>
      </c>
      <c r="G94" s="138" t="s">
        <v>393</v>
      </c>
      <c r="H94" s="137" t="str">
        <f t="shared" si="199"/>
        <v>,INDEX(REPORT_FR2052a!$1:$1048576,0,44),"O.D.4"</v>
      </c>
      <c r="I94" s="137" t="s">
        <v>331</v>
      </c>
      <c r="J94" s="137">
        <v>1</v>
      </c>
      <c r="K94" s="137" t="str">
        <f t="shared" si="174"/>
        <v>,INDEX(REPORT_FR2052a!$1:$1048576,0,43),1</v>
      </c>
      <c r="N94" s="137" t="str">
        <f t="shared" si="175"/>
        <v/>
      </c>
      <c r="Q94" s="137" t="str">
        <f t="shared" si="3"/>
        <v/>
      </c>
      <c r="T94" s="137" t="str">
        <f t="shared" si="176"/>
        <v/>
      </c>
      <c r="V94" s="139"/>
      <c r="W94" s="137" t="str">
        <f t="shared" si="177"/>
        <v/>
      </c>
      <c r="Y94" s="139"/>
      <c r="Z94" s="137" t="str">
        <f t="shared" si="178"/>
        <v/>
      </c>
      <c r="AB94" s="139"/>
      <c r="AC94" s="137" t="str">
        <f t="shared" si="179"/>
        <v/>
      </c>
      <c r="AD94" s="137" t="s">
        <v>331</v>
      </c>
      <c r="AE94" s="140" t="s">
        <v>116</v>
      </c>
      <c r="AF94" s="137" t="str">
        <f t="shared" si="180"/>
        <v>,INDEX(REPORT_FR2052a!$1:$1048576,0,26),"Supervised Non-Bank Financial Entity"</v>
      </c>
      <c r="AH94" s="139"/>
      <c r="AI94" s="137" t="str">
        <f t="shared" si="181"/>
        <v/>
      </c>
      <c r="AJ94" s="137" t="s">
        <v>332</v>
      </c>
      <c r="AK94" s="139" t="s">
        <v>154</v>
      </c>
      <c r="AL94" s="137" t="str">
        <f t="shared" si="182"/>
        <v>,INDEX(REPORT_FR2052a!$1:$1048576,0,27),"&lt;&gt;FDIC"</v>
      </c>
      <c r="AO94" s="137" t="str">
        <f t="shared" si="11"/>
        <v/>
      </c>
      <c r="AR94" s="137" t="str">
        <f t="shared" si="214"/>
        <v/>
      </c>
      <c r="AU94" s="137" t="str">
        <f t="shared" si="215"/>
        <v/>
      </c>
      <c r="BA94" s="137" t="s">
        <v>13</v>
      </c>
      <c r="BB94" s="137" t="str">
        <f>"=SUMIFS(INDEX(REPORT_FR2052a!$1:$1048576,0,"&amp;(MATCH(BA94,REPORT_FR2052a!$1:$1,0))&amp;")"</f>
        <v>=SUMIFS(INDEX(REPORT_FR2052a!$1:$1048576,0,14)</v>
      </c>
      <c r="BC94" s="137" t="str">
        <f t="shared" si="198"/>
        <v>=SUMIFS(INDEX(REPORT_FR2052a!$1:$1048576,0,14),INDEX(REPORT_FR2052a!$1:$1048576,0,44),"O.D.4",INDEX(REPORT_FR2052a!$1:$1048576,0,43),1,INDEX(REPORT_FR2052a!$1:$1048576,0,26),"Supervised Non-Bank Financial Entity",INDEX(REPORT_FR2052a!$1:$1048576,0,27),"&lt;&gt;FDIC")</v>
      </c>
      <c r="BD94" s="141">
        <f>SUMIFS(INDEX(REPORT_FR2052a!$1:$1048576,0,14),INDEX(REPORT_FR2052a!$1:$1048576,0,44),"O.D.4",INDEX(REPORT_FR2052a!$1:$1048576,0,43),1,INDEX(REPORT_FR2052a!$1:$1048576,0,26),"Supervised Non-Bank Financial Entity",INDEX(REPORT_FR2052a!$1:$1048576,0,27),"&lt;&gt;FDIC")</f>
        <v>1348.08</v>
      </c>
      <c r="BE94" s="137" t="s">
        <v>331</v>
      </c>
      <c r="BF94" s="139" t="s">
        <v>47</v>
      </c>
      <c r="BG94" s="137" t="str">
        <f t="shared" si="183"/>
        <v>,INDEX(REPORT_FR2052a!$1:$1048576,0,5),"Bank of China - Combined US Branches and Agencies"</v>
      </c>
      <c r="BI94" s="137" t="str">
        <f t="shared" si="18"/>
        <v>=SUMIFS(INDEX(REPORT_FR2052a!$1:$1048576,0,14),INDEX(REPORT_FR2052a!$1:$1048576,0,44),"O.D.4",INDEX(REPORT_FR2052a!$1:$1048576,0,43),1,INDEX(REPORT_FR2052a!$1:$1048576,0,26),"Supervised Non-Bank Financial Entity",INDEX(REPORT_FR2052a!$1:$1048576,0,27),"&lt;&gt;FDIC",INDEX(REPORT_FR2052a!$1:$1048576,0,5),"Bank of China - Combined US Branches and Agencies")</v>
      </c>
      <c r="BJ94" s="142">
        <f>SUMIFS(INDEX(REPORT_FR2052a!$1:$1048576,0,14),INDEX(REPORT_FR2052a!$1:$1048576,0,44),"O.D.4",INDEX(REPORT_FR2052a!$1:$1048576,0,43),1,INDEX(REPORT_FR2052a!$1:$1048576,0,26),"Supervised Non-Bank Financial Entity",INDEX(REPORT_FR2052a!$1:$1048576,0,27),"&lt;&gt;FDIC",INDEX(REPORT_FR2052a!$1:$1048576,0,5),"Bank of China - Combined US Branches and Agencies")</f>
        <v>1348.08</v>
      </c>
      <c r="BK94" s="143">
        <f t="shared" si="19"/>
        <v>0</v>
      </c>
    </row>
    <row r="95" spans="1:63">
      <c r="A95" s="136">
        <v>54</v>
      </c>
      <c r="B95" s="137" t="str">
        <f>IFERROR(INDEX('LCR TYPE EXPLAIN'!B:B,MATCH(A95,'LCR TYPE EXPLAIN'!A:A,0)),"")</f>
        <v>Not Fully Insured Operational Deposits (§.32(h)(4))</v>
      </c>
      <c r="F95" s="137" t="s">
        <v>331</v>
      </c>
      <c r="G95" s="138" t="s">
        <v>393</v>
      </c>
      <c r="H95" s="137" t="str">
        <f t="shared" si="199"/>
        <v>,INDEX(REPORT_FR2052a!$1:$1048576,0,44),"O.D.4"</v>
      </c>
      <c r="I95" s="137" t="s">
        <v>331</v>
      </c>
      <c r="J95" s="137">
        <v>1</v>
      </c>
      <c r="K95" s="137" t="str">
        <f t="shared" si="174"/>
        <v>,INDEX(REPORT_FR2052a!$1:$1048576,0,43),1</v>
      </c>
      <c r="N95" s="137" t="str">
        <f t="shared" si="175"/>
        <v/>
      </c>
      <c r="Q95" s="137" t="str">
        <f t="shared" si="3"/>
        <v/>
      </c>
      <c r="T95" s="137" t="str">
        <f t="shared" si="176"/>
        <v/>
      </c>
      <c r="V95" s="139"/>
      <c r="W95" s="137" t="str">
        <f t="shared" si="177"/>
        <v/>
      </c>
      <c r="Y95" s="139"/>
      <c r="Z95" s="137" t="str">
        <f t="shared" si="178"/>
        <v/>
      </c>
      <c r="AB95" s="139"/>
      <c r="AC95" s="137" t="str">
        <f t="shared" si="179"/>
        <v/>
      </c>
      <c r="AD95" s="137" t="s">
        <v>331</v>
      </c>
      <c r="AE95" s="140" t="s">
        <v>158</v>
      </c>
      <c r="AF95" s="137" t="str">
        <f t="shared" si="180"/>
        <v>,INDEX(REPORT_FR2052a!$1:$1048576,0,26),"Central Bank"</v>
      </c>
      <c r="AH95" s="139"/>
      <c r="AI95" s="137" t="str">
        <f t="shared" si="181"/>
        <v/>
      </c>
      <c r="AJ95" s="137" t="s">
        <v>332</v>
      </c>
      <c r="AK95" s="139" t="s">
        <v>154</v>
      </c>
      <c r="AL95" s="137" t="str">
        <f t="shared" si="182"/>
        <v>,INDEX(REPORT_FR2052a!$1:$1048576,0,27),"&lt;&gt;FDIC"</v>
      </c>
      <c r="AO95" s="137" t="str">
        <f t="shared" si="11"/>
        <v/>
      </c>
      <c r="AR95" s="137" t="str">
        <f t="shared" si="214"/>
        <v/>
      </c>
      <c r="AU95" s="137" t="str">
        <f t="shared" si="215"/>
        <v/>
      </c>
      <c r="BA95" s="137" t="s">
        <v>13</v>
      </c>
      <c r="BB95" s="137" t="str">
        <f>"=SUMIFS(INDEX(REPORT_FR2052a!$1:$1048576,0,"&amp;(MATCH(BA95,REPORT_FR2052a!$1:$1,0))&amp;")"</f>
        <v>=SUMIFS(INDEX(REPORT_FR2052a!$1:$1048576,0,14)</v>
      </c>
      <c r="BC95" s="137" t="str">
        <f t="shared" si="198"/>
        <v>=SUMIFS(INDEX(REPORT_FR2052a!$1:$1048576,0,14),INDEX(REPORT_FR2052a!$1:$1048576,0,44),"O.D.4",INDEX(REPORT_FR2052a!$1:$1048576,0,43),1,INDEX(REPORT_FR2052a!$1:$1048576,0,26),"Central Bank",INDEX(REPORT_FR2052a!$1:$1048576,0,27),"&lt;&gt;FDIC")</v>
      </c>
      <c r="BD95" s="141">
        <f>SUMIFS(INDEX(REPORT_FR2052a!$1:$1048576,0,14),INDEX(REPORT_FR2052a!$1:$1048576,0,44),"O.D.4",INDEX(REPORT_FR2052a!$1:$1048576,0,43),1,INDEX(REPORT_FR2052a!$1:$1048576,0,26),"Central Bank",INDEX(REPORT_FR2052a!$1:$1048576,0,27),"&lt;&gt;FDIC")</f>
        <v>5145.4799999999996</v>
      </c>
      <c r="BE95" s="137" t="s">
        <v>331</v>
      </c>
      <c r="BF95" s="139" t="s">
        <v>47</v>
      </c>
      <c r="BG95" s="137" t="str">
        <f t="shared" si="183"/>
        <v>,INDEX(REPORT_FR2052a!$1:$1048576,0,5),"Bank of China - Combined US Branches and Agencies"</v>
      </c>
      <c r="BI95" s="137" t="str">
        <f t="shared" si="18"/>
        <v>=SUMIFS(INDEX(REPORT_FR2052a!$1:$1048576,0,14),INDEX(REPORT_FR2052a!$1:$1048576,0,44),"O.D.4",INDEX(REPORT_FR2052a!$1:$1048576,0,43),1,INDEX(REPORT_FR2052a!$1:$1048576,0,26),"Central Bank",INDEX(REPORT_FR2052a!$1:$1048576,0,27),"&lt;&gt;FDIC",INDEX(REPORT_FR2052a!$1:$1048576,0,5),"Bank of China - Combined US Branches and Agencies")</v>
      </c>
      <c r="BJ95" s="142">
        <f>SUMIFS(INDEX(REPORT_FR2052a!$1:$1048576,0,14),INDEX(REPORT_FR2052a!$1:$1048576,0,44),"O.D.4",INDEX(REPORT_FR2052a!$1:$1048576,0,43),1,INDEX(REPORT_FR2052a!$1:$1048576,0,26),"Central Bank",INDEX(REPORT_FR2052a!$1:$1048576,0,27),"&lt;&gt;FDIC",INDEX(REPORT_FR2052a!$1:$1048576,0,5),"Bank of China - Combined US Branches and Agencies")</f>
        <v>5145.4799999999996</v>
      </c>
      <c r="BK95" s="143">
        <f t="shared" si="19"/>
        <v>0</v>
      </c>
    </row>
    <row r="96" spans="1:63">
      <c r="A96" s="136">
        <v>54</v>
      </c>
      <c r="B96" s="137" t="str">
        <f>IFERROR(INDEX('LCR TYPE EXPLAIN'!B:B,MATCH(A96,'LCR TYPE EXPLAIN'!A:A,0)),"")</f>
        <v>Not Fully Insured Operational Deposits (§.32(h)(4))</v>
      </c>
      <c r="F96" s="137" t="s">
        <v>331</v>
      </c>
      <c r="G96" s="138" t="s">
        <v>393</v>
      </c>
      <c r="H96" s="137" t="str">
        <f t="shared" si="199"/>
        <v>,INDEX(REPORT_FR2052a!$1:$1048576,0,44),"O.D.4"</v>
      </c>
      <c r="I96" s="137" t="s">
        <v>331</v>
      </c>
      <c r="J96" s="137">
        <v>1</v>
      </c>
      <c r="K96" s="137" t="str">
        <f t="shared" ref="K96" si="318">IF(I96="","",",INDEX(REPORT_FR2052a!$1:$1048576,0,"&amp;K$2&amp;"),"&amp;IF(ISTEXT(J96),CHAR(34),"")&amp;IF(I96="is","",""&amp;"&lt;&gt;")&amp;J96&amp;IF(ISTEXT(J96),CHAR(34),""))</f>
        <v>,INDEX(REPORT_FR2052a!$1:$1048576,0,43),1</v>
      </c>
      <c r="N96" s="137" t="str">
        <f t="shared" ref="N96" si="319">IF(L96="","",",INDEX(REPORT_FR2052a!$1:$1048576,0,"&amp;N$2&amp;"),"&amp;IF(ISTEXT(M96),CHAR(34),"")&amp;IF(L96="is","",""&amp;"&lt;&gt;")&amp;M96&amp;IF(ISTEXT(M96),CHAR(34),""))</f>
        <v/>
      </c>
      <c r="Q96" s="137" t="str">
        <f t="shared" ref="Q96" si="320">IF(O96="","",",INDEX(REPORT_FR2052a!$1:$1048576,0,"&amp;Q$2&amp;"),"&amp;IF(OR(ISTEXT(P96),ISBLANK(P96)),CHAR(34),"")&amp;IF(O96="is","",""&amp;"&lt;&gt;")&amp;P96&amp;IF(OR(ISTEXT(P96),ISBLANK(P96)),CHAR(34),""))</f>
        <v/>
      </c>
      <c r="T96" s="137" t="str">
        <f t="shared" ref="T96" si="321">IF(R96="","",",INDEX(REPORT_FR2052a!$1:$1048576,0,"&amp;T$2&amp;"),"&amp;IF(ISTEXT(S96),CHAR(34),"")&amp;IF(R96="is","",""&amp;"&lt;&gt;")&amp;S96&amp;IF(ISTEXT(S96),CHAR(34),""))</f>
        <v/>
      </c>
      <c r="V96" s="139"/>
      <c r="W96" s="137" t="str">
        <f t="shared" ref="W96" si="322">IF(U96="","",",INDEX(REPORT_FR2052a!$1:$1048576,0,"&amp;W$2&amp;"),"&amp;IF(ISTEXT(V96),CHAR(34),"")&amp;IF(U96="is","",""&amp;"&lt;&gt;")&amp;V96&amp;IF(ISTEXT(V96),CHAR(34),""))</f>
        <v/>
      </c>
      <c r="Y96" s="139"/>
      <c r="Z96" s="137" t="str">
        <f t="shared" ref="Z96" si="323">IF(X96="","",",INDEX(REPORT_FR2052a!$1:$1048576,0,"&amp;Z$2&amp;"),"&amp;IF(ISTEXT(Y96),CHAR(34),"")&amp;IF(X96="is","",""&amp;"&lt;&gt;")&amp;Y96&amp;IF(ISTEXT(Y96),CHAR(34),""))</f>
        <v/>
      </c>
      <c r="AB96" s="139"/>
      <c r="AC96" s="137" t="str">
        <f t="shared" ref="AC96" si="324">IF(AA96="","",",INDEX(REPORT_FR2052a!$1:$1048576,0,"&amp;AC$2&amp;"),"&amp;IF(ISTEXT(AB96),CHAR(34),"")&amp;IF(AA96="is","",""&amp;"&lt;&gt;")&amp;AB96&amp;IF(ISTEXT(AB96),CHAR(34),""))</f>
        <v/>
      </c>
      <c r="AD96" s="137" t="s">
        <v>331</v>
      </c>
      <c r="AE96" s="140" t="s">
        <v>136</v>
      </c>
      <c r="AF96" s="137" t="str">
        <f t="shared" ref="AF96" si="325">IF(AD96="","",",INDEX(REPORT_FR2052a!$1:$1048576,0,"&amp;AF$2&amp;"),"&amp;IF(ISTEXT(AE96),CHAR(34),"")&amp;IF(AD96="is","",""&amp;"&lt;&gt;")&amp;AE96&amp;IF(ISTEXT(AE96),CHAR(34),""))</f>
        <v>,INDEX(REPORT_FR2052a!$1:$1048576,0,26),"Other"</v>
      </c>
      <c r="AH96" s="139"/>
      <c r="AI96" s="137" t="str">
        <f t="shared" ref="AI96" si="326">IF(AG96="","",",INDEX(REPORT_FR2052a!$1:$1048576,0,"&amp;AI$2&amp;"),"&amp;IF(ISTEXT(AH96),CHAR(34),"")&amp;IF(AG96="is","",""&amp;"&lt;&gt;")&amp;AH96&amp;IF(ISTEXT(AH96),CHAR(34),""))</f>
        <v/>
      </c>
      <c r="AJ96" s="137" t="s">
        <v>332</v>
      </c>
      <c r="AK96" s="139" t="s">
        <v>154</v>
      </c>
      <c r="AL96" s="137" t="str">
        <f t="shared" ref="AL96" si="327">IF(AJ96="","",",INDEX(REPORT_FR2052a!$1:$1048576,0,"&amp;AL$2&amp;"),"&amp;IF(ISTEXT(AK96),CHAR(34),"")&amp;IF(AJ96="is","",""&amp;"&lt;&gt;")&amp;AK96&amp;IF(ISTEXT(AK96),CHAR(34),""))</f>
        <v>,INDEX(REPORT_FR2052a!$1:$1048576,0,27),"&lt;&gt;FDIC"</v>
      </c>
      <c r="AO96" s="137" t="str">
        <f t="shared" ref="AO96" si="328">IF(AM96="","",",INDEX(REPORT_FR2052a!$1:$1048576,0,"&amp;AO$2&amp;"),"&amp;IF(ISTEXT(AN96),CHAR(34),"")&amp;IF(AM96="is","",""&amp;"&lt;&gt;")&amp;AN96&amp;IF(ISTEXT(AN96),CHAR(34),""))</f>
        <v/>
      </c>
      <c r="AR96" s="137" t="str">
        <f t="shared" si="214"/>
        <v/>
      </c>
      <c r="AU96" s="137" t="str">
        <f t="shared" si="215"/>
        <v/>
      </c>
      <c r="BA96" s="137" t="s">
        <v>13</v>
      </c>
      <c r="BB96" s="137" t="str">
        <f>"=SUMIFS(INDEX(REPORT_FR2052a!$1:$1048576,0,"&amp;(MATCH(BA96,REPORT_FR2052a!$1:$1,0))&amp;")"</f>
        <v>=SUMIFS(INDEX(REPORT_FR2052a!$1:$1048576,0,14)</v>
      </c>
      <c r="BC96" s="137" t="str">
        <f t="shared" si="198"/>
        <v>=SUMIFS(INDEX(REPORT_FR2052a!$1:$1048576,0,14),INDEX(REPORT_FR2052a!$1:$1048576,0,44),"O.D.4",INDEX(REPORT_FR2052a!$1:$1048576,0,43),1,INDEX(REPORT_FR2052a!$1:$1048576,0,26),"Other",INDEX(REPORT_FR2052a!$1:$1048576,0,27),"&lt;&gt;FDIC")</v>
      </c>
      <c r="BD96" s="141">
        <f>SUMIFS(INDEX(REPORT_FR2052a!$1:$1048576,0,14),INDEX(REPORT_FR2052a!$1:$1048576,0,44),"O.D.4",INDEX(REPORT_FR2052a!$1:$1048576,0,43),1,INDEX(REPORT_FR2052a!$1:$1048576,0,26),"Other",INDEX(REPORT_FR2052a!$1:$1048576,0,27),"&lt;&gt;FDIC")</f>
        <v>0</v>
      </c>
      <c r="BE96" s="137" t="s">
        <v>331</v>
      </c>
      <c r="BF96" s="139" t="s">
        <v>47</v>
      </c>
      <c r="BG96" s="137" t="str">
        <f t="shared" ref="BG96" si="329">IF(BE96="","",",INDEX(REPORT_FR2052a!$1:$1048576,0,"&amp;BG$2&amp;"),"&amp;IF(ISTEXT(BF96),CHAR(34),"")&amp;IF(BE96="is","",""&amp;"&lt;&gt;")&amp;BF96&amp;IF(ISTEXT(BF96),CHAR(34),""))</f>
        <v>,INDEX(REPORT_FR2052a!$1:$1048576,0,5),"Bank of China - Combined US Branches and Agencies"</v>
      </c>
      <c r="BI96" s="137" t="str">
        <f t="shared" ref="BI96" si="330">LEFT(BC96,LEN(BC96)-1)&amp;BG96&amp;")"</f>
        <v>=SUMIFS(INDEX(REPORT_FR2052a!$1:$1048576,0,14),INDEX(REPORT_FR2052a!$1:$1048576,0,44),"O.D.4",INDEX(REPORT_FR2052a!$1:$1048576,0,43),1,INDEX(REPORT_FR2052a!$1:$1048576,0,26),"Other",INDEX(REPORT_FR2052a!$1:$1048576,0,27),"&lt;&gt;FDIC",INDEX(REPORT_FR2052a!$1:$1048576,0,5),"Bank of China - Combined US Branches and Agencies")</v>
      </c>
      <c r="BJ96" s="142">
        <f>SUMIFS(INDEX(REPORT_FR2052a!$1:$1048576,0,14),INDEX(REPORT_FR2052a!$1:$1048576,0,44),"O.D.4",INDEX(REPORT_FR2052a!$1:$1048576,0,43),1,INDEX(REPORT_FR2052a!$1:$1048576,0,26),"Other",INDEX(REPORT_FR2052a!$1:$1048576,0,27),"&lt;&gt;FDIC",INDEX(REPORT_FR2052a!$1:$1048576,0,5),"Bank of China - Combined US Branches and Agencies")</f>
        <v>0</v>
      </c>
      <c r="BK96" s="143">
        <f t="shared" ref="BK96" si="331">BD96-BJ96</f>
        <v>0</v>
      </c>
    </row>
    <row r="97" spans="1:63">
      <c r="A97" s="136">
        <v>55</v>
      </c>
      <c r="B97" s="137" t="str">
        <f>IFERROR(INDEX('LCR TYPE EXPLAIN'!B:B,MATCH(A97,'LCR TYPE EXPLAIN'!A:A,0)),"")</f>
        <v>Not Fully Insured Operational Deposits (§.32(h)(4))</v>
      </c>
      <c r="F97" s="137" t="s">
        <v>331</v>
      </c>
      <c r="G97" s="138" t="s">
        <v>333</v>
      </c>
      <c r="H97" s="137" t="str">
        <f t="shared" si="199"/>
        <v>,INDEX(REPORT_FR2052a!$1:$1048576,0,44),"O.D.6"</v>
      </c>
      <c r="I97" s="137" t="s">
        <v>331</v>
      </c>
      <c r="J97" s="137">
        <v>1</v>
      </c>
      <c r="K97" s="137" t="str">
        <f t="shared" si="174"/>
        <v>,INDEX(REPORT_FR2052a!$1:$1048576,0,43),1</v>
      </c>
      <c r="N97" s="137" t="str">
        <f t="shared" si="175"/>
        <v/>
      </c>
      <c r="Q97" s="137" t="str">
        <f t="shared" si="3"/>
        <v/>
      </c>
      <c r="T97" s="137" t="str">
        <f t="shared" si="176"/>
        <v/>
      </c>
      <c r="V97" s="139"/>
      <c r="W97" s="137" t="str">
        <f t="shared" si="177"/>
        <v/>
      </c>
      <c r="Y97" s="139"/>
      <c r="Z97" s="137" t="str">
        <f t="shared" si="178"/>
        <v/>
      </c>
      <c r="AB97" s="139"/>
      <c r="AC97" s="137" t="str">
        <f t="shared" si="179"/>
        <v/>
      </c>
      <c r="AD97" s="137" t="s">
        <v>331</v>
      </c>
      <c r="AE97" s="140" t="s">
        <v>84</v>
      </c>
      <c r="AF97" s="137" t="str">
        <f t="shared" si="180"/>
        <v>,INDEX(REPORT_FR2052a!$1:$1048576,0,26),"Non-Financial Corporate"</v>
      </c>
      <c r="AH97" s="139"/>
      <c r="AI97" s="137" t="str">
        <f t="shared" si="181"/>
        <v/>
      </c>
      <c r="AK97" s="139"/>
      <c r="AL97" s="137" t="str">
        <f t="shared" si="182"/>
        <v/>
      </c>
      <c r="AO97" s="137" t="str">
        <f t="shared" si="11"/>
        <v/>
      </c>
      <c r="AR97" s="137" t="str">
        <f t="shared" si="214"/>
        <v/>
      </c>
      <c r="AU97" s="137" t="str">
        <f t="shared" si="215"/>
        <v/>
      </c>
      <c r="BA97" s="137" t="s">
        <v>13</v>
      </c>
      <c r="BB97" s="137" t="str">
        <f>"=SUMIFS(INDEX(REPORT_FR2052a!$1:$1048576,0,"&amp;(MATCH(BA97,REPORT_FR2052a!$1:$1,0))&amp;")"</f>
        <v>=SUMIFS(INDEX(REPORT_FR2052a!$1:$1048576,0,14)</v>
      </c>
      <c r="BC97" s="137" t="str">
        <f t="shared" si="198"/>
        <v>=SUMIFS(INDEX(REPORT_FR2052a!$1:$1048576,0,14),INDEX(REPORT_FR2052a!$1:$1048576,0,44),"O.D.6",INDEX(REPORT_FR2052a!$1:$1048576,0,43),1,INDEX(REPORT_FR2052a!$1:$1048576,0,26),"Non-Financial Corporate")</v>
      </c>
      <c r="BD97" s="141">
        <f>SUMIFS(INDEX(REPORT_FR2052a!$1:$1048576,0,14),INDEX(REPORT_FR2052a!$1:$1048576,0,44),"O.D.6",INDEX(REPORT_FR2052a!$1:$1048576,0,43),1,INDEX(REPORT_FR2052a!$1:$1048576,0,26),"Non-Financial Corporate")</f>
        <v>147.19999999999999</v>
      </c>
      <c r="BE97" s="137" t="s">
        <v>331</v>
      </c>
      <c r="BF97" s="139" t="s">
        <v>47</v>
      </c>
      <c r="BG97" s="137" t="str">
        <f t="shared" si="183"/>
        <v>,INDEX(REPORT_FR2052a!$1:$1048576,0,5),"Bank of China - Combined US Branches and Agencies"</v>
      </c>
      <c r="BI97" s="137" t="str">
        <f t="shared" si="18"/>
        <v>=SUMIFS(INDEX(REPORT_FR2052a!$1:$1048576,0,14),INDEX(REPORT_FR2052a!$1:$1048576,0,44),"O.D.6",INDEX(REPORT_FR2052a!$1:$1048576,0,43),1,INDEX(REPORT_FR2052a!$1:$1048576,0,26),"Non-Financial Corporate",INDEX(REPORT_FR2052a!$1:$1048576,0,5),"Bank of China - Combined US Branches and Agencies")</v>
      </c>
      <c r="BJ97" s="142">
        <f>SUMIFS(INDEX(REPORT_FR2052a!$1:$1048576,0,14),INDEX(REPORT_FR2052a!$1:$1048576,0,44),"O.D.6",INDEX(REPORT_FR2052a!$1:$1048576,0,43),1,INDEX(REPORT_FR2052a!$1:$1048576,0,26),"Non-Financial Corporate",INDEX(REPORT_FR2052a!$1:$1048576,0,5),"Bank of China - Combined US Branches and Agencies")</f>
        <v>147.19999999999999</v>
      </c>
      <c r="BK97" s="143">
        <f t="shared" si="19"/>
        <v>0</v>
      </c>
    </row>
    <row r="98" spans="1:63">
      <c r="A98" s="136">
        <v>55</v>
      </c>
      <c r="B98" s="137" t="str">
        <f>IFERROR(INDEX('LCR TYPE EXPLAIN'!B:B,MATCH(A98,'LCR TYPE EXPLAIN'!A:A,0)),"")</f>
        <v>Not Fully Insured Operational Deposits (§.32(h)(4))</v>
      </c>
      <c r="F98" s="137" t="s">
        <v>331</v>
      </c>
      <c r="G98" s="138" t="s">
        <v>333</v>
      </c>
      <c r="H98" s="137" t="str">
        <f t="shared" si="199"/>
        <v>,INDEX(REPORT_FR2052a!$1:$1048576,0,44),"O.D.6"</v>
      </c>
      <c r="I98" s="137" t="s">
        <v>331</v>
      </c>
      <c r="J98" s="137">
        <v>1</v>
      </c>
      <c r="K98" s="137" t="str">
        <f t="shared" ref="K98" si="332">IF(I98="","",",INDEX(REPORT_FR2052a!$1:$1048576,0,"&amp;K$2&amp;"),"&amp;IF(ISTEXT(J98),CHAR(34),"")&amp;IF(I98="is","",""&amp;"&lt;&gt;")&amp;J98&amp;IF(ISTEXT(J98),CHAR(34),""))</f>
        <v>,INDEX(REPORT_FR2052a!$1:$1048576,0,43),1</v>
      </c>
      <c r="N98" s="137" t="str">
        <f t="shared" ref="N98" si="333">IF(L98="","",",INDEX(REPORT_FR2052a!$1:$1048576,0,"&amp;N$2&amp;"),"&amp;IF(ISTEXT(M98),CHAR(34),"")&amp;IF(L98="is","",""&amp;"&lt;&gt;")&amp;M98&amp;IF(ISTEXT(M98),CHAR(34),""))</f>
        <v/>
      </c>
      <c r="Q98" s="137" t="str">
        <f t="shared" ref="Q98" si="334">IF(O98="","",",INDEX(REPORT_FR2052a!$1:$1048576,0,"&amp;Q$2&amp;"),"&amp;IF(OR(ISTEXT(P98),ISBLANK(P98)),CHAR(34),"")&amp;IF(O98="is","",""&amp;"&lt;&gt;")&amp;P98&amp;IF(OR(ISTEXT(P98),ISBLANK(P98)),CHAR(34),""))</f>
        <v/>
      </c>
      <c r="T98" s="137" t="str">
        <f t="shared" ref="T98" si="335">IF(R98="","",",INDEX(REPORT_FR2052a!$1:$1048576,0,"&amp;T$2&amp;"),"&amp;IF(ISTEXT(S98),CHAR(34),"")&amp;IF(R98="is","",""&amp;"&lt;&gt;")&amp;S98&amp;IF(ISTEXT(S98),CHAR(34),""))</f>
        <v/>
      </c>
      <c r="V98" s="139"/>
      <c r="W98" s="137" t="str">
        <f t="shared" ref="W98" si="336">IF(U98="","",",INDEX(REPORT_FR2052a!$1:$1048576,0,"&amp;W$2&amp;"),"&amp;IF(ISTEXT(V98),CHAR(34),"")&amp;IF(U98="is","",""&amp;"&lt;&gt;")&amp;V98&amp;IF(ISTEXT(V98),CHAR(34),""))</f>
        <v/>
      </c>
      <c r="Y98" s="139"/>
      <c r="Z98" s="137" t="str">
        <f t="shared" ref="Z98" si="337">IF(X98="","",",INDEX(REPORT_FR2052a!$1:$1048576,0,"&amp;Z$2&amp;"),"&amp;IF(ISTEXT(Y98),CHAR(34),"")&amp;IF(X98="is","",""&amp;"&lt;&gt;")&amp;Y98&amp;IF(ISTEXT(Y98),CHAR(34),""))</f>
        <v/>
      </c>
      <c r="AB98" s="139"/>
      <c r="AC98" s="137" t="str">
        <f t="shared" ref="AC98" si="338">IF(AA98="","",",INDEX(REPORT_FR2052a!$1:$1048576,0,"&amp;AC$2&amp;"),"&amp;IF(ISTEXT(AB98),CHAR(34),"")&amp;IF(AA98="is","",""&amp;"&lt;&gt;")&amp;AB98&amp;IF(ISTEXT(AB98),CHAR(34),""))</f>
        <v/>
      </c>
      <c r="AD98" s="137" t="s">
        <v>331</v>
      </c>
      <c r="AE98" s="140" t="s">
        <v>122</v>
      </c>
      <c r="AF98" s="137" t="str">
        <f t="shared" ref="AF98" si="339">IF(AD98="","",",INDEX(REPORT_FR2052a!$1:$1048576,0,"&amp;AF$2&amp;"),"&amp;IF(ISTEXT(AE98),CHAR(34),"")&amp;IF(AD98="is","",""&amp;"&lt;&gt;")&amp;AE98&amp;IF(ISTEXT(AE98),CHAR(34),""))</f>
        <v>,INDEX(REPORT_FR2052a!$1:$1048576,0,26),"Retail"</v>
      </c>
      <c r="AH98" s="139"/>
      <c r="AI98" s="137" t="str">
        <f t="shared" ref="AI98" si="340">IF(AG98="","",",INDEX(REPORT_FR2052a!$1:$1048576,0,"&amp;AI$2&amp;"),"&amp;IF(ISTEXT(AH98),CHAR(34),"")&amp;IF(AG98="is","",""&amp;"&lt;&gt;")&amp;AH98&amp;IF(ISTEXT(AH98),CHAR(34),""))</f>
        <v/>
      </c>
      <c r="AK98" s="139"/>
      <c r="AL98" s="137" t="str">
        <f t="shared" ref="AL98" si="341">IF(AJ98="","",",INDEX(REPORT_FR2052a!$1:$1048576,0,"&amp;AL$2&amp;"),"&amp;IF(ISTEXT(AK98),CHAR(34),"")&amp;IF(AJ98="is","",""&amp;"&lt;&gt;")&amp;AK98&amp;IF(ISTEXT(AK98),CHAR(34),""))</f>
        <v/>
      </c>
      <c r="AO98" s="137" t="str">
        <f t="shared" ref="AO98" si="342">IF(AM98="","",",INDEX(REPORT_FR2052a!$1:$1048576,0,"&amp;AO$2&amp;"),"&amp;IF(ISTEXT(AN98),CHAR(34),"")&amp;IF(AM98="is","",""&amp;"&lt;&gt;")&amp;AN98&amp;IF(ISTEXT(AN98),CHAR(34),""))</f>
        <v/>
      </c>
      <c r="AR98" s="137" t="str">
        <f t="shared" si="214"/>
        <v/>
      </c>
      <c r="AU98" s="137" t="str">
        <f t="shared" si="215"/>
        <v/>
      </c>
      <c r="BA98" s="137" t="s">
        <v>13</v>
      </c>
      <c r="BB98" s="137" t="str">
        <f>"=SUMIFS(INDEX(REPORT_FR2052a!$1:$1048576,0,"&amp;(MATCH(BA98,REPORT_FR2052a!$1:$1,0))&amp;")"</f>
        <v>=SUMIFS(INDEX(REPORT_FR2052a!$1:$1048576,0,14)</v>
      </c>
      <c r="BC98" s="137" t="str">
        <f t="shared" si="198"/>
        <v>=SUMIFS(INDEX(REPORT_FR2052a!$1:$1048576,0,14),INDEX(REPORT_FR2052a!$1:$1048576,0,44),"O.D.6",INDEX(REPORT_FR2052a!$1:$1048576,0,43),1,INDEX(REPORT_FR2052a!$1:$1048576,0,26),"Retail")</v>
      </c>
      <c r="BD98" s="141">
        <f>SUMIFS(INDEX(REPORT_FR2052a!$1:$1048576,0,14),INDEX(REPORT_FR2052a!$1:$1048576,0,44),"O.D.6",INDEX(REPORT_FR2052a!$1:$1048576,0,43),1,INDEX(REPORT_FR2052a!$1:$1048576,0,26),"Retail")</f>
        <v>0</v>
      </c>
      <c r="BE98" s="137" t="s">
        <v>331</v>
      </c>
      <c r="BF98" s="139" t="s">
        <v>47</v>
      </c>
      <c r="BG98" s="137" t="str">
        <f t="shared" ref="BG98" si="343">IF(BE98="","",",INDEX(REPORT_FR2052a!$1:$1048576,0,"&amp;BG$2&amp;"),"&amp;IF(ISTEXT(BF98),CHAR(34),"")&amp;IF(BE98="is","",""&amp;"&lt;&gt;")&amp;BF98&amp;IF(ISTEXT(BF98),CHAR(34),""))</f>
        <v>,INDEX(REPORT_FR2052a!$1:$1048576,0,5),"Bank of China - Combined US Branches and Agencies"</v>
      </c>
      <c r="BI98" s="137" t="str">
        <f t="shared" ref="BI98" si="344">LEFT(BC98,LEN(BC98)-1)&amp;BG98&amp;")"</f>
        <v>=SUMIFS(INDEX(REPORT_FR2052a!$1:$1048576,0,14),INDEX(REPORT_FR2052a!$1:$1048576,0,44),"O.D.6",INDEX(REPORT_FR2052a!$1:$1048576,0,43),1,INDEX(REPORT_FR2052a!$1:$1048576,0,26),"Retail",INDEX(REPORT_FR2052a!$1:$1048576,0,5),"Bank of China - Combined US Branches and Agencies")</v>
      </c>
      <c r="BJ98" s="142">
        <f>SUMIFS(INDEX(REPORT_FR2052a!$1:$1048576,0,14),INDEX(REPORT_FR2052a!$1:$1048576,0,44),"O.D.6",INDEX(REPORT_FR2052a!$1:$1048576,0,43),1,INDEX(REPORT_FR2052a!$1:$1048576,0,26),"Retail",INDEX(REPORT_FR2052a!$1:$1048576,0,5),"Bank of China - Combined US Branches and Agencies")</f>
        <v>0</v>
      </c>
      <c r="BK98" s="143">
        <f t="shared" ref="BK98" si="345">BD98-BJ98</f>
        <v>0</v>
      </c>
    </row>
    <row r="99" spans="1:63">
      <c r="A99" s="136">
        <v>55</v>
      </c>
      <c r="B99" s="137" t="str">
        <f>IFERROR(INDEX('LCR TYPE EXPLAIN'!B:B,MATCH(A99,'LCR TYPE EXPLAIN'!A:A,0)),"")</f>
        <v>Not Fully Insured Operational Deposits (§.32(h)(4))</v>
      </c>
      <c r="F99" s="137" t="s">
        <v>331</v>
      </c>
      <c r="G99" s="138" t="s">
        <v>333</v>
      </c>
      <c r="H99" s="137" t="str">
        <f t="shared" si="199"/>
        <v>,INDEX(REPORT_FR2052a!$1:$1048576,0,44),"O.D.6"</v>
      </c>
      <c r="I99" s="137" t="s">
        <v>331</v>
      </c>
      <c r="J99" s="137">
        <v>1</v>
      </c>
      <c r="K99" s="137" t="str">
        <f t="shared" ref="K99:K101" si="346">IF(I99="","",",INDEX(REPORT_FR2052a!$1:$1048576,0,"&amp;K$2&amp;"),"&amp;IF(ISTEXT(J99),CHAR(34),"")&amp;IF(I99="is","",""&amp;"&lt;&gt;")&amp;J99&amp;IF(ISTEXT(J99),CHAR(34),""))</f>
        <v>,INDEX(REPORT_FR2052a!$1:$1048576,0,43),1</v>
      </c>
      <c r="N99" s="137" t="str">
        <f t="shared" ref="N99:N101" si="347">IF(L99="","",",INDEX(REPORT_FR2052a!$1:$1048576,0,"&amp;N$2&amp;"),"&amp;IF(ISTEXT(M99),CHAR(34),"")&amp;IF(L99="is","",""&amp;"&lt;&gt;")&amp;M99&amp;IF(ISTEXT(M99),CHAR(34),""))</f>
        <v/>
      </c>
      <c r="Q99" s="137" t="str">
        <f t="shared" ref="Q99:Q101" si="348">IF(O99="","",",INDEX(REPORT_FR2052a!$1:$1048576,0,"&amp;Q$2&amp;"),"&amp;IF(OR(ISTEXT(P99),ISBLANK(P99)),CHAR(34),"")&amp;IF(O99="is","",""&amp;"&lt;&gt;")&amp;P99&amp;IF(OR(ISTEXT(P99),ISBLANK(P99)),CHAR(34),""))</f>
        <v/>
      </c>
      <c r="T99" s="137" t="str">
        <f t="shared" ref="T99:T101" si="349">IF(R99="","",",INDEX(REPORT_FR2052a!$1:$1048576,0,"&amp;T$2&amp;"),"&amp;IF(ISTEXT(S99),CHAR(34),"")&amp;IF(R99="is","",""&amp;"&lt;&gt;")&amp;S99&amp;IF(ISTEXT(S99),CHAR(34),""))</f>
        <v/>
      </c>
      <c r="V99" s="139"/>
      <c r="W99" s="137" t="str">
        <f t="shared" ref="W99:W101" si="350">IF(U99="","",",INDEX(REPORT_FR2052a!$1:$1048576,0,"&amp;W$2&amp;"),"&amp;IF(ISTEXT(V99),CHAR(34),"")&amp;IF(U99="is","",""&amp;"&lt;&gt;")&amp;V99&amp;IF(ISTEXT(V99),CHAR(34),""))</f>
        <v/>
      </c>
      <c r="Y99" s="139"/>
      <c r="Z99" s="137" t="str">
        <f t="shared" ref="Z99:Z101" si="351">IF(X99="","",",INDEX(REPORT_FR2052a!$1:$1048576,0,"&amp;Z$2&amp;"),"&amp;IF(ISTEXT(Y99),CHAR(34),"")&amp;IF(X99="is","",""&amp;"&lt;&gt;")&amp;Y99&amp;IF(ISTEXT(Y99),CHAR(34),""))</f>
        <v/>
      </c>
      <c r="AB99" s="139"/>
      <c r="AC99" s="137" t="str">
        <f t="shared" ref="AC99:AC101" si="352">IF(AA99="","",",INDEX(REPORT_FR2052a!$1:$1048576,0,"&amp;AC$2&amp;"),"&amp;IF(ISTEXT(AB99),CHAR(34),"")&amp;IF(AA99="is","",""&amp;"&lt;&gt;")&amp;AB99&amp;IF(ISTEXT(AB99),CHAR(34),""))</f>
        <v/>
      </c>
      <c r="AD99" s="137" t="s">
        <v>331</v>
      </c>
      <c r="AE99" s="140" t="s">
        <v>155</v>
      </c>
      <c r="AF99" s="137" t="str">
        <f t="shared" ref="AF99:AF101" si="353">IF(AD99="","",",INDEX(REPORT_FR2052a!$1:$1048576,0,"&amp;AF$2&amp;"),"&amp;IF(ISTEXT(AE99),CHAR(34),"")&amp;IF(AD99="is","",""&amp;"&lt;&gt;")&amp;AE99&amp;IF(ISTEXT(AE99),CHAR(34),""))</f>
        <v>,INDEX(REPORT_FR2052a!$1:$1048576,0,26),"Small Business"</v>
      </c>
      <c r="AH99" s="139"/>
      <c r="AI99" s="137" t="str">
        <f t="shared" ref="AI99:AI101" si="354">IF(AG99="","",",INDEX(REPORT_FR2052a!$1:$1048576,0,"&amp;AI$2&amp;"),"&amp;IF(ISTEXT(AH99),CHAR(34),"")&amp;IF(AG99="is","",""&amp;"&lt;&gt;")&amp;AH99&amp;IF(ISTEXT(AH99),CHAR(34),""))</f>
        <v/>
      </c>
      <c r="AK99" s="139"/>
      <c r="AL99" s="137" t="str">
        <f t="shared" ref="AL99:AL101" si="355">IF(AJ99="","",",INDEX(REPORT_FR2052a!$1:$1048576,0,"&amp;AL$2&amp;"),"&amp;IF(ISTEXT(AK99),CHAR(34),"")&amp;IF(AJ99="is","",""&amp;"&lt;&gt;")&amp;AK99&amp;IF(ISTEXT(AK99),CHAR(34),""))</f>
        <v/>
      </c>
      <c r="AO99" s="137" t="str">
        <f t="shared" ref="AO99:AO101" si="356">IF(AM99="","",",INDEX(REPORT_FR2052a!$1:$1048576,0,"&amp;AO$2&amp;"),"&amp;IF(ISTEXT(AN99),CHAR(34),"")&amp;IF(AM99="is","",""&amp;"&lt;&gt;")&amp;AN99&amp;IF(ISTEXT(AN99),CHAR(34),""))</f>
        <v/>
      </c>
      <c r="AR99" s="137" t="str">
        <f t="shared" si="214"/>
        <v/>
      </c>
      <c r="AU99" s="137" t="str">
        <f t="shared" si="215"/>
        <v/>
      </c>
      <c r="BA99" s="137" t="s">
        <v>13</v>
      </c>
      <c r="BB99" s="137" t="str">
        <f>"=SUMIFS(INDEX(REPORT_FR2052a!$1:$1048576,0,"&amp;(MATCH(BA99,REPORT_FR2052a!$1:$1,0))&amp;")"</f>
        <v>=SUMIFS(INDEX(REPORT_FR2052a!$1:$1048576,0,14)</v>
      </c>
      <c r="BC99" s="137" t="str">
        <f t="shared" si="198"/>
        <v>=SUMIFS(INDEX(REPORT_FR2052a!$1:$1048576,0,14),INDEX(REPORT_FR2052a!$1:$1048576,0,44),"O.D.6",INDEX(REPORT_FR2052a!$1:$1048576,0,43),1,INDEX(REPORT_FR2052a!$1:$1048576,0,26),"Small Business")</v>
      </c>
      <c r="BD99" s="141">
        <f>SUMIFS(INDEX(REPORT_FR2052a!$1:$1048576,0,14),INDEX(REPORT_FR2052a!$1:$1048576,0,44),"O.D.6",INDEX(REPORT_FR2052a!$1:$1048576,0,43),1,INDEX(REPORT_FR2052a!$1:$1048576,0,26),"Small Business")</f>
        <v>0</v>
      </c>
      <c r="BE99" s="137" t="s">
        <v>331</v>
      </c>
      <c r="BF99" s="139" t="s">
        <v>47</v>
      </c>
      <c r="BG99" s="137" t="str">
        <f t="shared" ref="BG99:BG101" si="357">IF(BE99="","",",INDEX(REPORT_FR2052a!$1:$1048576,0,"&amp;BG$2&amp;"),"&amp;IF(ISTEXT(BF99),CHAR(34),"")&amp;IF(BE99="is","",""&amp;"&lt;&gt;")&amp;BF99&amp;IF(ISTEXT(BF99),CHAR(34),""))</f>
        <v>,INDEX(REPORT_FR2052a!$1:$1048576,0,5),"Bank of China - Combined US Branches and Agencies"</v>
      </c>
      <c r="BI99" s="137" t="str">
        <f t="shared" ref="BI99:BI101" si="358">LEFT(BC99,LEN(BC99)-1)&amp;BG99&amp;")"</f>
        <v>=SUMIFS(INDEX(REPORT_FR2052a!$1:$1048576,0,14),INDEX(REPORT_FR2052a!$1:$1048576,0,44),"O.D.6",INDEX(REPORT_FR2052a!$1:$1048576,0,43),1,INDEX(REPORT_FR2052a!$1:$1048576,0,26),"Small Business",INDEX(REPORT_FR2052a!$1:$1048576,0,5),"Bank of China - Combined US Branches and Agencies")</v>
      </c>
      <c r="BJ99" s="142">
        <f>SUMIFS(INDEX(REPORT_FR2052a!$1:$1048576,0,14),INDEX(REPORT_FR2052a!$1:$1048576,0,44),"O.D.6",INDEX(REPORT_FR2052a!$1:$1048576,0,43),1,INDEX(REPORT_FR2052a!$1:$1048576,0,26),"Small Business",INDEX(REPORT_FR2052a!$1:$1048576,0,5),"Bank of China - Combined US Branches and Agencies")</f>
        <v>0</v>
      </c>
      <c r="BK99" s="143">
        <f t="shared" ref="BK99:BK101" si="359">BD99-BJ99</f>
        <v>0</v>
      </c>
    </row>
    <row r="100" spans="1:63">
      <c r="A100" s="136">
        <v>55</v>
      </c>
      <c r="B100" s="137" t="str">
        <f>IFERROR(INDEX('LCR TYPE EXPLAIN'!B:B,MATCH(A100,'LCR TYPE EXPLAIN'!A:A,0)),"")</f>
        <v>Not Fully Insured Operational Deposits (§.32(h)(4))</v>
      </c>
      <c r="F100" s="137" t="s">
        <v>331</v>
      </c>
      <c r="G100" s="138" t="s">
        <v>333</v>
      </c>
      <c r="H100" s="137" t="str">
        <f t="shared" si="199"/>
        <v>,INDEX(REPORT_FR2052a!$1:$1048576,0,44),"O.D.6"</v>
      </c>
      <c r="I100" s="137" t="s">
        <v>331</v>
      </c>
      <c r="J100" s="137">
        <v>1</v>
      </c>
      <c r="K100" s="137" t="str">
        <f t="shared" ref="K100" si="360">IF(I100="","",",INDEX(REPORT_FR2052a!$1:$1048576,0,"&amp;K$2&amp;"),"&amp;IF(ISTEXT(J100),CHAR(34),"")&amp;IF(I100="is","",""&amp;"&lt;&gt;")&amp;J100&amp;IF(ISTEXT(J100),CHAR(34),""))</f>
        <v>,INDEX(REPORT_FR2052a!$1:$1048576,0,43),1</v>
      </c>
      <c r="N100" s="137" t="str">
        <f t="shared" ref="N100" si="361">IF(L100="","",",INDEX(REPORT_FR2052a!$1:$1048576,0,"&amp;N$2&amp;"),"&amp;IF(ISTEXT(M100),CHAR(34),"")&amp;IF(L100="is","",""&amp;"&lt;&gt;")&amp;M100&amp;IF(ISTEXT(M100),CHAR(34),""))</f>
        <v/>
      </c>
      <c r="Q100" s="137" t="str">
        <f t="shared" ref="Q100" si="362">IF(O100="","",",INDEX(REPORT_FR2052a!$1:$1048576,0,"&amp;Q$2&amp;"),"&amp;IF(OR(ISTEXT(P100),ISBLANK(P100)),CHAR(34),"")&amp;IF(O100="is","",""&amp;"&lt;&gt;")&amp;P100&amp;IF(OR(ISTEXT(P100),ISBLANK(P100)),CHAR(34),""))</f>
        <v/>
      </c>
      <c r="T100" s="137" t="str">
        <f t="shared" ref="T100" si="363">IF(R100="","",",INDEX(REPORT_FR2052a!$1:$1048576,0,"&amp;T$2&amp;"),"&amp;IF(ISTEXT(S100),CHAR(34),"")&amp;IF(R100="is","",""&amp;"&lt;&gt;")&amp;S100&amp;IF(ISTEXT(S100),CHAR(34),""))</f>
        <v/>
      </c>
      <c r="V100" s="139"/>
      <c r="W100" s="137" t="str">
        <f t="shared" ref="W100" si="364">IF(U100="","",",INDEX(REPORT_FR2052a!$1:$1048576,0,"&amp;W$2&amp;"),"&amp;IF(ISTEXT(V100),CHAR(34),"")&amp;IF(U100="is","",""&amp;"&lt;&gt;")&amp;V100&amp;IF(ISTEXT(V100),CHAR(34),""))</f>
        <v/>
      </c>
      <c r="Y100" s="139"/>
      <c r="Z100" s="137" t="str">
        <f t="shared" ref="Z100" si="365">IF(X100="","",",INDEX(REPORT_FR2052a!$1:$1048576,0,"&amp;Z$2&amp;"),"&amp;IF(ISTEXT(Y100),CHAR(34),"")&amp;IF(X100="is","",""&amp;"&lt;&gt;")&amp;Y100&amp;IF(ISTEXT(Y100),CHAR(34),""))</f>
        <v/>
      </c>
      <c r="AB100" s="139"/>
      <c r="AC100" s="137" t="str">
        <f t="shared" ref="AC100" si="366">IF(AA100="","",",INDEX(REPORT_FR2052a!$1:$1048576,0,"&amp;AC$2&amp;"),"&amp;IF(ISTEXT(AB100),CHAR(34),"")&amp;IF(AA100="is","",""&amp;"&lt;&gt;")&amp;AB100&amp;IF(ISTEXT(AB100),CHAR(34),""))</f>
        <v/>
      </c>
      <c r="AD100" s="137" t="s">
        <v>331</v>
      </c>
      <c r="AE100" s="140" t="s">
        <v>162</v>
      </c>
      <c r="AF100" s="137" t="str">
        <f t="shared" ref="AF100" si="367">IF(AD100="","",",INDEX(REPORT_FR2052a!$1:$1048576,0,"&amp;AF$2&amp;"),"&amp;IF(ISTEXT(AE100),CHAR(34),"")&amp;IF(AD100="is","",""&amp;"&lt;&gt;")&amp;AE100&amp;IF(ISTEXT(AE100),CHAR(34),""))</f>
        <v>,INDEX(REPORT_FR2052a!$1:$1048576,0,26),"Sovereign"</v>
      </c>
      <c r="AH100" s="139"/>
      <c r="AI100" s="137" t="str">
        <f t="shared" ref="AI100" si="368">IF(AG100="","",",INDEX(REPORT_FR2052a!$1:$1048576,0,"&amp;AI$2&amp;"),"&amp;IF(ISTEXT(AH100),CHAR(34),"")&amp;IF(AG100="is","",""&amp;"&lt;&gt;")&amp;AH100&amp;IF(ISTEXT(AH100),CHAR(34),""))</f>
        <v/>
      </c>
      <c r="AK100" s="139"/>
      <c r="AL100" s="137" t="str">
        <f t="shared" ref="AL100" si="369">IF(AJ100="","",",INDEX(REPORT_FR2052a!$1:$1048576,0,"&amp;AL$2&amp;"),"&amp;IF(ISTEXT(AK100),CHAR(34),"")&amp;IF(AJ100="is","",""&amp;"&lt;&gt;")&amp;AK100&amp;IF(ISTEXT(AK100),CHAR(34),""))</f>
        <v/>
      </c>
      <c r="AO100" s="137" t="str">
        <f t="shared" ref="AO100" si="370">IF(AM100="","",",INDEX(REPORT_FR2052a!$1:$1048576,0,"&amp;AO$2&amp;"),"&amp;IF(ISTEXT(AN100),CHAR(34),"")&amp;IF(AM100="is","",""&amp;"&lt;&gt;")&amp;AN100&amp;IF(ISTEXT(AN100),CHAR(34),""))</f>
        <v/>
      </c>
      <c r="AR100" s="137" t="str">
        <f t="shared" si="214"/>
        <v/>
      </c>
      <c r="AU100" s="137" t="str">
        <f t="shared" si="215"/>
        <v/>
      </c>
      <c r="BA100" s="137" t="s">
        <v>13</v>
      </c>
      <c r="BB100" s="137" t="str">
        <f>"=SUMIFS(INDEX(REPORT_FR2052a!$1:$1048576,0,"&amp;(MATCH(BA100,REPORT_FR2052a!$1:$1,0))&amp;")"</f>
        <v>=SUMIFS(INDEX(REPORT_FR2052a!$1:$1048576,0,14)</v>
      </c>
      <c r="BC100" s="137" t="str">
        <f t="shared" si="198"/>
        <v>=SUMIFS(INDEX(REPORT_FR2052a!$1:$1048576,0,14),INDEX(REPORT_FR2052a!$1:$1048576,0,44),"O.D.6",INDEX(REPORT_FR2052a!$1:$1048576,0,43),1,INDEX(REPORT_FR2052a!$1:$1048576,0,26),"Sovereign")</v>
      </c>
      <c r="BD100" s="141">
        <f>SUMIFS(INDEX(REPORT_FR2052a!$1:$1048576,0,14),INDEX(REPORT_FR2052a!$1:$1048576,0,44),"O.D.6",INDEX(REPORT_FR2052a!$1:$1048576,0,43),1,INDEX(REPORT_FR2052a!$1:$1048576,0,26),"Sovereign")</f>
        <v>0</v>
      </c>
      <c r="BE100" s="137" t="s">
        <v>331</v>
      </c>
      <c r="BF100" s="139" t="s">
        <v>47</v>
      </c>
      <c r="BG100" s="137" t="str">
        <f t="shared" ref="BG100" si="371">IF(BE100="","",",INDEX(REPORT_FR2052a!$1:$1048576,0,"&amp;BG$2&amp;"),"&amp;IF(ISTEXT(BF100),CHAR(34),"")&amp;IF(BE100="is","",""&amp;"&lt;&gt;")&amp;BF100&amp;IF(ISTEXT(BF100),CHAR(34),""))</f>
        <v>,INDEX(REPORT_FR2052a!$1:$1048576,0,5),"Bank of China - Combined US Branches and Agencies"</v>
      </c>
      <c r="BI100" s="137" t="str">
        <f t="shared" ref="BI100" si="372">LEFT(BC100,LEN(BC100)-1)&amp;BG100&amp;")"</f>
        <v>=SUMIFS(INDEX(REPORT_FR2052a!$1:$1048576,0,14),INDEX(REPORT_FR2052a!$1:$1048576,0,44),"O.D.6",INDEX(REPORT_FR2052a!$1:$1048576,0,43),1,INDEX(REPORT_FR2052a!$1:$1048576,0,26),"Sovereign",INDEX(REPORT_FR2052a!$1:$1048576,0,5),"Bank of China - Combined US Branches and Agencies")</v>
      </c>
      <c r="BJ100" s="142">
        <f>SUMIFS(INDEX(REPORT_FR2052a!$1:$1048576,0,14),INDEX(REPORT_FR2052a!$1:$1048576,0,44),"O.D.6",INDEX(REPORT_FR2052a!$1:$1048576,0,43),1,INDEX(REPORT_FR2052a!$1:$1048576,0,26),"Sovereign",INDEX(REPORT_FR2052a!$1:$1048576,0,5),"Bank of China - Combined US Branches and Agencies")</f>
        <v>0</v>
      </c>
      <c r="BK100" s="143">
        <f t="shared" ref="BK100" si="373">BD100-BJ100</f>
        <v>0</v>
      </c>
    </row>
    <row r="101" spans="1:63">
      <c r="A101" s="136">
        <v>55</v>
      </c>
      <c r="B101" s="137" t="str">
        <f>IFERROR(INDEX('LCR TYPE EXPLAIN'!B:B,MATCH(A101,'LCR TYPE EXPLAIN'!A:A,0)),"")</f>
        <v>Not Fully Insured Operational Deposits (§.32(h)(4))</v>
      </c>
      <c r="F101" s="137" t="s">
        <v>331</v>
      </c>
      <c r="G101" s="138" t="s">
        <v>333</v>
      </c>
      <c r="H101" s="137" t="str">
        <f t="shared" si="199"/>
        <v>,INDEX(REPORT_FR2052a!$1:$1048576,0,44),"O.D.6"</v>
      </c>
      <c r="I101" s="137" t="s">
        <v>331</v>
      </c>
      <c r="J101" s="137">
        <v>1</v>
      </c>
      <c r="K101" s="137" t="str">
        <f t="shared" si="346"/>
        <v>,INDEX(REPORT_FR2052a!$1:$1048576,0,43),1</v>
      </c>
      <c r="N101" s="137" t="str">
        <f t="shared" si="347"/>
        <v/>
      </c>
      <c r="Q101" s="137" t="str">
        <f t="shared" si="348"/>
        <v/>
      </c>
      <c r="T101" s="137" t="str">
        <f t="shared" si="349"/>
        <v/>
      </c>
      <c r="V101" s="139"/>
      <c r="W101" s="137" t="str">
        <f t="shared" si="350"/>
        <v/>
      </c>
      <c r="Y101" s="139"/>
      <c r="Z101" s="137" t="str">
        <f t="shared" si="351"/>
        <v/>
      </c>
      <c r="AB101" s="139"/>
      <c r="AC101" s="137" t="str">
        <f t="shared" si="352"/>
        <v/>
      </c>
      <c r="AD101" s="137" t="s">
        <v>331</v>
      </c>
      <c r="AE101" s="140" t="s">
        <v>158</v>
      </c>
      <c r="AF101" s="137" t="str">
        <f t="shared" si="353"/>
        <v>,INDEX(REPORT_FR2052a!$1:$1048576,0,26),"Central Bank"</v>
      </c>
      <c r="AH101" s="139"/>
      <c r="AI101" s="137" t="str">
        <f t="shared" si="354"/>
        <v/>
      </c>
      <c r="AK101" s="139"/>
      <c r="AL101" s="137" t="str">
        <f t="shared" si="355"/>
        <v/>
      </c>
      <c r="AO101" s="137" t="str">
        <f t="shared" si="356"/>
        <v/>
      </c>
      <c r="AR101" s="137" t="str">
        <f t="shared" si="214"/>
        <v/>
      </c>
      <c r="AU101" s="137" t="str">
        <f t="shared" si="215"/>
        <v/>
      </c>
      <c r="BA101" s="137" t="s">
        <v>13</v>
      </c>
      <c r="BB101" s="137" t="str">
        <f>"=SUMIFS(INDEX(REPORT_FR2052a!$1:$1048576,0,"&amp;(MATCH(BA101,REPORT_FR2052a!$1:$1,0))&amp;")"</f>
        <v>=SUMIFS(INDEX(REPORT_FR2052a!$1:$1048576,0,14)</v>
      </c>
      <c r="BC101" s="137" t="str">
        <f t="shared" si="198"/>
        <v>=SUMIFS(INDEX(REPORT_FR2052a!$1:$1048576,0,14),INDEX(REPORT_FR2052a!$1:$1048576,0,44),"O.D.6",INDEX(REPORT_FR2052a!$1:$1048576,0,43),1,INDEX(REPORT_FR2052a!$1:$1048576,0,26),"Central Bank")</v>
      </c>
      <c r="BD101" s="141">
        <f>SUMIFS(INDEX(REPORT_FR2052a!$1:$1048576,0,14),INDEX(REPORT_FR2052a!$1:$1048576,0,44),"O.D.6",INDEX(REPORT_FR2052a!$1:$1048576,0,43),1,INDEX(REPORT_FR2052a!$1:$1048576,0,26),"Central Bank")</f>
        <v>0</v>
      </c>
      <c r="BE101" s="137" t="s">
        <v>331</v>
      </c>
      <c r="BF101" s="139" t="s">
        <v>47</v>
      </c>
      <c r="BG101" s="137" t="str">
        <f t="shared" si="357"/>
        <v>,INDEX(REPORT_FR2052a!$1:$1048576,0,5),"Bank of China - Combined US Branches and Agencies"</v>
      </c>
      <c r="BI101" s="137" t="str">
        <f t="shared" si="358"/>
        <v>=SUMIFS(INDEX(REPORT_FR2052a!$1:$1048576,0,14),INDEX(REPORT_FR2052a!$1:$1048576,0,44),"O.D.6",INDEX(REPORT_FR2052a!$1:$1048576,0,43),1,INDEX(REPORT_FR2052a!$1:$1048576,0,26),"Central Bank",INDEX(REPORT_FR2052a!$1:$1048576,0,5),"Bank of China - Combined US Branches and Agencies")</v>
      </c>
      <c r="BJ101" s="142">
        <f>SUMIFS(INDEX(REPORT_FR2052a!$1:$1048576,0,14),INDEX(REPORT_FR2052a!$1:$1048576,0,44),"O.D.6",INDEX(REPORT_FR2052a!$1:$1048576,0,43),1,INDEX(REPORT_FR2052a!$1:$1048576,0,26),"Central Bank",INDEX(REPORT_FR2052a!$1:$1048576,0,5),"Bank of China - Combined US Branches and Agencies")</f>
        <v>0</v>
      </c>
      <c r="BK101" s="143">
        <f t="shared" si="359"/>
        <v>0</v>
      </c>
    </row>
    <row r="102" spans="1:63">
      <c r="A102" s="136">
        <v>55</v>
      </c>
      <c r="B102" s="137" t="str">
        <f>IFERROR(INDEX('LCR TYPE EXPLAIN'!B:B,MATCH(A102,'LCR TYPE EXPLAIN'!A:A,0)),"")</f>
        <v>Not Fully Insured Operational Deposits (§.32(h)(4))</v>
      </c>
      <c r="F102" s="137" t="s">
        <v>331</v>
      </c>
      <c r="G102" s="138" t="s">
        <v>333</v>
      </c>
      <c r="H102" s="137" t="str">
        <f t="shared" ref="H102:H135" si="374">IF(F102="","",",INDEX(REPORT_FR2052a!$1:$1048576,0,"&amp;H$2&amp;"),"&amp;IF(ISTEXT(G102),CHAR(34),"")&amp;IF(F102="is","",""&amp;"&lt;&gt;")&amp;G102&amp;IF(ISTEXT(G102),CHAR(34),""))</f>
        <v>,INDEX(REPORT_FR2052a!$1:$1048576,0,44),"O.D.6"</v>
      </c>
      <c r="I102" s="137" t="s">
        <v>331</v>
      </c>
      <c r="J102" s="137">
        <v>1</v>
      </c>
      <c r="K102" s="137" t="str">
        <f t="shared" ref="K102" si="375">IF(I102="","",",INDEX(REPORT_FR2052a!$1:$1048576,0,"&amp;K$2&amp;"),"&amp;IF(ISTEXT(J102),CHAR(34),"")&amp;IF(I102="is","",""&amp;"&lt;&gt;")&amp;J102&amp;IF(ISTEXT(J102),CHAR(34),""))</f>
        <v>,INDEX(REPORT_FR2052a!$1:$1048576,0,43),1</v>
      </c>
      <c r="N102" s="137" t="str">
        <f t="shared" ref="N102" si="376">IF(L102="","",",INDEX(REPORT_FR2052a!$1:$1048576,0,"&amp;N$2&amp;"),"&amp;IF(ISTEXT(M102),CHAR(34),"")&amp;IF(L102="is","",""&amp;"&lt;&gt;")&amp;M102&amp;IF(ISTEXT(M102),CHAR(34),""))</f>
        <v/>
      </c>
      <c r="Q102" s="137" t="str">
        <f t="shared" ref="Q102" si="377">IF(O102="","",",INDEX(REPORT_FR2052a!$1:$1048576,0,"&amp;Q$2&amp;"),"&amp;IF(OR(ISTEXT(P102),ISBLANK(P102)),CHAR(34),"")&amp;IF(O102="is","",""&amp;"&lt;&gt;")&amp;P102&amp;IF(OR(ISTEXT(P102),ISBLANK(P102)),CHAR(34),""))</f>
        <v/>
      </c>
      <c r="T102" s="137" t="str">
        <f t="shared" ref="T102" si="378">IF(R102="","",",INDEX(REPORT_FR2052a!$1:$1048576,0,"&amp;T$2&amp;"),"&amp;IF(ISTEXT(S102),CHAR(34),"")&amp;IF(R102="is","",""&amp;"&lt;&gt;")&amp;S102&amp;IF(ISTEXT(S102),CHAR(34),""))</f>
        <v/>
      </c>
      <c r="V102" s="139"/>
      <c r="W102" s="137" t="str">
        <f t="shared" ref="W102" si="379">IF(U102="","",",INDEX(REPORT_FR2052a!$1:$1048576,0,"&amp;W$2&amp;"),"&amp;IF(ISTEXT(V102),CHAR(34),"")&amp;IF(U102="is","",""&amp;"&lt;&gt;")&amp;V102&amp;IF(ISTEXT(V102),CHAR(34),""))</f>
        <v/>
      </c>
      <c r="Y102" s="139"/>
      <c r="Z102" s="137" t="str">
        <f t="shared" ref="Z102" si="380">IF(X102="","",",INDEX(REPORT_FR2052a!$1:$1048576,0,"&amp;Z$2&amp;"),"&amp;IF(ISTEXT(Y102),CHAR(34),"")&amp;IF(X102="is","",""&amp;"&lt;&gt;")&amp;Y102&amp;IF(ISTEXT(Y102),CHAR(34),""))</f>
        <v/>
      </c>
      <c r="AB102" s="139"/>
      <c r="AC102" s="137" t="str">
        <f t="shared" ref="AC102" si="381">IF(AA102="","",",INDEX(REPORT_FR2052a!$1:$1048576,0,"&amp;AC$2&amp;"),"&amp;IF(ISTEXT(AB102),CHAR(34),"")&amp;IF(AA102="is","",""&amp;"&lt;&gt;")&amp;AB102&amp;IF(ISTEXT(AB102),CHAR(34),""))</f>
        <v/>
      </c>
      <c r="AD102" s="137" t="s">
        <v>331</v>
      </c>
      <c r="AE102" s="140" t="s">
        <v>116</v>
      </c>
      <c r="AF102" s="137" t="str">
        <f t="shared" ref="AF102" si="382">IF(AD102="","",",INDEX(REPORT_FR2052a!$1:$1048576,0,"&amp;AF$2&amp;"),"&amp;IF(ISTEXT(AE102),CHAR(34),"")&amp;IF(AD102="is","",""&amp;"&lt;&gt;")&amp;AE102&amp;IF(ISTEXT(AE102),CHAR(34),""))</f>
        <v>,INDEX(REPORT_FR2052a!$1:$1048576,0,26),"Supervised Non-Bank Financial Entity"</v>
      </c>
      <c r="AH102" s="139"/>
      <c r="AI102" s="137" t="str">
        <f t="shared" ref="AI102" si="383">IF(AG102="","",",INDEX(REPORT_FR2052a!$1:$1048576,0,"&amp;AI$2&amp;"),"&amp;IF(ISTEXT(AH102),CHAR(34),"")&amp;IF(AG102="is","",""&amp;"&lt;&gt;")&amp;AH102&amp;IF(ISTEXT(AH102),CHAR(34),""))</f>
        <v/>
      </c>
      <c r="AK102" s="139"/>
      <c r="AL102" s="137" t="str">
        <f t="shared" ref="AL102" si="384">IF(AJ102="","",",INDEX(REPORT_FR2052a!$1:$1048576,0,"&amp;AL$2&amp;"),"&amp;IF(ISTEXT(AK102),CHAR(34),"")&amp;IF(AJ102="is","",""&amp;"&lt;&gt;")&amp;AK102&amp;IF(ISTEXT(AK102),CHAR(34),""))</f>
        <v/>
      </c>
      <c r="AO102" s="137" t="str">
        <f t="shared" ref="AO102" si="385">IF(AM102="","",",INDEX(REPORT_FR2052a!$1:$1048576,0,"&amp;AO$2&amp;"),"&amp;IF(ISTEXT(AN102),CHAR(34),"")&amp;IF(AM102="is","",""&amp;"&lt;&gt;")&amp;AN102&amp;IF(ISTEXT(AN102),CHAR(34),""))</f>
        <v/>
      </c>
      <c r="AR102" s="137" t="str">
        <f t="shared" si="214"/>
        <v/>
      </c>
      <c r="AU102" s="137" t="str">
        <f t="shared" si="215"/>
        <v/>
      </c>
      <c r="BA102" s="137" t="s">
        <v>13</v>
      </c>
      <c r="BB102" s="137" t="str">
        <f>"=SUMIFS(INDEX(REPORT_FR2052a!$1:$1048576,0,"&amp;(MATCH(BA102,REPORT_FR2052a!$1:$1,0))&amp;")"</f>
        <v>=SUMIFS(INDEX(REPORT_FR2052a!$1:$1048576,0,14)</v>
      </c>
      <c r="BC102" s="137" t="str">
        <f t="shared" si="198"/>
        <v>=SUMIFS(INDEX(REPORT_FR2052a!$1:$1048576,0,14),INDEX(REPORT_FR2052a!$1:$1048576,0,44),"O.D.6",INDEX(REPORT_FR2052a!$1:$1048576,0,43),1,INDEX(REPORT_FR2052a!$1:$1048576,0,26),"Supervised Non-Bank Financial Entity")</v>
      </c>
      <c r="BD102" s="141">
        <f>SUMIFS(INDEX(REPORT_FR2052a!$1:$1048576,0,14),INDEX(REPORT_FR2052a!$1:$1048576,0,44),"O.D.6",INDEX(REPORT_FR2052a!$1:$1048576,0,43),1,INDEX(REPORT_FR2052a!$1:$1048576,0,26),"Supervised Non-Bank Financial Entity")</f>
        <v>0</v>
      </c>
      <c r="BE102" s="137" t="s">
        <v>331</v>
      </c>
      <c r="BF102" s="139" t="s">
        <v>47</v>
      </c>
      <c r="BG102" s="137" t="str">
        <f t="shared" ref="BG102" si="386">IF(BE102="","",",INDEX(REPORT_FR2052a!$1:$1048576,0,"&amp;BG$2&amp;"),"&amp;IF(ISTEXT(BF102),CHAR(34),"")&amp;IF(BE102="is","",""&amp;"&lt;&gt;")&amp;BF102&amp;IF(ISTEXT(BF102),CHAR(34),""))</f>
        <v>,INDEX(REPORT_FR2052a!$1:$1048576,0,5),"Bank of China - Combined US Branches and Agencies"</v>
      </c>
      <c r="BI102" s="137" t="str">
        <f t="shared" ref="BI102" si="387">LEFT(BC102,LEN(BC102)-1)&amp;BG102&amp;")"</f>
        <v>=SUMIFS(INDEX(REPORT_FR2052a!$1:$1048576,0,14),INDEX(REPORT_FR2052a!$1:$1048576,0,44),"O.D.6",INDEX(REPORT_FR2052a!$1:$1048576,0,43),1,INDEX(REPORT_FR2052a!$1:$1048576,0,26),"Supervised Non-Bank Financial Entity",INDEX(REPORT_FR2052a!$1:$1048576,0,5),"Bank of China - Combined US Branches and Agencies")</v>
      </c>
      <c r="BJ102" s="142">
        <f>SUMIFS(INDEX(REPORT_FR2052a!$1:$1048576,0,14),INDEX(REPORT_FR2052a!$1:$1048576,0,44),"O.D.6",INDEX(REPORT_FR2052a!$1:$1048576,0,43),1,INDEX(REPORT_FR2052a!$1:$1048576,0,26),"Supervised Non-Bank Financial Entity",INDEX(REPORT_FR2052a!$1:$1048576,0,5),"Bank of China - Combined US Branches and Agencies")</f>
        <v>0</v>
      </c>
      <c r="BK102" s="143">
        <f t="shared" ref="BK102" si="388">BD102-BJ102</f>
        <v>0</v>
      </c>
    </row>
    <row r="103" spans="1:63">
      <c r="A103" s="136">
        <v>55</v>
      </c>
      <c r="B103" s="137" t="str">
        <f>IFERROR(INDEX('LCR TYPE EXPLAIN'!B:B,MATCH(A103,'LCR TYPE EXPLAIN'!A:A,0)),"")</f>
        <v>Not Fully Insured Operational Deposits (§.32(h)(4))</v>
      </c>
      <c r="F103" s="137" t="s">
        <v>331</v>
      </c>
      <c r="G103" s="138" t="s">
        <v>333</v>
      </c>
      <c r="H103" s="137" t="str">
        <f t="shared" si="374"/>
        <v>,INDEX(REPORT_FR2052a!$1:$1048576,0,44),"O.D.6"</v>
      </c>
      <c r="I103" s="137" t="s">
        <v>331</v>
      </c>
      <c r="J103" s="137">
        <v>1</v>
      </c>
      <c r="K103" s="137" t="str">
        <f t="shared" ref="K103" si="389">IF(I103="","",",INDEX(REPORT_FR2052a!$1:$1048576,0,"&amp;K$2&amp;"),"&amp;IF(ISTEXT(J103),CHAR(34),"")&amp;IF(I103="is","",""&amp;"&lt;&gt;")&amp;J103&amp;IF(ISTEXT(J103),CHAR(34),""))</f>
        <v>,INDEX(REPORT_FR2052a!$1:$1048576,0,43),1</v>
      </c>
      <c r="N103" s="137" t="str">
        <f t="shared" ref="N103" si="390">IF(L103="","",",INDEX(REPORT_FR2052a!$1:$1048576,0,"&amp;N$2&amp;"),"&amp;IF(ISTEXT(M103),CHAR(34),"")&amp;IF(L103="is","",""&amp;"&lt;&gt;")&amp;M103&amp;IF(ISTEXT(M103),CHAR(34),""))</f>
        <v/>
      </c>
      <c r="Q103" s="137" t="str">
        <f t="shared" ref="Q103" si="391">IF(O103="","",",INDEX(REPORT_FR2052a!$1:$1048576,0,"&amp;Q$2&amp;"),"&amp;IF(OR(ISTEXT(P103),ISBLANK(P103)),CHAR(34),"")&amp;IF(O103="is","",""&amp;"&lt;&gt;")&amp;P103&amp;IF(OR(ISTEXT(P103),ISBLANK(P103)),CHAR(34),""))</f>
        <v/>
      </c>
      <c r="T103" s="137" t="str">
        <f t="shared" ref="T103" si="392">IF(R103="","",",INDEX(REPORT_FR2052a!$1:$1048576,0,"&amp;T$2&amp;"),"&amp;IF(ISTEXT(S103),CHAR(34),"")&amp;IF(R103="is","",""&amp;"&lt;&gt;")&amp;S103&amp;IF(ISTEXT(S103),CHAR(34),""))</f>
        <v/>
      </c>
      <c r="V103" s="139"/>
      <c r="W103" s="137" t="str">
        <f t="shared" ref="W103" si="393">IF(U103="","",",INDEX(REPORT_FR2052a!$1:$1048576,0,"&amp;W$2&amp;"),"&amp;IF(ISTEXT(V103),CHAR(34),"")&amp;IF(U103="is","",""&amp;"&lt;&gt;")&amp;V103&amp;IF(ISTEXT(V103),CHAR(34),""))</f>
        <v/>
      </c>
      <c r="Y103" s="139"/>
      <c r="Z103" s="137" t="str">
        <f t="shared" ref="Z103" si="394">IF(X103="","",",INDEX(REPORT_FR2052a!$1:$1048576,0,"&amp;Z$2&amp;"),"&amp;IF(ISTEXT(Y103),CHAR(34),"")&amp;IF(X103="is","",""&amp;"&lt;&gt;")&amp;Y103&amp;IF(ISTEXT(Y103),CHAR(34),""))</f>
        <v/>
      </c>
      <c r="AB103" s="139"/>
      <c r="AC103" s="137" t="str">
        <f t="shared" ref="AC103" si="395">IF(AA103="","",",INDEX(REPORT_FR2052a!$1:$1048576,0,"&amp;AC$2&amp;"),"&amp;IF(ISTEXT(AB103),CHAR(34),"")&amp;IF(AA103="is","",""&amp;"&lt;&gt;")&amp;AB103&amp;IF(ISTEXT(AB103),CHAR(34),""))</f>
        <v/>
      </c>
      <c r="AD103" s="137" t="s">
        <v>331</v>
      </c>
      <c r="AE103" s="140" t="s">
        <v>136</v>
      </c>
      <c r="AF103" s="137" t="str">
        <f t="shared" ref="AF103" si="396">IF(AD103="","",",INDEX(REPORT_FR2052a!$1:$1048576,0,"&amp;AF$2&amp;"),"&amp;IF(ISTEXT(AE103),CHAR(34),"")&amp;IF(AD103="is","",""&amp;"&lt;&gt;")&amp;AE103&amp;IF(ISTEXT(AE103),CHAR(34),""))</f>
        <v>,INDEX(REPORT_FR2052a!$1:$1048576,0,26),"Other"</v>
      </c>
      <c r="AH103" s="139"/>
      <c r="AI103" s="137" t="str">
        <f t="shared" ref="AI103" si="397">IF(AG103="","",",INDEX(REPORT_FR2052a!$1:$1048576,0,"&amp;AI$2&amp;"),"&amp;IF(ISTEXT(AH103),CHAR(34),"")&amp;IF(AG103="is","",""&amp;"&lt;&gt;")&amp;AH103&amp;IF(ISTEXT(AH103),CHAR(34),""))</f>
        <v/>
      </c>
      <c r="AK103" s="139"/>
      <c r="AL103" s="137" t="str">
        <f t="shared" ref="AL103" si="398">IF(AJ103="","",",INDEX(REPORT_FR2052a!$1:$1048576,0,"&amp;AL$2&amp;"),"&amp;IF(ISTEXT(AK103),CHAR(34),"")&amp;IF(AJ103="is","",""&amp;"&lt;&gt;")&amp;AK103&amp;IF(ISTEXT(AK103),CHAR(34),""))</f>
        <v/>
      </c>
      <c r="AO103" s="137" t="str">
        <f t="shared" ref="AO103" si="399">IF(AM103="","",",INDEX(REPORT_FR2052a!$1:$1048576,0,"&amp;AO$2&amp;"),"&amp;IF(ISTEXT(AN103),CHAR(34),"")&amp;IF(AM103="is","",""&amp;"&lt;&gt;")&amp;AN103&amp;IF(ISTEXT(AN103),CHAR(34),""))</f>
        <v/>
      </c>
      <c r="AR103" s="137" t="str">
        <f t="shared" si="214"/>
        <v/>
      </c>
      <c r="AU103" s="137" t="str">
        <f t="shared" si="215"/>
        <v/>
      </c>
      <c r="BA103" s="137" t="s">
        <v>13</v>
      </c>
      <c r="BB103" s="137" t="str">
        <f>"=SUMIFS(INDEX(REPORT_FR2052a!$1:$1048576,0,"&amp;(MATCH(BA103,REPORT_FR2052a!$1:$1,0))&amp;")"</f>
        <v>=SUMIFS(INDEX(REPORT_FR2052a!$1:$1048576,0,14)</v>
      </c>
      <c r="BC103" s="137" t="str">
        <f t="shared" si="198"/>
        <v>=SUMIFS(INDEX(REPORT_FR2052a!$1:$1048576,0,14),INDEX(REPORT_FR2052a!$1:$1048576,0,44),"O.D.6",INDEX(REPORT_FR2052a!$1:$1048576,0,43),1,INDEX(REPORT_FR2052a!$1:$1048576,0,26),"Other")</v>
      </c>
      <c r="BD103" s="141">
        <f>SUMIFS(INDEX(REPORT_FR2052a!$1:$1048576,0,14),INDEX(REPORT_FR2052a!$1:$1048576,0,44),"O.D.6",INDEX(REPORT_FR2052a!$1:$1048576,0,43),1,INDEX(REPORT_FR2052a!$1:$1048576,0,26),"Other")</f>
        <v>0</v>
      </c>
      <c r="BE103" s="137" t="s">
        <v>331</v>
      </c>
      <c r="BF103" s="139" t="s">
        <v>47</v>
      </c>
      <c r="BG103" s="137" t="str">
        <f t="shared" ref="BG103" si="400">IF(BE103="","",",INDEX(REPORT_FR2052a!$1:$1048576,0,"&amp;BG$2&amp;"),"&amp;IF(ISTEXT(BF103),CHAR(34),"")&amp;IF(BE103="is","",""&amp;"&lt;&gt;")&amp;BF103&amp;IF(ISTEXT(BF103),CHAR(34),""))</f>
        <v>,INDEX(REPORT_FR2052a!$1:$1048576,0,5),"Bank of China - Combined US Branches and Agencies"</v>
      </c>
      <c r="BI103" s="137" t="str">
        <f t="shared" ref="BI103" si="401">LEFT(BC103,LEN(BC103)-1)&amp;BG103&amp;")"</f>
        <v>=SUMIFS(INDEX(REPORT_FR2052a!$1:$1048576,0,14),INDEX(REPORT_FR2052a!$1:$1048576,0,44),"O.D.6",INDEX(REPORT_FR2052a!$1:$1048576,0,43),1,INDEX(REPORT_FR2052a!$1:$1048576,0,26),"Other",INDEX(REPORT_FR2052a!$1:$1048576,0,5),"Bank of China - Combined US Branches and Agencies")</v>
      </c>
      <c r="BJ103" s="142">
        <f>SUMIFS(INDEX(REPORT_FR2052a!$1:$1048576,0,14),INDEX(REPORT_FR2052a!$1:$1048576,0,44),"O.D.6",INDEX(REPORT_FR2052a!$1:$1048576,0,43),1,INDEX(REPORT_FR2052a!$1:$1048576,0,26),"Other",INDEX(REPORT_FR2052a!$1:$1048576,0,5),"Bank of China - Combined US Branches and Agencies")</f>
        <v>0</v>
      </c>
      <c r="BK103" s="143">
        <f t="shared" ref="BK103" si="402">BD103-BJ103</f>
        <v>0</v>
      </c>
    </row>
    <row r="104" spans="1:63">
      <c r="A104" s="136">
        <v>57</v>
      </c>
      <c r="B104" s="137" t="str">
        <f>IFERROR(INDEX('LCR TYPE EXPLAIN'!B:B,MATCH(A104,'LCR TYPE EXPLAIN'!A:A,0)),"")</f>
        <v>Other Unsecured Wholesale (§.32(h)(5))</v>
      </c>
      <c r="F104" s="137" t="s">
        <v>331</v>
      </c>
      <c r="G104" s="138" t="s">
        <v>400</v>
      </c>
      <c r="H104" s="137" t="str">
        <f t="shared" si="374"/>
        <v>,INDEX(REPORT_FR2052a!$1:$1048576,0,44),"O.W.19"</v>
      </c>
      <c r="I104" s="137" t="s">
        <v>331</v>
      </c>
      <c r="J104" s="137">
        <v>1</v>
      </c>
      <c r="K104" s="137" t="str">
        <f t="shared" si="174"/>
        <v>,INDEX(REPORT_FR2052a!$1:$1048576,0,43),1</v>
      </c>
      <c r="N104" s="137" t="str">
        <f t="shared" si="175"/>
        <v/>
      </c>
      <c r="Q104" s="137" t="str">
        <f t="shared" si="3"/>
        <v/>
      </c>
      <c r="T104" s="137" t="str">
        <f t="shared" si="176"/>
        <v/>
      </c>
      <c r="V104" s="139"/>
      <c r="W104" s="137" t="str">
        <f t="shared" si="177"/>
        <v/>
      </c>
      <c r="Y104" s="139"/>
      <c r="Z104" s="137" t="str">
        <f t="shared" si="178"/>
        <v/>
      </c>
      <c r="AB104" s="139"/>
      <c r="AC104" s="137" t="str">
        <f t="shared" si="179"/>
        <v/>
      </c>
      <c r="AD104" s="137" t="s">
        <v>331</v>
      </c>
      <c r="AE104" s="140" t="s">
        <v>84</v>
      </c>
      <c r="AF104" s="137" t="str">
        <f t="shared" si="180"/>
        <v>,INDEX(REPORT_FR2052a!$1:$1048576,0,26),"Non-Financial Corporate"</v>
      </c>
      <c r="AH104" s="139"/>
      <c r="AI104" s="137" t="str">
        <f t="shared" si="181"/>
        <v/>
      </c>
      <c r="AK104" s="139"/>
      <c r="AL104" s="137" t="str">
        <f t="shared" si="182"/>
        <v/>
      </c>
      <c r="AO104" s="137" t="str">
        <f t="shared" si="11"/>
        <v/>
      </c>
      <c r="AR104" s="137" t="str">
        <f t="shared" si="214"/>
        <v/>
      </c>
      <c r="AU104" s="137" t="str">
        <f t="shared" si="215"/>
        <v/>
      </c>
      <c r="AV104" s="137" t="s">
        <v>331</v>
      </c>
      <c r="AW104" s="139" t="s">
        <v>762</v>
      </c>
      <c r="AX104" s="137" t="str">
        <f t="shared" ref="AX104:AX110" si="403">IF(AV104="","",",INDEX(REPORT_FR2052a!$1:$1048576,0,"&amp;AX$2&amp;"),"&amp;IF(ISTEXT(AW104),CHAR(34),"")&amp;IF(AV104="is","",""&amp;"&lt;&gt;")&amp;AW104&amp;IF(ISTEXT(AW104),CHAR(34),""))</f>
        <v>,INDEX(REPORT_FR2052a!$1:$1048576,0,7),""</v>
      </c>
      <c r="BA104" s="137" t="s">
        <v>13</v>
      </c>
      <c r="BB104" s="137" t="str">
        <f>"=SUMIFS(INDEX(REPORT_FR2052a!$1:$1048576,0,"&amp;(MATCH(BA104,REPORT_FR2052a!$1:$1,0))&amp;")"</f>
        <v>=SUMIFS(INDEX(REPORT_FR2052a!$1:$1048576,0,14)</v>
      </c>
      <c r="BC104" s="137" t="str">
        <f t="shared" si="198"/>
        <v>=SUMIFS(INDEX(REPORT_FR2052a!$1:$1048576,0,14),INDEX(REPORT_FR2052a!$1:$1048576,0,44),"O.W.19",INDEX(REPORT_FR2052a!$1:$1048576,0,43),1,INDEX(REPORT_FR2052a!$1:$1048576,0,26),"Non-Financial Corporate",INDEX(REPORT_FR2052a!$1:$1048576,0,7),"")</v>
      </c>
      <c r="BD104" s="141">
        <f>SUMIFS(INDEX(REPORT_FR2052a!$1:$1048576,0,14),INDEX(REPORT_FR2052a!$1:$1048576,0,44),"O.W.19",INDEX(REPORT_FR2052a!$1:$1048576,0,43),1,INDEX(REPORT_FR2052a!$1:$1048576,0,26),"Non-Financial Corporate",INDEX(REPORT_FR2052a!$1:$1048576,0,7),"")</f>
        <v>0</v>
      </c>
      <c r="BE104" s="137" t="s">
        <v>331</v>
      </c>
      <c r="BF104" s="139" t="s">
        <v>47</v>
      </c>
      <c r="BG104" s="137" t="str">
        <f t="shared" si="183"/>
        <v>,INDEX(REPORT_FR2052a!$1:$1048576,0,5),"Bank of China - Combined US Branches and Agencies"</v>
      </c>
      <c r="BI104" s="137" t="str">
        <f t="shared" si="18"/>
        <v>=SUMIFS(INDEX(REPORT_FR2052a!$1:$1048576,0,14),INDEX(REPORT_FR2052a!$1:$1048576,0,44),"O.W.19",INDEX(REPORT_FR2052a!$1:$1048576,0,43),1,INDEX(REPORT_FR2052a!$1:$1048576,0,26),"Non-Financial Corporate",INDEX(REPORT_FR2052a!$1:$1048576,0,7),"",INDEX(REPORT_FR2052a!$1:$1048576,0,5),"Bank of China - Combined US Branches and Agencies")</v>
      </c>
      <c r="BJ104" s="142">
        <f>SUMIFS(INDEX(REPORT_FR2052a!$1:$1048576,0,14),INDEX(REPORT_FR2052a!$1:$1048576,0,44),"O.W.19",INDEX(REPORT_FR2052a!$1:$1048576,0,43),1,INDEX(REPORT_FR2052a!$1:$1048576,0,26),"Non-Financial Corporate",INDEX(REPORT_FR2052a!$1:$1048576,0,7),"",INDEX(REPORT_FR2052a!$1:$1048576,0,5),"Bank of China - Combined US Branches and Agencies")</f>
        <v>0</v>
      </c>
      <c r="BK104" s="143">
        <f t="shared" si="19"/>
        <v>0</v>
      </c>
    </row>
    <row r="105" spans="1:63">
      <c r="A105" s="136">
        <v>57</v>
      </c>
      <c r="B105" s="137" t="str">
        <f>IFERROR(INDEX('LCR TYPE EXPLAIN'!B:B,MATCH(A105,'LCR TYPE EXPLAIN'!A:A,0)),"")</f>
        <v>Other Unsecured Wholesale (§.32(h)(5))</v>
      </c>
      <c r="F105" s="137" t="s">
        <v>331</v>
      </c>
      <c r="G105" s="138" t="s">
        <v>400</v>
      </c>
      <c r="H105" s="137" t="str">
        <f t="shared" si="374"/>
        <v>,INDEX(REPORT_FR2052a!$1:$1048576,0,44),"O.W.19"</v>
      </c>
      <c r="I105" s="137" t="s">
        <v>331</v>
      </c>
      <c r="J105" s="137">
        <v>1</v>
      </c>
      <c r="K105" s="137" t="str">
        <f t="shared" ref="K105" si="404">IF(I105="","",",INDEX(REPORT_FR2052a!$1:$1048576,0,"&amp;K$2&amp;"),"&amp;IF(ISTEXT(J105),CHAR(34),"")&amp;IF(I105="is","",""&amp;"&lt;&gt;")&amp;J105&amp;IF(ISTEXT(J105),CHAR(34),""))</f>
        <v>,INDEX(REPORT_FR2052a!$1:$1048576,0,43),1</v>
      </c>
      <c r="N105" s="137" t="str">
        <f t="shared" ref="N105" si="405">IF(L105="","",",INDEX(REPORT_FR2052a!$1:$1048576,0,"&amp;N$2&amp;"),"&amp;IF(ISTEXT(M105),CHAR(34),"")&amp;IF(L105="is","",""&amp;"&lt;&gt;")&amp;M105&amp;IF(ISTEXT(M105),CHAR(34),""))</f>
        <v/>
      </c>
      <c r="Q105" s="137" t="str">
        <f t="shared" ref="Q105" si="406">IF(O105="","",",INDEX(REPORT_FR2052a!$1:$1048576,0,"&amp;Q$2&amp;"),"&amp;IF(OR(ISTEXT(P105),ISBLANK(P105)),CHAR(34),"")&amp;IF(O105="is","",""&amp;"&lt;&gt;")&amp;P105&amp;IF(OR(ISTEXT(P105),ISBLANK(P105)),CHAR(34),""))</f>
        <v/>
      </c>
      <c r="T105" s="137" t="str">
        <f t="shared" ref="T105" si="407">IF(R105="","",",INDEX(REPORT_FR2052a!$1:$1048576,0,"&amp;T$2&amp;"),"&amp;IF(ISTEXT(S105),CHAR(34),"")&amp;IF(R105="is","",""&amp;"&lt;&gt;")&amp;S105&amp;IF(ISTEXT(S105),CHAR(34),""))</f>
        <v/>
      </c>
      <c r="V105" s="139"/>
      <c r="W105" s="137" t="str">
        <f t="shared" ref="W105" si="408">IF(U105="","",",INDEX(REPORT_FR2052a!$1:$1048576,0,"&amp;W$2&amp;"),"&amp;IF(ISTEXT(V105),CHAR(34),"")&amp;IF(U105="is","",""&amp;"&lt;&gt;")&amp;V105&amp;IF(ISTEXT(V105),CHAR(34),""))</f>
        <v/>
      </c>
      <c r="Y105" s="139"/>
      <c r="Z105" s="137" t="str">
        <f t="shared" ref="Z105" si="409">IF(X105="","",",INDEX(REPORT_FR2052a!$1:$1048576,0,"&amp;Z$2&amp;"),"&amp;IF(ISTEXT(Y105),CHAR(34),"")&amp;IF(X105="is","",""&amp;"&lt;&gt;")&amp;Y105&amp;IF(ISTEXT(Y105),CHAR(34),""))</f>
        <v/>
      </c>
      <c r="AB105" s="139"/>
      <c r="AC105" s="137" t="str">
        <f t="shared" ref="AC105" si="410">IF(AA105="","",",INDEX(REPORT_FR2052a!$1:$1048576,0,"&amp;AC$2&amp;"),"&amp;IF(ISTEXT(AB105),CHAR(34),"")&amp;IF(AA105="is","",""&amp;"&lt;&gt;")&amp;AB105&amp;IF(ISTEXT(AB105),CHAR(34),""))</f>
        <v/>
      </c>
      <c r="AD105" s="137" t="s">
        <v>331</v>
      </c>
      <c r="AE105" s="140" t="s">
        <v>162</v>
      </c>
      <c r="AF105" s="137" t="str">
        <f t="shared" ref="AF105" si="411">IF(AD105="","",",INDEX(REPORT_FR2052a!$1:$1048576,0,"&amp;AF$2&amp;"),"&amp;IF(ISTEXT(AE105),CHAR(34),"")&amp;IF(AD105="is","",""&amp;"&lt;&gt;")&amp;AE105&amp;IF(ISTEXT(AE105),CHAR(34),""))</f>
        <v>,INDEX(REPORT_FR2052a!$1:$1048576,0,26),"Sovereign"</v>
      </c>
      <c r="AH105" s="139"/>
      <c r="AI105" s="137" t="str">
        <f t="shared" ref="AI105" si="412">IF(AG105="","",",INDEX(REPORT_FR2052a!$1:$1048576,0,"&amp;AI$2&amp;"),"&amp;IF(ISTEXT(AH105),CHAR(34),"")&amp;IF(AG105="is","",""&amp;"&lt;&gt;")&amp;AH105&amp;IF(ISTEXT(AH105),CHAR(34),""))</f>
        <v/>
      </c>
      <c r="AK105" s="139"/>
      <c r="AL105" s="137" t="str">
        <f t="shared" ref="AL105" si="413">IF(AJ105="","",",INDEX(REPORT_FR2052a!$1:$1048576,0,"&amp;AL$2&amp;"),"&amp;IF(ISTEXT(AK105),CHAR(34),"")&amp;IF(AJ105="is","",""&amp;"&lt;&gt;")&amp;AK105&amp;IF(ISTEXT(AK105),CHAR(34),""))</f>
        <v/>
      </c>
      <c r="AO105" s="137" t="str">
        <f t="shared" ref="AO105" si="414">IF(AM105="","",",INDEX(REPORT_FR2052a!$1:$1048576,0,"&amp;AO$2&amp;"),"&amp;IF(ISTEXT(AN105),CHAR(34),"")&amp;IF(AM105="is","",""&amp;"&lt;&gt;")&amp;AN105&amp;IF(ISTEXT(AN105),CHAR(34),""))</f>
        <v/>
      </c>
      <c r="AR105" s="137" t="str">
        <f t="shared" si="214"/>
        <v/>
      </c>
      <c r="AU105" s="137" t="str">
        <f t="shared" si="215"/>
        <v/>
      </c>
      <c r="AV105" s="137" t="s">
        <v>331</v>
      </c>
      <c r="AW105" s="139" t="s">
        <v>762</v>
      </c>
      <c r="AX105" s="137" t="str">
        <f t="shared" si="403"/>
        <v>,INDEX(REPORT_FR2052a!$1:$1048576,0,7),""</v>
      </c>
      <c r="BA105" s="137" t="s">
        <v>13</v>
      </c>
      <c r="BB105" s="137" t="str">
        <f>"=SUMIFS(INDEX(REPORT_FR2052a!$1:$1048576,0,"&amp;(MATCH(BA105,REPORT_FR2052a!$1:$1,0))&amp;")"</f>
        <v>=SUMIFS(INDEX(REPORT_FR2052a!$1:$1048576,0,14)</v>
      </c>
      <c r="BC105" s="137" t="str">
        <f t="shared" si="198"/>
        <v>=SUMIFS(INDEX(REPORT_FR2052a!$1:$1048576,0,14),INDEX(REPORT_FR2052a!$1:$1048576,0,44),"O.W.19",INDEX(REPORT_FR2052a!$1:$1048576,0,43),1,INDEX(REPORT_FR2052a!$1:$1048576,0,26),"Sovereign",INDEX(REPORT_FR2052a!$1:$1048576,0,7),"")</v>
      </c>
      <c r="BD105" s="141">
        <f>SUMIFS(INDEX(REPORT_FR2052a!$1:$1048576,0,14),INDEX(REPORT_FR2052a!$1:$1048576,0,44),"O.W.19",INDEX(REPORT_FR2052a!$1:$1048576,0,43),1,INDEX(REPORT_FR2052a!$1:$1048576,0,26),"Sovereign",INDEX(REPORT_FR2052a!$1:$1048576,0,7),"")</f>
        <v>0</v>
      </c>
      <c r="BE105" s="137" t="s">
        <v>331</v>
      </c>
      <c r="BF105" s="139" t="s">
        <v>47</v>
      </c>
      <c r="BG105" s="137" t="str">
        <f t="shared" ref="BG105" si="415">IF(BE105="","",",INDEX(REPORT_FR2052a!$1:$1048576,0,"&amp;BG$2&amp;"),"&amp;IF(ISTEXT(BF105),CHAR(34),"")&amp;IF(BE105="is","",""&amp;"&lt;&gt;")&amp;BF105&amp;IF(ISTEXT(BF105),CHAR(34),""))</f>
        <v>,INDEX(REPORT_FR2052a!$1:$1048576,0,5),"Bank of China - Combined US Branches and Agencies"</v>
      </c>
      <c r="BI105" s="137" t="str">
        <f t="shared" ref="BI105" si="416">LEFT(BC105,LEN(BC105)-1)&amp;BG105&amp;")"</f>
        <v>=SUMIFS(INDEX(REPORT_FR2052a!$1:$1048576,0,14),INDEX(REPORT_FR2052a!$1:$1048576,0,44),"O.W.19",INDEX(REPORT_FR2052a!$1:$1048576,0,43),1,INDEX(REPORT_FR2052a!$1:$1048576,0,26),"Sovereign",INDEX(REPORT_FR2052a!$1:$1048576,0,7),"",INDEX(REPORT_FR2052a!$1:$1048576,0,5),"Bank of China - Combined US Branches and Agencies")</v>
      </c>
      <c r="BJ105" s="142">
        <f>SUMIFS(INDEX(REPORT_FR2052a!$1:$1048576,0,14),INDEX(REPORT_FR2052a!$1:$1048576,0,44),"O.W.19",INDEX(REPORT_FR2052a!$1:$1048576,0,43),1,INDEX(REPORT_FR2052a!$1:$1048576,0,26),"Sovereign",INDEX(REPORT_FR2052a!$1:$1048576,0,7),"",INDEX(REPORT_FR2052a!$1:$1048576,0,5),"Bank of China - Combined US Branches and Agencies")</f>
        <v>0</v>
      </c>
      <c r="BK105" s="143">
        <f t="shared" ref="BK105" si="417">BD105-BJ105</f>
        <v>0</v>
      </c>
    </row>
    <row r="106" spans="1:63">
      <c r="A106" s="136">
        <v>57</v>
      </c>
      <c r="B106" s="137" t="str">
        <f>IFERROR(INDEX('LCR TYPE EXPLAIN'!B:B,MATCH(A106,'LCR TYPE EXPLAIN'!A:A,0)),"")</f>
        <v>Other Unsecured Wholesale (§.32(h)(5))</v>
      </c>
      <c r="F106" s="137" t="s">
        <v>331</v>
      </c>
      <c r="G106" s="138" t="s">
        <v>400</v>
      </c>
      <c r="H106" s="137" t="str">
        <f t="shared" si="374"/>
        <v>,INDEX(REPORT_FR2052a!$1:$1048576,0,44),"O.W.19"</v>
      </c>
      <c r="I106" s="137" t="s">
        <v>331</v>
      </c>
      <c r="J106" s="137">
        <v>1</v>
      </c>
      <c r="K106" s="137" t="str">
        <f t="shared" ref="K106:K107" si="418">IF(I106="","",",INDEX(REPORT_FR2052a!$1:$1048576,0,"&amp;K$2&amp;"),"&amp;IF(ISTEXT(J106),CHAR(34),"")&amp;IF(I106="is","",""&amp;"&lt;&gt;")&amp;J106&amp;IF(ISTEXT(J106),CHAR(34),""))</f>
        <v>,INDEX(REPORT_FR2052a!$1:$1048576,0,43),1</v>
      </c>
      <c r="N106" s="137" t="str">
        <f t="shared" ref="N106:N107" si="419">IF(L106="","",",INDEX(REPORT_FR2052a!$1:$1048576,0,"&amp;N$2&amp;"),"&amp;IF(ISTEXT(M106),CHAR(34),"")&amp;IF(L106="is","",""&amp;"&lt;&gt;")&amp;M106&amp;IF(ISTEXT(M106),CHAR(34),""))</f>
        <v/>
      </c>
      <c r="Q106" s="137" t="str">
        <f t="shared" ref="Q106:Q107" si="420">IF(O106="","",",INDEX(REPORT_FR2052a!$1:$1048576,0,"&amp;Q$2&amp;"),"&amp;IF(OR(ISTEXT(P106),ISBLANK(P106)),CHAR(34),"")&amp;IF(O106="is","",""&amp;"&lt;&gt;")&amp;P106&amp;IF(OR(ISTEXT(P106),ISBLANK(P106)),CHAR(34),""))</f>
        <v/>
      </c>
      <c r="T106" s="137" t="str">
        <f t="shared" ref="T106:T107" si="421">IF(R106="","",",INDEX(REPORT_FR2052a!$1:$1048576,0,"&amp;T$2&amp;"),"&amp;IF(ISTEXT(S106),CHAR(34),"")&amp;IF(R106="is","",""&amp;"&lt;&gt;")&amp;S106&amp;IF(ISTEXT(S106),CHAR(34),""))</f>
        <v/>
      </c>
      <c r="V106" s="139"/>
      <c r="W106" s="137" t="str">
        <f t="shared" ref="W106:W107" si="422">IF(U106="","",",INDEX(REPORT_FR2052a!$1:$1048576,0,"&amp;W$2&amp;"),"&amp;IF(ISTEXT(V106),CHAR(34),"")&amp;IF(U106="is","",""&amp;"&lt;&gt;")&amp;V106&amp;IF(ISTEXT(V106),CHAR(34),""))</f>
        <v/>
      </c>
      <c r="Y106" s="139"/>
      <c r="Z106" s="137" t="str">
        <f t="shared" ref="Z106:Z107" si="423">IF(X106="","",",INDEX(REPORT_FR2052a!$1:$1048576,0,"&amp;Z$2&amp;"),"&amp;IF(ISTEXT(Y106),CHAR(34),"")&amp;IF(X106="is","",""&amp;"&lt;&gt;")&amp;Y106&amp;IF(ISTEXT(Y106),CHAR(34),""))</f>
        <v/>
      </c>
      <c r="AB106" s="139"/>
      <c r="AC106" s="137" t="str">
        <f t="shared" ref="AC106:AC107" si="424">IF(AA106="","",",INDEX(REPORT_FR2052a!$1:$1048576,0,"&amp;AC$2&amp;"),"&amp;IF(ISTEXT(AB106),CHAR(34),"")&amp;IF(AA106="is","",""&amp;"&lt;&gt;")&amp;AB106&amp;IF(ISTEXT(AB106),CHAR(34),""))</f>
        <v/>
      </c>
      <c r="AD106" s="137" t="s">
        <v>331</v>
      </c>
      <c r="AE106" s="140" t="s">
        <v>158</v>
      </c>
      <c r="AF106" s="137" t="str">
        <f t="shared" ref="AF106:AF107" si="425">IF(AD106="","",",INDEX(REPORT_FR2052a!$1:$1048576,0,"&amp;AF$2&amp;"),"&amp;IF(ISTEXT(AE106),CHAR(34),"")&amp;IF(AD106="is","",""&amp;"&lt;&gt;")&amp;AE106&amp;IF(ISTEXT(AE106),CHAR(34),""))</f>
        <v>,INDEX(REPORT_FR2052a!$1:$1048576,0,26),"Central Bank"</v>
      </c>
      <c r="AH106" s="139"/>
      <c r="AI106" s="137" t="str">
        <f t="shared" ref="AI106:AI107" si="426">IF(AG106="","",",INDEX(REPORT_FR2052a!$1:$1048576,0,"&amp;AI$2&amp;"),"&amp;IF(ISTEXT(AH106),CHAR(34),"")&amp;IF(AG106="is","",""&amp;"&lt;&gt;")&amp;AH106&amp;IF(ISTEXT(AH106),CHAR(34),""))</f>
        <v/>
      </c>
      <c r="AK106" s="139"/>
      <c r="AL106" s="137" t="str">
        <f t="shared" ref="AL106:AL107" si="427">IF(AJ106="","",",INDEX(REPORT_FR2052a!$1:$1048576,0,"&amp;AL$2&amp;"),"&amp;IF(ISTEXT(AK106),CHAR(34),"")&amp;IF(AJ106="is","",""&amp;"&lt;&gt;")&amp;AK106&amp;IF(ISTEXT(AK106),CHAR(34),""))</f>
        <v/>
      </c>
      <c r="AO106" s="137" t="str">
        <f t="shared" ref="AO106:AO107" si="428">IF(AM106="","",",INDEX(REPORT_FR2052a!$1:$1048576,0,"&amp;AO$2&amp;"),"&amp;IF(ISTEXT(AN106),CHAR(34),"")&amp;IF(AM106="is","",""&amp;"&lt;&gt;")&amp;AN106&amp;IF(ISTEXT(AN106),CHAR(34),""))</f>
        <v/>
      </c>
      <c r="AR106" s="137" t="str">
        <f t="shared" si="214"/>
        <v/>
      </c>
      <c r="AU106" s="137" t="str">
        <f t="shared" si="215"/>
        <v/>
      </c>
      <c r="AV106" s="137" t="s">
        <v>331</v>
      </c>
      <c r="AW106" s="139" t="s">
        <v>762</v>
      </c>
      <c r="AX106" s="137" t="str">
        <f t="shared" si="403"/>
        <v>,INDEX(REPORT_FR2052a!$1:$1048576,0,7),""</v>
      </c>
      <c r="BA106" s="137" t="s">
        <v>13</v>
      </c>
      <c r="BB106" s="137" t="str">
        <f>"=SUMIFS(INDEX(REPORT_FR2052a!$1:$1048576,0,"&amp;(MATCH(BA106,REPORT_FR2052a!$1:$1,0))&amp;")"</f>
        <v>=SUMIFS(INDEX(REPORT_FR2052a!$1:$1048576,0,14)</v>
      </c>
      <c r="BC106" s="137" t="str">
        <f t="shared" si="198"/>
        <v>=SUMIFS(INDEX(REPORT_FR2052a!$1:$1048576,0,14),INDEX(REPORT_FR2052a!$1:$1048576,0,44),"O.W.19",INDEX(REPORT_FR2052a!$1:$1048576,0,43),1,INDEX(REPORT_FR2052a!$1:$1048576,0,26),"Central Bank",INDEX(REPORT_FR2052a!$1:$1048576,0,7),"")</v>
      </c>
      <c r="BD106" s="141">
        <f>SUMIFS(INDEX(REPORT_FR2052a!$1:$1048576,0,14),INDEX(REPORT_FR2052a!$1:$1048576,0,44),"O.W.19",INDEX(REPORT_FR2052a!$1:$1048576,0,43),1,INDEX(REPORT_FR2052a!$1:$1048576,0,26),"Central Bank",INDEX(REPORT_FR2052a!$1:$1048576,0,7),"")</f>
        <v>0</v>
      </c>
      <c r="BE106" s="137" t="s">
        <v>331</v>
      </c>
      <c r="BF106" s="139" t="s">
        <v>47</v>
      </c>
      <c r="BG106" s="137" t="str">
        <f t="shared" ref="BG106:BG107" si="429">IF(BE106="","",",INDEX(REPORT_FR2052a!$1:$1048576,0,"&amp;BG$2&amp;"),"&amp;IF(ISTEXT(BF106),CHAR(34),"")&amp;IF(BE106="is","",""&amp;"&lt;&gt;")&amp;BF106&amp;IF(ISTEXT(BF106),CHAR(34),""))</f>
        <v>,INDEX(REPORT_FR2052a!$1:$1048576,0,5),"Bank of China - Combined US Branches and Agencies"</v>
      </c>
      <c r="BI106" s="137" t="str">
        <f t="shared" ref="BI106:BI107" si="430">LEFT(BC106,LEN(BC106)-1)&amp;BG106&amp;")"</f>
        <v>=SUMIFS(INDEX(REPORT_FR2052a!$1:$1048576,0,14),INDEX(REPORT_FR2052a!$1:$1048576,0,44),"O.W.19",INDEX(REPORT_FR2052a!$1:$1048576,0,43),1,INDEX(REPORT_FR2052a!$1:$1048576,0,26),"Central Bank",INDEX(REPORT_FR2052a!$1:$1048576,0,7),"",INDEX(REPORT_FR2052a!$1:$1048576,0,5),"Bank of China - Combined US Branches and Agencies")</v>
      </c>
      <c r="BJ106" s="142">
        <f>SUMIFS(INDEX(REPORT_FR2052a!$1:$1048576,0,14),INDEX(REPORT_FR2052a!$1:$1048576,0,44),"O.W.19",INDEX(REPORT_FR2052a!$1:$1048576,0,43),1,INDEX(REPORT_FR2052a!$1:$1048576,0,26),"Central Bank",INDEX(REPORT_FR2052a!$1:$1048576,0,7),"",INDEX(REPORT_FR2052a!$1:$1048576,0,5),"Bank of China - Combined US Branches and Agencies")</f>
        <v>0</v>
      </c>
      <c r="BK106" s="143">
        <f t="shared" ref="BK106:BK107" si="431">BD106-BJ106</f>
        <v>0</v>
      </c>
    </row>
    <row r="107" spans="1:63">
      <c r="A107" s="136">
        <v>57</v>
      </c>
      <c r="B107" s="137" t="str">
        <f>IFERROR(INDEX('LCR TYPE EXPLAIN'!B:B,MATCH(A107,'LCR TYPE EXPLAIN'!A:A,0)),"")</f>
        <v>Other Unsecured Wholesale (§.32(h)(5))</v>
      </c>
      <c r="F107" s="137" t="s">
        <v>331</v>
      </c>
      <c r="G107" s="138" t="s">
        <v>400</v>
      </c>
      <c r="H107" s="137" t="str">
        <f t="shared" si="374"/>
        <v>,INDEX(REPORT_FR2052a!$1:$1048576,0,44),"O.W.19"</v>
      </c>
      <c r="I107" s="137" t="s">
        <v>331</v>
      </c>
      <c r="J107" s="137">
        <v>1</v>
      </c>
      <c r="K107" s="137" t="str">
        <f t="shared" si="418"/>
        <v>,INDEX(REPORT_FR2052a!$1:$1048576,0,43),1</v>
      </c>
      <c r="N107" s="137" t="str">
        <f t="shared" si="419"/>
        <v/>
      </c>
      <c r="Q107" s="137" t="str">
        <f t="shared" si="420"/>
        <v/>
      </c>
      <c r="T107" s="137" t="str">
        <f t="shared" si="421"/>
        <v/>
      </c>
      <c r="V107" s="139"/>
      <c r="W107" s="137" t="str">
        <f t="shared" si="422"/>
        <v/>
      </c>
      <c r="Y107" s="139"/>
      <c r="Z107" s="137" t="str">
        <f t="shared" si="423"/>
        <v/>
      </c>
      <c r="AB107" s="139"/>
      <c r="AC107" s="137" t="str">
        <f t="shared" si="424"/>
        <v/>
      </c>
      <c r="AD107" s="137" t="s">
        <v>331</v>
      </c>
      <c r="AE107" s="140" t="s">
        <v>116</v>
      </c>
      <c r="AF107" s="137" t="str">
        <f t="shared" si="425"/>
        <v>,INDEX(REPORT_FR2052a!$1:$1048576,0,26),"Supervised Non-Bank Financial Entity"</v>
      </c>
      <c r="AH107" s="139"/>
      <c r="AI107" s="137" t="str">
        <f t="shared" si="426"/>
        <v/>
      </c>
      <c r="AK107" s="139"/>
      <c r="AL107" s="137" t="str">
        <f t="shared" si="427"/>
        <v/>
      </c>
      <c r="AO107" s="137" t="str">
        <f t="shared" si="428"/>
        <v/>
      </c>
      <c r="AR107" s="137" t="str">
        <f t="shared" si="214"/>
        <v/>
      </c>
      <c r="AU107" s="137" t="str">
        <f t="shared" si="215"/>
        <v/>
      </c>
      <c r="AV107" s="137" t="s">
        <v>331</v>
      </c>
      <c r="AW107" s="139" t="s">
        <v>762</v>
      </c>
      <c r="AX107" s="137" t="str">
        <f t="shared" si="403"/>
        <v>,INDEX(REPORT_FR2052a!$1:$1048576,0,7),""</v>
      </c>
      <c r="BA107" s="137" t="s">
        <v>13</v>
      </c>
      <c r="BB107" s="137" t="str">
        <f>"=SUMIFS(INDEX(REPORT_FR2052a!$1:$1048576,0,"&amp;(MATCH(BA107,REPORT_FR2052a!$1:$1,0))&amp;")"</f>
        <v>=SUMIFS(INDEX(REPORT_FR2052a!$1:$1048576,0,14)</v>
      </c>
      <c r="BC107" s="137" t="str">
        <f t="shared" si="198"/>
        <v>=SUMIFS(INDEX(REPORT_FR2052a!$1:$1048576,0,14),INDEX(REPORT_FR2052a!$1:$1048576,0,44),"O.W.19",INDEX(REPORT_FR2052a!$1:$1048576,0,43),1,INDEX(REPORT_FR2052a!$1:$1048576,0,26),"Supervised Non-Bank Financial Entity",INDEX(REPORT_FR2052a!$1:$1048576,0,7),"")</v>
      </c>
      <c r="BD107" s="141">
        <f>SUMIFS(INDEX(REPORT_FR2052a!$1:$1048576,0,14),INDEX(REPORT_FR2052a!$1:$1048576,0,44),"O.W.19",INDEX(REPORT_FR2052a!$1:$1048576,0,43),1,INDEX(REPORT_FR2052a!$1:$1048576,0,26),"Supervised Non-Bank Financial Entity",INDEX(REPORT_FR2052a!$1:$1048576,0,7),"")</f>
        <v>0</v>
      </c>
      <c r="BE107" s="137" t="s">
        <v>331</v>
      </c>
      <c r="BF107" s="139" t="s">
        <v>47</v>
      </c>
      <c r="BG107" s="137" t="str">
        <f t="shared" si="429"/>
        <v>,INDEX(REPORT_FR2052a!$1:$1048576,0,5),"Bank of China - Combined US Branches and Agencies"</v>
      </c>
      <c r="BI107" s="137" t="str">
        <f t="shared" si="430"/>
        <v>=SUMIFS(INDEX(REPORT_FR2052a!$1:$1048576,0,14),INDEX(REPORT_FR2052a!$1:$1048576,0,44),"O.W.19",INDEX(REPORT_FR2052a!$1:$1048576,0,43),1,INDEX(REPORT_FR2052a!$1:$1048576,0,26),"Supervised Non-Bank Financial Entity",INDEX(REPORT_FR2052a!$1:$1048576,0,7),"",INDEX(REPORT_FR2052a!$1:$1048576,0,5),"Bank of China - Combined US Branches and Agencies")</v>
      </c>
      <c r="BJ107" s="142">
        <f>SUMIFS(INDEX(REPORT_FR2052a!$1:$1048576,0,14),INDEX(REPORT_FR2052a!$1:$1048576,0,44),"O.W.19",INDEX(REPORT_FR2052a!$1:$1048576,0,43),1,INDEX(REPORT_FR2052a!$1:$1048576,0,26),"Supervised Non-Bank Financial Entity",INDEX(REPORT_FR2052a!$1:$1048576,0,7),"",INDEX(REPORT_FR2052a!$1:$1048576,0,5),"Bank of China - Combined US Branches and Agencies")</f>
        <v>0</v>
      </c>
      <c r="BK107" s="143">
        <f t="shared" si="431"/>
        <v>0</v>
      </c>
    </row>
    <row r="108" spans="1:63">
      <c r="A108" s="136">
        <v>57</v>
      </c>
      <c r="B108" s="137" t="str">
        <f>IFERROR(INDEX('LCR TYPE EXPLAIN'!B:B,MATCH(A108,'LCR TYPE EXPLAIN'!A:A,0)),"")</f>
        <v>Other Unsecured Wholesale (§.32(h)(5))</v>
      </c>
      <c r="F108" s="137" t="s">
        <v>331</v>
      </c>
      <c r="G108" s="138" t="s">
        <v>400</v>
      </c>
      <c r="H108" s="137" t="str">
        <f t="shared" si="374"/>
        <v>,INDEX(REPORT_FR2052a!$1:$1048576,0,44),"O.W.19"</v>
      </c>
      <c r="I108" s="137" t="s">
        <v>331</v>
      </c>
      <c r="J108" s="137">
        <v>1</v>
      </c>
      <c r="K108" s="137" t="str">
        <f t="shared" ref="K108" si="432">IF(I108="","",",INDEX(REPORT_FR2052a!$1:$1048576,0,"&amp;K$2&amp;"),"&amp;IF(ISTEXT(J108),CHAR(34),"")&amp;IF(I108="is","",""&amp;"&lt;&gt;")&amp;J108&amp;IF(ISTEXT(J108),CHAR(34),""))</f>
        <v>,INDEX(REPORT_FR2052a!$1:$1048576,0,43),1</v>
      </c>
      <c r="N108" s="137" t="str">
        <f t="shared" ref="N108" si="433">IF(L108="","",",INDEX(REPORT_FR2052a!$1:$1048576,0,"&amp;N$2&amp;"),"&amp;IF(ISTEXT(M108),CHAR(34),"")&amp;IF(L108="is","",""&amp;"&lt;&gt;")&amp;M108&amp;IF(ISTEXT(M108),CHAR(34),""))</f>
        <v/>
      </c>
      <c r="Q108" s="137" t="str">
        <f t="shared" ref="Q108" si="434">IF(O108="","",",INDEX(REPORT_FR2052a!$1:$1048576,0,"&amp;Q$2&amp;"),"&amp;IF(OR(ISTEXT(P108),ISBLANK(P108)),CHAR(34),"")&amp;IF(O108="is","",""&amp;"&lt;&gt;")&amp;P108&amp;IF(OR(ISTEXT(P108),ISBLANK(P108)),CHAR(34),""))</f>
        <v/>
      </c>
      <c r="T108" s="137" t="str">
        <f t="shared" ref="T108" si="435">IF(R108="","",",INDEX(REPORT_FR2052a!$1:$1048576,0,"&amp;T$2&amp;"),"&amp;IF(ISTEXT(S108),CHAR(34),"")&amp;IF(R108="is","",""&amp;"&lt;&gt;")&amp;S108&amp;IF(ISTEXT(S108),CHAR(34),""))</f>
        <v/>
      </c>
      <c r="V108" s="139"/>
      <c r="W108" s="137" t="str">
        <f t="shared" ref="W108" si="436">IF(U108="","",",INDEX(REPORT_FR2052a!$1:$1048576,0,"&amp;W$2&amp;"),"&amp;IF(ISTEXT(V108),CHAR(34),"")&amp;IF(U108="is","",""&amp;"&lt;&gt;")&amp;V108&amp;IF(ISTEXT(V108),CHAR(34),""))</f>
        <v/>
      </c>
      <c r="Y108" s="139"/>
      <c r="Z108" s="137" t="str">
        <f t="shared" ref="Z108" si="437">IF(X108="","",",INDEX(REPORT_FR2052a!$1:$1048576,0,"&amp;Z$2&amp;"),"&amp;IF(ISTEXT(Y108),CHAR(34),"")&amp;IF(X108="is","",""&amp;"&lt;&gt;")&amp;Y108&amp;IF(ISTEXT(Y108),CHAR(34),""))</f>
        <v/>
      </c>
      <c r="AB108" s="139"/>
      <c r="AC108" s="137" t="str">
        <f t="shared" ref="AC108" si="438">IF(AA108="","",",INDEX(REPORT_FR2052a!$1:$1048576,0,"&amp;AC$2&amp;"),"&amp;IF(ISTEXT(AB108),CHAR(34),"")&amp;IF(AA108="is","",""&amp;"&lt;&gt;")&amp;AB108&amp;IF(ISTEXT(AB108),CHAR(34),""))</f>
        <v/>
      </c>
      <c r="AD108" s="137" t="s">
        <v>331</v>
      </c>
      <c r="AE108" s="140" t="s">
        <v>759</v>
      </c>
      <c r="AF108" s="137" t="str">
        <f t="shared" ref="AF108" si="439">IF(AD108="","",",INDEX(REPORT_FR2052a!$1:$1048576,0,"&amp;AF$2&amp;"),"&amp;IF(ISTEXT(AE108),CHAR(34),"")&amp;IF(AD108="is","",""&amp;"&lt;&gt;")&amp;AE108&amp;IF(ISTEXT(AE108),CHAR(34),""))</f>
        <v>,INDEX(REPORT_FR2052a!$1:$1048576,0,26),"Bank"</v>
      </c>
      <c r="AH108" s="139"/>
      <c r="AI108" s="137" t="str">
        <f t="shared" ref="AI108" si="440">IF(AG108="","",",INDEX(REPORT_FR2052a!$1:$1048576,0,"&amp;AI$2&amp;"),"&amp;IF(ISTEXT(AH108),CHAR(34),"")&amp;IF(AG108="is","",""&amp;"&lt;&gt;")&amp;AH108&amp;IF(ISTEXT(AH108),CHAR(34),""))</f>
        <v/>
      </c>
      <c r="AK108" s="139"/>
      <c r="AL108" s="137" t="str">
        <f t="shared" ref="AL108" si="441">IF(AJ108="","",",INDEX(REPORT_FR2052a!$1:$1048576,0,"&amp;AL$2&amp;"),"&amp;IF(ISTEXT(AK108),CHAR(34),"")&amp;IF(AJ108="is","",""&amp;"&lt;&gt;")&amp;AK108&amp;IF(ISTEXT(AK108),CHAR(34),""))</f>
        <v/>
      </c>
      <c r="AO108" s="137" t="str">
        <f t="shared" ref="AO108" si="442">IF(AM108="","",",INDEX(REPORT_FR2052a!$1:$1048576,0,"&amp;AO$2&amp;"),"&amp;IF(ISTEXT(AN108),CHAR(34),"")&amp;IF(AM108="is","",""&amp;"&lt;&gt;")&amp;AN108&amp;IF(ISTEXT(AN108),CHAR(34),""))</f>
        <v/>
      </c>
      <c r="AR108" s="137" t="str">
        <f t="shared" si="214"/>
        <v/>
      </c>
      <c r="AU108" s="137" t="str">
        <f t="shared" si="215"/>
        <v/>
      </c>
      <c r="AV108" s="137" t="s">
        <v>331</v>
      </c>
      <c r="AW108" s="139" t="s">
        <v>762</v>
      </c>
      <c r="AX108" s="137" t="str">
        <f t="shared" si="403"/>
        <v>,INDEX(REPORT_FR2052a!$1:$1048576,0,7),""</v>
      </c>
      <c r="BA108" s="137" t="s">
        <v>13</v>
      </c>
      <c r="BB108" s="137" t="str">
        <f>"=SUMIFS(INDEX(REPORT_FR2052a!$1:$1048576,0,"&amp;(MATCH(BA108,REPORT_FR2052a!$1:$1,0))&amp;")"</f>
        <v>=SUMIFS(INDEX(REPORT_FR2052a!$1:$1048576,0,14)</v>
      </c>
      <c r="BC108" s="137" t="str">
        <f t="shared" si="198"/>
        <v>=SUMIFS(INDEX(REPORT_FR2052a!$1:$1048576,0,14),INDEX(REPORT_FR2052a!$1:$1048576,0,44),"O.W.19",INDEX(REPORT_FR2052a!$1:$1048576,0,43),1,INDEX(REPORT_FR2052a!$1:$1048576,0,26),"Bank",INDEX(REPORT_FR2052a!$1:$1048576,0,7),"")</v>
      </c>
      <c r="BD108" s="141">
        <f>SUMIFS(INDEX(REPORT_FR2052a!$1:$1048576,0,14),INDEX(REPORT_FR2052a!$1:$1048576,0,44),"O.W.19",INDEX(REPORT_FR2052a!$1:$1048576,0,43),1,INDEX(REPORT_FR2052a!$1:$1048576,0,26),"Bank",INDEX(REPORT_FR2052a!$1:$1048576,0,7),"")</f>
        <v>0</v>
      </c>
      <c r="BE108" s="137" t="s">
        <v>331</v>
      </c>
      <c r="BF108" s="139" t="s">
        <v>47</v>
      </c>
      <c r="BG108" s="137" t="str">
        <f t="shared" ref="BG108" si="443">IF(BE108="","",",INDEX(REPORT_FR2052a!$1:$1048576,0,"&amp;BG$2&amp;"),"&amp;IF(ISTEXT(BF108),CHAR(34),"")&amp;IF(BE108="is","",""&amp;"&lt;&gt;")&amp;BF108&amp;IF(ISTEXT(BF108),CHAR(34),""))</f>
        <v>,INDEX(REPORT_FR2052a!$1:$1048576,0,5),"Bank of China - Combined US Branches and Agencies"</v>
      </c>
      <c r="BI108" s="137" t="str">
        <f t="shared" ref="BI108" si="444">LEFT(BC108,LEN(BC108)-1)&amp;BG108&amp;")"</f>
        <v>=SUMIFS(INDEX(REPORT_FR2052a!$1:$1048576,0,14),INDEX(REPORT_FR2052a!$1:$1048576,0,44),"O.W.19",INDEX(REPORT_FR2052a!$1:$1048576,0,43),1,INDEX(REPORT_FR2052a!$1:$1048576,0,26),"Bank",INDEX(REPORT_FR2052a!$1:$1048576,0,7),"",INDEX(REPORT_FR2052a!$1:$1048576,0,5),"Bank of China - Combined US Branches and Agencies")</v>
      </c>
      <c r="BJ108" s="142">
        <f>SUMIFS(INDEX(REPORT_FR2052a!$1:$1048576,0,14),INDEX(REPORT_FR2052a!$1:$1048576,0,44),"O.W.19",INDEX(REPORT_FR2052a!$1:$1048576,0,43),1,INDEX(REPORT_FR2052a!$1:$1048576,0,26),"Bank",INDEX(REPORT_FR2052a!$1:$1048576,0,7),"",INDEX(REPORT_FR2052a!$1:$1048576,0,5),"Bank of China - Combined US Branches and Agencies")</f>
        <v>0</v>
      </c>
      <c r="BK108" s="143">
        <f t="shared" ref="BK108" si="445">BD108-BJ108</f>
        <v>0</v>
      </c>
    </row>
    <row r="109" spans="1:63">
      <c r="A109" s="136">
        <v>57</v>
      </c>
      <c r="B109" s="137" t="str">
        <f>IFERROR(INDEX('LCR TYPE EXPLAIN'!B:B,MATCH(A109,'LCR TYPE EXPLAIN'!A:A,0)),"")</f>
        <v>Other Unsecured Wholesale (§.32(h)(5))</v>
      </c>
      <c r="F109" s="137" t="s">
        <v>331</v>
      </c>
      <c r="G109" s="138" t="s">
        <v>400</v>
      </c>
      <c r="H109" s="137" t="str">
        <f t="shared" si="374"/>
        <v>,INDEX(REPORT_FR2052a!$1:$1048576,0,44),"O.W.19"</v>
      </c>
      <c r="I109" s="137" t="s">
        <v>331</v>
      </c>
      <c r="J109" s="137">
        <v>1</v>
      </c>
      <c r="K109" s="137" t="str">
        <f t="shared" ref="K109" si="446">IF(I109="","",",INDEX(REPORT_FR2052a!$1:$1048576,0,"&amp;K$2&amp;"),"&amp;IF(ISTEXT(J109),CHAR(34),"")&amp;IF(I109="is","",""&amp;"&lt;&gt;")&amp;J109&amp;IF(ISTEXT(J109),CHAR(34),""))</f>
        <v>,INDEX(REPORT_FR2052a!$1:$1048576,0,43),1</v>
      </c>
      <c r="N109" s="137" t="str">
        <f t="shared" ref="N109" si="447">IF(L109="","",",INDEX(REPORT_FR2052a!$1:$1048576,0,"&amp;N$2&amp;"),"&amp;IF(ISTEXT(M109),CHAR(34),"")&amp;IF(L109="is","",""&amp;"&lt;&gt;")&amp;M109&amp;IF(ISTEXT(M109),CHAR(34),""))</f>
        <v/>
      </c>
      <c r="Q109" s="137" t="str">
        <f t="shared" ref="Q109" si="448">IF(O109="","",",INDEX(REPORT_FR2052a!$1:$1048576,0,"&amp;Q$2&amp;"),"&amp;IF(OR(ISTEXT(P109),ISBLANK(P109)),CHAR(34),"")&amp;IF(O109="is","",""&amp;"&lt;&gt;")&amp;P109&amp;IF(OR(ISTEXT(P109),ISBLANK(P109)),CHAR(34),""))</f>
        <v/>
      </c>
      <c r="T109" s="137" t="str">
        <f t="shared" ref="T109" si="449">IF(R109="","",",INDEX(REPORT_FR2052a!$1:$1048576,0,"&amp;T$2&amp;"),"&amp;IF(ISTEXT(S109),CHAR(34),"")&amp;IF(R109="is","",""&amp;"&lt;&gt;")&amp;S109&amp;IF(ISTEXT(S109),CHAR(34),""))</f>
        <v/>
      </c>
      <c r="V109" s="139"/>
      <c r="W109" s="137" t="str">
        <f t="shared" ref="W109" si="450">IF(U109="","",",INDEX(REPORT_FR2052a!$1:$1048576,0,"&amp;W$2&amp;"),"&amp;IF(ISTEXT(V109),CHAR(34),"")&amp;IF(U109="is","",""&amp;"&lt;&gt;")&amp;V109&amp;IF(ISTEXT(V109),CHAR(34),""))</f>
        <v/>
      </c>
      <c r="Y109" s="139"/>
      <c r="Z109" s="137" t="str">
        <f t="shared" ref="Z109" si="451">IF(X109="","",",INDEX(REPORT_FR2052a!$1:$1048576,0,"&amp;Z$2&amp;"),"&amp;IF(ISTEXT(Y109),CHAR(34),"")&amp;IF(X109="is","",""&amp;"&lt;&gt;")&amp;Y109&amp;IF(ISTEXT(Y109),CHAR(34),""))</f>
        <v/>
      </c>
      <c r="AB109" s="139"/>
      <c r="AC109" s="137" t="str">
        <f t="shared" ref="AC109" si="452">IF(AA109="","",",INDEX(REPORT_FR2052a!$1:$1048576,0,"&amp;AC$2&amp;"),"&amp;IF(ISTEXT(AB109),CHAR(34),"")&amp;IF(AA109="is","",""&amp;"&lt;&gt;")&amp;AB109&amp;IF(ISTEXT(AB109),CHAR(34),""))</f>
        <v/>
      </c>
      <c r="AD109" s="137" t="s">
        <v>331</v>
      </c>
      <c r="AE109" s="140" t="s">
        <v>136</v>
      </c>
      <c r="AF109" s="137" t="str">
        <f t="shared" ref="AF109" si="453">IF(AD109="","",",INDEX(REPORT_FR2052a!$1:$1048576,0,"&amp;AF$2&amp;"),"&amp;IF(ISTEXT(AE109),CHAR(34),"")&amp;IF(AD109="is","",""&amp;"&lt;&gt;")&amp;AE109&amp;IF(ISTEXT(AE109),CHAR(34),""))</f>
        <v>,INDEX(REPORT_FR2052a!$1:$1048576,0,26),"Other"</v>
      </c>
      <c r="AH109" s="139"/>
      <c r="AI109" s="137" t="str">
        <f t="shared" ref="AI109" si="454">IF(AG109="","",",INDEX(REPORT_FR2052a!$1:$1048576,0,"&amp;AI$2&amp;"),"&amp;IF(ISTEXT(AH109),CHAR(34),"")&amp;IF(AG109="is","",""&amp;"&lt;&gt;")&amp;AH109&amp;IF(ISTEXT(AH109),CHAR(34),""))</f>
        <v/>
      </c>
      <c r="AK109" s="139"/>
      <c r="AL109" s="137" t="str">
        <f t="shared" ref="AL109" si="455">IF(AJ109="","",",INDEX(REPORT_FR2052a!$1:$1048576,0,"&amp;AL$2&amp;"),"&amp;IF(ISTEXT(AK109),CHAR(34),"")&amp;IF(AJ109="is","",""&amp;"&lt;&gt;")&amp;AK109&amp;IF(ISTEXT(AK109),CHAR(34),""))</f>
        <v/>
      </c>
      <c r="AO109" s="137" t="str">
        <f t="shared" ref="AO109" si="456">IF(AM109="","",",INDEX(REPORT_FR2052a!$1:$1048576,0,"&amp;AO$2&amp;"),"&amp;IF(ISTEXT(AN109),CHAR(34),"")&amp;IF(AM109="is","",""&amp;"&lt;&gt;")&amp;AN109&amp;IF(ISTEXT(AN109),CHAR(34),""))</f>
        <v/>
      </c>
      <c r="AR109" s="137" t="str">
        <f t="shared" si="214"/>
        <v/>
      </c>
      <c r="AU109" s="137" t="str">
        <f t="shared" si="215"/>
        <v/>
      </c>
      <c r="AV109" s="137" t="s">
        <v>331</v>
      </c>
      <c r="AW109" s="139" t="s">
        <v>762</v>
      </c>
      <c r="AX109" s="137" t="str">
        <f t="shared" si="403"/>
        <v>,INDEX(REPORT_FR2052a!$1:$1048576,0,7),""</v>
      </c>
      <c r="BA109" s="137" t="s">
        <v>13</v>
      </c>
      <c r="BB109" s="137" t="str">
        <f>"=SUMIFS(INDEX(REPORT_FR2052a!$1:$1048576,0,"&amp;(MATCH(BA109,REPORT_FR2052a!$1:$1,0))&amp;")"</f>
        <v>=SUMIFS(INDEX(REPORT_FR2052a!$1:$1048576,0,14)</v>
      </c>
      <c r="BC109" s="137" t="str">
        <f t="shared" si="198"/>
        <v>=SUMIFS(INDEX(REPORT_FR2052a!$1:$1048576,0,14),INDEX(REPORT_FR2052a!$1:$1048576,0,44),"O.W.19",INDEX(REPORT_FR2052a!$1:$1048576,0,43),1,INDEX(REPORT_FR2052a!$1:$1048576,0,26),"Other",INDEX(REPORT_FR2052a!$1:$1048576,0,7),"")</v>
      </c>
      <c r="BD109" s="141">
        <f>SUMIFS(INDEX(REPORT_FR2052a!$1:$1048576,0,14),INDEX(REPORT_FR2052a!$1:$1048576,0,44),"O.W.19",INDEX(REPORT_FR2052a!$1:$1048576,0,43),1,INDEX(REPORT_FR2052a!$1:$1048576,0,26),"Other",INDEX(REPORT_FR2052a!$1:$1048576,0,7),"")</f>
        <v>0</v>
      </c>
      <c r="BE109" s="137" t="s">
        <v>331</v>
      </c>
      <c r="BF109" s="139" t="s">
        <v>47</v>
      </c>
      <c r="BG109" s="137" t="str">
        <f t="shared" ref="BG109" si="457">IF(BE109="","",",INDEX(REPORT_FR2052a!$1:$1048576,0,"&amp;BG$2&amp;"),"&amp;IF(ISTEXT(BF109),CHAR(34),"")&amp;IF(BE109="is","",""&amp;"&lt;&gt;")&amp;BF109&amp;IF(ISTEXT(BF109),CHAR(34),""))</f>
        <v>,INDEX(REPORT_FR2052a!$1:$1048576,0,5),"Bank of China - Combined US Branches and Agencies"</v>
      </c>
      <c r="BI109" s="137" t="str">
        <f t="shared" ref="BI109" si="458">LEFT(BC109,LEN(BC109)-1)&amp;BG109&amp;")"</f>
        <v>=SUMIFS(INDEX(REPORT_FR2052a!$1:$1048576,0,14),INDEX(REPORT_FR2052a!$1:$1048576,0,44),"O.W.19",INDEX(REPORT_FR2052a!$1:$1048576,0,43),1,INDEX(REPORT_FR2052a!$1:$1048576,0,26),"Other",INDEX(REPORT_FR2052a!$1:$1048576,0,7),"",INDEX(REPORT_FR2052a!$1:$1048576,0,5),"Bank of China - Combined US Branches and Agencies")</v>
      </c>
      <c r="BJ109" s="142">
        <f>SUMIFS(INDEX(REPORT_FR2052a!$1:$1048576,0,14),INDEX(REPORT_FR2052a!$1:$1048576,0,44),"O.W.19",INDEX(REPORT_FR2052a!$1:$1048576,0,43),1,INDEX(REPORT_FR2052a!$1:$1048576,0,26),"Other",INDEX(REPORT_FR2052a!$1:$1048576,0,7),"",INDEX(REPORT_FR2052a!$1:$1048576,0,5),"Bank of China - Combined US Branches and Agencies")</f>
        <v>0</v>
      </c>
      <c r="BK109" s="143">
        <f t="shared" ref="BK109" si="459">BD109-BJ109</f>
        <v>0</v>
      </c>
    </row>
    <row r="110" spans="1:63">
      <c r="A110" s="136">
        <v>57</v>
      </c>
      <c r="B110" s="137" t="str">
        <f>IFERROR(INDEX('LCR TYPE EXPLAIN'!B:B,MATCH(A110,'LCR TYPE EXPLAIN'!A:A,0)),"")</f>
        <v>Other Unsecured Wholesale (§.32(h)(5))</v>
      </c>
      <c r="F110" s="137" t="s">
        <v>331</v>
      </c>
      <c r="G110" s="138" t="s">
        <v>400</v>
      </c>
      <c r="H110" s="137" t="str">
        <f t="shared" si="374"/>
        <v>,INDEX(REPORT_FR2052a!$1:$1048576,0,44),"O.W.19"</v>
      </c>
      <c r="I110" s="137" t="s">
        <v>331</v>
      </c>
      <c r="J110" s="137">
        <v>1</v>
      </c>
      <c r="K110" s="137" t="str">
        <f t="shared" ref="K110" si="460">IF(I110="","",",INDEX(REPORT_FR2052a!$1:$1048576,0,"&amp;K$2&amp;"),"&amp;IF(ISTEXT(J110),CHAR(34),"")&amp;IF(I110="is","",""&amp;"&lt;&gt;")&amp;J110&amp;IF(ISTEXT(J110),CHAR(34),""))</f>
        <v>,INDEX(REPORT_FR2052a!$1:$1048576,0,43),1</v>
      </c>
      <c r="N110" s="137" t="str">
        <f t="shared" ref="N110" si="461">IF(L110="","",",INDEX(REPORT_FR2052a!$1:$1048576,0,"&amp;N$2&amp;"),"&amp;IF(ISTEXT(M110),CHAR(34),"")&amp;IF(L110="is","",""&amp;"&lt;&gt;")&amp;M110&amp;IF(ISTEXT(M110),CHAR(34),""))</f>
        <v/>
      </c>
      <c r="Q110" s="137" t="str">
        <f t="shared" ref="Q110" si="462">IF(O110="","",",INDEX(REPORT_FR2052a!$1:$1048576,0,"&amp;Q$2&amp;"),"&amp;IF(OR(ISTEXT(P110),ISBLANK(P110)),CHAR(34),"")&amp;IF(O110="is","",""&amp;"&lt;&gt;")&amp;P110&amp;IF(OR(ISTEXT(P110),ISBLANK(P110)),CHAR(34),""))</f>
        <v/>
      </c>
      <c r="T110" s="137" t="str">
        <f t="shared" ref="T110" si="463">IF(R110="","",",INDEX(REPORT_FR2052a!$1:$1048576,0,"&amp;T$2&amp;"),"&amp;IF(ISTEXT(S110),CHAR(34),"")&amp;IF(R110="is","",""&amp;"&lt;&gt;")&amp;S110&amp;IF(ISTEXT(S110),CHAR(34),""))</f>
        <v/>
      </c>
      <c r="V110" s="139"/>
      <c r="W110" s="137" t="str">
        <f t="shared" ref="W110" si="464">IF(U110="","",",INDEX(REPORT_FR2052a!$1:$1048576,0,"&amp;W$2&amp;"),"&amp;IF(ISTEXT(V110),CHAR(34),"")&amp;IF(U110="is","",""&amp;"&lt;&gt;")&amp;V110&amp;IF(ISTEXT(V110),CHAR(34),""))</f>
        <v/>
      </c>
      <c r="Y110" s="139"/>
      <c r="Z110" s="137" t="str">
        <f t="shared" ref="Z110" si="465">IF(X110="","",",INDEX(REPORT_FR2052a!$1:$1048576,0,"&amp;Z$2&amp;"),"&amp;IF(ISTEXT(Y110),CHAR(34),"")&amp;IF(X110="is","",""&amp;"&lt;&gt;")&amp;Y110&amp;IF(ISTEXT(Y110),CHAR(34),""))</f>
        <v/>
      </c>
      <c r="AB110" s="139"/>
      <c r="AC110" s="137" t="str">
        <f t="shared" ref="AC110" si="466">IF(AA110="","",",INDEX(REPORT_FR2052a!$1:$1048576,0,"&amp;AC$2&amp;"),"&amp;IF(ISTEXT(AB110),CHAR(34),"")&amp;IF(AA110="is","",""&amp;"&lt;&gt;")&amp;AB110&amp;IF(ISTEXT(AB110),CHAR(34),""))</f>
        <v/>
      </c>
      <c r="AD110" s="137" t="s">
        <v>331</v>
      </c>
      <c r="AE110" s="162" t="s">
        <v>762</v>
      </c>
      <c r="AF110" s="137" t="str">
        <f t="shared" ref="AF110" si="467">IF(AD110="","",",INDEX(REPORT_FR2052a!$1:$1048576,0,"&amp;AF$2&amp;"),"&amp;IF(ISTEXT(AE110),CHAR(34),"")&amp;IF(AD110="is","",""&amp;"&lt;&gt;")&amp;AE110&amp;IF(ISTEXT(AE110),CHAR(34),""))</f>
        <v>,INDEX(REPORT_FR2052a!$1:$1048576,0,26),""</v>
      </c>
      <c r="AH110" s="139"/>
      <c r="AI110" s="137" t="str">
        <f t="shared" ref="AI110" si="468">IF(AG110="","",",INDEX(REPORT_FR2052a!$1:$1048576,0,"&amp;AI$2&amp;"),"&amp;IF(ISTEXT(AH110),CHAR(34),"")&amp;IF(AG110="is","",""&amp;"&lt;&gt;")&amp;AH110&amp;IF(ISTEXT(AH110),CHAR(34),""))</f>
        <v/>
      </c>
      <c r="AK110" s="139"/>
      <c r="AL110" s="137" t="str">
        <f t="shared" ref="AL110" si="469">IF(AJ110="","",",INDEX(REPORT_FR2052a!$1:$1048576,0,"&amp;AL$2&amp;"),"&amp;IF(ISTEXT(AK110),CHAR(34),"")&amp;IF(AJ110="is","",""&amp;"&lt;&gt;")&amp;AK110&amp;IF(ISTEXT(AK110),CHAR(34),""))</f>
        <v/>
      </c>
      <c r="AO110" s="137" t="str">
        <f t="shared" ref="AO110" si="470">IF(AM110="","",",INDEX(REPORT_FR2052a!$1:$1048576,0,"&amp;AO$2&amp;"),"&amp;IF(ISTEXT(AN110),CHAR(34),"")&amp;IF(AM110="is","",""&amp;"&lt;&gt;")&amp;AN110&amp;IF(ISTEXT(AN110),CHAR(34),""))</f>
        <v/>
      </c>
      <c r="AR110" s="137" t="str">
        <f t="shared" ref="AR110" si="471">IF(AP110="","",",INDEX(REPORT_FR2052a!$1:$1048576,0,"&amp;AR$2&amp;"),"&amp;IF(ISTEXT(AQ110),CHAR(34),"")&amp;IF(AP110="is","",""&amp;"&lt;&gt;")&amp;AQ110&amp;IF(ISTEXT(AQ110),CHAR(34),""))</f>
        <v/>
      </c>
      <c r="AU110" s="137" t="str">
        <f t="shared" ref="AU110" si="472">IF(AS110="","",",INDEX(REPORT_FR2052a!$1:$1048576,0,"&amp;AU$2&amp;"),"&amp;IF(ISTEXT(AT110),CHAR(34),"")&amp;IF(AS110="is","",""&amp;"&lt;&gt;")&amp;AT110&amp;IF(ISTEXT(AT110),CHAR(34),""))</f>
        <v/>
      </c>
      <c r="AV110" s="137" t="s">
        <v>331</v>
      </c>
      <c r="AW110" s="139" t="s">
        <v>762</v>
      </c>
      <c r="AX110" s="137" t="str">
        <f t="shared" si="403"/>
        <v>,INDEX(REPORT_FR2052a!$1:$1048576,0,7),""</v>
      </c>
      <c r="BA110" s="137" t="s">
        <v>13</v>
      </c>
      <c r="BB110" s="137" t="str">
        <f>"=SUMIFS(INDEX(REPORT_FR2052a!$1:$1048576,0,"&amp;(MATCH(BA110,REPORT_FR2052a!$1:$1,0))&amp;")"</f>
        <v>=SUMIFS(INDEX(REPORT_FR2052a!$1:$1048576,0,14)</v>
      </c>
      <c r="BC110" s="137" t="str">
        <f t="shared" si="198"/>
        <v>=SUMIFS(INDEX(REPORT_FR2052a!$1:$1048576,0,14),INDEX(REPORT_FR2052a!$1:$1048576,0,44),"O.W.19",INDEX(REPORT_FR2052a!$1:$1048576,0,43),1,INDEX(REPORT_FR2052a!$1:$1048576,0,26),"",INDEX(REPORT_FR2052a!$1:$1048576,0,7),"")</v>
      </c>
      <c r="BD110" s="141">
        <f>SUMIFS(INDEX(REPORT_FR2052a!$1:$1048576,0,14),INDEX(REPORT_FR2052a!$1:$1048576,0,44),"O.W.19",INDEX(REPORT_FR2052a!$1:$1048576,0,43),1,INDEX(REPORT_FR2052a!$1:$1048576,0,26),"",INDEX(REPORT_FR2052a!$1:$1048576,0,7),"")</f>
        <v>0.95</v>
      </c>
      <c r="BE110" s="137" t="s">
        <v>331</v>
      </c>
      <c r="BF110" s="139" t="s">
        <v>47</v>
      </c>
      <c r="BG110" s="137" t="str">
        <f t="shared" ref="BG110" si="473">IF(BE110="","",",INDEX(REPORT_FR2052a!$1:$1048576,0,"&amp;BG$2&amp;"),"&amp;IF(ISTEXT(BF110),CHAR(34),"")&amp;IF(BE110="is","",""&amp;"&lt;&gt;")&amp;BF110&amp;IF(ISTEXT(BF110),CHAR(34),""))</f>
        <v>,INDEX(REPORT_FR2052a!$1:$1048576,0,5),"Bank of China - Combined US Branches and Agencies"</v>
      </c>
      <c r="BI110" s="137" t="str">
        <f t="shared" ref="BI110" si="474">LEFT(BC110,LEN(BC110)-1)&amp;BG110&amp;")"</f>
        <v>=SUMIFS(INDEX(REPORT_FR2052a!$1:$1048576,0,14),INDEX(REPORT_FR2052a!$1:$1048576,0,44),"O.W.19",INDEX(REPORT_FR2052a!$1:$1048576,0,43),1,INDEX(REPORT_FR2052a!$1:$1048576,0,26),"",INDEX(REPORT_FR2052a!$1:$1048576,0,7),"",INDEX(REPORT_FR2052a!$1:$1048576,0,5),"Bank of China - Combined US Branches and Agencies")</v>
      </c>
      <c r="BJ110" s="142">
        <f>SUMIFS(INDEX(REPORT_FR2052a!$1:$1048576,0,14),INDEX(REPORT_FR2052a!$1:$1048576,0,44),"O.W.19",INDEX(REPORT_FR2052a!$1:$1048576,0,43),1,INDEX(REPORT_FR2052a!$1:$1048576,0,26),"",INDEX(REPORT_FR2052a!$1:$1048576,0,7),"",INDEX(REPORT_FR2052a!$1:$1048576,0,5),"Bank of China - Combined US Branches and Agencies")</f>
        <v>0</v>
      </c>
      <c r="BK110" s="143">
        <f t="shared" ref="BK110" si="475">BD110-BJ110</f>
        <v>0.95</v>
      </c>
    </row>
    <row r="111" spans="1:63">
      <c r="A111" s="136">
        <v>75</v>
      </c>
      <c r="B111" s="137" t="str">
        <f>IFERROR(INDEX('LCR TYPE EXPLAIN'!B:B,MATCH(A111,'LCR TYPE EXPLAIN'!A:A,0)),"")</f>
        <v>Secured Funding Non-HQLA (§.32(j)(1)(vi))</v>
      </c>
      <c r="F111" s="137" t="s">
        <v>331</v>
      </c>
      <c r="G111" s="138" t="s">
        <v>658</v>
      </c>
      <c r="H111" s="137" t="str">
        <f t="shared" si="374"/>
        <v>,INDEX(REPORT_FR2052a!$1:$1048576,0,44),"O.S.9"</v>
      </c>
      <c r="I111" s="137" t="s">
        <v>331</v>
      </c>
      <c r="J111" s="137">
        <v>1</v>
      </c>
      <c r="K111" s="137" t="str">
        <f t="shared" ref="K111" si="476">IF(I111="","",",INDEX(REPORT_FR2052a!$1:$1048576,0,"&amp;K$2&amp;"),"&amp;IF(ISTEXT(J111),CHAR(34),"")&amp;IF(I111="is","",""&amp;"&lt;&gt;")&amp;J111&amp;IF(ISTEXT(J111),CHAR(34),""))</f>
        <v>,INDEX(REPORT_FR2052a!$1:$1048576,0,43),1</v>
      </c>
      <c r="N111" s="137" t="str">
        <f t="shared" ref="N111" si="477">IF(L111="","",",INDEX(REPORT_FR2052a!$1:$1048576,0,"&amp;N$2&amp;"),"&amp;IF(ISTEXT(M111),CHAR(34),"")&amp;IF(L111="is","",""&amp;"&lt;&gt;")&amp;M111&amp;IF(ISTEXT(M111),CHAR(34),""))</f>
        <v/>
      </c>
      <c r="Q111" s="137" t="str">
        <f t="shared" ref="Q111" si="478">IF(O111="","",",INDEX(REPORT_FR2052a!$1:$1048576,0,"&amp;Q$2&amp;"),"&amp;IF(OR(ISTEXT(P111),ISBLANK(P111)),CHAR(34),"")&amp;IF(O111="is","",""&amp;"&lt;&gt;")&amp;P111&amp;IF(OR(ISTEXT(P111),ISBLANK(P111)),CHAR(34),""))</f>
        <v/>
      </c>
      <c r="R111" s="137" t="s">
        <v>331</v>
      </c>
      <c r="S111" s="137">
        <v>0</v>
      </c>
      <c r="T111" s="137" t="str">
        <f t="shared" ref="T111" si="479">IF(R111="","",",INDEX(REPORT_FR2052a!$1:$1048576,0,"&amp;T$2&amp;"),"&amp;IF(ISTEXT(S111),CHAR(34),"")&amp;IF(R111="is","",""&amp;"&lt;&gt;")&amp;S111&amp;IF(ISTEXT(S111),CHAR(34),""))</f>
        <v>,INDEX(REPORT_FR2052a!$1:$1048576,0,46),0</v>
      </c>
      <c r="V111" s="139"/>
      <c r="W111" s="137" t="str">
        <f t="shared" ref="W111" si="480">IF(U111="","",",INDEX(REPORT_FR2052a!$1:$1048576,0,"&amp;W$2&amp;"),"&amp;IF(ISTEXT(V111),CHAR(34),"")&amp;IF(U111="is","",""&amp;"&lt;&gt;")&amp;V111&amp;IF(ISTEXT(V111),CHAR(34),""))</f>
        <v/>
      </c>
      <c r="Y111" s="139"/>
      <c r="Z111" s="137" t="str">
        <f t="shared" ref="Z111" si="481">IF(X111="","",",INDEX(REPORT_FR2052a!$1:$1048576,0,"&amp;Z$2&amp;"),"&amp;IF(ISTEXT(Y111),CHAR(34),"")&amp;IF(X111="is","",""&amp;"&lt;&gt;")&amp;Y111&amp;IF(ISTEXT(Y111),CHAR(34),""))</f>
        <v/>
      </c>
      <c r="AB111" s="139"/>
      <c r="AC111" s="137" t="str">
        <f t="shared" ref="AC111" si="482">IF(AA111="","",",INDEX(REPORT_FR2052a!$1:$1048576,0,"&amp;AC$2&amp;"),"&amp;IF(ISTEXT(AB111),CHAR(34),"")&amp;IF(AA111="is","",""&amp;"&lt;&gt;")&amp;AB111&amp;IF(ISTEXT(AB111),CHAR(34),""))</f>
        <v/>
      </c>
      <c r="AD111" s="137" t="s">
        <v>331</v>
      </c>
      <c r="AE111" s="140" t="s">
        <v>759</v>
      </c>
      <c r="AF111" s="137" t="str">
        <f t="shared" ref="AF111" si="483">IF(AD111="","",",INDEX(REPORT_FR2052a!$1:$1048576,0,"&amp;AF$2&amp;"),"&amp;IF(ISTEXT(AE111),CHAR(34),"")&amp;IF(AD111="is","",""&amp;"&lt;&gt;")&amp;AE111&amp;IF(ISTEXT(AE111),CHAR(34),""))</f>
        <v>,INDEX(REPORT_FR2052a!$1:$1048576,0,26),"Bank"</v>
      </c>
      <c r="AH111" s="139"/>
      <c r="AI111" s="137" t="str">
        <f t="shared" ref="AI111" si="484">IF(AG111="","",",INDEX(REPORT_FR2052a!$1:$1048576,0,"&amp;AI$2&amp;"),"&amp;IF(ISTEXT(AH111),CHAR(34),"")&amp;IF(AG111="is","",""&amp;"&lt;&gt;")&amp;AH111&amp;IF(ISTEXT(AH111),CHAR(34),""))</f>
        <v/>
      </c>
      <c r="AK111" s="139"/>
      <c r="AL111" s="137" t="str">
        <f t="shared" ref="AL111" si="485">IF(AJ111="","",",INDEX(REPORT_FR2052a!$1:$1048576,0,"&amp;AL$2&amp;"),"&amp;IF(ISTEXT(AK111),CHAR(34),"")&amp;IF(AJ111="is","",""&amp;"&lt;&gt;")&amp;AK111&amp;IF(ISTEXT(AK111),CHAR(34),""))</f>
        <v/>
      </c>
      <c r="AO111" s="137" t="str">
        <f t="shared" ref="AO111" si="486">IF(AM111="","",",INDEX(REPORT_FR2052a!$1:$1048576,0,"&amp;AO$2&amp;"),"&amp;IF(ISTEXT(AN111),CHAR(34),"")&amp;IF(AM111="is","",""&amp;"&lt;&gt;")&amp;AN111&amp;IF(ISTEXT(AN111),CHAR(34),""))</f>
        <v/>
      </c>
      <c r="AR111" s="137" t="str">
        <f t="shared" ref="AR111" si="487">IF(AP111="","",",INDEX(REPORT_FR2052a!$1:$1048576,0,"&amp;AR$2&amp;"),"&amp;IF(ISTEXT(AQ111),CHAR(34),"")&amp;IF(AP111="is","",""&amp;"&lt;&gt;")&amp;AQ111&amp;IF(ISTEXT(AQ111),CHAR(34),""))</f>
        <v/>
      </c>
      <c r="AU111" s="137" t="str">
        <f t="shared" ref="AU111:AU172" si="488">IF(AS111="","",",INDEX(REPORT_FR2052a!$1:$1048576,0,"&amp;AU$2&amp;"),"&amp;IF(ISTEXT(AT111),CHAR(34),"")&amp;IF(AS111="is","",""&amp;"&lt;&gt;")&amp;AT111&amp;IF(ISTEXT(AT111),CHAR(34),""))</f>
        <v/>
      </c>
      <c r="AV111" s="137" t="s">
        <v>331</v>
      </c>
      <c r="AW111" s="139" t="s">
        <v>762</v>
      </c>
      <c r="AX111" s="137" t="str">
        <f t="shared" ref="AX111:AX112" si="489">IF(AV111="","",",INDEX(REPORT_FR2052a!$1:$1048576,0,"&amp;AX$2&amp;"),"&amp;IF(ISTEXT(AW111),CHAR(34),"")&amp;IF(AV111="is","",""&amp;"&lt;&gt;")&amp;AW111&amp;IF(ISTEXT(AW111),CHAR(34),""))</f>
        <v>,INDEX(REPORT_FR2052a!$1:$1048576,0,7),""</v>
      </c>
      <c r="BA111" s="137" t="s">
        <v>13</v>
      </c>
      <c r="BB111" s="137" t="str">
        <f>"=SUMIFS(INDEX(REPORT_FR2052a!$1:$1048576,0,"&amp;(MATCH(BA111,REPORT_FR2052a!$1:$1,0))&amp;")"</f>
        <v>=SUMIFS(INDEX(REPORT_FR2052a!$1:$1048576,0,14)</v>
      </c>
      <c r="BC111" s="137" t="str">
        <f t="shared" si="198"/>
        <v>=SUMIFS(INDEX(REPORT_FR2052a!$1:$1048576,0,14),INDEX(REPORT_FR2052a!$1:$1048576,0,44),"O.S.9",INDEX(REPORT_FR2052a!$1:$1048576,0,43),1,INDEX(REPORT_FR2052a!$1:$1048576,0,46),0,INDEX(REPORT_FR2052a!$1:$1048576,0,26),"Bank",INDEX(REPORT_FR2052a!$1:$1048576,0,7),"")</v>
      </c>
      <c r="BD111" s="141">
        <f>SUMIFS(INDEX(REPORT_FR2052a!$1:$1048576,0,14),INDEX(REPORT_FR2052a!$1:$1048576,0,44),"O.S.9",INDEX(REPORT_FR2052a!$1:$1048576,0,43),1,INDEX(REPORT_FR2052a!$1:$1048576,0,46),0,INDEX(REPORT_FR2052a!$1:$1048576,0,26),"Bank",INDEX(REPORT_FR2052a!$1:$1048576,0,7),"")</f>
        <v>2.1399999999999997</v>
      </c>
      <c r="BE111" s="137" t="s">
        <v>331</v>
      </c>
      <c r="BF111" s="139" t="s">
        <v>47</v>
      </c>
      <c r="BG111" s="137" t="str">
        <f t="shared" ref="BG111" si="490">IF(BE111="","",",INDEX(REPORT_FR2052a!$1:$1048576,0,"&amp;BG$2&amp;"),"&amp;IF(ISTEXT(BF111),CHAR(34),"")&amp;IF(BE111="is","",""&amp;"&lt;&gt;")&amp;BF111&amp;IF(ISTEXT(BF111),CHAR(34),""))</f>
        <v>,INDEX(REPORT_FR2052a!$1:$1048576,0,5),"Bank of China - Combined US Branches and Agencies"</v>
      </c>
      <c r="BI111" s="137" t="str">
        <f t="shared" ref="BI111" si="491">LEFT(BC111,LEN(BC111)-1)&amp;BG111&amp;")"</f>
        <v>=SUMIFS(INDEX(REPORT_FR2052a!$1:$1048576,0,14),INDEX(REPORT_FR2052a!$1:$1048576,0,44),"O.S.9",INDEX(REPORT_FR2052a!$1:$1048576,0,43),1,INDEX(REPORT_FR2052a!$1:$1048576,0,46),0,INDEX(REPORT_FR2052a!$1:$1048576,0,26),"Bank",INDEX(REPORT_FR2052a!$1:$1048576,0,7),"",INDEX(REPORT_FR2052a!$1:$1048576,0,5),"Bank of China - Combined US Branches and Agencies")</v>
      </c>
      <c r="BJ111" s="142">
        <f>SUMIFS(INDEX(REPORT_FR2052a!$1:$1048576,0,14),INDEX(REPORT_FR2052a!$1:$1048576,0,44),"O.S.9",INDEX(REPORT_FR2052a!$1:$1048576,0,43),1,INDEX(REPORT_FR2052a!$1:$1048576,0,46),0,INDEX(REPORT_FR2052a!$1:$1048576,0,26),"Bank",INDEX(REPORT_FR2052a!$1:$1048576,0,7),"",INDEX(REPORT_FR2052a!$1:$1048576,0,5),"Bank of China - Combined US Branches and Agencies")</f>
        <v>0</v>
      </c>
      <c r="BK111" s="143">
        <f t="shared" ref="BK111" si="492">BD111-BJ111</f>
        <v>2.1399999999999997</v>
      </c>
    </row>
    <row r="112" spans="1:63">
      <c r="A112" s="136">
        <v>75</v>
      </c>
      <c r="B112" s="137" t="str">
        <f>IFERROR(INDEX('LCR TYPE EXPLAIN'!B:B,MATCH(A112,'LCR TYPE EXPLAIN'!A:A,0)),"")</f>
        <v>Secured Funding Non-HQLA (§.32(j)(1)(vi))</v>
      </c>
      <c r="F112" s="137" t="s">
        <v>331</v>
      </c>
      <c r="G112" s="138" t="s">
        <v>658</v>
      </c>
      <c r="H112" s="137" t="str">
        <f t="shared" ref="H112" si="493">IF(F112="","",",INDEX(REPORT_FR2052a!$1:$1048576,0,"&amp;H$2&amp;"),"&amp;IF(ISTEXT(G112),CHAR(34),"")&amp;IF(F112="is","",""&amp;"&lt;&gt;")&amp;G112&amp;IF(ISTEXT(G112),CHAR(34),""))</f>
        <v>,INDEX(REPORT_FR2052a!$1:$1048576,0,44),"O.S.9"</v>
      </c>
      <c r="I112" s="137" t="s">
        <v>331</v>
      </c>
      <c r="J112" s="137">
        <v>1</v>
      </c>
      <c r="K112" s="137" t="str">
        <f t="shared" ref="K112" si="494">IF(I112="","",",INDEX(REPORT_FR2052a!$1:$1048576,0,"&amp;K$2&amp;"),"&amp;IF(ISTEXT(J112),CHAR(34),"")&amp;IF(I112="is","",""&amp;"&lt;&gt;")&amp;J112&amp;IF(ISTEXT(J112),CHAR(34),""))</f>
        <v>,INDEX(REPORT_FR2052a!$1:$1048576,0,43),1</v>
      </c>
      <c r="N112" s="137" t="str">
        <f t="shared" ref="N112" si="495">IF(L112="","",",INDEX(REPORT_FR2052a!$1:$1048576,0,"&amp;N$2&amp;"),"&amp;IF(ISTEXT(M112),CHAR(34),"")&amp;IF(L112="is","",""&amp;"&lt;&gt;")&amp;M112&amp;IF(ISTEXT(M112),CHAR(34),""))</f>
        <v/>
      </c>
      <c r="Q112" s="137" t="str">
        <f t="shared" ref="Q112" si="496">IF(O112="","",",INDEX(REPORT_FR2052a!$1:$1048576,0,"&amp;Q$2&amp;"),"&amp;IF(OR(ISTEXT(P112),ISBLANK(P112)),CHAR(34),"")&amp;IF(O112="is","",""&amp;"&lt;&gt;")&amp;P112&amp;IF(OR(ISTEXT(P112),ISBLANK(P112)),CHAR(34),""))</f>
        <v/>
      </c>
      <c r="R112" s="137" t="s">
        <v>331</v>
      </c>
      <c r="S112" s="137">
        <v>0</v>
      </c>
      <c r="T112" s="137" t="str">
        <f t="shared" ref="T112" si="497">IF(R112="","",",INDEX(REPORT_FR2052a!$1:$1048576,0,"&amp;T$2&amp;"),"&amp;IF(ISTEXT(S112),CHAR(34),"")&amp;IF(R112="is","",""&amp;"&lt;&gt;")&amp;S112&amp;IF(ISTEXT(S112),CHAR(34),""))</f>
        <v>,INDEX(REPORT_FR2052a!$1:$1048576,0,46),0</v>
      </c>
      <c r="V112" s="139"/>
      <c r="W112" s="137" t="str">
        <f t="shared" ref="W112" si="498">IF(U112="","",",INDEX(REPORT_FR2052a!$1:$1048576,0,"&amp;W$2&amp;"),"&amp;IF(ISTEXT(V112),CHAR(34),"")&amp;IF(U112="is","",""&amp;"&lt;&gt;")&amp;V112&amp;IF(ISTEXT(V112),CHAR(34),""))</f>
        <v/>
      </c>
      <c r="Y112" s="139"/>
      <c r="Z112" s="137" t="str">
        <f t="shared" ref="Z112" si="499">IF(X112="","",",INDEX(REPORT_FR2052a!$1:$1048576,0,"&amp;Z$2&amp;"),"&amp;IF(ISTEXT(Y112),CHAR(34),"")&amp;IF(X112="is","",""&amp;"&lt;&gt;")&amp;Y112&amp;IF(ISTEXT(Y112),CHAR(34),""))</f>
        <v/>
      </c>
      <c r="AB112" s="139"/>
      <c r="AC112" s="137" t="str">
        <f t="shared" ref="AC112" si="500">IF(AA112="","",",INDEX(REPORT_FR2052a!$1:$1048576,0,"&amp;AC$2&amp;"),"&amp;IF(ISTEXT(AB112),CHAR(34),"")&amp;IF(AA112="is","",""&amp;"&lt;&gt;")&amp;AB112&amp;IF(ISTEXT(AB112),CHAR(34),""))</f>
        <v/>
      </c>
      <c r="AD112" s="137" t="s">
        <v>331</v>
      </c>
      <c r="AE112" s="140" t="s">
        <v>84</v>
      </c>
      <c r="AF112" s="137" t="str">
        <f t="shared" ref="AF112" si="501">IF(AD112="","",",INDEX(REPORT_FR2052a!$1:$1048576,0,"&amp;AF$2&amp;"),"&amp;IF(ISTEXT(AE112),CHAR(34),"")&amp;IF(AD112="is","",""&amp;"&lt;&gt;")&amp;AE112&amp;IF(ISTEXT(AE112),CHAR(34),""))</f>
        <v>,INDEX(REPORT_FR2052a!$1:$1048576,0,26),"Non-Financial Corporate"</v>
      </c>
      <c r="AH112" s="139"/>
      <c r="AI112" s="137" t="str">
        <f t="shared" ref="AI112" si="502">IF(AG112="","",",INDEX(REPORT_FR2052a!$1:$1048576,0,"&amp;AI$2&amp;"),"&amp;IF(ISTEXT(AH112),CHAR(34),"")&amp;IF(AG112="is","",""&amp;"&lt;&gt;")&amp;AH112&amp;IF(ISTEXT(AH112),CHAR(34),""))</f>
        <v/>
      </c>
      <c r="AK112" s="139"/>
      <c r="AL112" s="137" t="str">
        <f t="shared" ref="AL112" si="503">IF(AJ112="","",",INDEX(REPORT_FR2052a!$1:$1048576,0,"&amp;AL$2&amp;"),"&amp;IF(ISTEXT(AK112),CHAR(34),"")&amp;IF(AJ112="is","",""&amp;"&lt;&gt;")&amp;AK112&amp;IF(ISTEXT(AK112),CHAR(34),""))</f>
        <v/>
      </c>
      <c r="AO112" s="137" t="str">
        <f t="shared" ref="AO112" si="504">IF(AM112="","",",INDEX(REPORT_FR2052a!$1:$1048576,0,"&amp;AO$2&amp;"),"&amp;IF(ISTEXT(AN112),CHAR(34),"")&amp;IF(AM112="is","",""&amp;"&lt;&gt;")&amp;AN112&amp;IF(ISTEXT(AN112),CHAR(34),""))</f>
        <v/>
      </c>
      <c r="AR112" s="137" t="str">
        <f t="shared" ref="AR112" si="505">IF(AP112="","",",INDEX(REPORT_FR2052a!$1:$1048576,0,"&amp;AR$2&amp;"),"&amp;IF(ISTEXT(AQ112),CHAR(34),"")&amp;IF(AP112="is","",""&amp;"&lt;&gt;")&amp;AQ112&amp;IF(ISTEXT(AQ112),CHAR(34),""))</f>
        <v/>
      </c>
      <c r="AS112" s="137" t="s">
        <v>331</v>
      </c>
      <c r="AT112" s="137">
        <v>1</v>
      </c>
      <c r="AU112" s="137" t="str">
        <f t="shared" ref="AU112" si="506">IF(AS112="","",",INDEX(REPORT_FR2052a!$1:$1048576,0,"&amp;AU$2&amp;"),"&amp;IF(ISTEXT(AT112),CHAR(34),"")&amp;IF(AS112="is","",""&amp;"&lt;&gt;")&amp;AT112&amp;IF(ISTEXT(AT112),CHAR(34),""))</f>
        <v>,INDEX(REPORT_FR2052a!$1:$1048576,0,50),1</v>
      </c>
      <c r="AV112" s="137" t="s">
        <v>331</v>
      </c>
      <c r="AW112" s="139" t="s">
        <v>762</v>
      </c>
      <c r="AX112" s="137" t="str">
        <f t="shared" si="489"/>
        <v>,INDEX(REPORT_FR2052a!$1:$1048576,0,7),""</v>
      </c>
      <c r="BA112" s="137" t="s">
        <v>13</v>
      </c>
      <c r="BB112" s="137" t="str">
        <f>"=SUMIFS(INDEX(REPORT_FR2052a!$1:$1048576,0,"&amp;(MATCH(BA112,REPORT_FR2052a!$1:$1,0))&amp;")"</f>
        <v>=SUMIFS(INDEX(REPORT_FR2052a!$1:$1048576,0,14)</v>
      </c>
      <c r="BC112" s="137" t="str">
        <f t="shared" si="198"/>
        <v>=SUMIFS(INDEX(REPORT_FR2052a!$1:$1048576,0,14),INDEX(REPORT_FR2052a!$1:$1048576,0,44),"O.S.9",INDEX(REPORT_FR2052a!$1:$1048576,0,43),1,INDEX(REPORT_FR2052a!$1:$1048576,0,46),0,INDEX(REPORT_FR2052a!$1:$1048576,0,26),"Non-Financial Corporate",INDEX(REPORT_FR2052a!$1:$1048576,0,50),1,INDEX(REPORT_FR2052a!$1:$1048576,0,7),"")</v>
      </c>
      <c r="BD112" s="141">
        <f>SUMIFS(INDEX(REPORT_FR2052a!$1:$1048576,0,14),INDEX(REPORT_FR2052a!$1:$1048576,0,44),"O.S.9",INDEX(REPORT_FR2052a!$1:$1048576,0,43),1,INDEX(REPORT_FR2052a!$1:$1048576,0,46),0,INDEX(REPORT_FR2052a!$1:$1048576,0,26),"Non-Financial Corporate",INDEX(REPORT_FR2052a!$1:$1048576,0,50),1,INDEX(REPORT_FR2052a!$1:$1048576,0,7),"")</f>
        <v>0</v>
      </c>
      <c r="BE112" s="137" t="s">
        <v>331</v>
      </c>
      <c r="BF112" s="139" t="s">
        <v>47</v>
      </c>
      <c r="BG112" s="137" t="str">
        <f t="shared" ref="BG112" si="507">IF(BE112="","",",INDEX(REPORT_FR2052a!$1:$1048576,0,"&amp;BG$2&amp;"),"&amp;IF(ISTEXT(BF112),CHAR(34),"")&amp;IF(BE112="is","",""&amp;"&lt;&gt;")&amp;BF112&amp;IF(ISTEXT(BF112),CHAR(34),""))</f>
        <v>,INDEX(REPORT_FR2052a!$1:$1048576,0,5),"Bank of China - Combined US Branches and Agencies"</v>
      </c>
      <c r="BI112" s="137" t="str">
        <f t="shared" ref="BI112" si="508">LEFT(BC112,LEN(BC112)-1)&amp;BG112&amp;")"</f>
        <v>=SUMIFS(INDEX(REPORT_FR2052a!$1:$1048576,0,14),INDEX(REPORT_FR2052a!$1:$1048576,0,44),"O.S.9",INDEX(REPORT_FR2052a!$1:$1048576,0,43),1,INDEX(REPORT_FR2052a!$1:$1048576,0,46),0,INDEX(REPORT_FR2052a!$1:$1048576,0,26),"Non-Financial Corporate",INDEX(REPORT_FR2052a!$1:$1048576,0,50),1,INDEX(REPORT_FR2052a!$1:$1048576,0,7),"",INDEX(REPORT_FR2052a!$1:$1048576,0,5),"Bank of China - Combined US Branches and Agencies")</v>
      </c>
      <c r="BJ112" s="142">
        <f>SUMIFS(INDEX(REPORT_FR2052a!$1:$1048576,0,14),INDEX(REPORT_FR2052a!$1:$1048576,0,44),"O.S.9",INDEX(REPORT_FR2052a!$1:$1048576,0,43),1,INDEX(REPORT_FR2052a!$1:$1048576,0,46),0,INDEX(REPORT_FR2052a!$1:$1048576,0,26),"Non-Financial Corporate",INDEX(REPORT_FR2052a!$1:$1048576,0,50),1,INDEX(REPORT_FR2052a!$1:$1048576,0,7),"",INDEX(REPORT_FR2052a!$1:$1048576,0,5),"Bank of China - Combined US Branches and Agencies")</f>
        <v>0</v>
      </c>
      <c r="BK112" s="143">
        <f t="shared" ref="BK112" si="509">BD112-BJ112</f>
        <v>0</v>
      </c>
    </row>
    <row r="113" spans="1:63">
      <c r="A113" s="136">
        <v>78</v>
      </c>
      <c r="B113" s="137" t="str">
        <f>IFERROR(INDEX('LCR TYPE EXPLAIN'!B:B,MATCH(A113,'LCR TYPE EXPLAIN'!A:A,0)),"")</f>
        <v>Secured but Lower Unsecured Rate (§.32(j)(2))</v>
      </c>
      <c r="F113" s="137" t="s">
        <v>331</v>
      </c>
      <c r="G113" s="138" t="s">
        <v>658</v>
      </c>
      <c r="H113" s="137" t="str">
        <f t="shared" si="374"/>
        <v>,INDEX(REPORT_FR2052a!$1:$1048576,0,44),"O.S.9"</v>
      </c>
      <c r="I113" s="137" t="s">
        <v>331</v>
      </c>
      <c r="J113" s="137">
        <v>1</v>
      </c>
      <c r="K113" s="137" t="str">
        <f t="shared" ref="K113" si="510">IF(I113="","",",INDEX(REPORT_FR2052a!$1:$1048576,0,"&amp;K$2&amp;"),"&amp;IF(ISTEXT(J113),CHAR(34),"")&amp;IF(I113="is","",""&amp;"&lt;&gt;")&amp;J113&amp;IF(ISTEXT(J113),CHAR(34),""))</f>
        <v>,INDEX(REPORT_FR2052a!$1:$1048576,0,43),1</v>
      </c>
      <c r="N113" s="137" t="str">
        <f t="shared" ref="N113" si="511">IF(L113="","",",INDEX(REPORT_FR2052a!$1:$1048576,0,"&amp;N$2&amp;"),"&amp;IF(ISTEXT(M113),CHAR(34),"")&amp;IF(L113="is","",""&amp;"&lt;&gt;")&amp;M113&amp;IF(ISTEXT(M113),CHAR(34),""))</f>
        <v/>
      </c>
      <c r="Q113" s="137" t="str">
        <f t="shared" ref="Q113" si="512">IF(O113="","",",INDEX(REPORT_FR2052a!$1:$1048576,0,"&amp;Q$2&amp;"),"&amp;IF(OR(ISTEXT(P113),ISBLANK(P113)),CHAR(34),"")&amp;IF(O113="is","",""&amp;"&lt;&gt;")&amp;P113&amp;IF(OR(ISTEXT(P113),ISBLANK(P113)),CHAR(34),""))</f>
        <v/>
      </c>
      <c r="R113" s="137" t="s">
        <v>331</v>
      </c>
      <c r="S113" s="137">
        <v>0</v>
      </c>
      <c r="T113" s="137" t="str">
        <f t="shared" ref="T113" si="513">IF(R113="","",",INDEX(REPORT_FR2052a!$1:$1048576,0,"&amp;T$2&amp;"),"&amp;IF(ISTEXT(S113),CHAR(34),"")&amp;IF(R113="is","",""&amp;"&lt;&gt;")&amp;S113&amp;IF(ISTEXT(S113),CHAR(34),""))</f>
        <v>,INDEX(REPORT_FR2052a!$1:$1048576,0,46),0</v>
      </c>
      <c r="V113" s="139"/>
      <c r="W113" s="137" t="str">
        <f t="shared" ref="W113" si="514">IF(U113="","",",INDEX(REPORT_FR2052a!$1:$1048576,0,"&amp;W$2&amp;"),"&amp;IF(ISTEXT(V113),CHAR(34),"")&amp;IF(U113="is","",""&amp;"&lt;&gt;")&amp;V113&amp;IF(ISTEXT(V113),CHAR(34),""))</f>
        <v/>
      </c>
      <c r="Y113" s="139"/>
      <c r="Z113" s="137" t="str">
        <f t="shared" ref="Z113" si="515">IF(X113="","",",INDEX(REPORT_FR2052a!$1:$1048576,0,"&amp;Z$2&amp;"),"&amp;IF(ISTEXT(Y113),CHAR(34),"")&amp;IF(X113="is","",""&amp;"&lt;&gt;")&amp;Y113&amp;IF(ISTEXT(Y113),CHAR(34),""))</f>
        <v/>
      </c>
      <c r="AB113" s="139"/>
      <c r="AC113" s="137" t="str">
        <f t="shared" ref="AC113" si="516">IF(AA113="","",",INDEX(REPORT_FR2052a!$1:$1048576,0,"&amp;AC$2&amp;"),"&amp;IF(ISTEXT(AB113),CHAR(34),"")&amp;IF(AA113="is","",""&amp;"&lt;&gt;")&amp;AB113&amp;IF(ISTEXT(AB113),CHAR(34),""))</f>
        <v/>
      </c>
      <c r="AD113" s="137" t="s">
        <v>331</v>
      </c>
      <c r="AE113" s="140" t="s">
        <v>84</v>
      </c>
      <c r="AF113" s="137" t="str">
        <f t="shared" ref="AF113" si="517">IF(AD113="","",",INDEX(REPORT_FR2052a!$1:$1048576,0,"&amp;AF$2&amp;"),"&amp;IF(ISTEXT(AE113),CHAR(34),"")&amp;IF(AD113="is","",""&amp;"&lt;&gt;")&amp;AE113&amp;IF(ISTEXT(AE113),CHAR(34),""))</f>
        <v>,INDEX(REPORT_FR2052a!$1:$1048576,0,26),"Non-Financial Corporate"</v>
      </c>
      <c r="AH113" s="139"/>
      <c r="AI113" s="137" t="str">
        <f t="shared" ref="AI113" si="518">IF(AG113="","",",INDEX(REPORT_FR2052a!$1:$1048576,0,"&amp;AI$2&amp;"),"&amp;IF(ISTEXT(AH113),CHAR(34),"")&amp;IF(AG113="is","",""&amp;"&lt;&gt;")&amp;AH113&amp;IF(ISTEXT(AH113),CHAR(34),""))</f>
        <v/>
      </c>
      <c r="AK113" s="139"/>
      <c r="AL113" s="137" t="str">
        <f t="shared" ref="AL113" si="519">IF(AJ113="","",",INDEX(REPORT_FR2052a!$1:$1048576,0,"&amp;AL$2&amp;"),"&amp;IF(ISTEXT(AK113),CHAR(34),"")&amp;IF(AJ113="is","",""&amp;"&lt;&gt;")&amp;AK113&amp;IF(ISTEXT(AK113),CHAR(34),""))</f>
        <v/>
      </c>
      <c r="AO113" s="137" t="str">
        <f t="shared" ref="AO113" si="520">IF(AM113="","",",INDEX(REPORT_FR2052a!$1:$1048576,0,"&amp;AO$2&amp;"),"&amp;IF(ISTEXT(AN113),CHAR(34),"")&amp;IF(AM113="is","",""&amp;"&lt;&gt;")&amp;AN113&amp;IF(ISTEXT(AN113),CHAR(34),""))</f>
        <v/>
      </c>
      <c r="AR113" s="137" t="str">
        <f t="shared" ref="AR113" si="521">IF(AP113="","",",INDEX(REPORT_FR2052a!$1:$1048576,0,"&amp;AR$2&amp;"),"&amp;IF(ISTEXT(AQ113),CHAR(34),"")&amp;IF(AP113="is","",""&amp;"&lt;&gt;")&amp;AQ113&amp;IF(ISTEXT(AQ113),CHAR(34),""))</f>
        <v/>
      </c>
      <c r="AS113" s="137" t="s">
        <v>331</v>
      </c>
      <c r="AT113" s="137">
        <v>0</v>
      </c>
      <c r="AU113" s="137" t="str">
        <f t="shared" si="488"/>
        <v>,INDEX(REPORT_FR2052a!$1:$1048576,0,50),0</v>
      </c>
      <c r="AV113" s="137" t="s">
        <v>331</v>
      </c>
      <c r="AW113" s="139" t="s">
        <v>762</v>
      </c>
      <c r="AX113" s="137" t="str">
        <f t="shared" ref="AX113:AX114" si="522">IF(AV113="","",",INDEX(REPORT_FR2052a!$1:$1048576,0,"&amp;AX$2&amp;"),"&amp;IF(ISTEXT(AW113),CHAR(34),"")&amp;IF(AV113="is","",""&amp;"&lt;&gt;")&amp;AW113&amp;IF(ISTEXT(AW113),CHAR(34),""))</f>
        <v>,INDEX(REPORT_FR2052a!$1:$1048576,0,7),""</v>
      </c>
      <c r="BA113" s="137" t="s">
        <v>13</v>
      </c>
      <c r="BB113" s="137" t="str">
        <f>"=SUMIFS(INDEX(REPORT_FR2052a!$1:$1048576,0,"&amp;(MATCH(BA113,REPORT_FR2052a!$1:$1,0))&amp;")"</f>
        <v>=SUMIFS(INDEX(REPORT_FR2052a!$1:$1048576,0,14)</v>
      </c>
      <c r="BC113" s="137" t="str">
        <f t="shared" si="198"/>
        <v>=SUMIFS(INDEX(REPORT_FR2052a!$1:$1048576,0,14),INDEX(REPORT_FR2052a!$1:$1048576,0,44),"O.S.9",INDEX(REPORT_FR2052a!$1:$1048576,0,43),1,INDEX(REPORT_FR2052a!$1:$1048576,0,46),0,INDEX(REPORT_FR2052a!$1:$1048576,0,26),"Non-Financial Corporate",INDEX(REPORT_FR2052a!$1:$1048576,0,50),0,INDEX(REPORT_FR2052a!$1:$1048576,0,7),"")</v>
      </c>
      <c r="BD113" s="141">
        <f>SUMIFS(INDEX(REPORT_FR2052a!$1:$1048576,0,14),INDEX(REPORT_FR2052a!$1:$1048576,0,44),"O.S.9",INDEX(REPORT_FR2052a!$1:$1048576,0,43),1,INDEX(REPORT_FR2052a!$1:$1048576,0,46),0,INDEX(REPORT_FR2052a!$1:$1048576,0,26),"Non-Financial Corporate",INDEX(REPORT_FR2052a!$1:$1048576,0,50),0,INDEX(REPORT_FR2052a!$1:$1048576,0,7),"")</f>
        <v>1.53</v>
      </c>
      <c r="BE113" s="137" t="s">
        <v>331</v>
      </c>
      <c r="BF113" s="139" t="s">
        <v>47</v>
      </c>
      <c r="BG113" s="137" t="str">
        <f t="shared" ref="BG113" si="523">IF(BE113="","",",INDEX(REPORT_FR2052a!$1:$1048576,0,"&amp;BG$2&amp;"),"&amp;IF(ISTEXT(BF113),CHAR(34),"")&amp;IF(BE113="is","",""&amp;"&lt;&gt;")&amp;BF113&amp;IF(ISTEXT(BF113),CHAR(34),""))</f>
        <v>,INDEX(REPORT_FR2052a!$1:$1048576,0,5),"Bank of China - Combined US Branches and Agencies"</v>
      </c>
      <c r="BI113" s="137" t="str">
        <f t="shared" ref="BI113" si="524">LEFT(BC113,LEN(BC113)-1)&amp;BG113&amp;")"</f>
        <v>=SUMIFS(INDEX(REPORT_FR2052a!$1:$1048576,0,14),INDEX(REPORT_FR2052a!$1:$1048576,0,44),"O.S.9",INDEX(REPORT_FR2052a!$1:$1048576,0,43),1,INDEX(REPORT_FR2052a!$1:$1048576,0,46),0,INDEX(REPORT_FR2052a!$1:$1048576,0,26),"Non-Financial Corporate",INDEX(REPORT_FR2052a!$1:$1048576,0,50),0,INDEX(REPORT_FR2052a!$1:$1048576,0,7),"",INDEX(REPORT_FR2052a!$1:$1048576,0,5),"Bank of China - Combined US Branches and Agencies")</v>
      </c>
      <c r="BJ113" s="142">
        <f>SUMIFS(INDEX(REPORT_FR2052a!$1:$1048576,0,14),INDEX(REPORT_FR2052a!$1:$1048576,0,44),"O.S.9",INDEX(REPORT_FR2052a!$1:$1048576,0,43),1,INDEX(REPORT_FR2052a!$1:$1048576,0,46),0,INDEX(REPORT_FR2052a!$1:$1048576,0,26),"Non-Financial Corporate",INDEX(REPORT_FR2052a!$1:$1048576,0,50),0,INDEX(REPORT_FR2052a!$1:$1048576,0,7),"",INDEX(REPORT_FR2052a!$1:$1048576,0,5),"Bank of China - Combined US Branches and Agencies")</f>
        <v>0</v>
      </c>
      <c r="BK113" s="143">
        <f t="shared" ref="BK113" si="525">BD113-BJ113</f>
        <v>1.53</v>
      </c>
    </row>
    <row r="114" spans="1:63">
      <c r="A114" s="136">
        <v>78</v>
      </c>
      <c r="B114" s="137" t="str">
        <f>IFERROR(INDEX('LCR TYPE EXPLAIN'!B:B,MATCH(A114,'LCR TYPE EXPLAIN'!A:A,0)),"")</f>
        <v>Secured but Lower Unsecured Rate (§.32(j)(2))</v>
      </c>
      <c r="F114" s="137" t="s">
        <v>331</v>
      </c>
      <c r="G114" s="138" t="s">
        <v>658</v>
      </c>
      <c r="H114" s="137" t="str">
        <f t="shared" si="374"/>
        <v>,INDEX(REPORT_FR2052a!$1:$1048576,0,44),"O.S.9"</v>
      </c>
      <c r="I114" s="137" t="s">
        <v>331</v>
      </c>
      <c r="J114" s="137">
        <v>1</v>
      </c>
      <c r="K114" s="137" t="str">
        <f t="shared" ref="K114" si="526">IF(I114="","",",INDEX(REPORT_FR2052a!$1:$1048576,0,"&amp;K$2&amp;"),"&amp;IF(ISTEXT(J114),CHAR(34),"")&amp;IF(I114="is","",""&amp;"&lt;&gt;")&amp;J114&amp;IF(ISTEXT(J114),CHAR(34),""))</f>
        <v>,INDEX(REPORT_FR2052a!$1:$1048576,0,43),1</v>
      </c>
      <c r="N114" s="137" t="str">
        <f t="shared" ref="N114" si="527">IF(L114="","",",INDEX(REPORT_FR2052a!$1:$1048576,0,"&amp;N$2&amp;"),"&amp;IF(ISTEXT(M114),CHAR(34),"")&amp;IF(L114="is","",""&amp;"&lt;&gt;")&amp;M114&amp;IF(ISTEXT(M114),CHAR(34),""))</f>
        <v/>
      </c>
      <c r="Q114" s="137" t="str">
        <f t="shared" ref="Q114" si="528">IF(O114="","",",INDEX(REPORT_FR2052a!$1:$1048576,0,"&amp;Q$2&amp;"),"&amp;IF(OR(ISTEXT(P114),ISBLANK(P114)),CHAR(34),"")&amp;IF(O114="is","",""&amp;"&lt;&gt;")&amp;P114&amp;IF(OR(ISTEXT(P114),ISBLANK(P114)),CHAR(34),""))</f>
        <v/>
      </c>
      <c r="R114" s="137" t="s">
        <v>331</v>
      </c>
      <c r="S114" s="137">
        <v>0</v>
      </c>
      <c r="T114" s="137" t="str">
        <f t="shared" ref="T114" si="529">IF(R114="","",",INDEX(REPORT_FR2052a!$1:$1048576,0,"&amp;T$2&amp;"),"&amp;IF(ISTEXT(S114),CHAR(34),"")&amp;IF(R114="is","",""&amp;"&lt;&gt;")&amp;S114&amp;IF(ISTEXT(S114),CHAR(34),""))</f>
        <v>,INDEX(REPORT_FR2052a!$1:$1048576,0,46),0</v>
      </c>
      <c r="V114" s="139"/>
      <c r="W114" s="137" t="str">
        <f t="shared" ref="W114" si="530">IF(U114="","",",INDEX(REPORT_FR2052a!$1:$1048576,0,"&amp;W$2&amp;"),"&amp;IF(ISTEXT(V114),CHAR(34),"")&amp;IF(U114="is","",""&amp;"&lt;&gt;")&amp;V114&amp;IF(ISTEXT(V114),CHAR(34),""))</f>
        <v/>
      </c>
      <c r="Y114" s="139"/>
      <c r="Z114" s="137" t="str">
        <f t="shared" ref="Z114" si="531">IF(X114="","",",INDEX(REPORT_FR2052a!$1:$1048576,0,"&amp;Z$2&amp;"),"&amp;IF(ISTEXT(Y114),CHAR(34),"")&amp;IF(X114="is","",""&amp;"&lt;&gt;")&amp;Y114&amp;IF(ISTEXT(Y114),CHAR(34),""))</f>
        <v/>
      </c>
      <c r="AB114" s="139"/>
      <c r="AC114" s="137" t="str">
        <f t="shared" ref="AC114" si="532">IF(AA114="","",",INDEX(REPORT_FR2052a!$1:$1048576,0,"&amp;AC$2&amp;"),"&amp;IF(ISTEXT(AB114),CHAR(34),"")&amp;IF(AA114="is","",""&amp;"&lt;&gt;")&amp;AB114&amp;IF(ISTEXT(AB114),CHAR(34),""))</f>
        <v/>
      </c>
      <c r="AD114" s="137" t="s">
        <v>331</v>
      </c>
      <c r="AE114" s="140" t="s">
        <v>136</v>
      </c>
      <c r="AF114" s="137" t="str">
        <f t="shared" ref="AF114" si="533">IF(AD114="","",",INDEX(REPORT_FR2052a!$1:$1048576,0,"&amp;AF$2&amp;"),"&amp;IF(ISTEXT(AE114),CHAR(34),"")&amp;IF(AD114="is","",""&amp;"&lt;&gt;")&amp;AE114&amp;IF(ISTEXT(AE114),CHAR(34),""))</f>
        <v>,INDEX(REPORT_FR2052a!$1:$1048576,0,26),"Other"</v>
      </c>
      <c r="AH114" s="139"/>
      <c r="AI114" s="137" t="str">
        <f t="shared" ref="AI114" si="534">IF(AG114="","",",INDEX(REPORT_FR2052a!$1:$1048576,0,"&amp;AI$2&amp;"),"&amp;IF(ISTEXT(AH114),CHAR(34),"")&amp;IF(AG114="is","",""&amp;"&lt;&gt;")&amp;AH114&amp;IF(ISTEXT(AH114),CHAR(34),""))</f>
        <v/>
      </c>
      <c r="AK114" s="139"/>
      <c r="AL114" s="137" t="str">
        <f t="shared" ref="AL114" si="535">IF(AJ114="","",",INDEX(REPORT_FR2052a!$1:$1048576,0,"&amp;AL$2&amp;"),"&amp;IF(ISTEXT(AK114),CHAR(34),"")&amp;IF(AJ114="is","",""&amp;"&lt;&gt;")&amp;AK114&amp;IF(ISTEXT(AK114),CHAR(34),""))</f>
        <v/>
      </c>
      <c r="AO114" s="137" t="str">
        <f t="shared" ref="AO114" si="536">IF(AM114="","",",INDEX(REPORT_FR2052a!$1:$1048576,0,"&amp;AO$2&amp;"),"&amp;IF(ISTEXT(AN114),CHAR(34),"")&amp;IF(AM114="is","",""&amp;"&lt;&gt;")&amp;AN114&amp;IF(ISTEXT(AN114),CHAR(34),""))</f>
        <v/>
      </c>
      <c r="AR114" s="137" t="str">
        <f t="shared" ref="AR114" si="537">IF(AP114="","",",INDEX(REPORT_FR2052a!$1:$1048576,0,"&amp;AR$2&amp;"),"&amp;IF(ISTEXT(AQ114),CHAR(34),"")&amp;IF(AP114="is","",""&amp;"&lt;&gt;")&amp;AQ114&amp;IF(ISTEXT(AQ114),CHAR(34),""))</f>
        <v/>
      </c>
      <c r="AS114" s="137" t="s">
        <v>331</v>
      </c>
      <c r="AT114" s="137">
        <v>0</v>
      </c>
      <c r="AU114" s="137" t="str">
        <f t="shared" si="488"/>
        <v>,INDEX(REPORT_FR2052a!$1:$1048576,0,50),0</v>
      </c>
      <c r="AV114" s="137" t="s">
        <v>331</v>
      </c>
      <c r="AW114" s="139" t="s">
        <v>762</v>
      </c>
      <c r="AX114" s="137" t="str">
        <f t="shared" si="522"/>
        <v>,INDEX(REPORT_FR2052a!$1:$1048576,0,7),""</v>
      </c>
      <c r="BA114" s="137" t="s">
        <v>13</v>
      </c>
      <c r="BB114" s="137" t="str">
        <f>"=SUMIFS(INDEX(REPORT_FR2052a!$1:$1048576,0,"&amp;(MATCH(BA114,REPORT_FR2052a!$1:$1,0))&amp;")"</f>
        <v>=SUMIFS(INDEX(REPORT_FR2052a!$1:$1048576,0,14)</v>
      </c>
      <c r="BC114" s="137" t="str">
        <f t="shared" si="198"/>
        <v>=SUMIFS(INDEX(REPORT_FR2052a!$1:$1048576,0,14),INDEX(REPORT_FR2052a!$1:$1048576,0,44),"O.S.9",INDEX(REPORT_FR2052a!$1:$1048576,0,43),1,INDEX(REPORT_FR2052a!$1:$1048576,0,46),0,INDEX(REPORT_FR2052a!$1:$1048576,0,26),"Other",INDEX(REPORT_FR2052a!$1:$1048576,0,50),0,INDEX(REPORT_FR2052a!$1:$1048576,0,7),"")</v>
      </c>
      <c r="BD114" s="141">
        <f>SUMIFS(INDEX(REPORT_FR2052a!$1:$1048576,0,14),INDEX(REPORT_FR2052a!$1:$1048576,0,44),"O.S.9",INDEX(REPORT_FR2052a!$1:$1048576,0,43),1,INDEX(REPORT_FR2052a!$1:$1048576,0,46),0,INDEX(REPORT_FR2052a!$1:$1048576,0,26),"Other",INDEX(REPORT_FR2052a!$1:$1048576,0,50),0,INDEX(REPORT_FR2052a!$1:$1048576,0,7),"")</f>
        <v>0</v>
      </c>
      <c r="BE114" s="137" t="s">
        <v>331</v>
      </c>
      <c r="BF114" s="139" t="s">
        <v>47</v>
      </c>
      <c r="BG114" s="137" t="str">
        <f t="shared" ref="BG114" si="538">IF(BE114="","",",INDEX(REPORT_FR2052a!$1:$1048576,0,"&amp;BG$2&amp;"),"&amp;IF(ISTEXT(BF114),CHAR(34),"")&amp;IF(BE114="is","",""&amp;"&lt;&gt;")&amp;BF114&amp;IF(ISTEXT(BF114),CHAR(34),""))</f>
        <v>,INDEX(REPORT_FR2052a!$1:$1048576,0,5),"Bank of China - Combined US Branches and Agencies"</v>
      </c>
      <c r="BI114" s="137" t="str">
        <f t="shared" ref="BI114" si="539">LEFT(BC114,LEN(BC114)-1)&amp;BG114&amp;")"</f>
        <v>=SUMIFS(INDEX(REPORT_FR2052a!$1:$1048576,0,14),INDEX(REPORT_FR2052a!$1:$1048576,0,44),"O.S.9",INDEX(REPORT_FR2052a!$1:$1048576,0,43),1,INDEX(REPORT_FR2052a!$1:$1048576,0,46),0,INDEX(REPORT_FR2052a!$1:$1048576,0,26),"Other",INDEX(REPORT_FR2052a!$1:$1048576,0,50),0,INDEX(REPORT_FR2052a!$1:$1048576,0,7),"",INDEX(REPORT_FR2052a!$1:$1048576,0,5),"Bank of China - Combined US Branches and Agencies")</v>
      </c>
      <c r="BJ114" s="142">
        <f>SUMIFS(INDEX(REPORT_FR2052a!$1:$1048576,0,14),INDEX(REPORT_FR2052a!$1:$1048576,0,44),"O.S.9",INDEX(REPORT_FR2052a!$1:$1048576,0,43),1,INDEX(REPORT_FR2052a!$1:$1048576,0,46),0,INDEX(REPORT_FR2052a!$1:$1048576,0,26),"Other",INDEX(REPORT_FR2052a!$1:$1048576,0,50),0,INDEX(REPORT_FR2052a!$1:$1048576,0,7),"",INDEX(REPORT_FR2052a!$1:$1048576,0,5),"Bank of China - Combined US Branches and Agencies")</f>
        <v>0</v>
      </c>
      <c r="BK114" s="143">
        <f t="shared" ref="BK114" si="540">BD114-BJ114</f>
        <v>0</v>
      </c>
    </row>
    <row r="115" spans="1:63">
      <c r="A115" s="136">
        <v>97</v>
      </c>
      <c r="B115" s="137" t="str">
        <f>IFERROR(INDEX('LCR TYPE EXPLAIN'!B:B,MATCH(A115,'LCR TYPE EXPLAIN'!A:A,0)),"")</f>
        <v>Other Contractual Outflows (§.32(l))</v>
      </c>
      <c r="F115" s="137" t="s">
        <v>331</v>
      </c>
      <c r="G115" s="138" t="s">
        <v>402</v>
      </c>
      <c r="H115" s="137" t="str">
        <f t="shared" si="374"/>
        <v>,INDEX(REPORT_FR2052a!$1:$1048576,0,44),"O.O.19"</v>
      </c>
      <c r="K115" s="137" t="str">
        <f t="shared" si="174"/>
        <v/>
      </c>
      <c r="N115" s="137" t="str">
        <f t="shared" si="175"/>
        <v/>
      </c>
      <c r="Q115" s="137" t="str">
        <f t="shared" si="3"/>
        <v/>
      </c>
      <c r="T115" s="137" t="str">
        <f t="shared" si="176"/>
        <v/>
      </c>
      <c r="V115" s="139"/>
      <c r="W115" s="137" t="str">
        <f t="shared" si="177"/>
        <v/>
      </c>
      <c r="Y115" s="139"/>
      <c r="Z115" s="137" t="str">
        <f t="shared" si="178"/>
        <v/>
      </c>
      <c r="AB115" s="139"/>
      <c r="AC115" s="137" t="str">
        <f t="shared" si="179"/>
        <v/>
      </c>
      <c r="AF115" s="137" t="str">
        <f t="shared" si="180"/>
        <v/>
      </c>
      <c r="AH115" s="139"/>
      <c r="AI115" s="137" t="str">
        <f t="shared" si="181"/>
        <v/>
      </c>
      <c r="AK115" s="139"/>
      <c r="AL115" s="137" t="str">
        <f t="shared" si="182"/>
        <v/>
      </c>
      <c r="AO115" s="137" t="str">
        <f t="shared" si="11"/>
        <v/>
      </c>
      <c r="AR115" s="137" t="str">
        <f t="shared" si="214"/>
        <v/>
      </c>
      <c r="AU115" s="137" t="str">
        <f t="shared" si="488"/>
        <v/>
      </c>
      <c r="BA115" s="137" t="s">
        <v>13</v>
      </c>
      <c r="BB115" s="137" t="str">
        <f>"=SUMIFS(INDEX(REPORT_FR2052a!$1:$1048576,0,"&amp;(MATCH(BA115,REPORT_FR2052a!$1:$1,0))&amp;")"</f>
        <v>=SUMIFS(INDEX(REPORT_FR2052a!$1:$1048576,0,14)</v>
      </c>
      <c r="BC115" s="137" t="str">
        <f t="shared" si="198"/>
        <v>=SUMIFS(INDEX(REPORT_FR2052a!$1:$1048576,0,14),INDEX(REPORT_FR2052a!$1:$1048576,0,44),"O.O.19")</v>
      </c>
      <c r="BD115" s="141">
        <f>SUMIFS(INDEX(REPORT_FR2052a!$1:$1048576,0,14),INDEX(REPORT_FR2052a!$1:$1048576,0,44),"O.O.19")</f>
        <v>42.16</v>
      </c>
      <c r="BE115" s="137" t="s">
        <v>331</v>
      </c>
      <c r="BF115" s="139" t="s">
        <v>47</v>
      </c>
      <c r="BG115" s="137" t="str">
        <f t="shared" si="183"/>
        <v>,INDEX(REPORT_FR2052a!$1:$1048576,0,5),"Bank of China - Combined US Branches and Agencies"</v>
      </c>
      <c r="BI115" s="137" t="str">
        <f t="shared" si="18"/>
        <v>=SUMIFS(INDEX(REPORT_FR2052a!$1:$1048576,0,14),INDEX(REPORT_FR2052a!$1:$1048576,0,44),"O.O.19",INDEX(REPORT_FR2052a!$1:$1048576,0,5),"Bank of China - Combined US Branches and Agencies")</v>
      </c>
      <c r="BJ115" s="142">
        <f>SUMIFS(INDEX(REPORT_FR2052a!$1:$1048576,0,14),INDEX(REPORT_FR2052a!$1:$1048576,0,44),"O.O.19",INDEX(REPORT_FR2052a!$1:$1048576,0,5),"Bank of China - Combined US Branches and Agencies")</f>
        <v>42.16</v>
      </c>
      <c r="BK115" s="143">
        <f t="shared" si="19"/>
        <v>0</v>
      </c>
    </row>
    <row r="116" spans="1:63">
      <c r="A116" s="136">
        <v>98</v>
      </c>
      <c r="B116" s="137" t="str">
        <f>IFERROR(INDEX('LCR TYPE EXPLAIN'!B:B,MATCH(A116,'LCR TYPE EXPLAIN'!A:A,0)),"")</f>
        <v>Other Contractual Outflows (§.32(l))</v>
      </c>
      <c r="F116" s="137" t="s">
        <v>331</v>
      </c>
      <c r="G116" s="138" t="s">
        <v>694</v>
      </c>
      <c r="H116" s="137" t="str">
        <f t="shared" si="374"/>
        <v>,INDEX(REPORT_FR2052a!$1:$1048576,0,44),"O.O.22"</v>
      </c>
      <c r="I116" s="137" t="s">
        <v>331</v>
      </c>
      <c r="J116" s="137">
        <v>1</v>
      </c>
      <c r="K116" s="137" t="str">
        <f t="shared" si="174"/>
        <v>,INDEX(REPORT_FR2052a!$1:$1048576,0,43),1</v>
      </c>
      <c r="N116" s="137" t="str">
        <f t="shared" si="175"/>
        <v/>
      </c>
      <c r="Q116" s="137" t="str">
        <f t="shared" si="3"/>
        <v/>
      </c>
      <c r="T116" s="137" t="str">
        <f t="shared" si="176"/>
        <v/>
      </c>
      <c r="V116" s="139"/>
      <c r="W116" s="137" t="str">
        <f t="shared" si="177"/>
        <v/>
      </c>
      <c r="Y116" s="139"/>
      <c r="Z116" s="137" t="str">
        <f t="shared" si="178"/>
        <v/>
      </c>
      <c r="AB116" s="139"/>
      <c r="AC116" s="137" t="str">
        <f t="shared" si="179"/>
        <v/>
      </c>
      <c r="AD116" s="137" t="s">
        <v>331</v>
      </c>
      <c r="AF116" s="137" t="str">
        <f t="shared" si="180"/>
        <v>,INDEX(REPORT_FR2052a!$1:$1048576,0,26),</v>
      </c>
      <c r="AH116" s="139"/>
      <c r="AI116" s="137" t="str">
        <f t="shared" si="181"/>
        <v/>
      </c>
      <c r="AK116" s="139"/>
      <c r="AL116" s="137" t="str">
        <f t="shared" si="182"/>
        <v/>
      </c>
      <c r="AO116" s="137" t="str">
        <f t="shared" si="11"/>
        <v/>
      </c>
      <c r="AR116" s="137" t="str">
        <f t="shared" si="214"/>
        <v/>
      </c>
      <c r="AU116" s="137" t="str">
        <f t="shared" si="488"/>
        <v/>
      </c>
      <c r="AV116" s="137" t="s">
        <v>331</v>
      </c>
      <c r="AW116" s="139" t="s">
        <v>762</v>
      </c>
      <c r="AX116" s="137" t="str">
        <f t="shared" ref="AX116" si="541">IF(AV116="","",",INDEX(REPORT_FR2052a!$1:$1048576,0,"&amp;AX$2&amp;"),"&amp;IF(ISTEXT(AW116),CHAR(34),"")&amp;IF(AV116="is","",""&amp;"&lt;&gt;")&amp;AW116&amp;IF(ISTEXT(AW116),CHAR(34),""))</f>
        <v>,INDEX(REPORT_FR2052a!$1:$1048576,0,7),""</v>
      </c>
      <c r="BA116" s="137" t="s">
        <v>13</v>
      </c>
      <c r="BB116" s="137" t="str">
        <f>"=SUMIFS(INDEX(REPORT_FR2052a!$1:$1048576,0,"&amp;(MATCH(BA116,REPORT_FR2052a!$1:$1,0))&amp;")"</f>
        <v>=SUMIFS(INDEX(REPORT_FR2052a!$1:$1048576,0,14)</v>
      </c>
      <c r="BC116" s="137" t="str">
        <f t="shared" si="198"/>
        <v>=SUMIFS(INDEX(REPORT_FR2052a!$1:$1048576,0,14),INDEX(REPORT_FR2052a!$1:$1048576,0,44),"O.O.22",INDEX(REPORT_FR2052a!$1:$1048576,0,43),1,INDEX(REPORT_FR2052a!$1:$1048576,0,26),,INDEX(REPORT_FR2052a!$1:$1048576,0,7),"")</v>
      </c>
      <c r="BD116" s="141">
        <f>SUMIFS(INDEX(REPORT_FR2052a!$1:$1048576,0,14),INDEX(REPORT_FR2052a!$1:$1048576,0,44),"O.O.22",INDEX(REPORT_FR2052a!$1:$1048576,0,43),1,INDEX(REPORT_FR2052a!$1:$1048576,0,26),,INDEX(REPORT_FR2052a!$1:$1048576,0,7),"")</f>
        <v>0</v>
      </c>
      <c r="BE116" s="137" t="s">
        <v>331</v>
      </c>
      <c r="BF116" s="139" t="s">
        <v>47</v>
      </c>
      <c r="BG116" s="137" t="str">
        <f t="shared" si="183"/>
        <v>,INDEX(REPORT_FR2052a!$1:$1048576,0,5),"Bank of China - Combined US Branches and Agencies"</v>
      </c>
      <c r="BI116" s="137" t="str">
        <f t="shared" si="18"/>
        <v>=SUMIFS(INDEX(REPORT_FR2052a!$1:$1048576,0,14),INDEX(REPORT_FR2052a!$1:$1048576,0,44),"O.O.22",INDEX(REPORT_FR2052a!$1:$1048576,0,43),1,INDEX(REPORT_FR2052a!$1:$1048576,0,26),,INDEX(REPORT_FR2052a!$1:$1048576,0,7),"",INDEX(REPORT_FR2052a!$1:$1048576,0,5),"Bank of China - Combined US Branches and Agencies")</v>
      </c>
      <c r="BJ116" s="142">
        <f>SUMIFS(INDEX(REPORT_FR2052a!$1:$1048576,0,14),INDEX(REPORT_FR2052a!$1:$1048576,0,44),"O.O.22",INDEX(REPORT_FR2052a!$1:$1048576,0,43),1,INDEX(REPORT_FR2052a!$1:$1048576,0,26),,INDEX(REPORT_FR2052a!$1:$1048576,0,7),"",INDEX(REPORT_FR2052a!$1:$1048576,0,5),"Bank of China - Combined US Branches and Agencies")</f>
        <v>0</v>
      </c>
      <c r="BK116" s="143">
        <f t="shared" si="19"/>
        <v>0</v>
      </c>
    </row>
    <row r="117" spans="1:63">
      <c r="A117" s="136">
        <v>99</v>
      </c>
      <c r="B117" s="137" t="str">
        <f>IFERROR(INDEX('LCR TYPE EXPLAIN'!B:B,MATCH(A117,'LCR TYPE EXPLAIN'!A:A,0)),"")</f>
        <v>Net Derivative Cash Inflow Amount (§.33(b))</v>
      </c>
      <c r="F117" s="137" t="s">
        <v>331</v>
      </c>
      <c r="G117" s="138" t="s">
        <v>379</v>
      </c>
      <c r="H117" s="137" t="str">
        <f t="shared" si="374"/>
        <v>,INDEX(REPORT_FR2052a!$1:$1048576,0,44),"I.O.7"</v>
      </c>
      <c r="K117" s="137" t="str">
        <f t="shared" si="174"/>
        <v/>
      </c>
      <c r="N117" s="137" t="str">
        <f t="shared" si="175"/>
        <v/>
      </c>
      <c r="Q117" s="137" t="str">
        <f t="shared" si="3"/>
        <v/>
      </c>
      <c r="T117" s="137" t="str">
        <f t="shared" si="176"/>
        <v/>
      </c>
      <c r="V117" s="139"/>
      <c r="W117" s="137" t="str">
        <f t="shared" si="177"/>
        <v/>
      </c>
      <c r="Y117" s="139"/>
      <c r="Z117" s="137" t="str">
        <f t="shared" si="178"/>
        <v/>
      </c>
      <c r="AB117" s="139"/>
      <c r="AC117" s="137" t="str">
        <f t="shared" si="179"/>
        <v/>
      </c>
      <c r="AF117" s="137" t="str">
        <f t="shared" si="180"/>
        <v/>
      </c>
      <c r="AH117" s="139"/>
      <c r="AI117" s="137" t="str">
        <f t="shared" si="181"/>
        <v/>
      </c>
      <c r="AK117" s="139"/>
      <c r="AL117" s="137" t="str">
        <f t="shared" si="182"/>
        <v/>
      </c>
      <c r="AO117" s="137" t="str">
        <f t="shared" si="11"/>
        <v/>
      </c>
      <c r="AR117" s="137" t="str">
        <f t="shared" si="214"/>
        <v/>
      </c>
      <c r="AU117" s="137" t="str">
        <f t="shared" si="488"/>
        <v/>
      </c>
      <c r="BA117" s="137" t="s">
        <v>13</v>
      </c>
      <c r="BB117" s="137" t="str">
        <f>"=SUMIFS(INDEX(REPORT_FR2052a!$1:$1048576,0,"&amp;(MATCH(BA117,REPORT_FR2052a!$1:$1,0))&amp;")"</f>
        <v>=SUMIFS(INDEX(REPORT_FR2052a!$1:$1048576,0,14)</v>
      </c>
      <c r="BC117" s="137" t="str">
        <f t="shared" si="198"/>
        <v>=SUMIFS(INDEX(REPORT_FR2052a!$1:$1048576,0,14),INDEX(REPORT_FR2052a!$1:$1048576,0,44),"I.O.7")</v>
      </c>
      <c r="BD117" s="141">
        <f>SUMIFS(INDEX(REPORT_FR2052a!$1:$1048576,0,14),INDEX(REPORT_FR2052a!$1:$1048576,0,44),"I.O.7")</f>
        <v>108.99000000000001</v>
      </c>
      <c r="BE117" s="137" t="s">
        <v>331</v>
      </c>
      <c r="BF117" s="139" t="s">
        <v>47</v>
      </c>
      <c r="BG117" s="137" t="str">
        <f t="shared" si="183"/>
        <v>,INDEX(REPORT_FR2052a!$1:$1048576,0,5),"Bank of China - Combined US Branches and Agencies"</v>
      </c>
      <c r="BI117" s="137" t="str">
        <f t="shared" si="18"/>
        <v>=SUMIFS(INDEX(REPORT_FR2052a!$1:$1048576,0,14),INDEX(REPORT_FR2052a!$1:$1048576,0,44),"I.O.7",INDEX(REPORT_FR2052a!$1:$1048576,0,5),"Bank of China - Combined US Branches and Agencies")</v>
      </c>
      <c r="BJ117" s="142">
        <f>SUMIFS(INDEX(REPORT_FR2052a!$1:$1048576,0,14),INDEX(REPORT_FR2052a!$1:$1048576,0,44),"I.O.7",INDEX(REPORT_FR2052a!$1:$1048576,0,5),"Bank of China - Combined US Branches and Agencies")</f>
        <v>108.99000000000001</v>
      </c>
      <c r="BK117" s="143">
        <f t="shared" si="19"/>
        <v>0</v>
      </c>
    </row>
    <row r="118" spans="1:63">
      <c r="A118" s="136">
        <v>100</v>
      </c>
      <c r="B118" s="137" t="str">
        <f>IFERROR(INDEX('LCR TYPE EXPLAIN'!B:B,MATCH(A118,'LCR TYPE EXPLAIN'!A:A,0)),"")</f>
        <v>Retail Cash Inflow Amount (§.33(c ))</v>
      </c>
      <c r="F118" s="137" t="s">
        <v>331</v>
      </c>
      <c r="G118" s="138" t="s">
        <v>375</v>
      </c>
      <c r="H118" s="137" t="str">
        <f t="shared" si="374"/>
        <v>,INDEX(REPORT_FR2052a!$1:$1048576,0,44),"I.U.6"</v>
      </c>
      <c r="I118" s="137" t="s">
        <v>331</v>
      </c>
      <c r="J118" s="137">
        <v>1</v>
      </c>
      <c r="K118" s="137" t="str">
        <f t="shared" si="174"/>
        <v>,INDEX(REPORT_FR2052a!$1:$1048576,0,43),1</v>
      </c>
      <c r="N118" s="137" t="str">
        <f t="shared" si="175"/>
        <v/>
      </c>
      <c r="Q118" s="137" t="str">
        <f t="shared" ref="Q118:Q172" si="542">IF(O118="","",",INDEX(REPORT_FR2052a!$1:$1048576,0,"&amp;Q$2&amp;"),"&amp;IF(OR(ISTEXT(P118),ISBLANK(P118)),CHAR(34),"")&amp;IF(O118="is","",""&amp;"&lt;&gt;")&amp;P118&amp;IF(OR(ISTEXT(P118),ISBLANK(P118)),CHAR(34),""))</f>
        <v/>
      </c>
      <c r="T118" s="137" t="str">
        <f t="shared" si="176"/>
        <v/>
      </c>
      <c r="V118" s="139"/>
      <c r="W118" s="137" t="str">
        <f t="shared" si="177"/>
        <v/>
      </c>
      <c r="Y118" s="139"/>
      <c r="Z118" s="137" t="str">
        <f t="shared" si="178"/>
        <v/>
      </c>
      <c r="AA118" s="137" t="s">
        <v>332</v>
      </c>
      <c r="AB118" s="139" t="s">
        <v>765</v>
      </c>
      <c r="AC118" s="137" t="str">
        <f>IF(AA118="","",",INDEX(REPORT_FR2052a!$1:$1048576,0,"&amp;AC$2&amp;"),"&amp;IF(ISTEXT(AB118),CHAR(34),"")&amp;IF(AA118="is","",""&amp;"&lt;&gt;")&amp;AB118&amp;IF(ISTEXT(AB118),CHAR(34),""))</f>
        <v>,INDEX(REPORT_FR2052a!$1:$1048576,0,42),"&lt;&gt;0"</v>
      </c>
      <c r="AD118" s="137" t="s">
        <v>331</v>
      </c>
      <c r="AE118" s="140" t="s">
        <v>122</v>
      </c>
      <c r="AF118" s="137" t="str">
        <f t="shared" si="180"/>
        <v>,INDEX(REPORT_FR2052a!$1:$1048576,0,26),"Retail"</v>
      </c>
      <c r="AH118" s="139"/>
      <c r="AI118" s="137" t="str">
        <f t="shared" si="181"/>
        <v/>
      </c>
      <c r="AK118" s="139"/>
      <c r="AL118" s="137" t="str">
        <f t="shared" si="182"/>
        <v/>
      </c>
      <c r="AO118" s="137" t="str">
        <f t="shared" ref="AO118" si="543">IF(AM118="","",",INDEX(REPORT_FR2052a!$1:$1048576,0,"&amp;AO$2&amp;"),"&amp;IF(ISTEXT(AN118),CHAR(34),"")&amp;IF(AM118="is","",""&amp;"&lt;&gt;")&amp;AN118&amp;IF(ISTEXT(AN118),CHAR(34),""))</f>
        <v/>
      </c>
      <c r="AR118" s="137" t="str">
        <f t="shared" si="214"/>
        <v/>
      </c>
      <c r="AU118" s="137" t="str">
        <f t="shared" si="488"/>
        <v/>
      </c>
      <c r="AV118" s="137" t="s">
        <v>331</v>
      </c>
      <c r="AW118" s="139" t="s">
        <v>762</v>
      </c>
      <c r="AX118" s="137" t="str">
        <f t="shared" ref="AX118:AX123" si="544">IF(AV118="","",",INDEX(REPORT_FR2052a!$1:$1048576,0,"&amp;AX$2&amp;"),"&amp;IF(ISTEXT(AW118),CHAR(34),"")&amp;IF(AV118="is","",""&amp;"&lt;&gt;")&amp;AW118&amp;IF(ISTEXT(AW118),CHAR(34),""))</f>
        <v>,INDEX(REPORT_FR2052a!$1:$1048576,0,7),""</v>
      </c>
      <c r="BA118" s="137" t="s">
        <v>13</v>
      </c>
      <c r="BB118" s="137" t="str">
        <f>"=SUMIFS(INDEX(REPORT_FR2052a!$1:$1048576,0,"&amp;(MATCH(BA118,REPORT_FR2052a!$1:$1,0))&amp;")"</f>
        <v>=SUMIFS(INDEX(REPORT_FR2052a!$1:$1048576,0,14)</v>
      </c>
      <c r="BC118" s="137" t="str">
        <f t="shared" si="198"/>
        <v>=SUMIFS(INDEX(REPORT_FR2052a!$1:$1048576,0,14),INDEX(REPORT_FR2052a!$1:$1048576,0,44),"I.U.6",INDEX(REPORT_FR2052a!$1:$1048576,0,43),1,INDEX(REPORT_FR2052a!$1:$1048576,0,42),"&lt;&gt;0",INDEX(REPORT_FR2052a!$1:$1048576,0,26),"Retail",INDEX(REPORT_FR2052a!$1:$1048576,0,7),"")</v>
      </c>
      <c r="BD118" s="141">
        <f>SUMIFS(INDEX(REPORT_FR2052a!$1:$1048576,0,14),INDEX(REPORT_FR2052a!$1:$1048576,0,44),"I.U.6",INDEX(REPORT_FR2052a!$1:$1048576,0,43),1,INDEX(REPORT_FR2052a!$1:$1048576,0,42),"&lt;&gt;0",INDEX(REPORT_FR2052a!$1:$1048576,0,26),"Retail",INDEX(REPORT_FR2052a!$1:$1048576,0,7),"")</f>
        <v>0</v>
      </c>
      <c r="BE118" s="137" t="s">
        <v>331</v>
      </c>
      <c r="BF118" s="139" t="s">
        <v>47</v>
      </c>
      <c r="BG118" s="137" t="str">
        <f t="shared" si="183"/>
        <v>,INDEX(REPORT_FR2052a!$1:$1048576,0,5),"Bank of China - Combined US Branches and Agencies"</v>
      </c>
      <c r="BI118" s="137" t="str">
        <f t="shared" si="18"/>
        <v>=SUMIFS(INDEX(REPORT_FR2052a!$1:$1048576,0,14),INDEX(REPORT_FR2052a!$1:$1048576,0,44),"I.U.6",INDEX(REPORT_FR2052a!$1:$1048576,0,43),1,INDEX(REPORT_FR2052a!$1:$1048576,0,42),"&lt;&gt;0",INDEX(REPORT_FR2052a!$1:$1048576,0,26),"Retail",INDEX(REPORT_FR2052a!$1:$1048576,0,7),"",INDEX(REPORT_FR2052a!$1:$1048576,0,5),"Bank of China - Combined US Branches and Agencies")</v>
      </c>
      <c r="BJ118" s="142">
        <f>SUMIFS(INDEX(REPORT_FR2052a!$1:$1048576,0,14),INDEX(REPORT_FR2052a!$1:$1048576,0,44),"I.U.6",INDEX(REPORT_FR2052a!$1:$1048576,0,43),1,INDEX(REPORT_FR2052a!$1:$1048576,0,42),"&lt;&gt;0",INDEX(REPORT_FR2052a!$1:$1048576,0,26),"Retail",INDEX(REPORT_FR2052a!$1:$1048576,0,7),"",INDEX(REPORT_FR2052a!$1:$1048576,0,5),"Bank of China - Combined US Branches and Agencies")</f>
        <v>0</v>
      </c>
      <c r="BK118" s="143">
        <f t="shared" si="19"/>
        <v>0</v>
      </c>
    </row>
    <row r="119" spans="1:63">
      <c r="A119" s="136">
        <v>100</v>
      </c>
      <c r="B119" s="137" t="str">
        <f>IFERROR(INDEX('LCR TYPE EXPLAIN'!B:B,MATCH(A119,'LCR TYPE EXPLAIN'!A:A,0)),"")</f>
        <v>Retail Cash Inflow Amount (§.33(c ))</v>
      </c>
      <c r="F119" s="137" t="s">
        <v>331</v>
      </c>
      <c r="G119" s="138" t="s">
        <v>375</v>
      </c>
      <c r="H119" s="137" t="str">
        <f t="shared" si="374"/>
        <v>,INDEX(REPORT_FR2052a!$1:$1048576,0,44),"I.U.6"</v>
      </c>
      <c r="I119" s="137" t="s">
        <v>331</v>
      </c>
      <c r="J119" s="137">
        <v>1</v>
      </c>
      <c r="K119" s="137" t="str">
        <f t="shared" ref="K119:K120" si="545">IF(I119="","",",INDEX(REPORT_FR2052a!$1:$1048576,0,"&amp;K$2&amp;"),"&amp;IF(ISTEXT(J119),CHAR(34),"")&amp;IF(I119="is","",""&amp;"&lt;&gt;")&amp;J119&amp;IF(ISTEXT(J119),CHAR(34),""))</f>
        <v>,INDEX(REPORT_FR2052a!$1:$1048576,0,43),1</v>
      </c>
      <c r="N119" s="137" t="str">
        <f t="shared" ref="N119:N120" si="546">IF(L119="","",",INDEX(REPORT_FR2052a!$1:$1048576,0,"&amp;N$2&amp;"),"&amp;IF(ISTEXT(M119),CHAR(34),"")&amp;IF(L119="is","",""&amp;"&lt;&gt;")&amp;M119&amp;IF(ISTEXT(M119),CHAR(34),""))</f>
        <v/>
      </c>
      <c r="Q119" s="137" t="str">
        <f t="shared" si="542"/>
        <v/>
      </c>
      <c r="T119" s="137" t="str">
        <f t="shared" ref="T119:T120" si="547">IF(R119="","",",INDEX(REPORT_FR2052a!$1:$1048576,0,"&amp;T$2&amp;"),"&amp;IF(ISTEXT(S119),CHAR(34),"")&amp;IF(R119="is","",""&amp;"&lt;&gt;")&amp;S119&amp;IF(ISTEXT(S119),CHAR(34),""))</f>
        <v/>
      </c>
      <c r="V119" s="139"/>
      <c r="W119" s="137" t="str">
        <f t="shared" ref="W119:W120" si="548">IF(U119="","",",INDEX(REPORT_FR2052a!$1:$1048576,0,"&amp;W$2&amp;"),"&amp;IF(ISTEXT(V119),CHAR(34),"")&amp;IF(U119="is","",""&amp;"&lt;&gt;")&amp;V119&amp;IF(ISTEXT(V119),CHAR(34),""))</f>
        <v/>
      </c>
      <c r="Y119" s="139"/>
      <c r="Z119" s="137" t="str">
        <f t="shared" ref="Z119:Z120" si="549">IF(X119="","",",INDEX(REPORT_FR2052a!$1:$1048576,0,"&amp;Z$2&amp;"),"&amp;IF(ISTEXT(Y119),CHAR(34),"")&amp;IF(X119="is","",""&amp;"&lt;&gt;")&amp;Y119&amp;IF(ISTEXT(Y119),CHAR(34),""))</f>
        <v/>
      </c>
      <c r="AA119" s="137" t="s">
        <v>332</v>
      </c>
      <c r="AB119" s="139" t="s">
        <v>765</v>
      </c>
      <c r="AC119" s="137" t="str">
        <f t="shared" ref="AC119:AC120" si="550">IF(AA119="","",",INDEX(REPORT_FR2052a!$1:$1048576,0,"&amp;AC$2&amp;"),"&amp;IF(ISTEXT(AB119),CHAR(34),"")&amp;IF(AA119="is","",""&amp;"&lt;&gt;")&amp;AB119&amp;IF(ISTEXT(AB119),CHAR(34),""))</f>
        <v>,INDEX(REPORT_FR2052a!$1:$1048576,0,42),"&lt;&gt;0"</v>
      </c>
      <c r="AD119" s="137" t="s">
        <v>331</v>
      </c>
      <c r="AE119" s="140" t="s">
        <v>155</v>
      </c>
      <c r="AF119" s="137" t="str">
        <f t="shared" ref="AF119:AF120" si="551">IF(AD119="","",",INDEX(REPORT_FR2052a!$1:$1048576,0,"&amp;AF$2&amp;"),"&amp;IF(ISTEXT(AE119),CHAR(34),"")&amp;IF(AD119="is","",""&amp;"&lt;&gt;")&amp;AE119&amp;IF(ISTEXT(AE119),CHAR(34),""))</f>
        <v>,INDEX(REPORT_FR2052a!$1:$1048576,0,26),"Small Business"</v>
      </c>
      <c r="AH119" s="139"/>
      <c r="AI119" s="137" t="str">
        <f t="shared" ref="AI119:AI120" si="552">IF(AG119="","",",INDEX(REPORT_FR2052a!$1:$1048576,0,"&amp;AI$2&amp;"),"&amp;IF(ISTEXT(AH119),CHAR(34),"")&amp;IF(AG119="is","",""&amp;"&lt;&gt;")&amp;AH119&amp;IF(ISTEXT(AH119),CHAR(34),""))</f>
        <v/>
      </c>
      <c r="AK119" s="139"/>
      <c r="AL119" s="137" t="str">
        <f t="shared" ref="AL119:AL120" si="553">IF(AJ119="","",",INDEX(REPORT_FR2052a!$1:$1048576,0,"&amp;AL$2&amp;"),"&amp;IF(ISTEXT(AK119),CHAR(34),"")&amp;IF(AJ119="is","",""&amp;"&lt;&gt;")&amp;AK119&amp;IF(ISTEXT(AK119),CHAR(34),""))</f>
        <v/>
      </c>
      <c r="AO119" s="137" t="str">
        <f t="shared" ref="AO119:AO122" si="554">IF(AM119="","",",INDEX(REPORT_FR2052a!$1:$1048576,0,"&amp;AO$2&amp;"),"&amp;IF(ISTEXT(AN119),CHAR(34),"")&amp;IF(AM119="is","",""&amp;"&lt;&gt;")&amp;AN119&amp;IF(ISTEXT(AN119),CHAR(34),""))</f>
        <v/>
      </c>
      <c r="AR119" s="137" t="str">
        <f t="shared" si="214"/>
        <v/>
      </c>
      <c r="AU119" s="137" t="str">
        <f t="shared" si="488"/>
        <v/>
      </c>
      <c r="AV119" s="137" t="s">
        <v>331</v>
      </c>
      <c r="AW119" s="139" t="s">
        <v>762</v>
      </c>
      <c r="AX119" s="137" t="str">
        <f t="shared" si="544"/>
        <v>,INDEX(REPORT_FR2052a!$1:$1048576,0,7),""</v>
      </c>
      <c r="BA119" s="137" t="s">
        <v>13</v>
      </c>
      <c r="BB119" s="137" t="str">
        <f>"=SUMIFS(INDEX(REPORT_FR2052a!$1:$1048576,0,"&amp;(MATCH(BA119,REPORT_FR2052a!$1:$1,0))&amp;")"</f>
        <v>=SUMIFS(INDEX(REPORT_FR2052a!$1:$1048576,0,14)</v>
      </c>
      <c r="BC119" s="137" t="str">
        <f t="shared" si="198"/>
        <v>=SUMIFS(INDEX(REPORT_FR2052a!$1:$1048576,0,14),INDEX(REPORT_FR2052a!$1:$1048576,0,44),"I.U.6",INDEX(REPORT_FR2052a!$1:$1048576,0,43),1,INDEX(REPORT_FR2052a!$1:$1048576,0,42),"&lt;&gt;0",INDEX(REPORT_FR2052a!$1:$1048576,0,26),"Small Business",INDEX(REPORT_FR2052a!$1:$1048576,0,7),"")</v>
      </c>
      <c r="BD119" s="141">
        <f>SUMIFS(INDEX(REPORT_FR2052a!$1:$1048576,0,14),INDEX(REPORT_FR2052a!$1:$1048576,0,44),"I.U.6",INDEX(REPORT_FR2052a!$1:$1048576,0,43),1,INDEX(REPORT_FR2052a!$1:$1048576,0,42),"&lt;&gt;0",INDEX(REPORT_FR2052a!$1:$1048576,0,26),"Small Business",INDEX(REPORT_FR2052a!$1:$1048576,0,7),"")</f>
        <v>0</v>
      </c>
      <c r="BE119" s="137" t="s">
        <v>331</v>
      </c>
      <c r="BF119" s="139" t="s">
        <v>47</v>
      </c>
      <c r="BG119" s="137" t="str">
        <f t="shared" ref="BG119:BG122" si="555">IF(BE119="","",",INDEX(REPORT_FR2052a!$1:$1048576,0,"&amp;BG$2&amp;"),"&amp;IF(ISTEXT(BF119),CHAR(34),"")&amp;IF(BE119="is","",""&amp;"&lt;&gt;")&amp;BF119&amp;IF(ISTEXT(BF119),CHAR(34),""))</f>
        <v>,INDEX(REPORT_FR2052a!$1:$1048576,0,5),"Bank of China - Combined US Branches and Agencies"</v>
      </c>
      <c r="BI119" s="137" t="str">
        <f t="shared" ref="BI119:BI122" si="556">LEFT(BC119,LEN(BC119)-1)&amp;BG119&amp;")"</f>
        <v>=SUMIFS(INDEX(REPORT_FR2052a!$1:$1048576,0,14),INDEX(REPORT_FR2052a!$1:$1048576,0,44),"I.U.6",INDEX(REPORT_FR2052a!$1:$1048576,0,43),1,INDEX(REPORT_FR2052a!$1:$1048576,0,42),"&lt;&gt;0",INDEX(REPORT_FR2052a!$1:$1048576,0,26),"Small Business",INDEX(REPORT_FR2052a!$1:$1048576,0,7),"",INDEX(REPORT_FR2052a!$1:$1048576,0,5),"Bank of China - Combined US Branches and Agencies")</v>
      </c>
      <c r="BJ119" s="142">
        <f>SUMIFS(INDEX(REPORT_FR2052a!$1:$1048576,0,14),INDEX(REPORT_FR2052a!$1:$1048576,0,44),"I.U.6",INDEX(REPORT_FR2052a!$1:$1048576,0,43),1,INDEX(REPORT_FR2052a!$1:$1048576,0,42),"&lt;&gt;0",INDEX(REPORT_FR2052a!$1:$1048576,0,26),"Small Business",INDEX(REPORT_FR2052a!$1:$1048576,0,7),"",INDEX(REPORT_FR2052a!$1:$1048576,0,5),"Bank of China - Combined US Branches and Agencies")</f>
        <v>0</v>
      </c>
      <c r="BK119" s="143">
        <f t="shared" ref="BK119:BK122" si="557">BD119-BJ119</f>
        <v>0</v>
      </c>
    </row>
    <row r="120" spans="1:63">
      <c r="A120" s="136">
        <v>100</v>
      </c>
      <c r="B120" s="137" t="str">
        <f>IFERROR(INDEX('LCR TYPE EXPLAIN'!B:B,MATCH(A120,'LCR TYPE EXPLAIN'!A:A,0)),"")</f>
        <v>Retail Cash Inflow Amount (§.33(c ))</v>
      </c>
      <c r="F120" s="137" t="s">
        <v>331</v>
      </c>
      <c r="G120" s="138" t="s">
        <v>395</v>
      </c>
      <c r="H120" s="137" t="str">
        <f t="shared" si="374"/>
        <v>,INDEX(REPORT_FR2052a!$1:$1048576,0,44),"I.U.5"</v>
      </c>
      <c r="I120" s="137" t="s">
        <v>331</v>
      </c>
      <c r="J120" s="137">
        <v>1</v>
      </c>
      <c r="K120" s="137" t="str">
        <f t="shared" si="545"/>
        <v>,INDEX(REPORT_FR2052a!$1:$1048576,0,43),1</v>
      </c>
      <c r="N120" s="137" t="str">
        <f t="shared" si="546"/>
        <v/>
      </c>
      <c r="Q120" s="137" t="str">
        <f t="shared" ref="Q120:Q121" si="558">IF(O120="","",",INDEX(REPORT_FR2052a!$1:$1048576,0,"&amp;Q$2&amp;"),"&amp;IF(OR(ISTEXT(P120),ISBLANK(P120)),CHAR(34),"")&amp;IF(O120="is","",""&amp;"&lt;&gt;")&amp;P120&amp;IF(OR(ISTEXT(P120),ISBLANK(P120)),CHAR(34),""))</f>
        <v/>
      </c>
      <c r="T120" s="137" t="str">
        <f t="shared" si="547"/>
        <v/>
      </c>
      <c r="V120" s="139"/>
      <c r="W120" s="137" t="str">
        <f t="shared" si="548"/>
        <v/>
      </c>
      <c r="Y120" s="139"/>
      <c r="Z120" s="137" t="str">
        <f t="shared" si="549"/>
        <v/>
      </c>
      <c r="AA120" s="137" t="s">
        <v>332</v>
      </c>
      <c r="AB120" s="139" t="s">
        <v>765</v>
      </c>
      <c r="AC120" s="137" t="str">
        <f t="shared" si="550"/>
        <v>,INDEX(REPORT_FR2052a!$1:$1048576,0,42),"&lt;&gt;0"</v>
      </c>
      <c r="AD120" s="137" t="s">
        <v>331</v>
      </c>
      <c r="AE120" s="140" t="s">
        <v>122</v>
      </c>
      <c r="AF120" s="137" t="str">
        <f t="shared" si="551"/>
        <v>,INDEX(REPORT_FR2052a!$1:$1048576,0,26),"Retail"</v>
      </c>
      <c r="AH120" s="139"/>
      <c r="AI120" s="137" t="str">
        <f t="shared" si="552"/>
        <v/>
      </c>
      <c r="AK120" s="139"/>
      <c r="AL120" s="137" t="str">
        <f t="shared" si="553"/>
        <v/>
      </c>
      <c r="AO120" s="137" t="str">
        <f t="shared" si="554"/>
        <v/>
      </c>
      <c r="AR120" s="137" t="str">
        <f t="shared" si="214"/>
        <v/>
      </c>
      <c r="AU120" s="137" t="str">
        <f t="shared" si="488"/>
        <v/>
      </c>
      <c r="AV120" s="137" t="s">
        <v>331</v>
      </c>
      <c r="AW120" s="139" t="s">
        <v>762</v>
      </c>
      <c r="AX120" s="137" t="str">
        <f t="shared" si="544"/>
        <v>,INDEX(REPORT_FR2052a!$1:$1048576,0,7),""</v>
      </c>
      <c r="BA120" s="137" t="s">
        <v>13</v>
      </c>
      <c r="BB120" s="137" t="str">
        <f>"=SUMIFS(INDEX(REPORT_FR2052a!$1:$1048576,0,"&amp;(MATCH(BA120,REPORT_FR2052a!$1:$1,0))&amp;")"</f>
        <v>=SUMIFS(INDEX(REPORT_FR2052a!$1:$1048576,0,14)</v>
      </c>
      <c r="BC120" s="137" t="str">
        <f t="shared" si="198"/>
        <v>=SUMIFS(INDEX(REPORT_FR2052a!$1:$1048576,0,14),INDEX(REPORT_FR2052a!$1:$1048576,0,44),"I.U.5",INDEX(REPORT_FR2052a!$1:$1048576,0,43),1,INDEX(REPORT_FR2052a!$1:$1048576,0,42),"&lt;&gt;0",INDEX(REPORT_FR2052a!$1:$1048576,0,26),"Retail",INDEX(REPORT_FR2052a!$1:$1048576,0,7),"")</v>
      </c>
      <c r="BD120" s="141">
        <f>SUMIFS(INDEX(REPORT_FR2052a!$1:$1048576,0,14),INDEX(REPORT_FR2052a!$1:$1048576,0,44),"I.U.5",INDEX(REPORT_FR2052a!$1:$1048576,0,43),1,INDEX(REPORT_FR2052a!$1:$1048576,0,42),"&lt;&gt;0",INDEX(REPORT_FR2052a!$1:$1048576,0,26),"Retail",INDEX(REPORT_FR2052a!$1:$1048576,0,7),"")</f>
        <v>0</v>
      </c>
      <c r="BE120" s="137" t="s">
        <v>331</v>
      </c>
      <c r="BF120" s="139" t="s">
        <v>47</v>
      </c>
      <c r="BG120" s="137" t="str">
        <f t="shared" si="555"/>
        <v>,INDEX(REPORT_FR2052a!$1:$1048576,0,5),"Bank of China - Combined US Branches and Agencies"</v>
      </c>
      <c r="BI120" s="137" t="str">
        <f t="shared" si="556"/>
        <v>=SUMIFS(INDEX(REPORT_FR2052a!$1:$1048576,0,14),INDEX(REPORT_FR2052a!$1:$1048576,0,44),"I.U.5",INDEX(REPORT_FR2052a!$1:$1048576,0,43),1,INDEX(REPORT_FR2052a!$1:$1048576,0,42),"&lt;&gt;0",INDEX(REPORT_FR2052a!$1:$1048576,0,26),"Retail",INDEX(REPORT_FR2052a!$1:$1048576,0,7),"",INDEX(REPORT_FR2052a!$1:$1048576,0,5),"Bank of China - Combined US Branches and Agencies")</v>
      </c>
      <c r="BJ120" s="142">
        <f>SUMIFS(INDEX(REPORT_FR2052a!$1:$1048576,0,14),INDEX(REPORT_FR2052a!$1:$1048576,0,44),"I.U.5",INDEX(REPORT_FR2052a!$1:$1048576,0,43),1,INDEX(REPORT_FR2052a!$1:$1048576,0,42),"&lt;&gt;0",INDEX(REPORT_FR2052a!$1:$1048576,0,26),"Retail",INDEX(REPORT_FR2052a!$1:$1048576,0,7),"",INDEX(REPORT_FR2052a!$1:$1048576,0,5),"Bank of China - Combined US Branches and Agencies")</f>
        <v>0</v>
      </c>
      <c r="BK120" s="143">
        <f t="shared" si="557"/>
        <v>0</v>
      </c>
    </row>
    <row r="121" spans="1:63">
      <c r="A121" s="136">
        <v>100</v>
      </c>
      <c r="B121" s="137" t="str">
        <f>IFERROR(INDEX('LCR TYPE EXPLAIN'!B:B,MATCH(A121,'LCR TYPE EXPLAIN'!A:A,0)),"")</f>
        <v>Retail Cash Inflow Amount (§.33(c ))</v>
      </c>
      <c r="F121" s="137" t="s">
        <v>331</v>
      </c>
      <c r="G121" s="138" t="s">
        <v>395</v>
      </c>
      <c r="H121" s="137" t="str">
        <f t="shared" si="374"/>
        <v>,INDEX(REPORT_FR2052a!$1:$1048576,0,44),"I.U.5"</v>
      </c>
      <c r="I121" s="137" t="s">
        <v>331</v>
      </c>
      <c r="J121" s="137">
        <v>1</v>
      </c>
      <c r="K121" s="137" t="str">
        <f t="shared" ref="K121" si="559">IF(I121="","",",INDEX(REPORT_FR2052a!$1:$1048576,0,"&amp;K$2&amp;"),"&amp;IF(ISTEXT(J121),CHAR(34),"")&amp;IF(I121="is","",""&amp;"&lt;&gt;")&amp;J121&amp;IF(ISTEXT(J121),CHAR(34),""))</f>
        <v>,INDEX(REPORT_FR2052a!$1:$1048576,0,43),1</v>
      </c>
      <c r="N121" s="137" t="str">
        <f t="shared" ref="N121" si="560">IF(L121="","",",INDEX(REPORT_FR2052a!$1:$1048576,0,"&amp;N$2&amp;"),"&amp;IF(ISTEXT(M121),CHAR(34),"")&amp;IF(L121="is","",""&amp;"&lt;&gt;")&amp;M121&amp;IF(ISTEXT(M121),CHAR(34),""))</f>
        <v/>
      </c>
      <c r="Q121" s="137" t="str">
        <f t="shared" si="558"/>
        <v/>
      </c>
      <c r="T121" s="137" t="str">
        <f t="shared" ref="T121" si="561">IF(R121="","",",INDEX(REPORT_FR2052a!$1:$1048576,0,"&amp;T$2&amp;"),"&amp;IF(ISTEXT(S121),CHAR(34),"")&amp;IF(R121="is","",""&amp;"&lt;&gt;")&amp;S121&amp;IF(ISTEXT(S121),CHAR(34),""))</f>
        <v/>
      </c>
      <c r="V121" s="139"/>
      <c r="W121" s="137" t="str">
        <f t="shared" ref="W121" si="562">IF(U121="","",",INDEX(REPORT_FR2052a!$1:$1048576,0,"&amp;W$2&amp;"),"&amp;IF(ISTEXT(V121),CHAR(34),"")&amp;IF(U121="is","",""&amp;"&lt;&gt;")&amp;V121&amp;IF(ISTEXT(V121),CHAR(34),""))</f>
        <v/>
      </c>
      <c r="Y121" s="139"/>
      <c r="Z121" s="137" t="str">
        <f t="shared" ref="Z121" si="563">IF(X121="","",",INDEX(REPORT_FR2052a!$1:$1048576,0,"&amp;Z$2&amp;"),"&amp;IF(ISTEXT(Y121),CHAR(34),"")&amp;IF(X121="is","",""&amp;"&lt;&gt;")&amp;Y121&amp;IF(ISTEXT(Y121),CHAR(34),""))</f>
        <v/>
      </c>
      <c r="AA121" s="137" t="s">
        <v>332</v>
      </c>
      <c r="AB121" s="139" t="s">
        <v>765</v>
      </c>
      <c r="AC121" s="137" t="str">
        <f t="shared" ref="AC121" si="564">IF(AA121="","",",INDEX(REPORT_FR2052a!$1:$1048576,0,"&amp;AC$2&amp;"),"&amp;IF(ISTEXT(AB121),CHAR(34),"")&amp;IF(AA121="is","",""&amp;"&lt;&gt;")&amp;AB121&amp;IF(ISTEXT(AB121),CHAR(34),""))</f>
        <v>,INDEX(REPORT_FR2052a!$1:$1048576,0,42),"&lt;&gt;0"</v>
      </c>
      <c r="AD121" s="137" t="s">
        <v>331</v>
      </c>
      <c r="AE121" s="140" t="s">
        <v>155</v>
      </c>
      <c r="AF121" s="137" t="str">
        <f t="shared" ref="AF121" si="565">IF(AD121="","",",INDEX(REPORT_FR2052a!$1:$1048576,0,"&amp;AF$2&amp;"),"&amp;IF(ISTEXT(AE121),CHAR(34),"")&amp;IF(AD121="is","",""&amp;"&lt;&gt;")&amp;AE121&amp;IF(ISTEXT(AE121),CHAR(34),""))</f>
        <v>,INDEX(REPORT_FR2052a!$1:$1048576,0,26),"Small Business"</v>
      </c>
      <c r="AH121" s="139"/>
      <c r="AI121" s="137" t="str">
        <f t="shared" ref="AI121" si="566">IF(AG121="","",",INDEX(REPORT_FR2052a!$1:$1048576,0,"&amp;AI$2&amp;"),"&amp;IF(ISTEXT(AH121),CHAR(34),"")&amp;IF(AG121="is","",""&amp;"&lt;&gt;")&amp;AH121&amp;IF(ISTEXT(AH121),CHAR(34),""))</f>
        <v/>
      </c>
      <c r="AK121" s="139"/>
      <c r="AL121" s="137" t="str">
        <f t="shared" ref="AL121" si="567">IF(AJ121="","",",INDEX(REPORT_FR2052a!$1:$1048576,0,"&amp;AL$2&amp;"),"&amp;IF(ISTEXT(AK121),CHAR(34),"")&amp;IF(AJ121="is","",""&amp;"&lt;&gt;")&amp;AK121&amp;IF(ISTEXT(AK121),CHAR(34),""))</f>
        <v/>
      </c>
      <c r="AO121" s="137" t="str">
        <f t="shared" ref="AO121" si="568">IF(AM121="","",",INDEX(REPORT_FR2052a!$1:$1048576,0,"&amp;AO$2&amp;"),"&amp;IF(ISTEXT(AN121),CHAR(34),"")&amp;IF(AM121="is","",""&amp;"&lt;&gt;")&amp;AN121&amp;IF(ISTEXT(AN121),CHAR(34),""))</f>
        <v/>
      </c>
      <c r="AR121" s="137" t="str">
        <f t="shared" si="214"/>
        <v/>
      </c>
      <c r="AU121" s="137" t="str">
        <f t="shared" si="488"/>
        <v/>
      </c>
      <c r="AV121" s="137" t="s">
        <v>331</v>
      </c>
      <c r="AW121" s="139" t="s">
        <v>762</v>
      </c>
      <c r="AX121" s="137" t="str">
        <f t="shared" si="544"/>
        <v>,INDEX(REPORT_FR2052a!$1:$1048576,0,7),""</v>
      </c>
      <c r="BA121" s="137" t="s">
        <v>13</v>
      </c>
      <c r="BB121" s="137" t="str">
        <f>"=SUMIFS(INDEX(REPORT_FR2052a!$1:$1048576,0,"&amp;(MATCH(BA121,REPORT_FR2052a!$1:$1,0))&amp;")"</f>
        <v>=SUMIFS(INDEX(REPORT_FR2052a!$1:$1048576,0,14)</v>
      </c>
      <c r="BC121" s="137" t="str">
        <f t="shared" si="198"/>
        <v>=SUMIFS(INDEX(REPORT_FR2052a!$1:$1048576,0,14),INDEX(REPORT_FR2052a!$1:$1048576,0,44),"I.U.5",INDEX(REPORT_FR2052a!$1:$1048576,0,43),1,INDEX(REPORT_FR2052a!$1:$1048576,0,42),"&lt;&gt;0",INDEX(REPORT_FR2052a!$1:$1048576,0,26),"Small Business",INDEX(REPORT_FR2052a!$1:$1048576,0,7),"")</v>
      </c>
      <c r="BD121" s="141">
        <f>SUMIFS(INDEX(REPORT_FR2052a!$1:$1048576,0,14),INDEX(REPORT_FR2052a!$1:$1048576,0,44),"I.U.5",INDEX(REPORT_FR2052a!$1:$1048576,0,43),1,INDEX(REPORT_FR2052a!$1:$1048576,0,42),"&lt;&gt;0",INDEX(REPORT_FR2052a!$1:$1048576,0,26),"Small Business",INDEX(REPORT_FR2052a!$1:$1048576,0,7),"")</f>
        <v>0</v>
      </c>
      <c r="BE121" s="137" t="s">
        <v>331</v>
      </c>
      <c r="BF121" s="139" t="s">
        <v>47</v>
      </c>
      <c r="BG121" s="137" t="str">
        <f t="shared" ref="BG121" si="569">IF(BE121="","",",INDEX(REPORT_FR2052a!$1:$1048576,0,"&amp;BG$2&amp;"),"&amp;IF(ISTEXT(BF121),CHAR(34),"")&amp;IF(BE121="is","",""&amp;"&lt;&gt;")&amp;BF121&amp;IF(ISTEXT(BF121),CHAR(34),""))</f>
        <v>,INDEX(REPORT_FR2052a!$1:$1048576,0,5),"Bank of China - Combined US Branches and Agencies"</v>
      </c>
      <c r="BI121" s="137" t="str">
        <f t="shared" ref="BI121" si="570">LEFT(BC121,LEN(BC121)-1)&amp;BG121&amp;")"</f>
        <v>=SUMIFS(INDEX(REPORT_FR2052a!$1:$1048576,0,14),INDEX(REPORT_FR2052a!$1:$1048576,0,44),"I.U.5",INDEX(REPORT_FR2052a!$1:$1048576,0,43),1,INDEX(REPORT_FR2052a!$1:$1048576,0,42),"&lt;&gt;0",INDEX(REPORT_FR2052a!$1:$1048576,0,26),"Small Business",INDEX(REPORT_FR2052a!$1:$1048576,0,7),"",INDEX(REPORT_FR2052a!$1:$1048576,0,5),"Bank of China - Combined US Branches and Agencies")</v>
      </c>
      <c r="BJ121" s="142">
        <f>SUMIFS(INDEX(REPORT_FR2052a!$1:$1048576,0,14),INDEX(REPORT_FR2052a!$1:$1048576,0,44),"I.U.5",INDEX(REPORT_FR2052a!$1:$1048576,0,43),1,INDEX(REPORT_FR2052a!$1:$1048576,0,42),"&lt;&gt;0",INDEX(REPORT_FR2052a!$1:$1048576,0,26),"Small Business",INDEX(REPORT_FR2052a!$1:$1048576,0,7),"",INDEX(REPORT_FR2052a!$1:$1048576,0,5),"Bank of China - Combined US Branches and Agencies")</f>
        <v>0</v>
      </c>
      <c r="BK121" s="143">
        <f t="shared" ref="BK121" si="571">BD121-BJ121</f>
        <v>0</v>
      </c>
    </row>
    <row r="122" spans="1:63">
      <c r="A122" s="136">
        <v>101</v>
      </c>
      <c r="B122" s="137" t="str">
        <f>IFERROR(INDEX('LCR TYPE EXPLAIN'!B:B,MATCH(A122,'LCR TYPE EXPLAIN'!A:A,0)),"")</f>
        <v>Retail Cash Inflow Amount (§.33(c ))</v>
      </c>
      <c r="F122" s="137" t="s">
        <v>331</v>
      </c>
      <c r="G122" s="138" t="s">
        <v>372</v>
      </c>
      <c r="H122" s="137" t="str">
        <f t="shared" si="374"/>
        <v>,INDEX(REPORT_FR2052a!$1:$1048576,0,44),"I.S.7"</v>
      </c>
      <c r="I122" s="137" t="s">
        <v>331</v>
      </c>
      <c r="J122" s="137">
        <v>1</v>
      </c>
      <c r="K122" s="137" t="str">
        <f>IF(I122="","",",INDEX(REPORT_FR2052a!$1:$1048576,0,"&amp;K$2&amp;"),"&amp;IF(ISTEXT(J122),CHAR(34),"")&amp;IF(I122="is","",""&amp;"&lt;&gt;")&amp;J122&amp;IF(ISTEXT(J122),CHAR(34),""))</f>
        <v>,INDEX(REPORT_FR2052a!$1:$1048576,0,43),1</v>
      </c>
      <c r="N122" s="137" t="str">
        <f>IF(L122="","",",INDEX(REPORT_FR2052a!$1:$1048576,0,"&amp;N$2&amp;"),"&amp;IF(ISTEXT(M122),CHAR(34),"")&amp;IF(L122="is","",""&amp;"&lt;&gt;")&amp;M122&amp;IF(ISTEXT(M122),CHAR(34),""))</f>
        <v/>
      </c>
      <c r="Q122" s="137" t="str">
        <f t="shared" ref="Q122" si="572">IF(O122="","",",INDEX(REPORT_FR2052a!$1:$1048576,0,"&amp;Q$2&amp;"),"&amp;IF(OR(ISTEXT(P122),ISBLANK(P122)),CHAR(34),"")&amp;IF(O122="is","",""&amp;"&lt;&gt;")&amp;P122&amp;IF(OR(ISTEXT(P122),ISBLANK(P122)),CHAR(34),""))</f>
        <v/>
      </c>
      <c r="T122" s="137" t="str">
        <f>IF(R122="","",",INDEX(REPORT_FR2052a!$1:$1048576,0,"&amp;T$2&amp;"),"&amp;IF(ISTEXT(S122),CHAR(34),"")&amp;IF(R122="is","",""&amp;"&lt;&gt;")&amp;S122&amp;IF(ISTEXT(S122),CHAR(34),""))</f>
        <v/>
      </c>
      <c r="V122" s="139"/>
      <c r="W122" s="137" t="str">
        <f>IF(U122="","",",INDEX(REPORT_FR2052a!$1:$1048576,0,"&amp;W$2&amp;"),"&amp;IF(ISTEXT(V122),CHAR(34),"")&amp;IF(U122="is","",""&amp;"&lt;&gt;")&amp;V122&amp;IF(ISTEXT(V122),CHAR(34),""))</f>
        <v/>
      </c>
      <c r="Y122" s="139"/>
      <c r="Z122" s="137" t="str">
        <f>IF(X122="","",",INDEX(REPORT_FR2052a!$1:$1048576,0,"&amp;Z$2&amp;"),"&amp;IF(ISTEXT(Y122),CHAR(34),"")&amp;IF(X122="is","",""&amp;"&lt;&gt;")&amp;Y122&amp;IF(ISTEXT(Y122),CHAR(34),""))</f>
        <v/>
      </c>
      <c r="AA122" s="137" t="s">
        <v>332</v>
      </c>
      <c r="AB122" s="139" t="s">
        <v>765</v>
      </c>
      <c r="AC122" s="137" t="str">
        <f>IF(AA122="","",",INDEX(REPORT_FR2052a!$1:$1048576,0,"&amp;AC$2&amp;"),"&amp;IF(ISTEXT(AB122),CHAR(34),"")&amp;IF(AA122="is","",""&amp;"&lt;&gt;")&amp;AB122&amp;IF(ISTEXT(AB122),CHAR(34),""))</f>
        <v>,INDEX(REPORT_FR2052a!$1:$1048576,0,42),"&lt;&gt;0"</v>
      </c>
      <c r="AD122" s="137" t="s">
        <v>331</v>
      </c>
      <c r="AE122" s="140" t="s">
        <v>122</v>
      </c>
      <c r="AF122" s="137" t="str">
        <f>IF(AD122="","",",INDEX(REPORT_FR2052a!$1:$1048576,0,"&amp;AF$2&amp;"),"&amp;IF(ISTEXT(AE122),CHAR(34),"")&amp;IF(AD122="is","",""&amp;"&lt;&gt;")&amp;AE122&amp;IF(ISTEXT(AE122),CHAR(34),""))</f>
        <v>,INDEX(REPORT_FR2052a!$1:$1048576,0,26),"Retail"</v>
      </c>
      <c r="AH122" s="139"/>
      <c r="AI122" s="137" t="str">
        <f>IF(AG122="","",",INDEX(REPORT_FR2052a!$1:$1048576,0,"&amp;AI$2&amp;"),"&amp;IF(ISTEXT(AH122),CHAR(34),"")&amp;IF(AG122="is","",""&amp;"&lt;&gt;")&amp;AH122&amp;IF(ISTEXT(AH122),CHAR(34),""))</f>
        <v/>
      </c>
      <c r="AK122" s="139"/>
      <c r="AL122" s="137" t="str">
        <f>IF(AJ122="","",",INDEX(REPORT_FR2052a!$1:$1048576,0,"&amp;AL$2&amp;"),"&amp;IF(ISTEXT(AK122),CHAR(34),"")&amp;IF(AJ122="is","",""&amp;"&lt;&gt;")&amp;AK122&amp;IF(ISTEXT(AK122),CHAR(34),""))</f>
        <v/>
      </c>
      <c r="AO122" s="137" t="str">
        <f t="shared" si="554"/>
        <v/>
      </c>
      <c r="AR122" s="137" t="str">
        <f t="shared" si="214"/>
        <v/>
      </c>
      <c r="AU122" s="137" t="str">
        <f t="shared" si="488"/>
        <v/>
      </c>
      <c r="AV122" s="137" t="s">
        <v>331</v>
      </c>
      <c r="AW122" s="139" t="s">
        <v>762</v>
      </c>
      <c r="AX122" s="137" t="str">
        <f t="shared" si="544"/>
        <v>,INDEX(REPORT_FR2052a!$1:$1048576,0,7),""</v>
      </c>
      <c r="BA122" s="137" t="s">
        <v>13</v>
      </c>
      <c r="BB122" s="137" t="str">
        <f>"=SUMIFS(INDEX(REPORT_FR2052a!$1:$1048576,0,"&amp;(MATCH(BA122,REPORT_FR2052a!$1:$1,0))&amp;")"</f>
        <v>=SUMIFS(INDEX(REPORT_FR2052a!$1:$1048576,0,14)</v>
      </c>
      <c r="BC122" s="137" t="str">
        <f t="shared" si="198"/>
        <v>=SUMIFS(INDEX(REPORT_FR2052a!$1:$1048576,0,14),INDEX(REPORT_FR2052a!$1:$1048576,0,44),"I.S.7",INDEX(REPORT_FR2052a!$1:$1048576,0,43),1,INDEX(REPORT_FR2052a!$1:$1048576,0,42),"&lt;&gt;0",INDEX(REPORT_FR2052a!$1:$1048576,0,26),"Retail",INDEX(REPORT_FR2052a!$1:$1048576,0,7),"")</v>
      </c>
      <c r="BD122" s="141">
        <f>SUMIFS(INDEX(REPORT_FR2052a!$1:$1048576,0,14),INDEX(REPORT_FR2052a!$1:$1048576,0,44),"I.S.7",INDEX(REPORT_FR2052a!$1:$1048576,0,43),1,INDEX(REPORT_FR2052a!$1:$1048576,0,42),"&lt;&gt;0",INDEX(REPORT_FR2052a!$1:$1048576,0,26),"Retail",INDEX(REPORT_FR2052a!$1:$1048576,0,7),"")</f>
        <v>0.35</v>
      </c>
      <c r="BE122" s="137" t="s">
        <v>331</v>
      </c>
      <c r="BF122" s="139" t="s">
        <v>47</v>
      </c>
      <c r="BG122" s="137" t="str">
        <f t="shared" si="555"/>
        <v>,INDEX(REPORT_FR2052a!$1:$1048576,0,5),"Bank of China - Combined US Branches and Agencies"</v>
      </c>
      <c r="BI122" s="137" t="str">
        <f t="shared" si="556"/>
        <v>=SUMIFS(INDEX(REPORT_FR2052a!$1:$1048576,0,14),INDEX(REPORT_FR2052a!$1:$1048576,0,44),"I.S.7",INDEX(REPORT_FR2052a!$1:$1048576,0,43),1,INDEX(REPORT_FR2052a!$1:$1048576,0,42),"&lt;&gt;0",INDEX(REPORT_FR2052a!$1:$1048576,0,26),"Retail",INDEX(REPORT_FR2052a!$1:$1048576,0,7),"",INDEX(REPORT_FR2052a!$1:$1048576,0,5),"Bank of China - Combined US Branches and Agencies")</v>
      </c>
      <c r="BJ122" s="142">
        <f>SUMIFS(INDEX(REPORT_FR2052a!$1:$1048576,0,14),INDEX(REPORT_FR2052a!$1:$1048576,0,44),"I.S.7",INDEX(REPORT_FR2052a!$1:$1048576,0,43),1,INDEX(REPORT_FR2052a!$1:$1048576,0,42),"&lt;&gt;0",INDEX(REPORT_FR2052a!$1:$1048576,0,26),"Retail",INDEX(REPORT_FR2052a!$1:$1048576,0,7),"",INDEX(REPORT_FR2052a!$1:$1048576,0,5),"Bank of China - Combined US Branches and Agencies")</f>
        <v>0.35</v>
      </c>
      <c r="BK122" s="143">
        <f t="shared" si="557"/>
        <v>0</v>
      </c>
    </row>
    <row r="123" spans="1:63">
      <c r="A123" s="136">
        <v>101</v>
      </c>
      <c r="B123" s="137" t="str">
        <f>IFERROR(INDEX('LCR TYPE EXPLAIN'!B:B,MATCH(A123,'LCR TYPE EXPLAIN'!A:A,0)),"")</f>
        <v>Retail Cash Inflow Amount (§.33(c ))</v>
      </c>
      <c r="F123" s="137" t="s">
        <v>331</v>
      </c>
      <c r="G123" s="138" t="s">
        <v>372</v>
      </c>
      <c r="H123" s="137" t="str">
        <f t="shared" si="374"/>
        <v>,INDEX(REPORT_FR2052a!$1:$1048576,0,44),"I.S.7"</v>
      </c>
      <c r="I123" s="137" t="s">
        <v>331</v>
      </c>
      <c r="J123" s="137">
        <v>1</v>
      </c>
      <c r="K123" s="137" t="str">
        <f>IF(I123="","",",INDEX(REPORT_FR2052a!$1:$1048576,0,"&amp;K$2&amp;"),"&amp;IF(ISTEXT(J123),CHAR(34),"")&amp;IF(I123="is","",""&amp;"&lt;&gt;")&amp;J123&amp;IF(ISTEXT(J123),CHAR(34),""))</f>
        <v>,INDEX(REPORT_FR2052a!$1:$1048576,0,43),1</v>
      </c>
      <c r="N123" s="137" t="str">
        <f>IF(L123="","",",INDEX(REPORT_FR2052a!$1:$1048576,0,"&amp;N$2&amp;"),"&amp;IF(ISTEXT(M123),CHAR(34),"")&amp;IF(L123="is","",""&amp;"&lt;&gt;")&amp;M123&amp;IF(ISTEXT(M123),CHAR(34),""))</f>
        <v/>
      </c>
      <c r="Q123" s="137" t="str">
        <f t="shared" si="542"/>
        <v/>
      </c>
      <c r="T123" s="137" t="str">
        <f>IF(R123="","",",INDEX(REPORT_FR2052a!$1:$1048576,0,"&amp;T$2&amp;"),"&amp;IF(ISTEXT(S123),CHAR(34),"")&amp;IF(R123="is","",""&amp;"&lt;&gt;")&amp;S123&amp;IF(ISTEXT(S123),CHAR(34),""))</f>
        <v/>
      </c>
      <c r="V123" s="139"/>
      <c r="W123" s="137" t="str">
        <f>IF(U123="","",",INDEX(REPORT_FR2052a!$1:$1048576,0,"&amp;W$2&amp;"),"&amp;IF(ISTEXT(V123),CHAR(34),"")&amp;IF(U123="is","",""&amp;"&lt;&gt;")&amp;V123&amp;IF(ISTEXT(V123),CHAR(34),""))</f>
        <v/>
      </c>
      <c r="Y123" s="139"/>
      <c r="Z123" s="137" t="str">
        <f>IF(X123="","",",INDEX(REPORT_FR2052a!$1:$1048576,0,"&amp;Z$2&amp;"),"&amp;IF(ISTEXT(Y123),CHAR(34),"")&amp;IF(X123="is","",""&amp;"&lt;&gt;")&amp;Y123&amp;IF(ISTEXT(Y123),CHAR(34),""))</f>
        <v/>
      </c>
      <c r="AA123" s="137" t="s">
        <v>332</v>
      </c>
      <c r="AB123" s="139" t="s">
        <v>765</v>
      </c>
      <c r="AC123" s="137" t="str">
        <f>IF(AA123="","",",INDEX(REPORT_FR2052a!$1:$1048576,0,"&amp;AC$2&amp;"),"&amp;IF(ISTEXT(AB123),CHAR(34),"")&amp;IF(AA123="is","",""&amp;"&lt;&gt;")&amp;AB123&amp;IF(ISTEXT(AB123),CHAR(34),""))</f>
        <v>,INDEX(REPORT_FR2052a!$1:$1048576,0,42),"&lt;&gt;0"</v>
      </c>
      <c r="AD123" s="137" t="s">
        <v>331</v>
      </c>
      <c r="AE123" s="140" t="s">
        <v>155</v>
      </c>
      <c r="AF123" s="137" t="str">
        <f>IF(AD123="","",",INDEX(REPORT_FR2052a!$1:$1048576,0,"&amp;AF$2&amp;"),"&amp;IF(ISTEXT(AE123),CHAR(34),"")&amp;IF(AD123="is","",""&amp;"&lt;&gt;")&amp;AE123&amp;IF(ISTEXT(AE123),CHAR(34),""))</f>
        <v>,INDEX(REPORT_FR2052a!$1:$1048576,0,26),"Small Business"</v>
      </c>
      <c r="AH123" s="139"/>
      <c r="AI123" s="137" t="str">
        <f>IF(AG123="","",",INDEX(REPORT_FR2052a!$1:$1048576,0,"&amp;AI$2&amp;"),"&amp;IF(ISTEXT(AH123),CHAR(34),"")&amp;IF(AG123="is","",""&amp;"&lt;&gt;")&amp;AH123&amp;IF(ISTEXT(AH123),CHAR(34),""))</f>
        <v/>
      </c>
      <c r="AK123" s="139"/>
      <c r="AL123" s="137" t="str">
        <f>IF(AJ123="","",",INDEX(REPORT_FR2052a!$1:$1048576,0,"&amp;AL$2&amp;"),"&amp;IF(ISTEXT(AK123),CHAR(34),"")&amp;IF(AJ123="is","",""&amp;"&lt;&gt;")&amp;AK123&amp;IF(ISTEXT(AK123),CHAR(34),""))</f>
        <v/>
      </c>
      <c r="AO123" s="137" t="str">
        <f t="shared" ref="AO123:AO156" si="573">IF(AM123="","",",INDEX(REPORT_FR2052a!$1:$1048576,0,"&amp;AO$2&amp;"),"&amp;IF(ISTEXT(AN123),CHAR(34),"")&amp;IF(AM123="is","",""&amp;"&lt;&gt;")&amp;AN123&amp;IF(ISTEXT(AN123),CHAR(34),""))</f>
        <v/>
      </c>
      <c r="AR123" s="137" t="str">
        <f t="shared" si="214"/>
        <v/>
      </c>
      <c r="AU123" s="137" t="str">
        <f t="shared" si="488"/>
        <v/>
      </c>
      <c r="AV123" s="137" t="s">
        <v>331</v>
      </c>
      <c r="AW123" s="139" t="s">
        <v>762</v>
      </c>
      <c r="AX123" s="137" t="str">
        <f t="shared" si="544"/>
        <v>,INDEX(REPORT_FR2052a!$1:$1048576,0,7),""</v>
      </c>
      <c r="BA123" s="137" t="s">
        <v>13</v>
      </c>
      <c r="BB123" s="137" t="str">
        <f>"=SUMIFS(INDEX(REPORT_FR2052a!$1:$1048576,0,"&amp;(MATCH(BA123,REPORT_FR2052a!$1:$1,0))&amp;")"</f>
        <v>=SUMIFS(INDEX(REPORT_FR2052a!$1:$1048576,0,14)</v>
      </c>
      <c r="BC123" s="137" t="str">
        <f t="shared" si="198"/>
        <v>=SUMIFS(INDEX(REPORT_FR2052a!$1:$1048576,0,14),INDEX(REPORT_FR2052a!$1:$1048576,0,44),"I.S.7",INDEX(REPORT_FR2052a!$1:$1048576,0,43),1,INDEX(REPORT_FR2052a!$1:$1048576,0,42),"&lt;&gt;0",INDEX(REPORT_FR2052a!$1:$1048576,0,26),"Small Business",INDEX(REPORT_FR2052a!$1:$1048576,0,7),"")</v>
      </c>
      <c r="BD123" s="141">
        <f>SUMIFS(INDEX(REPORT_FR2052a!$1:$1048576,0,14),INDEX(REPORT_FR2052a!$1:$1048576,0,44),"I.S.7",INDEX(REPORT_FR2052a!$1:$1048576,0,43),1,INDEX(REPORT_FR2052a!$1:$1048576,0,42),"&lt;&gt;0",INDEX(REPORT_FR2052a!$1:$1048576,0,26),"Small Business",INDEX(REPORT_FR2052a!$1:$1048576,0,7),"")</f>
        <v>0</v>
      </c>
      <c r="BE123" s="137" t="s">
        <v>331</v>
      </c>
      <c r="BF123" s="139" t="s">
        <v>47</v>
      </c>
      <c r="BG123" s="137" t="str">
        <f t="shared" ref="BG123:BG156" si="574">IF(BE123="","",",INDEX(REPORT_FR2052a!$1:$1048576,0,"&amp;BG$2&amp;"),"&amp;IF(ISTEXT(BF123),CHAR(34),"")&amp;IF(BE123="is","",""&amp;"&lt;&gt;")&amp;BF123&amp;IF(ISTEXT(BF123),CHAR(34),""))</f>
        <v>,INDEX(REPORT_FR2052a!$1:$1048576,0,5),"Bank of China - Combined US Branches and Agencies"</v>
      </c>
      <c r="BI123" s="137" t="str">
        <f t="shared" ref="BI123" si="575">LEFT(BC123,LEN(BC123)-1)&amp;BG123&amp;")"</f>
        <v>=SUMIFS(INDEX(REPORT_FR2052a!$1:$1048576,0,14),INDEX(REPORT_FR2052a!$1:$1048576,0,44),"I.S.7",INDEX(REPORT_FR2052a!$1:$1048576,0,43),1,INDEX(REPORT_FR2052a!$1:$1048576,0,42),"&lt;&gt;0",INDEX(REPORT_FR2052a!$1:$1048576,0,26),"Small Business",INDEX(REPORT_FR2052a!$1:$1048576,0,7),"",INDEX(REPORT_FR2052a!$1:$1048576,0,5),"Bank of China - Combined US Branches and Agencies")</v>
      </c>
      <c r="BJ123" s="142">
        <f>SUMIFS(INDEX(REPORT_FR2052a!$1:$1048576,0,14),INDEX(REPORT_FR2052a!$1:$1048576,0,44),"I.S.7",INDEX(REPORT_FR2052a!$1:$1048576,0,43),1,INDEX(REPORT_FR2052a!$1:$1048576,0,42),"&lt;&gt;0",INDEX(REPORT_FR2052a!$1:$1048576,0,26),"Small Business",INDEX(REPORT_FR2052a!$1:$1048576,0,7),"",INDEX(REPORT_FR2052a!$1:$1048576,0,5),"Bank of China - Combined US Branches and Agencies")</f>
        <v>0</v>
      </c>
      <c r="BK123" s="143">
        <f t="shared" ref="BK123" si="576">BD123-BJ123</f>
        <v>0</v>
      </c>
    </row>
    <row r="124" spans="1:63">
      <c r="A124" s="136">
        <v>102</v>
      </c>
      <c r="B124" s="137" t="str">
        <f>IFERROR(INDEX('LCR TYPE EXPLAIN'!B:B,MATCH(A124,'LCR TYPE EXPLAIN'!A:A,0)),"")</f>
        <v>Financial and Central Bank Cash Inflow Amount (§.33(d)(1))</v>
      </c>
      <c r="F124" s="137" t="s">
        <v>331</v>
      </c>
      <c r="G124" s="138" t="s">
        <v>377</v>
      </c>
      <c r="H124" s="137" t="str">
        <f t="shared" si="374"/>
        <v>,INDEX(REPORT_FR2052a!$1:$1048576,0,44),"I.U.1"</v>
      </c>
      <c r="I124" s="137" t="s">
        <v>331</v>
      </c>
      <c r="J124" s="137">
        <v>1</v>
      </c>
      <c r="K124" s="137" t="str">
        <f t="shared" ref="K124:K156" si="577">IF(I124="","",",INDEX(REPORT_FR2052a!$1:$1048576,0,"&amp;K$2&amp;"),"&amp;IF(ISTEXT(J124),CHAR(34),"")&amp;IF(I124="is","",""&amp;"&lt;&gt;")&amp;J124&amp;IF(ISTEXT(J124),CHAR(34),""))</f>
        <v>,INDEX(REPORT_FR2052a!$1:$1048576,0,43),1</v>
      </c>
      <c r="N124" s="137" t="str">
        <f t="shared" ref="N124:N156" si="578">IF(L124="","",",INDEX(REPORT_FR2052a!$1:$1048576,0,"&amp;N$2&amp;"),"&amp;IF(ISTEXT(M124),CHAR(34),"")&amp;IF(L124="is","",""&amp;"&lt;&gt;")&amp;M124&amp;IF(ISTEXT(M124),CHAR(34),""))</f>
        <v/>
      </c>
      <c r="Q124" s="137" t="str">
        <f t="shared" si="542"/>
        <v/>
      </c>
      <c r="T124" s="137" t="str">
        <f t="shared" ref="T124:T156" si="579">IF(R124="","",",INDEX(REPORT_FR2052a!$1:$1048576,0,"&amp;T$2&amp;"),"&amp;IF(ISTEXT(S124),CHAR(34),"")&amp;IF(R124="is","",""&amp;"&lt;&gt;")&amp;S124&amp;IF(ISTEXT(S124),CHAR(34),""))</f>
        <v/>
      </c>
      <c r="V124" s="139"/>
      <c r="W124" s="137" t="str">
        <f t="shared" ref="W124:W156" si="580">IF(U124="","",",INDEX(REPORT_FR2052a!$1:$1048576,0,"&amp;W$2&amp;"),"&amp;IF(ISTEXT(V124),CHAR(34),"")&amp;IF(U124="is","",""&amp;"&lt;&gt;")&amp;V124&amp;IF(ISTEXT(V124),CHAR(34),""))</f>
        <v/>
      </c>
      <c r="Y124" s="139"/>
      <c r="Z124" s="137" t="str">
        <f t="shared" ref="Z124:Z156" si="581">IF(X124="","",",INDEX(REPORT_FR2052a!$1:$1048576,0,"&amp;Z$2&amp;"),"&amp;IF(ISTEXT(Y124),CHAR(34),"")&amp;IF(X124="is","",""&amp;"&lt;&gt;")&amp;Y124&amp;IF(ISTEXT(Y124),CHAR(34),""))</f>
        <v/>
      </c>
      <c r="AB124" s="139"/>
      <c r="AC124" s="137" t="str">
        <f t="shared" ref="AC124:AC156" si="582">IF(AA124="","",",INDEX(REPORT_FR2052a!$1:$1048576,0,"&amp;AC$2&amp;"),"&amp;IF(ISTEXT(AB124),CHAR(34),"")&amp;IF(AA124="is","",""&amp;"&lt;&gt;")&amp;AB124&amp;IF(ISTEXT(AB124),CHAR(34),""))</f>
        <v/>
      </c>
      <c r="AD124" s="137" t="s">
        <v>331</v>
      </c>
      <c r="AE124" s="140" t="s">
        <v>759</v>
      </c>
      <c r="AF124" s="137" t="str">
        <f t="shared" ref="AF124:AF156" si="583">IF(AD124="","",",INDEX(REPORT_FR2052a!$1:$1048576,0,"&amp;AF$2&amp;"),"&amp;IF(ISTEXT(AE124),CHAR(34),"")&amp;IF(AD124="is","",""&amp;"&lt;&gt;")&amp;AE124&amp;IF(ISTEXT(AE124),CHAR(34),""))</f>
        <v>,INDEX(REPORT_FR2052a!$1:$1048576,0,26),"Bank"</v>
      </c>
      <c r="AH124" s="139"/>
      <c r="AI124" s="137" t="str">
        <f t="shared" ref="AI124:AI156" si="584">IF(AG124="","",",INDEX(REPORT_FR2052a!$1:$1048576,0,"&amp;AI$2&amp;"),"&amp;IF(ISTEXT(AH124),CHAR(34),"")&amp;IF(AG124="is","",""&amp;"&lt;&gt;")&amp;AH124&amp;IF(ISTEXT(AH124),CHAR(34),""))</f>
        <v/>
      </c>
      <c r="AK124" s="139"/>
      <c r="AL124" s="137" t="str">
        <f t="shared" ref="AL124:AL156" si="585">IF(AJ124="","",",INDEX(REPORT_FR2052a!$1:$1048576,0,"&amp;AL$2&amp;"),"&amp;IF(ISTEXT(AK124),CHAR(34),"")&amp;IF(AJ124="is","",""&amp;"&lt;&gt;")&amp;AK124&amp;IF(ISTEXT(AK124),CHAR(34),""))</f>
        <v/>
      </c>
      <c r="AO124" s="137" t="str">
        <f t="shared" si="573"/>
        <v/>
      </c>
      <c r="AR124" s="137" t="str">
        <f t="shared" si="214"/>
        <v/>
      </c>
      <c r="AU124" s="137" t="str">
        <f t="shared" si="488"/>
        <v/>
      </c>
      <c r="AV124" s="137" t="s">
        <v>331</v>
      </c>
      <c r="AW124" s="139" t="s">
        <v>762</v>
      </c>
      <c r="AX124" s="137" t="str">
        <f t="shared" ref="AX124:AX155" si="586">IF(AV124="","",",INDEX(REPORT_FR2052a!$1:$1048576,0,"&amp;AX$2&amp;"),"&amp;IF(ISTEXT(AW124),CHAR(34),"")&amp;IF(AV124="is","",""&amp;"&lt;&gt;")&amp;AW124&amp;IF(ISTEXT(AW124),CHAR(34),""))</f>
        <v>,INDEX(REPORT_FR2052a!$1:$1048576,0,7),""</v>
      </c>
      <c r="BA124" s="137" t="s">
        <v>13</v>
      </c>
      <c r="BB124" s="137" t="str">
        <f>"=SUMIFS(INDEX(REPORT_FR2052a!$1:$1048576,0,"&amp;(MATCH(BA124,REPORT_FR2052a!$1:$1,0))&amp;")"</f>
        <v>=SUMIFS(INDEX(REPORT_FR2052a!$1:$1048576,0,14)</v>
      </c>
      <c r="BC124" s="137" t="str">
        <f t="shared" si="198"/>
        <v>=SUMIFS(INDEX(REPORT_FR2052a!$1:$1048576,0,14),INDEX(REPORT_FR2052a!$1:$1048576,0,44),"I.U.1",INDEX(REPORT_FR2052a!$1:$1048576,0,43),1,INDEX(REPORT_FR2052a!$1:$1048576,0,26),"Bank",INDEX(REPORT_FR2052a!$1:$1048576,0,7),"")</v>
      </c>
      <c r="BD124" s="141">
        <f>SUMIFS(INDEX(REPORT_FR2052a!$1:$1048576,0,14),INDEX(REPORT_FR2052a!$1:$1048576,0,44),"I.U.1",INDEX(REPORT_FR2052a!$1:$1048576,0,43),1,INDEX(REPORT_FR2052a!$1:$1048576,0,26),"Bank",INDEX(REPORT_FR2052a!$1:$1048576,0,7),"")</f>
        <v>0</v>
      </c>
      <c r="BE124" s="137" t="s">
        <v>331</v>
      </c>
      <c r="BF124" s="139" t="s">
        <v>47</v>
      </c>
      <c r="BG124" s="137" t="str">
        <f t="shared" si="574"/>
        <v>,INDEX(REPORT_FR2052a!$1:$1048576,0,5),"Bank of China - Combined US Branches and Agencies"</v>
      </c>
      <c r="BI124" s="137" t="str">
        <f t="shared" si="18"/>
        <v>=SUMIFS(INDEX(REPORT_FR2052a!$1:$1048576,0,14),INDEX(REPORT_FR2052a!$1:$1048576,0,44),"I.U.1",INDEX(REPORT_FR2052a!$1:$1048576,0,43),1,INDEX(REPORT_FR2052a!$1:$1048576,0,26),"Bank",INDEX(REPORT_FR2052a!$1:$1048576,0,7),"",INDEX(REPORT_FR2052a!$1:$1048576,0,5),"Bank of China - Combined US Branches and Agencies")</v>
      </c>
      <c r="BJ124" s="142">
        <f>SUMIFS(INDEX(REPORT_FR2052a!$1:$1048576,0,14),INDEX(REPORT_FR2052a!$1:$1048576,0,44),"I.U.1",INDEX(REPORT_FR2052a!$1:$1048576,0,43),1,INDEX(REPORT_FR2052a!$1:$1048576,0,26),"Bank",INDEX(REPORT_FR2052a!$1:$1048576,0,7),"",INDEX(REPORT_FR2052a!$1:$1048576,0,5),"Bank of China - Combined US Branches and Agencies")</f>
        <v>0</v>
      </c>
      <c r="BK124" s="143">
        <f t="shared" si="19"/>
        <v>0</v>
      </c>
    </row>
    <row r="125" spans="1:63">
      <c r="A125" s="136">
        <v>102</v>
      </c>
      <c r="B125" s="137" t="str">
        <f>IFERROR(INDEX('LCR TYPE EXPLAIN'!B:B,MATCH(A125,'LCR TYPE EXPLAIN'!A:A,0)),"")</f>
        <v>Financial and Central Bank Cash Inflow Amount (§.33(d)(1))</v>
      </c>
      <c r="F125" s="137" t="s">
        <v>331</v>
      </c>
      <c r="G125" s="138" t="s">
        <v>377</v>
      </c>
      <c r="H125" s="137" t="str">
        <f t="shared" si="374"/>
        <v>,INDEX(REPORT_FR2052a!$1:$1048576,0,44),"I.U.1"</v>
      </c>
      <c r="I125" s="137" t="s">
        <v>331</v>
      </c>
      <c r="J125" s="137">
        <v>1</v>
      </c>
      <c r="K125" s="137" t="str">
        <f t="shared" si="577"/>
        <v>,INDEX(REPORT_FR2052a!$1:$1048576,0,43),1</v>
      </c>
      <c r="N125" s="137" t="str">
        <f t="shared" si="578"/>
        <v/>
      </c>
      <c r="Q125" s="137" t="str">
        <f t="shared" si="542"/>
        <v/>
      </c>
      <c r="T125" s="137" t="str">
        <f t="shared" si="579"/>
        <v/>
      </c>
      <c r="V125" s="139"/>
      <c r="W125" s="137" t="str">
        <f t="shared" si="580"/>
        <v/>
      </c>
      <c r="Y125" s="139"/>
      <c r="Z125" s="137" t="str">
        <f t="shared" si="581"/>
        <v/>
      </c>
      <c r="AB125" s="139"/>
      <c r="AC125" s="137" t="str">
        <f t="shared" si="582"/>
        <v/>
      </c>
      <c r="AD125" s="137" t="s">
        <v>331</v>
      </c>
      <c r="AE125" s="140" t="s">
        <v>116</v>
      </c>
      <c r="AF125" s="137" t="str">
        <f t="shared" si="583"/>
        <v>,INDEX(REPORT_FR2052a!$1:$1048576,0,26),"Supervised Non-Bank Financial Entity"</v>
      </c>
      <c r="AH125" s="139"/>
      <c r="AI125" s="137" t="str">
        <f t="shared" si="584"/>
        <v/>
      </c>
      <c r="AK125" s="139"/>
      <c r="AL125" s="137" t="str">
        <f t="shared" si="585"/>
        <v/>
      </c>
      <c r="AO125" s="137" t="str">
        <f t="shared" si="573"/>
        <v/>
      </c>
      <c r="AR125" s="137" t="str">
        <f t="shared" si="214"/>
        <v/>
      </c>
      <c r="AU125" s="137" t="str">
        <f t="shared" si="488"/>
        <v/>
      </c>
      <c r="AV125" s="137" t="s">
        <v>331</v>
      </c>
      <c r="AW125" s="139" t="s">
        <v>762</v>
      </c>
      <c r="AX125" s="137" t="str">
        <f t="shared" si="586"/>
        <v>,INDEX(REPORT_FR2052a!$1:$1048576,0,7),""</v>
      </c>
      <c r="BA125" s="137" t="s">
        <v>13</v>
      </c>
      <c r="BB125" s="137" t="str">
        <f>"=SUMIFS(INDEX(REPORT_FR2052a!$1:$1048576,0,"&amp;(MATCH(BA125,REPORT_FR2052a!$1:$1,0))&amp;")"</f>
        <v>=SUMIFS(INDEX(REPORT_FR2052a!$1:$1048576,0,14)</v>
      </c>
      <c r="BC125" s="137" t="str">
        <f t="shared" si="198"/>
        <v>=SUMIFS(INDEX(REPORT_FR2052a!$1:$1048576,0,14),INDEX(REPORT_FR2052a!$1:$1048576,0,44),"I.U.1",INDEX(REPORT_FR2052a!$1:$1048576,0,43),1,INDEX(REPORT_FR2052a!$1:$1048576,0,26),"Supervised Non-Bank Financial Entity",INDEX(REPORT_FR2052a!$1:$1048576,0,7),"")</v>
      </c>
      <c r="BD125" s="141">
        <f>SUMIFS(INDEX(REPORT_FR2052a!$1:$1048576,0,14),INDEX(REPORT_FR2052a!$1:$1048576,0,44),"I.U.1",INDEX(REPORT_FR2052a!$1:$1048576,0,43),1,INDEX(REPORT_FR2052a!$1:$1048576,0,26),"Supervised Non-Bank Financial Entity",INDEX(REPORT_FR2052a!$1:$1048576,0,7),"")</f>
        <v>0</v>
      </c>
      <c r="BE125" s="137" t="s">
        <v>331</v>
      </c>
      <c r="BF125" s="139" t="s">
        <v>47</v>
      </c>
      <c r="BG125" s="137" t="str">
        <f t="shared" si="574"/>
        <v>,INDEX(REPORT_FR2052a!$1:$1048576,0,5),"Bank of China - Combined US Branches and Agencies"</v>
      </c>
      <c r="BI125" s="137" t="str">
        <f t="shared" ref="BI125:BI156" si="587">LEFT(BC125,LEN(BC125)-1)&amp;BG125&amp;")"</f>
        <v>=SUMIFS(INDEX(REPORT_FR2052a!$1:$1048576,0,14),INDEX(REPORT_FR2052a!$1:$1048576,0,44),"I.U.1",INDEX(REPORT_FR2052a!$1:$1048576,0,43),1,INDEX(REPORT_FR2052a!$1:$1048576,0,26),"Supervised Non-Bank Financial Entity",INDEX(REPORT_FR2052a!$1:$1048576,0,7),"",INDEX(REPORT_FR2052a!$1:$1048576,0,5),"Bank of China - Combined US Branches and Agencies")</v>
      </c>
      <c r="BJ125" s="142">
        <f>SUMIFS(INDEX(REPORT_FR2052a!$1:$1048576,0,14),INDEX(REPORT_FR2052a!$1:$1048576,0,44),"I.U.1",INDEX(REPORT_FR2052a!$1:$1048576,0,43),1,INDEX(REPORT_FR2052a!$1:$1048576,0,26),"Supervised Non-Bank Financial Entity",INDEX(REPORT_FR2052a!$1:$1048576,0,7),"",INDEX(REPORT_FR2052a!$1:$1048576,0,5),"Bank of China - Combined US Branches and Agencies")</f>
        <v>0</v>
      </c>
      <c r="BK125" s="143">
        <f t="shared" ref="BK125:BK156" si="588">BD125-BJ125</f>
        <v>0</v>
      </c>
    </row>
    <row r="126" spans="1:63">
      <c r="A126" s="136">
        <v>102</v>
      </c>
      <c r="B126" s="137" t="str">
        <f>IFERROR(INDEX('LCR TYPE EXPLAIN'!B:B,MATCH(A126,'LCR TYPE EXPLAIN'!A:A,0)),"")</f>
        <v>Financial and Central Bank Cash Inflow Amount (§.33(d)(1))</v>
      </c>
      <c r="F126" s="137" t="s">
        <v>331</v>
      </c>
      <c r="G126" s="138" t="s">
        <v>376</v>
      </c>
      <c r="H126" s="137" t="str">
        <f t="shared" si="374"/>
        <v>,INDEX(REPORT_FR2052a!$1:$1048576,0,44),"I.U.2"</v>
      </c>
      <c r="I126" s="137" t="s">
        <v>331</v>
      </c>
      <c r="J126" s="137">
        <v>1</v>
      </c>
      <c r="K126" s="137" t="str">
        <f t="shared" si="577"/>
        <v>,INDEX(REPORT_FR2052a!$1:$1048576,0,43),1</v>
      </c>
      <c r="N126" s="137" t="str">
        <f t="shared" si="578"/>
        <v/>
      </c>
      <c r="Q126" s="137" t="str">
        <f t="shared" si="542"/>
        <v/>
      </c>
      <c r="T126" s="137" t="str">
        <f t="shared" si="579"/>
        <v/>
      </c>
      <c r="V126" s="139"/>
      <c r="W126" s="137" t="str">
        <f t="shared" si="580"/>
        <v/>
      </c>
      <c r="Y126" s="139"/>
      <c r="Z126" s="137" t="str">
        <f t="shared" si="581"/>
        <v/>
      </c>
      <c r="AB126" s="139"/>
      <c r="AC126" s="137" t="str">
        <f t="shared" si="582"/>
        <v/>
      </c>
      <c r="AD126" s="137" t="s">
        <v>331</v>
      </c>
      <c r="AE126" s="140" t="s">
        <v>759</v>
      </c>
      <c r="AF126" s="137" t="str">
        <f t="shared" si="583"/>
        <v>,INDEX(REPORT_FR2052a!$1:$1048576,0,26),"Bank"</v>
      </c>
      <c r="AH126" s="139"/>
      <c r="AI126" s="137" t="str">
        <f t="shared" si="584"/>
        <v/>
      </c>
      <c r="AK126" s="139"/>
      <c r="AL126" s="137" t="str">
        <f t="shared" si="585"/>
        <v/>
      </c>
      <c r="AO126" s="137" t="str">
        <f t="shared" si="573"/>
        <v/>
      </c>
      <c r="AR126" s="137" t="str">
        <f t="shared" si="214"/>
        <v/>
      </c>
      <c r="AU126" s="137" t="str">
        <f t="shared" si="488"/>
        <v/>
      </c>
      <c r="AV126" s="137" t="s">
        <v>331</v>
      </c>
      <c r="AW126" s="139" t="s">
        <v>762</v>
      </c>
      <c r="AX126" s="137" t="str">
        <f t="shared" si="586"/>
        <v>,INDEX(REPORT_FR2052a!$1:$1048576,0,7),""</v>
      </c>
      <c r="BA126" s="137" t="s">
        <v>13</v>
      </c>
      <c r="BB126" s="137" t="str">
        <f>"=SUMIFS(INDEX(REPORT_FR2052a!$1:$1048576,0,"&amp;(MATCH(BA126,REPORT_FR2052a!$1:$1,0))&amp;")"</f>
        <v>=SUMIFS(INDEX(REPORT_FR2052a!$1:$1048576,0,14)</v>
      </c>
      <c r="BC126" s="137" t="str">
        <f t="shared" si="198"/>
        <v>=SUMIFS(INDEX(REPORT_FR2052a!$1:$1048576,0,14),INDEX(REPORT_FR2052a!$1:$1048576,0,44),"I.U.2",INDEX(REPORT_FR2052a!$1:$1048576,0,43),1,INDEX(REPORT_FR2052a!$1:$1048576,0,26),"Bank",INDEX(REPORT_FR2052a!$1:$1048576,0,7),"")</v>
      </c>
      <c r="BD126" s="141">
        <f>SUMIFS(INDEX(REPORT_FR2052a!$1:$1048576,0,14),INDEX(REPORT_FR2052a!$1:$1048576,0,44),"I.U.2",INDEX(REPORT_FR2052a!$1:$1048576,0,43),1,INDEX(REPORT_FR2052a!$1:$1048576,0,26),"Bank",INDEX(REPORT_FR2052a!$1:$1048576,0,7),"")</f>
        <v>326.38</v>
      </c>
      <c r="BE126" s="137" t="s">
        <v>331</v>
      </c>
      <c r="BF126" s="139" t="s">
        <v>47</v>
      </c>
      <c r="BG126" s="137" t="str">
        <f t="shared" si="574"/>
        <v>,INDEX(REPORT_FR2052a!$1:$1048576,0,5),"Bank of China - Combined US Branches and Agencies"</v>
      </c>
      <c r="BI126" s="137" t="str">
        <f t="shared" si="587"/>
        <v>=SUMIFS(INDEX(REPORT_FR2052a!$1:$1048576,0,14),INDEX(REPORT_FR2052a!$1:$1048576,0,44),"I.U.2",INDEX(REPORT_FR2052a!$1:$1048576,0,43),1,INDEX(REPORT_FR2052a!$1:$1048576,0,26),"Bank",INDEX(REPORT_FR2052a!$1:$1048576,0,7),"",INDEX(REPORT_FR2052a!$1:$1048576,0,5),"Bank of China - Combined US Branches and Agencies")</v>
      </c>
      <c r="BJ126" s="142">
        <f>SUMIFS(INDEX(REPORT_FR2052a!$1:$1048576,0,14),INDEX(REPORT_FR2052a!$1:$1048576,0,44),"I.U.2",INDEX(REPORT_FR2052a!$1:$1048576,0,43),1,INDEX(REPORT_FR2052a!$1:$1048576,0,26),"Bank",INDEX(REPORT_FR2052a!$1:$1048576,0,7),"",INDEX(REPORT_FR2052a!$1:$1048576,0,5),"Bank of China - Combined US Branches and Agencies")</f>
        <v>326.38</v>
      </c>
      <c r="BK126" s="143">
        <f t="shared" si="588"/>
        <v>0</v>
      </c>
    </row>
    <row r="127" spans="1:63">
      <c r="A127" s="136">
        <v>102</v>
      </c>
      <c r="B127" s="137" t="str">
        <f>IFERROR(INDEX('LCR TYPE EXPLAIN'!B:B,MATCH(A127,'LCR TYPE EXPLAIN'!A:A,0)),"")</f>
        <v>Financial and Central Bank Cash Inflow Amount (§.33(d)(1))</v>
      </c>
      <c r="F127" s="137" t="s">
        <v>331</v>
      </c>
      <c r="G127" s="138" t="s">
        <v>376</v>
      </c>
      <c r="H127" s="137" t="str">
        <f t="shared" si="374"/>
        <v>,INDEX(REPORT_FR2052a!$1:$1048576,0,44),"I.U.2"</v>
      </c>
      <c r="I127" s="137" t="s">
        <v>331</v>
      </c>
      <c r="J127" s="137">
        <v>1</v>
      </c>
      <c r="K127" s="137" t="str">
        <f t="shared" si="577"/>
        <v>,INDEX(REPORT_FR2052a!$1:$1048576,0,43),1</v>
      </c>
      <c r="N127" s="137" t="str">
        <f t="shared" si="578"/>
        <v/>
      </c>
      <c r="Q127" s="137" t="str">
        <f t="shared" si="542"/>
        <v/>
      </c>
      <c r="T127" s="137" t="str">
        <f t="shared" si="579"/>
        <v/>
      </c>
      <c r="V127" s="139"/>
      <c r="W127" s="137" t="str">
        <f t="shared" si="580"/>
        <v/>
      </c>
      <c r="Y127" s="139"/>
      <c r="Z127" s="137" t="str">
        <f t="shared" si="581"/>
        <v/>
      </c>
      <c r="AB127" s="139"/>
      <c r="AC127" s="137" t="str">
        <f t="shared" si="582"/>
        <v/>
      </c>
      <c r="AD127" s="137" t="s">
        <v>331</v>
      </c>
      <c r="AE127" s="140" t="s">
        <v>116</v>
      </c>
      <c r="AF127" s="137" t="str">
        <f t="shared" si="583"/>
        <v>,INDEX(REPORT_FR2052a!$1:$1048576,0,26),"Supervised Non-Bank Financial Entity"</v>
      </c>
      <c r="AH127" s="139"/>
      <c r="AI127" s="137" t="str">
        <f t="shared" si="584"/>
        <v/>
      </c>
      <c r="AK127" s="139"/>
      <c r="AL127" s="137" t="str">
        <f t="shared" si="585"/>
        <v/>
      </c>
      <c r="AO127" s="137" t="str">
        <f t="shared" si="573"/>
        <v/>
      </c>
      <c r="AR127" s="137" t="str">
        <f t="shared" si="214"/>
        <v/>
      </c>
      <c r="AU127" s="137" t="str">
        <f t="shared" si="488"/>
        <v/>
      </c>
      <c r="AV127" s="137" t="s">
        <v>331</v>
      </c>
      <c r="AW127" s="139" t="s">
        <v>762</v>
      </c>
      <c r="AX127" s="137" t="str">
        <f t="shared" si="586"/>
        <v>,INDEX(REPORT_FR2052a!$1:$1048576,0,7),""</v>
      </c>
      <c r="BA127" s="137" t="s">
        <v>13</v>
      </c>
      <c r="BB127" s="137" t="str">
        <f>"=SUMIFS(INDEX(REPORT_FR2052a!$1:$1048576,0,"&amp;(MATCH(BA127,REPORT_FR2052a!$1:$1,0))&amp;")"</f>
        <v>=SUMIFS(INDEX(REPORT_FR2052a!$1:$1048576,0,14)</v>
      </c>
      <c r="BC127" s="137" t="str">
        <f t="shared" si="198"/>
        <v>=SUMIFS(INDEX(REPORT_FR2052a!$1:$1048576,0,14),INDEX(REPORT_FR2052a!$1:$1048576,0,44),"I.U.2",INDEX(REPORT_FR2052a!$1:$1048576,0,43),1,INDEX(REPORT_FR2052a!$1:$1048576,0,26),"Supervised Non-Bank Financial Entity",INDEX(REPORT_FR2052a!$1:$1048576,0,7),"")</v>
      </c>
      <c r="BD127" s="141">
        <f>SUMIFS(INDEX(REPORT_FR2052a!$1:$1048576,0,14),INDEX(REPORT_FR2052a!$1:$1048576,0,44),"I.U.2",INDEX(REPORT_FR2052a!$1:$1048576,0,43),1,INDEX(REPORT_FR2052a!$1:$1048576,0,26),"Supervised Non-Bank Financial Entity",INDEX(REPORT_FR2052a!$1:$1048576,0,7),"")</f>
        <v>0</v>
      </c>
      <c r="BE127" s="137" t="s">
        <v>331</v>
      </c>
      <c r="BF127" s="139" t="s">
        <v>47</v>
      </c>
      <c r="BG127" s="137" t="str">
        <f t="shared" si="574"/>
        <v>,INDEX(REPORT_FR2052a!$1:$1048576,0,5),"Bank of China - Combined US Branches and Agencies"</v>
      </c>
      <c r="BI127" s="137" t="str">
        <f t="shared" si="587"/>
        <v>=SUMIFS(INDEX(REPORT_FR2052a!$1:$1048576,0,14),INDEX(REPORT_FR2052a!$1:$1048576,0,44),"I.U.2",INDEX(REPORT_FR2052a!$1:$1048576,0,43),1,INDEX(REPORT_FR2052a!$1:$1048576,0,26),"Supervised Non-Bank Financial Entity",INDEX(REPORT_FR2052a!$1:$1048576,0,7),"",INDEX(REPORT_FR2052a!$1:$1048576,0,5),"Bank of China - Combined US Branches and Agencies")</v>
      </c>
      <c r="BJ127" s="142">
        <f>SUMIFS(INDEX(REPORT_FR2052a!$1:$1048576,0,14),INDEX(REPORT_FR2052a!$1:$1048576,0,44),"I.U.2",INDEX(REPORT_FR2052a!$1:$1048576,0,43),1,INDEX(REPORT_FR2052a!$1:$1048576,0,26),"Supervised Non-Bank Financial Entity",INDEX(REPORT_FR2052a!$1:$1048576,0,7),"",INDEX(REPORT_FR2052a!$1:$1048576,0,5),"Bank of China - Combined US Branches and Agencies")</f>
        <v>0</v>
      </c>
      <c r="BK127" s="143">
        <f t="shared" si="588"/>
        <v>0</v>
      </c>
    </row>
    <row r="128" spans="1:63">
      <c r="A128" s="136">
        <v>102</v>
      </c>
      <c r="B128" s="137" t="str">
        <f>IFERROR(INDEX('LCR TYPE EXPLAIN'!B:B,MATCH(A128,'LCR TYPE EXPLAIN'!A:A,0)),"")</f>
        <v>Financial and Central Bank Cash Inflow Amount (§.33(d)(1))</v>
      </c>
      <c r="F128" s="137" t="s">
        <v>331</v>
      </c>
      <c r="G128" s="138" t="s">
        <v>378</v>
      </c>
      <c r="H128" s="137" t="str">
        <f t="shared" si="374"/>
        <v>,INDEX(REPORT_FR2052a!$1:$1048576,0,44),"I.U.4"</v>
      </c>
      <c r="I128" s="137" t="s">
        <v>331</v>
      </c>
      <c r="J128" s="137">
        <v>1</v>
      </c>
      <c r="K128" s="137" t="str">
        <f t="shared" si="577"/>
        <v>,INDEX(REPORT_FR2052a!$1:$1048576,0,43),1</v>
      </c>
      <c r="N128" s="137" t="str">
        <f t="shared" si="578"/>
        <v/>
      </c>
      <c r="Q128" s="137" t="str">
        <f t="shared" si="542"/>
        <v/>
      </c>
      <c r="T128" s="137" t="str">
        <f t="shared" si="579"/>
        <v/>
      </c>
      <c r="V128" s="139"/>
      <c r="W128" s="137" t="str">
        <f t="shared" si="580"/>
        <v/>
      </c>
      <c r="Y128" s="139"/>
      <c r="Z128" s="137" t="str">
        <f t="shared" si="581"/>
        <v/>
      </c>
      <c r="AB128" s="139"/>
      <c r="AC128" s="137" t="str">
        <f t="shared" si="582"/>
        <v/>
      </c>
      <c r="AD128" s="137" t="s">
        <v>331</v>
      </c>
      <c r="AE128" s="140" t="s">
        <v>759</v>
      </c>
      <c r="AF128" s="137" t="str">
        <f t="shared" si="583"/>
        <v>,INDEX(REPORT_FR2052a!$1:$1048576,0,26),"Bank"</v>
      </c>
      <c r="AH128" s="139"/>
      <c r="AI128" s="137" t="str">
        <f t="shared" si="584"/>
        <v/>
      </c>
      <c r="AK128" s="139"/>
      <c r="AL128" s="137" t="str">
        <f t="shared" si="585"/>
        <v/>
      </c>
      <c r="AO128" s="137" t="str">
        <f t="shared" si="573"/>
        <v/>
      </c>
      <c r="AR128" s="137" t="str">
        <f t="shared" si="214"/>
        <v/>
      </c>
      <c r="AU128" s="137" t="str">
        <f t="shared" si="488"/>
        <v/>
      </c>
      <c r="AV128" s="137" t="s">
        <v>331</v>
      </c>
      <c r="AW128" s="139" t="s">
        <v>762</v>
      </c>
      <c r="AX128" s="137" t="str">
        <f t="shared" si="586"/>
        <v>,INDEX(REPORT_FR2052a!$1:$1048576,0,7),""</v>
      </c>
      <c r="BA128" s="137" t="s">
        <v>13</v>
      </c>
      <c r="BB128" s="137" t="str">
        <f>"=SUMIFS(INDEX(REPORT_FR2052a!$1:$1048576,0,"&amp;(MATCH(BA128,REPORT_FR2052a!$1:$1,0))&amp;")"</f>
        <v>=SUMIFS(INDEX(REPORT_FR2052a!$1:$1048576,0,14)</v>
      </c>
      <c r="BC128" s="137" t="str">
        <f t="shared" si="198"/>
        <v>=SUMIFS(INDEX(REPORT_FR2052a!$1:$1048576,0,14),INDEX(REPORT_FR2052a!$1:$1048576,0,44),"I.U.4",INDEX(REPORT_FR2052a!$1:$1048576,0,43),1,INDEX(REPORT_FR2052a!$1:$1048576,0,26),"Bank",INDEX(REPORT_FR2052a!$1:$1048576,0,7),"")</v>
      </c>
      <c r="BD128" s="141">
        <f>SUMIFS(INDEX(REPORT_FR2052a!$1:$1048576,0,14),INDEX(REPORT_FR2052a!$1:$1048576,0,44),"I.U.4",INDEX(REPORT_FR2052a!$1:$1048576,0,43),1,INDEX(REPORT_FR2052a!$1:$1048576,0,26),"Bank",INDEX(REPORT_FR2052a!$1:$1048576,0,7),"")</f>
        <v>55.61</v>
      </c>
      <c r="BE128" s="137" t="s">
        <v>331</v>
      </c>
      <c r="BF128" s="139" t="s">
        <v>47</v>
      </c>
      <c r="BG128" s="137" t="str">
        <f t="shared" si="574"/>
        <v>,INDEX(REPORT_FR2052a!$1:$1048576,0,5),"Bank of China - Combined US Branches and Agencies"</v>
      </c>
      <c r="BI128" s="137" t="str">
        <f t="shared" si="587"/>
        <v>=SUMIFS(INDEX(REPORT_FR2052a!$1:$1048576,0,14),INDEX(REPORT_FR2052a!$1:$1048576,0,44),"I.U.4",INDEX(REPORT_FR2052a!$1:$1048576,0,43),1,INDEX(REPORT_FR2052a!$1:$1048576,0,26),"Bank",INDEX(REPORT_FR2052a!$1:$1048576,0,7),"",INDEX(REPORT_FR2052a!$1:$1048576,0,5),"Bank of China - Combined US Branches and Agencies")</v>
      </c>
      <c r="BJ128" s="142">
        <f>SUMIFS(INDEX(REPORT_FR2052a!$1:$1048576,0,14),INDEX(REPORT_FR2052a!$1:$1048576,0,44),"I.U.4",INDEX(REPORT_FR2052a!$1:$1048576,0,43),1,INDEX(REPORT_FR2052a!$1:$1048576,0,26),"Bank",INDEX(REPORT_FR2052a!$1:$1048576,0,7),"",INDEX(REPORT_FR2052a!$1:$1048576,0,5),"Bank of China - Combined US Branches and Agencies")</f>
        <v>55.61</v>
      </c>
      <c r="BK128" s="143">
        <f t="shared" si="588"/>
        <v>0</v>
      </c>
    </row>
    <row r="129" spans="1:63">
      <c r="A129" s="136">
        <v>102</v>
      </c>
      <c r="B129" s="137" t="str">
        <f>IFERROR(INDEX('LCR TYPE EXPLAIN'!B:B,MATCH(A129,'LCR TYPE EXPLAIN'!A:A,0)),"")</f>
        <v>Financial and Central Bank Cash Inflow Amount (§.33(d)(1))</v>
      </c>
      <c r="F129" s="137" t="s">
        <v>331</v>
      </c>
      <c r="G129" s="138" t="s">
        <v>378</v>
      </c>
      <c r="H129" s="137" t="str">
        <f t="shared" si="374"/>
        <v>,INDEX(REPORT_FR2052a!$1:$1048576,0,44),"I.U.4"</v>
      </c>
      <c r="I129" s="137" t="s">
        <v>331</v>
      </c>
      <c r="J129" s="137">
        <v>1</v>
      </c>
      <c r="K129" s="137" t="str">
        <f t="shared" si="577"/>
        <v>,INDEX(REPORT_FR2052a!$1:$1048576,0,43),1</v>
      </c>
      <c r="N129" s="137" t="str">
        <f t="shared" si="578"/>
        <v/>
      </c>
      <c r="Q129" s="137" t="str">
        <f t="shared" si="542"/>
        <v/>
      </c>
      <c r="T129" s="137" t="str">
        <f t="shared" si="579"/>
        <v/>
      </c>
      <c r="V129" s="139"/>
      <c r="W129" s="137" t="str">
        <f t="shared" si="580"/>
        <v/>
      </c>
      <c r="Y129" s="139"/>
      <c r="Z129" s="137" t="str">
        <f t="shared" si="581"/>
        <v/>
      </c>
      <c r="AB129" s="139"/>
      <c r="AC129" s="137" t="str">
        <f t="shared" si="582"/>
        <v/>
      </c>
      <c r="AD129" s="137" t="s">
        <v>331</v>
      </c>
      <c r="AE129" s="140" t="s">
        <v>116</v>
      </c>
      <c r="AF129" s="137" t="str">
        <f t="shared" si="583"/>
        <v>,INDEX(REPORT_FR2052a!$1:$1048576,0,26),"Supervised Non-Bank Financial Entity"</v>
      </c>
      <c r="AH129" s="139"/>
      <c r="AI129" s="137" t="str">
        <f t="shared" si="584"/>
        <v/>
      </c>
      <c r="AK129" s="139"/>
      <c r="AL129" s="137" t="str">
        <f t="shared" si="585"/>
        <v/>
      </c>
      <c r="AO129" s="137" t="str">
        <f t="shared" si="573"/>
        <v/>
      </c>
      <c r="AR129" s="137" t="str">
        <f t="shared" si="214"/>
        <v/>
      </c>
      <c r="AU129" s="137" t="str">
        <f t="shared" si="488"/>
        <v/>
      </c>
      <c r="AV129" s="137" t="s">
        <v>331</v>
      </c>
      <c r="AW129" s="139" t="s">
        <v>762</v>
      </c>
      <c r="AX129" s="137" t="str">
        <f t="shared" si="586"/>
        <v>,INDEX(REPORT_FR2052a!$1:$1048576,0,7),""</v>
      </c>
      <c r="BA129" s="137" t="s">
        <v>13</v>
      </c>
      <c r="BB129" s="137" t="str">
        <f>"=SUMIFS(INDEX(REPORT_FR2052a!$1:$1048576,0,"&amp;(MATCH(BA129,REPORT_FR2052a!$1:$1,0))&amp;")"</f>
        <v>=SUMIFS(INDEX(REPORT_FR2052a!$1:$1048576,0,14)</v>
      </c>
      <c r="BC129" s="137" t="str">
        <f t="shared" si="198"/>
        <v>=SUMIFS(INDEX(REPORT_FR2052a!$1:$1048576,0,14),INDEX(REPORT_FR2052a!$1:$1048576,0,44),"I.U.4",INDEX(REPORT_FR2052a!$1:$1048576,0,43),1,INDEX(REPORT_FR2052a!$1:$1048576,0,26),"Supervised Non-Bank Financial Entity",INDEX(REPORT_FR2052a!$1:$1048576,0,7),"")</v>
      </c>
      <c r="BD129" s="141">
        <f>SUMIFS(INDEX(REPORT_FR2052a!$1:$1048576,0,14),INDEX(REPORT_FR2052a!$1:$1048576,0,44),"I.U.4",INDEX(REPORT_FR2052a!$1:$1048576,0,43),1,INDEX(REPORT_FR2052a!$1:$1048576,0,26),"Supervised Non-Bank Financial Entity",INDEX(REPORT_FR2052a!$1:$1048576,0,7),"")</f>
        <v>0.06</v>
      </c>
      <c r="BE129" s="137" t="s">
        <v>331</v>
      </c>
      <c r="BF129" s="139" t="s">
        <v>47</v>
      </c>
      <c r="BG129" s="137" t="str">
        <f t="shared" si="574"/>
        <v>,INDEX(REPORT_FR2052a!$1:$1048576,0,5),"Bank of China - Combined US Branches and Agencies"</v>
      </c>
      <c r="BI129" s="137" t="str">
        <f t="shared" si="587"/>
        <v>=SUMIFS(INDEX(REPORT_FR2052a!$1:$1048576,0,14),INDEX(REPORT_FR2052a!$1:$1048576,0,44),"I.U.4",INDEX(REPORT_FR2052a!$1:$1048576,0,43),1,INDEX(REPORT_FR2052a!$1:$1048576,0,26),"Supervised Non-Bank Financial Entity",INDEX(REPORT_FR2052a!$1:$1048576,0,7),"",INDEX(REPORT_FR2052a!$1:$1048576,0,5),"Bank of China - Combined US Branches and Agencies")</v>
      </c>
      <c r="BJ129" s="142">
        <f>SUMIFS(INDEX(REPORT_FR2052a!$1:$1048576,0,14),INDEX(REPORT_FR2052a!$1:$1048576,0,44),"I.U.4",INDEX(REPORT_FR2052a!$1:$1048576,0,43),1,INDEX(REPORT_FR2052a!$1:$1048576,0,26),"Supervised Non-Bank Financial Entity",INDEX(REPORT_FR2052a!$1:$1048576,0,7),"",INDEX(REPORT_FR2052a!$1:$1048576,0,5),"Bank of China - Combined US Branches and Agencies")</f>
        <v>0.06</v>
      </c>
      <c r="BK129" s="143">
        <f t="shared" si="588"/>
        <v>0</v>
      </c>
    </row>
    <row r="130" spans="1:63">
      <c r="A130" s="136">
        <v>102</v>
      </c>
      <c r="B130" s="137" t="str">
        <f>IFERROR(INDEX('LCR TYPE EXPLAIN'!B:B,MATCH(A130,'LCR TYPE EXPLAIN'!A:A,0)),"")</f>
        <v>Financial and Central Bank Cash Inflow Amount (§.33(d)(1))</v>
      </c>
      <c r="F130" s="137" t="s">
        <v>331</v>
      </c>
      <c r="G130" s="138" t="s">
        <v>375</v>
      </c>
      <c r="H130" s="137" t="str">
        <f t="shared" si="374"/>
        <v>,INDEX(REPORT_FR2052a!$1:$1048576,0,44),"I.U.6"</v>
      </c>
      <c r="I130" s="137" t="s">
        <v>331</v>
      </c>
      <c r="J130" s="137">
        <v>1</v>
      </c>
      <c r="K130" s="137" t="str">
        <f t="shared" si="577"/>
        <v>,INDEX(REPORT_FR2052a!$1:$1048576,0,43),1</v>
      </c>
      <c r="N130" s="137" t="str">
        <f t="shared" si="578"/>
        <v/>
      </c>
      <c r="Q130" s="137" t="str">
        <f t="shared" si="542"/>
        <v/>
      </c>
      <c r="T130" s="137" t="str">
        <f t="shared" si="579"/>
        <v/>
      </c>
      <c r="V130" s="139"/>
      <c r="W130" s="137" t="str">
        <f t="shared" si="580"/>
        <v/>
      </c>
      <c r="Y130" s="139"/>
      <c r="Z130" s="137" t="str">
        <f t="shared" si="581"/>
        <v/>
      </c>
      <c r="AB130" s="139"/>
      <c r="AC130" s="137" t="str">
        <f t="shared" si="582"/>
        <v/>
      </c>
      <c r="AD130" s="137" t="s">
        <v>331</v>
      </c>
      <c r="AE130" s="140" t="s">
        <v>759</v>
      </c>
      <c r="AF130" s="137" t="str">
        <f t="shared" si="583"/>
        <v>,INDEX(REPORT_FR2052a!$1:$1048576,0,26),"Bank"</v>
      </c>
      <c r="AH130" s="139"/>
      <c r="AI130" s="137" t="str">
        <f t="shared" si="584"/>
        <v/>
      </c>
      <c r="AK130" s="139"/>
      <c r="AL130" s="137" t="str">
        <f t="shared" si="585"/>
        <v/>
      </c>
      <c r="AO130" s="137" t="str">
        <f t="shared" si="573"/>
        <v/>
      </c>
      <c r="AR130" s="137" t="str">
        <f t="shared" si="214"/>
        <v/>
      </c>
      <c r="AU130" s="137" t="str">
        <f t="shared" si="488"/>
        <v/>
      </c>
      <c r="AV130" s="137" t="s">
        <v>331</v>
      </c>
      <c r="AW130" s="139" t="s">
        <v>762</v>
      </c>
      <c r="AX130" s="137" t="str">
        <f t="shared" si="586"/>
        <v>,INDEX(REPORT_FR2052a!$1:$1048576,0,7),""</v>
      </c>
      <c r="BA130" s="137" t="s">
        <v>13</v>
      </c>
      <c r="BB130" s="137" t="str">
        <f>"=SUMIFS(INDEX(REPORT_FR2052a!$1:$1048576,0,"&amp;(MATCH(BA130,REPORT_FR2052a!$1:$1,0))&amp;")"</f>
        <v>=SUMIFS(INDEX(REPORT_FR2052a!$1:$1048576,0,14)</v>
      </c>
      <c r="BC130" s="137" t="str">
        <f t="shared" si="198"/>
        <v>=SUMIFS(INDEX(REPORT_FR2052a!$1:$1048576,0,14),INDEX(REPORT_FR2052a!$1:$1048576,0,44),"I.U.6",INDEX(REPORT_FR2052a!$1:$1048576,0,43),1,INDEX(REPORT_FR2052a!$1:$1048576,0,26),"Bank",INDEX(REPORT_FR2052a!$1:$1048576,0,7),"")</v>
      </c>
      <c r="BD130" s="141">
        <f>SUMIFS(INDEX(REPORT_FR2052a!$1:$1048576,0,14),INDEX(REPORT_FR2052a!$1:$1048576,0,44),"I.U.6",INDEX(REPORT_FR2052a!$1:$1048576,0,43),1,INDEX(REPORT_FR2052a!$1:$1048576,0,26),"Bank",INDEX(REPORT_FR2052a!$1:$1048576,0,7),"")</f>
        <v>0</v>
      </c>
      <c r="BE130" s="137" t="s">
        <v>331</v>
      </c>
      <c r="BF130" s="139" t="s">
        <v>47</v>
      </c>
      <c r="BG130" s="137" t="str">
        <f t="shared" si="574"/>
        <v>,INDEX(REPORT_FR2052a!$1:$1048576,0,5),"Bank of China - Combined US Branches and Agencies"</v>
      </c>
      <c r="BI130" s="137" t="str">
        <f t="shared" si="587"/>
        <v>=SUMIFS(INDEX(REPORT_FR2052a!$1:$1048576,0,14),INDEX(REPORT_FR2052a!$1:$1048576,0,44),"I.U.6",INDEX(REPORT_FR2052a!$1:$1048576,0,43),1,INDEX(REPORT_FR2052a!$1:$1048576,0,26),"Bank",INDEX(REPORT_FR2052a!$1:$1048576,0,7),"",INDEX(REPORT_FR2052a!$1:$1048576,0,5),"Bank of China - Combined US Branches and Agencies")</v>
      </c>
      <c r="BJ130" s="142">
        <f>SUMIFS(INDEX(REPORT_FR2052a!$1:$1048576,0,14),INDEX(REPORT_FR2052a!$1:$1048576,0,44),"I.U.6",INDEX(REPORT_FR2052a!$1:$1048576,0,43),1,INDEX(REPORT_FR2052a!$1:$1048576,0,26),"Bank",INDEX(REPORT_FR2052a!$1:$1048576,0,7),"",INDEX(REPORT_FR2052a!$1:$1048576,0,5),"Bank of China - Combined US Branches and Agencies")</f>
        <v>0</v>
      </c>
      <c r="BK130" s="143">
        <f t="shared" si="588"/>
        <v>0</v>
      </c>
    </row>
    <row r="131" spans="1:63">
      <c r="A131" s="136">
        <v>102</v>
      </c>
      <c r="B131" s="137" t="str">
        <f>IFERROR(INDEX('LCR TYPE EXPLAIN'!B:B,MATCH(A131,'LCR TYPE EXPLAIN'!A:A,0)),"")</f>
        <v>Financial and Central Bank Cash Inflow Amount (§.33(d)(1))</v>
      </c>
      <c r="F131" s="137" t="s">
        <v>331</v>
      </c>
      <c r="G131" s="138" t="s">
        <v>375</v>
      </c>
      <c r="H131" s="137" t="str">
        <f t="shared" si="374"/>
        <v>,INDEX(REPORT_FR2052a!$1:$1048576,0,44),"I.U.6"</v>
      </c>
      <c r="I131" s="137" t="s">
        <v>331</v>
      </c>
      <c r="J131" s="137">
        <v>1</v>
      </c>
      <c r="K131" s="137" t="str">
        <f t="shared" si="577"/>
        <v>,INDEX(REPORT_FR2052a!$1:$1048576,0,43),1</v>
      </c>
      <c r="N131" s="137" t="str">
        <f t="shared" si="578"/>
        <v/>
      </c>
      <c r="Q131" s="137" t="str">
        <f t="shared" si="542"/>
        <v/>
      </c>
      <c r="T131" s="137" t="str">
        <f t="shared" si="579"/>
        <v/>
      </c>
      <c r="V131" s="139"/>
      <c r="W131" s="137" t="str">
        <f t="shared" si="580"/>
        <v/>
      </c>
      <c r="Y131" s="139"/>
      <c r="Z131" s="137" t="str">
        <f t="shared" si="581"/>
        <v/>
      </c>
      <c r="AB131" s="139"/>
      <c r="AC131" s="137" t="str">
        <f t="shared" si="582"/>
        <v/>
      </c>
      <c r="AD131" s="137" t="s">
        <v>331</v>
      </c>
      <c r="AE131" s="140" t="s">
        <v>116</v>
      </c>
      <c r="AF131" s="137" t="str">
        <f t="shared" si="583"/>
        <v>,INDEX(REPORT_FR2052a!$1:$1048576,0,26),"Supervised Non-Bank Financial Entity"</v>
      </c>
      <c r="AH131" s="139"/>
      <c r="AI131" s="137" t="str">
        <f t="shared" si="584"/>
        <v/>
      </c>
      <c r="AK131" s="139"/>
      <c r="AL131" s="137" t="str">
        <f t="shared" si="585"/>
        <v/>
      </c>
      <c r="AO131" s="137" t="str">
        <f t="shared" si="573"/>
        <v/>
      </c>
      <c r="AR131" s="137" t="str">
        <f t="shared" si="214"/>
        <v/>
      </c>
      <c r="AU131" s="137" t="str">
        <f t="shared" si="488"/>
        <v/>
      </c>
      <c r="AV131" s="137" t="s">
        <v>331</v>
      </c>
      <c r="AW131" s="139" t="s">
        <v>762</v>
      </c>
      <c r="AX131" s="137" t="str">
        <f t="shared" si="586"/>
        <v>,INDEX(REPORT_FR2052a!$1:$1048576,0,7),""</v>
      </c>
      <c r="BA131" s="137" t="s">
        <v>13</v>
      </c>
      <c r="BB131" s="137" t="str">
        <f>"=SUMIFS(INDEX(REPORT_FR2052a!$1:$1048576,0,"&amp;(MATCH(BA131,REPORT_FR2052a!$1:$1,0))&amp;")"</f>
        <v>=SUMIFS(INDEX(REPORT_FR2052a!$1:$1048576,0,14)</v>
      </c>
      <c r="BC131" s="137" t="str">
        <f t="shared" si="198"/>
        <v>=SUMIFS(INDEX(REPORT_FR2052a!$1:$1048576,0,14),INDEX(REPORT_FR2052a!$1:$1048576,0,44),"I.U.6",INDEX(REPORT_FR2052a!$1:$1048576,0,43),1,INDEX(REPORT_FR2052a!$1:$1048576,0,26),"Supervised Non-Bank Financial Entity",INDEX(REPORT_FR2052a!$1:$1048576,0,7),"")</v>
      </c>
      <c r="BD131" s="141">
        <f>SUMIFS(INDEX(REPORT_FR2052a!$1:$1048576,0,14),INDEX(REPORT_FR2052a!$1:$1048576,0,44),"I.U.6",INDEX(REPORT_FR2052a!$1:$1048576,0,43),1,INDEX(REPORT_FR2052a!$1:$1048576,0,26),"Supervised Non-Bank Financial Entity",INDEX(REPORT_FR2052a!$1:$1048576,0,7),"")</f>
        <v>0.02</v>
      </c>
      <c r="BE131" s="137" t="s">
        <v>331</v>
      </c>
      <c r="BF131" s="139" t="s">
        <v>47</v>
      </c>
      <c r="BG131" s="137" t="str">
        <f t="shared" si="574"/>
        <v>,INDEX(REPORT_FR2052a!$1:$1048576,0,5),"Bank of China - Combined US Branches and Agencies"</v>
      </c>
      <c r="BI131" s="137" t="str">
        <f t="shared" si="587"/>
        <v>=SUMIFS(INDEX(REPORT_FR2052a!$1:$1048576,0,14),INDEX(REPORT_FR2052a!$1:$1048576,0,44),"I.U.6",INDEX(REPORT_FR2052a!$1:$1048576,0,43),1,INDEX(REPORT_FR2052a!$1:$1048576,0,26),"Supervised Non-Bank Financial Entity",INDEX(REPORT_FR2052a!$1:$1048576,0,7),"",INDEX(REPORT_FR2052a!$1:$1048576,0,5),"Bank of China - Combined US Branches and Agencies")</v>
      </c>
      <c r="BJ131" s="142">
        <f>SUMIFS(INDEX(REPORT_FR2052a!$1:$1048576,0,14),INDEX(REPORT_FR2052a!$1:$1048576,0,44),"I.U.6",INDEX(REPORT_FR2052a!$1:$1048576,0,43),1,INDEX(REPORT_FR2052a!$1:$1048576,0,26),"Supervised Non-Bank Financial Entity",INDEX(REPORT_FR2052a!$1:$1048576,0,7),"",INDEX(REPORT_FR2052a!$1:$1048576,0,5),"Bank of China - Combined US Branches and Agencies")</f>
        <v>0.02</v>
      </c>
      <c r="BK131" s="143">
        <f t="shared" si="588"/>
        <v>0</v>
      </c>
    </row>
    <row r="132" spans="1:63">
      <c r="A132" s="136">
        <v>102</v>
      </c>
      <c r="B132" s="137" t="str">
        <f>IFERROR(INDEX('LCR TYPE EXPLAIN'!B:B,MATCH(A132,'LCR TYPE EXPLAIN'!A:A,0)),"")</f>
        <v>Financial and Central Bank Cash Inflow Amount (§.33(d)(1))</v>
      </c>
      <c r="F132" s="137" t="s">
        <v>331</v>
      </c>
      <c r="G132" s="138" t="s">
        <v>377</v>
      </c>
      <c r="H132" s="137" t="str">
        <f t="shared" si="374"/>
        <v>,INDEX(REPORT_FR2052a!$1:$1048576,0,44),"I.U.1"</v>
      </c>
      <c r="I132" s="137" t="s">
        <v>331</v>
      </c>
      <c r="J132" s="137">
        <v>1</v>
      </c>
      <c r="K132" s="137" t="str">
        <f t="shared" ref="K132:K135" si="589">IF(I132="","",",INDEX(REPORT_FR2052a!$1:$1048576,0,"&amp;K$2&amp;"),"&amp;IF(ISTEXT(J132),CHAR(34),"")&amp;IF(I132="is","",""&amp;"&lt;&gt;")&amp;J132&amp;IF(ISTEXT(J132),CHAR(34),""))</f>
        <v>,INDEX(REPORT_FR2052a!$1:$1048576,0,43),1</v>
      </c>
      <c r="N132" s="137" t="str">
        <f t="shared" ref="N132:N135" si="590">IF(L132="","",",INDEX(REPORT_FR2052a!$1:$1048576,0,"&amp;N$2&amp;"),"&amp;IF(ISTEXT(M132),CHAR(34),"")&amp;IF(L132="is","",""&amp;"&lt;&gt;")&amp;M132&amp;IF(ISTEXT(M132),CHAR(34),""))</f>
        <v/>
      </c>
      <c r="Q132" s="137" t="str">
        <f t="shared" ref="Q132:Q135" si="591">IF(O132="","",",INDEX(REPORT_FR2052a!$1:$1048576,0,"&amp;Q$2&amp;"),"&amp;IF(OR(ISTEXT(P132),ISBLANK(P132)),CHAR(34),"")&amp;IF(O132="is","",""&amp;"&lt;&gt;")&amp;P132&amp;IF(OR(ISTEXT(P132),ISBLANK(P132)),CHAR(34),""))</f>
        <v/>
      </c>
      <c r="T132" s="137" t="str">
        <f t="shared" ref="T132:T135" si="592">IF(R132="","",",INDEX(REPORT_FR2052a!$1:$1048576,0,"&amp;T$2&amp;"),"&amp;IF(ISTEXT(S132),CHAR(34),"")&amp;IF(R132="is","",""&amp;"&lt;&gt;")&amp;S132&amp;IF(ISTEXT(S132),CHAR(34),""))</f>
        <v/>
      </c>
      <c r="V132" s="139"/>
      <c r="W132" s="137" t="str">
        <f t="shared" ref="W132:W135" si="593">IF(U132="","",",INDEX(REPORT_FR2052a!$1:$1048576,0,"&amp;W$2&amp;"),"&amp;IF(ISTEXT(V132),CHAR(34),"")&amp;IF(U132="is","",""&amp;"&lt;&gt;")&amp;V132&amp;IF(ISTEXT(V132),CHAR(34),""))</f>
        <v/>
      </c>
      <c r="Y132" s="139"/>
      <c r="Z132" s="137" t="str">
        <f t="shared" ref="Z132:Z135" si="594">IF(X132="","",",INDEX(REPORT_FR2052a!$1:$1048576,0,"&amp;Z$2&amp;"),"&amp;IF(ISTEXT(Y132),CHAR(34),"")&amp;IF(X132="is","",""&amp;"&lt;&gt;")&amp;Y132&amp;IF(ISTEXT(Y132),CHAR(34),""))</f>
        <v/>
      </c>
      <c r="AB132" s="139"/>
      <c r="AC132" s="137" t="str">
        <f t="shared" ref="AC132:AC135" si="595">IF(AA132="","",",INDEX(REPORT_FR2052a!$1:$1048576,0,"&amp;AC$2&amp;"),"&amp;IF(ISTEXT(AB132),CHAR(34),"")&amp;IF(AA132="is","",""&amp;"&lt;&gt;")&amp;AB132&amp;IF(ISTEXT(AB132),CHAR(34),""))</f>
        <v/>
      </c>
      <c r="AD132" s="137" t="s">
        <v>331</v>
      </c>
      <c r="AE132" s="140" t="s">
        <v>158</v>
      </c>
      <c r="AF132" s="137" t="str">
        <f t="shared" ref="AF132:AF135" si="596">IF(AD132="","",",INDEX(REPORT_FR2052a!$1:$1048576,0,"&amp;AF$2&amp;"),"&amp;IF(ISTEXT(AE132),CHAR(34),"")&amp;IF(AD132="is","",""&amp;"&lt;&gt;")&amp;AE132&amp;IF(ISTEXT(AE132),CHAR(34),""))</f>
        <v>,INDEX(REPORT_FR2052a!$1:$1048576,0,26),"Central Bank"</v>
      </c>
      <c r="AH132" s="139"/>
      <c r="AI132" s="137" t="str">
        <f t="shared" ref="AI132:AI135" si="597">IF(AG132="","",",INDEX(REPORT_FR2052a!$1:$1048576,0,"&amp;AI$2&amp;"),"&amp;IF(ISTEXT(AH132),CHAR(34),"")&amp;IF(AG132="is","",""&amp;"&lt;&gt;")&amp;AH132&amp;IF(ISTEXT(AH132),CHAR(34),""))</f>
        <v/>
      </c>
      <c r="AK132" s="139"/>
      <c r="AL132" s="137" t="str">
        <f t="shared" ref="AL132:AL135" si="598">IF(AJ132="","",",INDEX(REPORT_FR2052a!$1:$1048576,0,"&amp;AL$2&amp;"),"&amp;IF(ISTEXT(AK132),CHAR(34),"")&amp;IF(AJ132="is","",""&amp;"&lt;&gt;")&amp;AK132&amp;IF(ISTEXT(AK132),CHAR(34),""))</f>
        <v/>
      </c>
      <c r="AO132" s="137" t="str">
        <f t="shared" ref="AO132:AO135" si="599">IF(AM132="","",",INDEX(REPORT_FR2052a!$1:$1048576,0,"&amp;AO$2&amp;"),"&amp;IF(ISTEXT(AN132),CHAR(34),"")&amp;IF(AM132="is","",""&amp;"&lt;&gt;")&amp;AN132&amp;IF(ISTEXT(AN132),CHAR(34),""))</f>
        <v/>
      </c>
      <c r="AR132" s="137" t="str">
        <f t="shared" si="214"/>
        <v/>
      </c>
      <c r="AU132" s="137" t="str">
        <f t="shared" si="488"/>
        <v/>
      </c>
      <c r="AV132" s="137" t="s">
        <v>331</v>
      </c>
      <c r="AW132" s="139" t="s">
        <v>762</v>
      </c>
      <c r="AX132" s="137" t="str">
        <f t="shared" si="586"/>
        <v>,INDEX(REPORT_FR2052a!$1:$1048576,0,7),""</v>
      </c>
      <c r="BA132" s="137" t="s">
        <v>13</v>
      </c>
      <c r="BB132" s="137" t="str">
        <f>"=SUMIFS(INDEX(REPORT_FR2052a!$1:$1048576,0,"&amp;(MATCH(BA132,REPORT_FR2052a!$1:$1,0))&amp;")"</f>
        <v>=SUMIFS(INDEX(REPORT_FR2052a!$1:$1048576,0,14)</v>
      </c>
      <c r="BC132" s="137" t="str">
        <f t="shared" ref="BC132:BC172" si="600">BB132&amp;H132&amp;K132&amp;N132&amp;Q132&amp;T132&amp;W132&amp;Z132&amp;AC132&amp;AF132&amp;AI132&amp;AL132&amp;AO132&amp;AR132&amp;AU132&amp;AX132&amp;")"</f>
        <v>=SUMIFS(INDEX(REPORT_FR2052a!$1:$1048576,0,14),INDEX(REPORT_FR2052a!$1:$1048576,0,44),"I.U.1",INDEX(REPORT_FR2052a!$1:$1048576,0,43),1,INDEX(REPORT_FR2052a!$1:$1048576,0,26),"Central Bank",INDEX(REPORT_FR2052a!$1:$1048576,0,7),"")</v>
      </c>
      <c r="BD132" s="141">
        <f>SUMIFS(INDEX(REPORT_FR2052a!$1:$1048576,0,14),INDEX(REPORT_FR2052a!$1:$1048576,0,44),"I.U.1",INDEX(REPORT_FR2052a!$1:$1048576,0,43),1,INDEX(REPORT_FR2052a!$1:$1048576,0,26),"Central Bank",INDEX(REPORT_FR2052a!$1:$1048576,0,7),"")</f>
        <v>0</v>
      </c>
      <c r="BE132" s="137" t="s">
        <v>331</v>
      </c>
      <c r="BF132" s="139" t="s">
        <v>47</v>
      </c>
      <c r="BG132" s="137" t="str">
        <f t="shared" ref="BG132:BG135" si="601">IF(BE132="","",",INDEX(REPORT_FR2052a!$1:$1048576,0,"&amp;BG$2&amp;"),"&amp;IF(ISTEXT(BF132),CHAR(34),"")&amp;IF(BE132="is","",""&amp;"&lt;&gt;")&amp;BF132&amp;IF(ISTEXT(BF132),CHAR(34),""))</f>
        <v>,INDEX(REPORT_FR2052a!$1:$1048576,0,5),"Bank of China - Combined US Branches and Agencies"</v>
      </c>
      <c r="BI132" s="137" t="str">
        <f t="shared" si="587"/>
        <v>=SUMIFS(INDEX(REPORT_FR2052a!$1:$1048576,0,14),INDEX(REPORT_FR2052a!$1:$1048576,0,44),"I.U.1",INDEX(REPORT_FR2052a!$1:$1048576,0,43),1,INDEX(REPORT_FR2052a!$1:$1048576,0,26),"Central Bank",INDEX(REPORT_FR2052a!$1:$1048576,0,7),"",INDEX(REPORT_FR2052a!$1:$1048576,0,5),"Bank of China - Combined US Branches and Agencies")</v>
      </c>
      <c r="BJ132" s="142">
        <f>SUMIFS(INDEX(REPORT_FR2052a!$1:$1048576,0,14),INDEX(REPORT_FR2052a!$1:$1048576,0,44),"I.U.1",INDEX(REPORT_FR2052a!$1:$1048576,0,43),1,INDEX(REPORT_FR2052a!$1:$1048576,0,26),"Central Bank",INDEX(REPORT_FR2052a!$1:$1048576,0,7),"",INDEX(REPORT_FR2052a!$1:$1048576,0,5),"Bank of China - Combined US Branches and Agencies")</f>
        <v>0</v>
      </c>
      <c r="BK132" s="143">
        <f t="shared" si="588"/>
        <v>0</v>
      </c>
    </row>
    <row r="133" spans="1:63">
      <c r="A133" s="136">
        <v>102</v>
      </c>
      <c r="B133" s="137" t="str">
        <f>IFERROR(INDEX('LCR TYPE EXPLAIN'!B:B,MATCH(A133,'LCR TYPE EXPLAIN'!A:A,0)),"")</f>
        <v>Financial and Central Bank Cash Inflow Amount (§.33(d)(1))</v>
      </c>
      <c r="F133" s="137" t="s">
        <v>331</v>
      </c>
      <c r="G133" s="138" t="s">
        <v>376</v>
      </c>
      <c r="H133" s="137" t="str">
        <f t="shared" si="374"/>
        <v>,INDEX(REPORT_FR2052a!$1:$1048576,0,44),"I.U.2"</v>
      </c>
      <c r="I133" s="137" t="s">
        <v>331</v>
      </c>
      <c r="J133" s="137">
        <v>1</v>
      </c>
      <c r="K133" s="137" t="str">
        <f t="shared" si="589"/>
        <v>,INDEX(REPORT_FR2052a!$1:$1048576,0,43),1</v>
      </c>
      <c r="N133" s="137" t="str">
        <f t="shared" si="590"/>
        <v/>
      </c>
      <c r="Q133" s="137" t="str">
        <f t="shared" si="591"/>
        <v/>
      </c>
      <c r="T133" s="137" t="str">
        <f t="shared" si="592"/>
        <v/>
      </c>
      <c r="V133" s="139"/>
      <c r="W133" s="137" t="str">
        <f t="shared" si="593"/>
        <v/>
      </c>
      <c r="Y133" s="139"/>
      <c r="Z133" s="137" t="str">
        <f t="shared" si="594"/>
        <v/>
      </c>
      <c r="AB133" s="139"/>
      <c r="AC133" s="137" t="str">
        <f t="shared" si="595"/>
        <v/>
      </c>
      <c r="AD133" s="137" t="s">
        <v>331</v>
      </c>
      <c r="AE133" s="140" t="s">
        <v>158</v>
      </c>
      <c r="AF133" s="137" t="str">
        <f t="shared" si="596"/>
        <v>,INDEX(REPORT_FR2052a!$1:$1048576,0,26),"Central Bank"</v>
      </c>
      <c r="AH133" s="139"/>
      <c r="AI133" s="137" t="str">
        <f t="shared" si="597"/>
        <v/>
      </c>
      <c r="AK133" s="139"/>
      <c r="AL133" s="137" t="str">
        <f t="shared" si="598"/>
        <v/>
      </c>
      <c r="AO133" s="137" t="str">
        <f t="shared" si="599"/>
        <v/>
      </c>
      <c r="AR133" s="137" t="str">
        <f t="shared" si="214"/>
        <v/>
      </c>
      <c r="AU133" s="137" t="str">
        <f t="shared" si="488"/>
        <v/>
      </c>
      <c r="AV133" s="137" t="s">
        <v>331</v>
      </c>
      <c r="AW133" s="139" t="s">
        <v>762</v>
      </c>
      <c r="AX133" s="137" t="str">
        <f t="shared" si="586"/>
        <v>,INDEX(REPORT_FR2052a!$1:$1048576,0,7),""</v>
      </c>
      <c r="BA133" s="137" t="s">
        <v>13</v>
      </c>
      <c r="BB133" s="137" t="str">
        <f>"=SUMIFS(INDEX(REPORT_FR2052a!$1:$1048576,0,"&amp;(MATCH(BA133,REPORT_FR2052a!$1:$1,0))&amp;")"</f>
        <v>=SUMIFS(INDEX(REPORT_FR2052a!$1:$1048576,0,14)</v>
      </c>
      <c r="BC133" s="137" t="str">
        <f t="shared" si="600"/>
        <v>=SUMIFS(INDEX(REPORT_FR2052a!$1:$1048576,0,14),INDEX(REPORT_FR2052a!$1:$1048576,0,44),"I.U.2",INDEX(REPORT_FR2052a!$1:$1048576,0,43),1,INDEX(REPORT_FR2052a!$1:$1048576,0,26),"Central Bank",INDEX(REPORT_FR2052a!$1:$1048576,0,7),"")</v>
      </c>
      <c r="BD133" s="141">
        <f>SUMIFS(INDEX(REPORT_FR2052a!$1:$1048576,0,14),INDEX(REPORT_FR2052a!$1:$1048576,0,44),"I.U.2",INDEX(REPORT_FR2052a!$1:$1048576,0,43),1,INDEX(REPORT_FR2052a!$1:$1048576,0,26),"Central Bank",INDEX(REPORT_FR2052a!$1:$1048576,0,7),"")</f>
        <v>0</v>
      </c>
      <c r="BE133" s="137" t="s">
        <v>331</v>
      </c>
      <c r="BF133" s="139" t="s">
        <v>47</v>
      </c>
      <c r="BG133" s="137" t="str">
        <f t="shared" si="601"/>
        <v>,INDEX(REPORT_FR2052a!$1:$1048576,0,5),"Bank of China - Combined US Branches and Agencies"</v>
      </c>
      <c r="BI133" s="137" t="str">
        <f t="shared" ref="BI133:BI135" si="602">LEFT(BC133,LEN(BC133)-1)&amp;BG133&amp;")"</f>
        <v>=SUMIFS(INDEX(REPORT_FR2052a!$1:$1048576,0,14),INDEX(REPORT_FR2052a!$1:$1048576,0,44),"I.U.2",INDEX(REPORT_FR2052a!$1:$1048576,0,43),1,INDEX(REPORT_FR2052a!$1:$1048576,0,26),"Central Bank",INDEX(REPORT_FR2052a!$1:$1048576,0,7),"",INDEX(REPORT_FR2052a!$1:$1048576,0,5),"Bank of China - Combined US Branches and Agencies")</v>
      </c>
      <c r="BJ133" s="142">
        <f>SUMIFS(INDEX(REPORT_FR2052a!$1:$1048576,0,14),INDEX(REPORT_FR2052a!$1:$1048576,0,44),"I.U.2",INDEX(REPORT_FR2052a!$1:$1048576,0,43),1,INDEX(REPORT_FR2052a!$1:$1048576,0,26),"Central Bank",INDEX(REPORT_FR2052a!$1:$1048576,0,7),"",INDEX(REPORT_FR2052a!$1:$1048576,0,5),"Bank of China - Combined US Branches and Agencies")</f>
        <v>0</v>
      </c>
      <c r="BK133" s="143">
        <f t="shared" ref="BK133:BK135" si="603">BD133-BJ133</f>
        <v>0</v>
      </c>
    </row>
    <row r="134" spans="1:63">
      <c r="A134" s="136">
        <v>102</v>
      </c>
      <c r="B134" s="137" t="str">
        <f>IFERROR(INDEX('LCR TYPE EXPLAIN'!B:B,MATCH(A134,'LCR TYPE EXPLAIN'!A:A,0)),"")</f>
        <v>Financial and Central Bank Cash Inflow Amount (§.33(d)(1))</v>
      </c>
      <c r="F134" s="137" t="s">
        <v>331</v>
      </c>
      <c r="G134" s="138" t="s">
        <v>378</v>
      </c>
      <c r="H134" s="137" t="str">
        <f t="shared" si="374"/>
        <v>,INDEX(REPORT_FR2052a!$1:$1048576,0,44),"I.U.4"</v>
      </c>
      <c r="I134" s="137" t="s">
        <v>331</v>
      </c>
      <c r="J134" s="137">
        <v>1</v>
      </c>
      <c r="K134" s="137" t="str">
        <f t="shared" si="589"/>
        <v>,INDEX(REPORT_FR2052a!$1:$1048576,0,43),1</v>
      </c>
      <c r="N134" s="137" t="str">
        <f t="shared" si="590"/>
        <v/>
      </c>
      <c r="Q134" s="137" t="str">
        <f t="shared" si="591"/>
        <v/>
      </c>
      <c r="T134" s="137" t="str">
        <f t="shared" si="592"/>
        <v/>
      </c>
      <c r="V134" s="139"/>
      <c r="W134" s="137" t="str">
        <f t="shared" si="593"/>
        <v/>
      </c>
      <c r="Y134" s="139"/>
      <c r="Z134" s="137" t="str">
        <f t="shared" si="594"/>
        <v/>
      </c>
      <c r="AB134" s="139"/>
      <c r="AC134" s="137" t="str">
        <f t="shared" si="595"/>
        <v/>
      </c>
      <c r="AD134" s="137" t="s">
        <v>331</v>
      </c>
      <c r="AE134" s="140" t="s">
        <v>158</v>
      </c>
      <c r="AF134" s="137" t="str">
        <f t="shared" si="596"/>
        <v>,INDEX(REPORT_FR2052a!$1:$1048576,0,26),"Central Bank"</v>
      </c>
      <c r="AH134" s="139"/>
      <c r="AI134" s="137" t="str">
        <f t="shared" si="597"/>
        <v/>
      </c>
      <c r="AK134" s="139"/>
      <c r="AL134" s="137" t="str">
        <f t="shared" si="598"/>
        <v/>
      </c>
      <c r="AO134" s="137" t="str">
        <f t="shared" si="599"/>
        <v/>
      </c>
      <c r="AR134" s="137" t="str">
        <f t="shared" si="214"/>
        <v/>
      </c>
      <c r="AU134" s="137" t="str">
        <f t="shared" si="488"/>
        <v/>
      </c>
      <c r="AV134" s="137" t="s">
        <v>331</v>
      </c>
      <c r="AW134" s="139" t="s">
        <v>762</v>
      </c>
      <c r="AX134" s="137" t="str">
        <f t="shared" si="586"/>
        <v>,INDEX(REPORT_FR2052a!$1:$1048576,0,7),""</v>
      </c>
      <c r="BA134" s="137" t="s">
        <v>13</v>
      </c>
      <c r="BB134" s="137" t="str">
        <f>"=SUMIFS(INDEX(REPORT_FR2052a!$1:$1048576,0,"&amp;(MATCH(BA134,REPORT_FR2052a!$1:$1,0))&amp;")"</f>
        <v>=SUMIFS(INDEX(REPORT_FR2052a!$1:$1048576,0,14)</v>
      </c>
      <c r="BC134" s="137" t="str">
        <f t="shared" si="600"/>
        <v>=SUMIFS(INDEX(REPORT_FR2052a!$1:$1048576,0,14),INDEX(REPORT_FR2052a!$1:$1048576,0,44),"I.U.4",INDEX(REPORT_FR2052a!$1:$1048576,0,43),1,INDEX(REPORT_FR2052a!$1:$1048576,0,26),"Central Bank",INDEX(REPORT_FR2052a!$1:$1048576,0,7),"")</v>
      </c>
      <c r="BD134" s="141">
        <f>SUMIFS(INDEX(REPORT_FR2052a!$1:$1048576,0,14),INDEX(REPORT_FR2052a!$1:$1048576,0,44),"I.U.4",INDEX(REPORT_FR2052a!$1:$1048576,0,43),1,INDEX(REPORT_FR2052a!$1:$1048576,0,26),"Central Bank",INDEX(REPORT_FR2052a!$1:$1048576,0,7),"")</f>
        <v>0</v>
      </c>
      <c r="BE134" s="137" t="s">
        <v>331</v>
      </c>
      <c r="BF134" s="139" t="s">
        <v>47</v>
      </c>
      <c r="BG134" s="137" t="str">
        <f t="shared" si="601"/>
        <v>,INDEX(REPORT_FR2052a!$1:$1048576,0,5),"Bank of China - Combined US Branches and Agencies"</v>
      </c>
      <c r="BI134" s="137" t="str">
        <f t="shared" si="602"/>
        <v>=SUMIFS(INDEX(REPORT_FR2052a!$1:$1048576,0,14),INDEX(REPORT_FR2052a!$1:$1048576,0,44),"I.U.4",INDEX(REPORT_FR2052a!$1:$1048576,0,43),1,INDEX(REPORT_FR2052a!$1:$1048576,0,26),"Central Bank",INDEX(REPORT_FR2052a!$1:$1048576,0,7),"",INDEX(REPORT_FR2052a!$1:$1048576,0,5),"Bank of China - Combined US Branches and Agencies")</v>
      </c>
      <c r="BJ134" s="142">
        <f>SUMIFS(INDEX(REPORT_FR2052a!$1:$1048576,0,14),INDEX(REPORT_FR2052a!$1:$1048576,0,44),"I.U.4",INDEX(REPORT_FR2052a!$1:$1048576,0,43),1,INDEX(REPORT_FR2052a!$1:$1048576,0,26),"Central Bank",INDEX(REPORT_FR2052a!$1:$1048576,0,7),"",INDEX(REPORT_FR2052a!$1:$1048576,0,5),"Bank of China - Combined US Branches and Agencies")</f>
        <v>0</v>
      </c>
      <c r="BK134" s="143">
        <f t="shared" si="603"/>
        <v>0</v>
      </c>
    </row>
    <row r="135" spans="1:63">
      <c r="A135" s="136">
        <v>102</v>
      </c>
      <c r="B135" s="137" t="str">
        <f>IFERROR(INDEX('LCR TYPE EXPLAIN'!B:B,MATCH(A135,'LCR TYPE EXPLAIN'!A:A,0)),"")</f>
        <v>Financial and Central Bank Cash Inflow Amount (§.33(d)(1))</v>
      </c>
      <c r="F135" s="137" t="s">
        <v>331</v>
      </c>
      <c r="G135" s="138" t="s">
        <v>375</v>
      </c>
      <c r="H135" s="137" t="str">
        <f t="shared" si="374"/>
        <v>,INDEX(REPORT_FR2052a!$1:$1048576,0,44),"I.U.6"</v>
      </c>
      <c r="I135" s="137" t="s">
        <v>331</v>
      </c>
      <c r="J135" s="137">
        <v>1</v>
      </c>
      <c r="K135" s="137" t="str">
        <f t="shared" si="589"/>
        <v>,INDEX(REPORT_FR2052a!$1:$1048576,0,43),1</v>
      </c>
      <c r="N135" s="137" t="str">
        <f t="shared" si="590"/>
        <v/>
      </c>
      <c r="Q135" s="137" t="str">
        <f t="shared" si="591"/>
        <v/>
      </c>
      <c r="T135" s="137" t="str">
        <f t="shared" si="592"/>
        <v/>
      </c>
      <c r="V135" s="139"/>
      <c r="W135" s="137" t="str">
        <f t="shared" si="593"/>
        <v/>
      </c>
      <c r="Y135" s="139"/>
      <c r="Z135" s="137" t="str">
        <f t="shared" si="594"/>
        <v/>
      </c>
      <c r="AB135" s="139"/>
      <c r="AC135" s="137" t="str">
        <f t="shared" si="595"/>
        <v/>
      </c>
      <c r="AD135" s="137" t="s">
        <v>331</v>
      </c>
      <c r="AE135" s="140" t="s">
        <v>158</v>
      </c>
      <c r="AF135" s="137" t="str">
        <f t="shared" si="596"/>
        <v>,INDEX(REPORT_FR2052a!$1:$1048576,0,26),"Central Bank"</v>
      </c>
      <c r="AH135" s="139"/>
      <c r="AI135" s="137" t="str">
        <f t="shared" si="597"/>
        <v/>
      </c>
      <c r="AK135" s="139"/>
      <c r="AL135" s="137" t="str">
        <f t="shared" si="598"/>
        <v/>
      </c>
      <c r="AO135" s="137" t="str">
        <f t="shared" si="599"/>
        <v/>
      </c>
      <c r="AR135" s="137" t="str">
        <f t="shared" si="214"/>
        <v/>
      </c>
      <c r="AU135" s="137" t="str">
        <f t="shared" si="488"/>
        <v/>
      </c>
      <c r="AV135" s="137" t="s">
        <v>331</v>
      </c>
      <c r="AW135" s="139" t="s">
        <v>762</v>
      </c>
      <c r="AX135" s="137" t="str">
        <f t="shared" si="586"/>
        <v>,INDEX(REPORT_FR2052a!$1:$1048576,0,7),""</v>
      </c>
      <c r="BA135" s="137" t="s">
        <v>13</v>
      </c>
      <c r="BB135" s="137" t="str">
        <f>"=SUMIFS(INDEX(REPORT_FR2052a!$1:$1048576,0,"&amp;(MATCH(BA135,REPORT_FR2052a!$1:$1,0))&amp;")"</f>
        <v>=SUMIFS(INDEX(REPORT_FR2052a!$1:$1048576,0,14)</v>
      </c>
      <c r="BC135" s="137" t="str">
        <f t="shared" si="600"/>
        <v>=SUMIFS(INDEX(REPORT_FR2052a!$1:$1048576,0,14),INDEX(REPORT_FR2052a!$1:$1048576,0,44),"I.U.6",INDEX(REPORT_FR2052a!$1:$1048576,0,43),1,INDEX(REPORT_FR2052a!$1:$1048576,0,26),"Central Bank",INDEX(REPORT_FR2052a!$1:$1048576,0,7),"")</v>
      </c>
      <c r="BD135" s="141">
        <f>SUMIFS(INDEX(REPORT_FR2052a!$1:$1048576,0,14),INDEX(REPORT_FR2052a!$1:$1048576,0,44),"I.U.6",INDEX(REPORT_FR2052a!$1:$1048576,0,43),1,INDEX(REPORT_FR2052a!$1:$1048576,0,26),"Central Bank",INDEX(REPORT_FR2052a!$1:$1048576,0,7),"")</f>
        <v>0</v>
      </c>
      <c r="BE135" s="137" t="s">
        <v>331</v>
      </c>
      <c r="BF135" s="139" t="s">
        <v>47</v>
      </c>
      <c r="BG135" s="137" t="str">
        <f t="shared" si="601"/>
        <v>,INDEX(REPORT_FR2052a!$1:$1048576,0,5),"Bank of China - Combined US Branches and Agencies"</v>
      </c>
      <c r="BI135" s="137" t="str">
        <f t="shared" si="602"/>
        <v>=SUMIFS(INDEX(REPORT_FR2052a!$1:$1048576,0,14),INDEX(REPORT_FR2052a!$1:$1048576,0,44),"I.U.6",INDEX(REPORT_FR2052a!$1:$1048576,0,43),1,INDEX(REPORT_FR2052a!$1:$1048576,0,26),"Central Bank",INDEX(REPORT_FR2052a!$1:$1048576,0,7),"",INDEX(REPORT_FR2052a!$1:$1048576,0,5),"Bank of China - Combined US Branches and Agencies")</v>
      </c>
      <c r="BJ135" s="142">
        <f>SUMIFS(INDEX(REPORT_FR2052a!$1:$1048576,0,14),INDEX(REPORT_FR2052a!$1:$1048576,0,44),"I.U.6",INDEX(REPORT_FR2052a!$1:$1048576,0,43),1,INDEX(REPORT_FR2052a!$1:$1048576,0,26),"Central Bank",INDEX(REPORT_FR2052a!$1:$1048576,0,7),"",INDEX(REPORT_FR2052a!$1:$1048576,0,5),"Bank of China - Combined US Branches and Agencies")</f>
        <v>0</v>
      </c>
      <c r="BK135" s="143">
        <f t="shared" si="603"/>
        <v>0</v>
      </c>
    </row>
    <row r="136" spans="1:63">
      <c r="A136" s="136">
        <v>103</v>
      </c>
      <c r="B136" s="137" t="str">
        <f>IFERROR(INDEX('LCR TYPE EXPLAIN'!B:B,MATCH(A136,'LCR TYPE EXPLAIN'!A:A,0)),"")</f>
        <v>Financial and Central Bank Cash Inflow Amount (§.33(d)(1))</v>
      </c>
      <c r="C136" s="137" t="s">
        <v>763</v>
      </c>
      <c r="F136" s="137" t="s">
        <v>331</v>
      </c>
      <c r="G136" s="138" t="s">
        <v>361</v>
      </c>
      <c r="H136" s="137" t="str">
        <f t="shared" ref="H136:H167" si="604">IF(F136="","",",INDEX(REPORT_FR2052a!$1:$1048576,0,"&amp;H$2&amp;"),"&amp;IF(ISTEXT(G136),CHAR(34),"")&amp;IF(F136="is","",""&amp;"&lt;&gt;")&amp;G136&amp;IF(ISTEXT(G136),CHAR(34),""))</f>
        <v>,INDEX(REPORT_FR2052a!$1:$1048576,0,44),"I.A.3"</v>
      </c>
      <c r="I136" s="137" t="s">
        <v>331</v>
      </c>
      <c r="J136" s="137">
        <v>1</v>
      </c>
      <c r="K136" s="137" t="str">
        <f t="shared" si="577"/>
        <v>,INDEX(REPORT_FR2052a!$1:$1048576,0,43),1</v>
      </c>
      <c r="N136" s="137" t="str">
        <f t="shared" si="578"/>
        <v/>
      </c>
      <c r="O136" s="137" t="s">
        <v>331</v>
      </c>
      <c r="P136" s="137" t="s">
        <v>54</v>
      </c>
      <c r="Q136" s="137" t="str">
        <f t="shared" si="542"/>
        <v>,INDEX(REPORT_FR2052a!$1:$1048576,0,23),"A-0-Q"</v>
      </c>
      <c r="T136" s="137" t="str">
        <f t="shared" si="579"/>
        <v/>
      </c>
      <c r="V136" s="139"/>
      <c r="W136" s="137" t="str">
        <f t="shared" si="580"/>
        <v/>
      </c>
      <c r="Y136" s="139"/>
      <c r="Z136" s="137" t="str">
        <f t="shared" si="581"/>
        <v/>
      </c>
      <c r="AA136" s="137" t="s">
        <v>332</v>
      </c>
      <c r="AB136" s="139" t="s">
        <v>765</v>
      </c>
      <c r="AC136" s="137" t="str">
        <f t="shared" si="582"/>
        <v>,INDEX(REPORT_FR2052a!$1:$1048576,0,42),"&lt;&gt;0"</v>
      </c>
      <c r="AF136" s="137" t="str">
        <f t="shared" si="583"/>
        <v/>
      </c>
      <c r="AH136" s="139"/>
      <c r="AI136" s="137" t="str">
        <f t="shared" si="584"/>
        <v/>
      </c>
      <c r="AK136" s="139"/>
      <c r="AL136" s="137" t="str">
        <f t="shared" si="585"/>
        <v/>
      </c>
      <c r="AO136" s="137" t="str">
        <f t="shared" si="573"/>
        <v/>
      </c>
      <c r="AR136" s="137" t="str">
        <f t="shared" si="214"/>
        <v/>
      </c>
      <c r="AU136" s="137" t="str">
        <f t="shared" si="488"/>
        <v/>
      </c>
      <c r="AV136" s="137" t="s">
        <v>331</v>
      </c>
      <c r="AW136" s="139" t="s">
        <v>762</v>
      </c>
      <c r="AX136" s="137" t="str">
        <f t="shared" si="586"/>
        <v>,INDEX(REPORT_FR2052a!$1:$1048576,0,7),""</v>
      </c>
      <c r="BA136" s="137" t="s">
        <v>12</v>
      </c>
      <c r="BB136" s="137" t="str">
        <f>"=SUMIFS(INDEX(REPORT_FR2052a!$1:$1048576,0,"&amp;(MATCH(BA136,REPORT_FR2052a!$1:$1,0))&amp;")"</f>
        <v>=SUMIFS(INDEX(REPORT_FR2052a!$1:$1048576,0,13)</v>
      </c>
      <c r="BC136" s="137" t="str">
        <f t="shared" si="600"/>
        <v>=SUMIFS(INDEX(REPORT_FR2052a!$1:$1048576,0,13),INDEX(REPORT_FR2052a!$1:$1048576,0,44),"I.A.3",INDEX(REPORT_FR2052a!$1:$1048576,0,43),1,INDEX(REPORT_FR2052a!$1:$1048576,0,23),"A-0-Q",INDEX(REPORT_FR2052a!$1:$1048576,0,42),"&lt;&gt;0",INDEX(REPORT_FR2052a!$1:$1048576,0,7),"")</v>
      </c>
      <c r="BD136" s="141">
        <f>SUMIFS(INDEX(REPORT_FR2052a!$1:$1048576,0,13),INDEX(REPORT_FR2052a!$1:$1048576,0,44),"I.A.3",INDEX(REPORT_FR2052a!$1:$1048576,0,43),1,INDEX(REPORT_FR2052a!$1:$1048576,0,23),"A-0-Q",INDEX(REPORT_FR2052a!$1:$1048576,0,42),"&lt;&gt;0",INDEX(REPORT_FR2052a!$1:$1048576,0,7),"")</f>
        <v>0</v>
      </c>
      <c r="BE136" s="137" t="s">
        <v>331</v>
      </c>
      <c r="BF136" s="139" t="s">
        <v>47</v>
      </c>
      <c r="BG136" s="137" t="str">
        <f t="shared" si="574"/>
        <v>,INDEX(REPORT_FR2052a!$1:$1048576,0,5),"Bank of China - Combined US Branches and Agencies"</v>
      </c>
      <c r="BI136" s="137" t="str">
        <f t="shared" si="587"/>
        <v>=SUMIFS(INDEX(REPORT_FR2052a!$1:$1048576,0,13),INDEX(REPORT_FR2052a!$1:$1048576,0,44),"I.A.3",INDEX(REPORT_FR2052a!$1:$1048576,0,43),1,INDEX(REPORT_FR2052a!$1:$1048576,0,23),"A-0-Q",INDEX(REPORT_FR2052a!$1:$1048576,0,42),"&lt;&gt;0",INDEX(REPORT_FR2052a!$1:$1048576,0,7),"",INDEX(REPORT_FR2052a!$1:$1048576,0,5),"Bank of China - Combined US Branches and Agencies")</v>
      </c>
      <c r="BJ136" s="142">
        <f>SUMIFS(INDEX(REPORT_FR2052a!$1:$1048576,0,13),INDEX(REPORT_FR2052a!$1:$1048576,0,44),"I.A.3",INDEX(REPORT_FR2052a!$1:$1048576,0,43),1,INDEX(REPORT_FR2052a!$1:$1048576,0,23),"A-0-Q",INDEX(REPORT_FR2052a!$1:$1048576,0,42),"&lt;&gt;0",INDEX(REPORT_FR2052a!$1:$1048576,0,7),"",INDEX(REPORT_FR2052a!$1:$1048576,0,5),"Bank of China - Combined US Branches and Agencies")</f>
        <v>0</v>
      </c>
      <c r="BK136" s="143">
        <f t="shared" si="588"/>
        <v>0</v>
      </c>
    </row>
    <row r="137" spans="1:63">
      <c r="A137" s="136">
        <v>104</v>
      </c>
      <c r="B137" s="137" t="str">
        <f>IFERROR(INDEX('LCR TYPE EXPLAIN'!B:B,MATCH(A137,'LCR TYPE EXPLAIN'!A:A,0)),"")</f>
        <v>Financial and Central Bank Cash Inflow Amount (§.33(d)(1))</v>
      </c>
      <c r="F137" s="137" t="s">
        <v>331</v>
      </c>
      <c r="G137" s="138" t="s">
        <v>372</v>
      </c>
      <c r="H137" s="137" t="str">
        <f t="shared" si="604"/>
        <v>,INDEX(REPORT_FR2052a!$1:$1048576,0,44),"I.S.7"</v>
      </c>
      <c r="I137" s="137" t="s">
        <v>331</v>
      </c>
      <c r="J137" s="137">
        <v>1</v>
      </c>
      <c r="K137" s="137" t="str">
        <f t="shared" ref="K137:K138" si="605">IF(I137="","",",INDEX(REPORT_FR2052a!$1:$1048576,0,"&amp;K$2&amp;"),"&amp;IF(ISTEXT(J137),CHAR(34),"")&amp;IF(I137="is","",""&amp;"&lt;&gt;")&amp;J137&amp;IF(ISTEXT(J137),CHAR(34),""))</f>
        <v>,INDEX(REPORT_FR2052a!$1:$1048576,0,43),1</v>
      </c>
      <c r="N137" s="137" t="str">
        <f t="shared" ref="N137:N138" si="606">IF(L137="","",",INDEX(REPORT_FR2052a!$1:$1048576,0,"&amp;N$2&amp;"),"&amp;IF(ISTEXT(M137),CHAR(34),"")&amp;IF(L137="is","",""&amp;"&lt;&gt;")&amp;M137&amp;IF(ISTEXT(M137),CHAR(34),""))</f>
        <v/>
      </c>
      <c r="O137" s="137" t="s">
        <v>331</v>
      </c>
      <c r="P137" s="137" t="s">
        <v>64</v>
      </c>
      <c r="Q137" s="137" t="str">
        <f t="shared" ref="Q137:Q138" si="607">IF(O137="","",",INDEX(REPORT_FR2052a!$1:$1048576,0,"&amp;Q$2&amp;"),"&amp;IF(OR(ISTEXT(P137),ISBLANK(P137)),CHAR(34),"")&amp;IF(O137="is","",""&amp;"&lt;&gt;")&amp;P137&amp;IF(OR(ISTEXT(P137),ISBLANK(P137)),CHAR(34),""))</f>
        <v>,INDEX(REPORT_FR2052a!$1:$1048576,0,23),"Z-1"</v>
      </c>
      <c r="T137" s="137" t="str">
        <f t="shared" ref="T137:T138" si="608">IF(R137="","",",INDEX(REPORT_FR2052a!$1:$1048576,0,"&amp;T$2&amp;"),"&amp;IF(ISTEXT(S137),CHAR(34),"")&amp;IF(R137="is","",""&amp;"&lt;&gt;")&amp;S137&amp;IF(ISTEXT(S137),CHAR(34),""))</f>
        <v/>
      </c>
      <c r="V137" s="139"/>
      <c r="W137" s="137" t="str">
        <f t="shared" ref="W137:W138" si="609">IF(U137="","",",INDEX(REPORT_FR2052a!$1:$1048576,0,"&amp;W$2&amp;"),"&amp;IF(ISTEXT(V137),CHAR(34),"")&amp;IF(U137="is","",""&amp;"&lt;&gt;")&amp;V137&amp;IF(ISTEXT(V137),CHAR(34),""))</f>
        <v/>
      </c>
      <c r="Y137" s="139"/>
      <c r="Z137" s="137" t="str">
        <f t="shared" ref="Z137:Z138" si="610">IF(X137="","",",INDEX(REPORT_FR2052a!$1:$1048576,0,"&amp;Z$2&amp;"),"&amp;IF(ISTEXT(Y137),CHAR(34),"")&amp;IF(X137="is","",""&amp;"&lt;&gt;")&amp;Y137&amp;IF(ISTEXT(Y137),CHAR(34),""))</f>
        <v/>
      </c>
      <c r="AB137" s="139"/>
      <c r="AC137" s="137" t="str">
        <f t="shared" ref="AC137:AC138" si="611">IF(AA137="","",",INDEX(REPORT_FR2052a!$1:$1048576,0,"&amp;AC$2&amp;"),"&amp;IF(ISTEXT(AB137),CHAR(34),"")&amp;IF(AA137="is","",""&amp;"&lt;&gt;")&amp;AB137&amp;IF(ISTEXT(AB137),CHAR(34),""))</f>
        <v/>
      </c>
      <c r="AD137" s="137" t="s">
        <v>331</v>
      </c>
      <c r="AE137" s="140" t="s">
        <v>116</v>
      </c>
      <c r="AF137" s="137" t="str">
        <f t="shared" ref="AF137:AF138" si="612">IF(AD137="","",",INDEX(REPORT_FR2052a!$1:$1048576,0,"&amp;AF$2&amp;"),"&amp;IF(ISTEXT(AE137),CHAR(34),"")&amp;IF(AD137="is","",""&amp;"&lt;&gt;")&amp;AE137&amp;IF(ISTEXT(AE137),CHAR(34),""))</f>
        <v>,INDEX(REPORT_FR2052a!$1:$1048576,0,26),"Supervised Non-Bank Financial Entity"</v>
      </c>
      <c r="AH137" s="139"/>
      <c r="AI137" s="137" t="str">
        <f t="shared" ref="AI137:AI138" si="613">IF(AG137="","",",INDEX(REPORT_FR2052a!$1:$1048576,0,"&amp;AI$2&amp;"),"&amp;IF(ISTEXT(AH137),CHAR(34),"")&amp;IF(AG137="is","",""&amp;"&lt;&gt;")&amp;AH137&amp;IF(ISTEXT(AH137),CHAR(34),""))</f>
        <v/>
      </c>
      <c r="AK137" s="139"/>
      <c r="AL137" s="137" t="str">
        <f t="shared" ref="AL137:AL138" si="614">IF(AJ137="","",",INDEX(REPORT_FR2052a!$1:$1048576,0,"&amp;AL$2&amp;"),"&amp;IF(ISTEXT(AK137),CHAR(34),"")&amp;IF(AJ137="is","",""&amp;"&lt;&gt;")&amp;AK137&amp;IF(ISTEXT(AK137),CHAR(34),""))</f>
        <v/>
      </c>
      <c r="AO137" s="137" t="str">
        <f t="shared" ref="AO137:AO138" si="615">IF(AM137="","",",INDEX(REPORT_FR2052a!$1:$1048576,0,"&amp;AO$2&amp;"),"&amp;IF(ISTEXT(AN137),CHAR(34),"")&amp;IF(AM137="is","",""&amp;"&lt;&gt;")&amp;AN137&amp;IF(ISTEXT(AN137),CHAR(34),""))</f>
        <v/>
      </c>
      <c r="AR137" s="137" t="str">
        <f t="shared" si="214"/>
        <v/>
      </c>
      <c r="AU137" s="137" t="str">
        <f t="shared" si="488"/>
        <v/>
      </c>
      <c r="AV137" s="137" t="s">
        <v>331</v>
      </c>
      <c r="AW137" s="139" t="s">
        <v>762</v>
      </c>
      <c r="AX137" s="137" t="str">
        <f t="shared" si="586"/>
        <v>,INDEX(REPORT_FR2052a!$1:$1048576,0,7),""</v>
      </c>
      <c r="BA137" s="137" t="s">
        <v>13</v>
      </c>
      <c r="BB137" s="137" t="str">
        <f>"=SUMIFS(INDEX(REPORT_FR2052a!$1:$1048576,0,"&amp;(MATCH(BA137,REPORT_FR2052a!$1:$1,0))&amp;")"</f>
        <v>=SUMIFS(INDEX(REPORT_FR2052a!$1:$1048576,0,14)</v>
      </c>
      <c r="BC137" s="137" t="str">
        <f t="shared" si="600"/>
        <v>=SUMIFS(INDEX(REPORT_FR2052a!$1:$1048576,0,14),INDEX(REPORT_FR2052a!$1:$1048576,0,44),"I.S.7",INDEX(REPORT_FR2052a!$1:$1048576,0,43),1,INDEX(REPORT_FR2052a!$1:$1048576,0,23),"Z-1",INDEX(REPORT_FR2052a!$1:$1048576,0,26),"Supervised Non-Bank Financial Entity",INDEX(REPORT_FR2052a!$1:$1048576,0,7),"")</v>
      </c>
      <c r="BD137" s="141">
        <f>SUMIFS(INDEX(REPORT_FR2052a!$1:$1048576,0,14),INDEX(REPORT_FR2052a!$1:$1048576,0,44),"I.S.7",INDEX(REPORT_FR2052a!$1:$1048576,0,43),1,INDEX(REPORT_FR2052a!$1:$1048576,0,23),"Z-1",INDEX(REPORT_FR2052a!$1:$1048576,0,26),"Supervised Non-Bank Financial Entity",INDEX(REPORT_FR2052a!$1:$1048576,0,7),"")</f>
        <v>302.27</v>
      </c>
      <c r="BE137" s="137" t="s">
        <v>331</v>
      </c>
      <c r="BF137" s="139" t="s">
        <v>47</v>
      </c>
      <c r="BG137" s="137" t="str">
        <f t="shared" ref="BG137:BG138" si="616">IF(BE137="","",",INDEX(REPORT_FR2052a!$1:$1048576,0,"&amp;BG$2&amp;"),"&amp;IF(ISTEXT(BF137),CHAR(34),"")&amp;IF(BE137="is","",""&amp;"&lt;&gt;")&amp;BF137&amp;IF(ISTEXT(BF137),CHAR(34),""))</f>
        <v>,INDEX(REPORT_FR2052a!$1:$1048576,0,5),"Bank of China - Combined US Branches and Agencies"</v>
      </c>
      <c r="BI137" s="137" t="str">
        <f t="shared" ref="BI137:BI138" si="617">LEFT(BC137,LEN(BC137)-1)&amp;BG137&amp;")"</f>
        <v>=SUMIFS(INDEX(REPORT_FR2052a!$1:$1048576,0,14),INDEX(REPORT_FR2052a!$1:$1048576,0,44),"I.S.7",INDEX(REPORT_FR2052a!$1:$1048576,0,43),1,INDEX(REPORT_FR2052a!$1:$1048576,0,23),"Z-1",INDEX(REPORT_FR2052a!$1:$1048576,0,26),"Supervised Non-Bank Financial Entity",INDEX(REPORT_FR2052a!$1:$1048576,0,7),"",INDEX(REPORT_FR2052a!$1:$1048576,0,5),"Bank of China - Combined US Branches and Agencies")</v>
      </c>
      <c r="BJ137" s="142">
        <f>SUMIFS(INDEX(REPORT_FR2052a!$1:$1048576,0,14),INDEX(REPORT_FR2052a!$1:$1048576,0,44),"I.S.7",INDEX(REPORT_FR2052a!$1:$1048576,0,43),1,INDEX(REPORT_FR2052a!$1:$1048576,0,23),"Z-1",INDEX(REPORT_FR2052a!$1:$1048576,0,26),"Supervised Non-Bank Financial Entity",INDEX(REPORT_FR2052a!$1:$1048576,0,7),"",INDEX(REPORT_FR2052a!$1:$1048576,0,5),"Bank of China - Combined US Branches and Agencies")</f>
        <v>302.27</v>
      </c>
      <c r="BK137" s="143">
        <f t="shared" ref="BK137:BK138" si="618">BD137-BJ137</f>
        <v>0</v>
      </c>
    </row>
    <row r="138" spans="1:63">
      <c r="A138" s="136">
        <v>104</v>
      </c>
      <c r="B138" s="137" t="str">
        <f>IFERROR(INDEX('LCR TYPE EXPLAIN'!B:B,MATCH(A138,'LCR TYPE EXPLAIN'!A:A,0)),"")</f>
        <v>Financial and Central Bank Cash Inflow Amount (§.33(d)(1))</v>
      </c>
      <c r="F138" s="137" t="s">
        <v>331</v>
      </c>
      <c r="G138" s="138" t="s">
        <v>372</v>
      </c>
      <c r="H138" s="137" t="str">
        <f t="shared" si="604"/>
        <v>,INDEX(REPORT_FR2052a!$1:$1048576,0,44),"I.S.7"</v>
      </c>
      <c r="I138" s="137" t="s">
        <v>331</v>
      </c>
      <c r="J138" s="137">
        <v>1</v>
      </c>
      <c r="K138" s="137" t="str">
        <f t="shared" si="605"/>
        <v>,INDEX(REPORT_FR2052a!$1:$1048576,0,43),1</v>
      </c>
      <c r="N138" s="137" t="str">
        <f t="shared" si="606"/>
        <v/>
      </c>
      <c r="O138" s="137" t="s">
        <v>331</v>
      </c>
      <c r="P138" s="137" t="s">
        <v>64</v>
      </c>
      <c r="Q138" s="137" t="str">
        <f t="shared" si="607"/>
        <v>,INDEX(REPORT_FR2052a!$1:$1048576,0,23),"Z-1"</v>
      </c>
      <c r="T138" s="137" t="str">
        <f t="shared" si="608"/>
        <v/>
      </c>
      <c r="V138" s="139"/>
      <c r="W138" s="137" t="str">
        <f t="shared" si="609"/>
        <v/>
      </c>
      <c r="Y138" s="139"/>
      <c r="Z138" s="137" t="str">
        <f t="shared" si="610"/>
        <v/>
      </c>
      <c r="AB138" s="139"/>
      <c r="AC138" s="137" t="str">
        <f t="shared" si="611"/>
        <v/>
      </c>
      <c r="AD138" s="137" t="s">
        <v>331</v>
      </c>
      <c r="AE138" s="140" t="s">
        <v>158</v>
      </c>
      <c r="AF138" s="137" t="str">
        <f t="shared" si="612"/>
        <v>,INDEX(REPORT_FR2052a!$1:$1048576,0,26),"Central Bank"</v>
      </c>
      <c r="AH138" s="139"/>
      <c r="AI138" s="137" t="str">
        <f t="shared" si="613"/>
        <v/>
      </c>
      <c r="AK138" s="139"/>
      <c r="AL138" s="137" t="str">
        <f t="shared" si="614"/>
        <v/>
      </c>
      <c r="AO138" s="137" t="str">
        <f t="shared" si="615"/>
        <v/>
      </c>
      <c r="AR138" s="137" t="str">
        <f t="shared" si="214"/>
        <v/>
      </c>
      <c r="AU138" s="137" t="str">
        <f t="shared" si="488"/>
        <v/>
      </c>
      <c r="AV138" s="137" t="s">
        <v>331</v>
      </c>
      <c r="AW138" s="139" t="s">
        <v>762</v>
      </c>
      <c r="AX138" s="137" t="str">
        <f t="shared" si="586"/>
        <v>,INDEX(REPORT_FR2052a!$1:$1048576,0,7),""</v>
      </c>
      <c r="BA138" s="137" t="s">
        <v>13</v>
      </c>
      <c r="BB138" s="137" t="str">
        <f>"=SUMIFS(INDEX(REPORT_FR2052a!$1:$1048576,0,"&amp;(MATCH(BA138,REPORT_FR2052a!$1:$1,0))&amp;")"</f>
        <v>=SUMIFS(INDEX(REPORT_FR2052a!$1:$1048576,0,14)</v>
      </c>
      <c r="BC138" s="137" t="str">
        <f t="shared" si="600"/>
        <v>=SUMIFS(INDEX(REPORT_FR2052a!$1:$1048576,0,14),INDEX(REPORT_FR2052a!$1:$1048576,0,44),"I.S.7",INDEX(REPORT_FR2052a!$1:$1048576,0,43),1,INDEX(REPORT_FR2052a!$1:$1048576,0,23),"Z-1",INDEX(REPORT_FR2052a!$1:$1048576,0,26),"Central Bank",INDEX(REPORT_FR2052a!$1:$1048576,0,7),"")</v>
      </c>
      <c r="BD138" s="141">
        <f>SUMIFS(INDEX(REPORT_FR2052a!$1:$1048576,0,14),INDEX(REPORT_FR2052a!$1:$1048576,0,44),"I.S.7",INDEX(REPORT_FR2052a!$1:$1048576,0,43),1,INDEX(REPORT_FR2052a!$1:$1048576,0,23),"Z-1",INDEX(REPORT_FR2052a!$1:$1048576,0,26),"Central Bank",INDEX(REPORT_FR2052a!$1:$1048576,0,7),"")</f>
        <v>0</v>
      </c>
      <c r="BE138" s="137" t="s">
        <v>331</v>
      </c>
      <c r="BF138" s="139" t="s">
        <v>47</v>
      </c>
      <c r="BG138" s="137" t="str">
        <f t="shared" si="616"/>
        <v>,INDEX(REPORT_FR2052a!$1:$1048576,0,5),"Bank of China - Combined US Branches and Agencies"</v>
      </c>
      <c r="BI138" s="137" t="str">
        <f t="shared" si="617"/>
        <v>=SUMIFS(INDEX(REPORT_FR2052a!$1:$1048576,0,14),INDEX(REPORT_FR2052a!$1:$1048576,0,44),"I.S.7",INDEX(REPORT_FR2052a!$1:$1048576,0,43),1,INDEX(REPORT_FR2052a!$1:$1048576,0,23),"Z-1",INDEX(REPORT_FR2052a!$1:$1048576,0,26),"Central Bank",INDEX(REPORT_FR2052a!$1:$1048576,0,7),"",INDEX(REPORT_FR2052a!$1:$1048576,0,5),"Bank of China - Combined US Branches and Agencies")</v>
      </c>
      <c r="BJ138" s="142">
        <f>SUMIFS(INDEX(REPORT_FR2052a!$1:$1048576,0,14),INDEX(REPORT_FR2052a!$1:$1048576,0,44),"I.S.7",INDEX(REPORT_FR2052a!$1:$1048576,0,43),1,INDEX(REPORT_FR2052a!$1:$1048576,0,23),"Z-1",INDEX(REPORT_FR2052a!$1:$1048576,0,26),"Central Bank",INDEX(REPORT_FR2052a!$1:$1048576,0,7),"",INDEX(REPORT_FR2052a!$1:$1048576,0,5),"Bank of China - Combined US Branches and Agencies")</f>
        <v>0</v>
      </c>
      <c r="BK138" s="143">
        <f t="shared" si="618"/>
        <v>0</v>
      </c>
    </row>
    <row r="139" spans="1:63">
      <c r="A139" s="136">
        <v>104</v>
      </c>
      <c r="B139" s="137" t="str">
        <f>IFERROR(INDEX('LCR TYPE EXPLAIN'!B:B,MATCH(A139,'LCR TYPE EXPLAIN'!A:A,0)),"")</f>
        <v>Financial and Central Bank Cash Inflow Amount (§.33(d)(1))</v>
      </c>
      <c r="F139" s="137" t="s">
        <v>331</v>
      </c>
      <c r="G139" s="138" t="s">
        <v>372</v>
      </c>
      <c r="H139" s="137" t="str">
        <f t="shared" si="604"/>
        <v>,INDEX(REPORT_FR2052a!$1:$1048576,0,44),"I.S.7"</v>
      </c>
      <c r="I139" s="137" t="s">
        <v>331</v>
      </c>
      <c r="J139" s="137">
        <v>1</v>
      </c>
      <c r="K139" s="137" t="str">
        <f t="shared" si="577"/>
        <v>,INDEX(REPORT_FR2052a!$1:$1048576,0,43),1</v>
      </c>
      <c r="N139" s="137" t="str">
        <f t="shared" si="578"/>
        <v/>
      </c>
      <c r="O139" s="137" t="s">
        <v>331</v>
      </c>
      <c r="P139" s="137" t="s">
        <v>64</v>
      </c>
      <c r="Q139" s="137" t="str">
        <f t="shared" si="542"/>
        <v>,INDEX(REPORT_FR2052a!$1:$1048576,0,23),"Z-1"</v>
      </c>
      <c r="T139" s="137" t="str">
        <f t="shared" si="579"/>
        <v/>
      </c>
      <c r="V139" s="139"/>
      <c r="W139" s="137" t="str">
        <f t="shared" si="580"/>
        <v/>
      </c>
      <c r="Y139" s="139"/>
      <c r="Z139" s="137" t="str">
        <f t="shared" si="581"/>
        <v/>
      </c>
      <c r="AB139" s="139"/>
      <c r="AC139" s="137" t="str">
        <f t="shared" si="582"/>
        <v/>
      </c>
      <c r="AD139" s="137" t="s">
        <v>331</v>
      </c>
      <c r="AE139" s="140" t="s">
        <v>759</v>
      </c>
      <c r="AF139" s="137" t="str">
        <f t="shared" si="583"/>
        <v>,INDEX(REPORT_FR2052a!$1:$1048576,0,26),"Bank"</v>
      </c>
      <c r="AH139" s="139"/>
      <c r="AI139" s="137" t="str">
        <f t="shared" si="584"/>
        <v/>
      </c>
      <c r="AK139" s="139"/>
      <c r="AL139" s="137" t="str">
        <f t="shared" si="585"/>
        <v/>
      </c>
      <c r="AO139" s="137" t="str">
        <f t="shared" si="573"/>
        <v/>
      </c>
      <c r="AR139" s="137" t="str">
        <f t="shared" si="214"/>
        <v/>
      </c>
      <c r="AU139" s="137" t="str">
        <f t="shared" si="488"/>
        <v/>
      </c>
      <c r="AV139" s="137" t="s">
        <v>331</v>
      </c>
      <c r="AW139" s="139" t="s">
        <v>762</v>
      </c>
      <c r="AX139" s="137" t="str">
        <f t="shared" si="586"/>
        <v>,INDEX(REPORT_FR2052a!$1:$1048576,0,7),""</v>
      </c>
      <c r="BA139" s="137" t="s">
        <v>13</v>
      </c>
      <c r="BB139" s="137" t="str">
        <f>"=SUMIFS(INDEX(REPORT_FR2052a!$1:$1048576,0,"&amp;(MATCH(BA139,REPORT_FR2052a!$1:$1,0))&amp;")"</f>
        <v>=SUMIFS(INDEX(REPORT_FR2052a!$1:$1048576,0,14)</v>
      </c>
      <c r="BC139" s="137" t="str">
        <f t="shared" si="600"/>
        <v>=SUMIFS(INDEX(REPORT_FR2052a!$1:$1048576,0,14),INDEX(REPORT_FR2052a!$1:$1048576,0,44),"I.S.7",INDEX(REPORT_FR2052a!$1:$1048576,0,43),1,INDEX(REPORT_FR2052a!$1:$1048576,0,23),"Z-1",INDEX(REPORT_FR2052a!$1:$1048576,0,26),"Bank",INDEX(REPORT_FR2052a!$1:$1048576,0,7),"")</v>
      </c>
      <c r="BD139" s="141">
        <f>SUMIFS(INDEX(REPORT_FR2052a!$1:$1048576,0,14),INDEX(REPORT_FR2052a!$1:$1048576,0,44),"I.S.7",INDEX(REPORT_FR2052a!$1:$1048576,0,43),1,INDEX(REPORT_FR2052a!$1:$1048576,0,23),"Z-1",INDEX(REPORT_FR2052a!$1:$1048576,0,26),"Bank",INDEX(REPORT_FR2052a!$1:$1048576,0,7),"")</f>
        <v>0</v>
      </c>
      <c r="BE139" s="137" t="s">
        <v>331</v>
      </c>
      <c r="BF139" s="139" t="s">
        <v>47</v>
      </c>
      <c r="BG139" s="137" t="str">
        <f t="shared" si="574"/>
        <v>,INDEX(REPORT_FR2052a!$1:$1048576,0,5),"Bank of China - Combined US Branches and Agencies"</v>
      </c>
      <c r="BI139" s="137" t="str">
        <f t="shared" si="587"/>
        <v>=SUMIFS(INDEX(REPORT_FR2052a!$1:$1048576,0,14),INDEX(REPORT_FR2052a!$1:$1048576,0,44),"I.S.7",INDEX(REPORT_FR2052a!$1:$1048576,0,43),1,INDEX(REPORT_FR2052a!$1:$1048576,0,23),"Z-1",INDEX(REPORT_FR2052a!$1:$1048576,0,26),"Bank",INDEX(REPORT_FR2052a!$1:$1048576,0,7),"",INDEX(REPORT_FR2052a!$1:$1048576,0,5),"Bank of China - Combined US Branches and Agencies")</v>
      </c>
      <c r="BJ139" s="142">
        <f>SUMIFS(INDEX(REPORT_FR2052a!$1:$1048576,0,14),INDEX(REPORT_FR2052a!$1:$1048576,0,44),"I.S.7",INDEX(REPORT_FR2052a!$1:$1048576,0,43),1,INDEX(REPORT_FR2052a!$1:$1048576,0,23),"Z-1",INDEX(REPORT_FR2052a!$1:$1048576,0,26),"Bank",INDEX(REPORT_FR2052a!$1:$1048576,0,7),"",INDEX(REPORT_FR2052a!$1:$1048576,0,5),"Bank of China - Combined US Branches and Agencies")</f>
        <v>0</v>
      </c>
      <c r="BK139" s="143">
        <f t="shared" si="588"/>
        <v>0</v>
      </c>
    </row>
    <row r="140" spans="1:63">
      <c r="A140" s="136">
        <v>105</v>
      </c>
      <c r="B140" s="137" t="str">
        <f>IFERROR(INDEX('LCR TYPE EXPLAIN'!B:B,MATCH(A140,'LCR TYPE EXPLAIN'!A:A,0)),"")</f>
        <v>Non-Financial Wholesale Cash Inflow Amount (§.33(d)(2))</v>
      </c>
      <c r="F140" s="137" t="s">
        <v>331</v>
      </c>
      <c r="G140" s="138" t="s">
        <v>377</v>
      </c>
      <c r="H140" s="137" t="str">
        <f t="shared" si="604"/>
        <v>,INDEX(REPORT_FR2052a!$1:$1048576,0,44),"I.U.1"</v>
      </c>
      <c r="I140" s="137" t="s">
        <v>331</v>
      </c>
      <c r="J140" s="137">
        <v>1</v>
      </c>
      <c r="K140" s="137" t="str">
        <f t="shared" si="577"/>
        <v>,INDEX(REPORT_FR2052a!$1:$1048576,0,43),1</v>
      </c>
      <c r="N140" s="137" t="str">
        <f t="shared" si="578"/>
        <v/>
      </c>
      <c r="Q140" s="137" t="str">
        <f t="shared" si="542"/>
        <v/>
      </c>
      <c r="T140" s="137" t="str">
        <f t="shared" si="579"/>
        <v/>
      </c>
      <c r="V140" s="139"/>
      <c r="W140" s="137" t="str">
        <f t="shared" si="580"/>
        <v/>
      </c>
      <c r="Y140" s="139"/>
      <c r="Z140" s="137" t="str">
        <f t="shared" si="581"/>
        <v/>
      </c>
      <c r="AB140" s="139"/>
      <c r="AC140" s="137" t="str">
        <f t="shared" si="582"/>
        <v/>
      </c>
      <c r="AD140" s="137" t="s">
        <v>331</v>
      </c>
      <c r="AE140" s="140" t="s">
        <v>84</v>
      </c>
      <c r="AF140" s="137" t="str">
        <f t="shared" si="583"/>
        <v>,INDEX(REPORT_FR2052a!$1:$1048576,0,26),"Non-Financial Corporate"</v>
      </c>
      <c r="AH140" s="139"/>
      <c r="AI140" s="137" t="str">
        <f t="shared" si="584"/>
        <v/>
      </c>
      <c r="AK140" s="139"/>
      <c r="AL140" s="137" t="str">
        <f t="shared" si="585"/>
        <v/>
      </c>
      <c r="AO140" s="137" t="str">
        <f t="shared" si="573"/>
        <v/>
      </c>
      <c r="AR140" s="137" t="str">
        <f t="shared" si="214"/>
        <v/>
      </c>
      <c r="AU140" s="137" t="str">
        <f t="shared" si="488"/>
        <v/>
      </c>
      <c r="AV140" s="137" t="s">
        <v>331</v>
      </c>
      <c r="AW140" s="139" t="s">
        <v>762</v>
      </c>
      <c r="AX140" s="137" t="str">
        <f t="shared" si="586"/>
        <v>,INDEX(REPORT_FR2052a!$1:$1048576,0,7),""</v>
      </c>
      <c r="BA140" s="137" t="s">
        <v>13</v>
      </c>
      <c r="BB140" s="137" t="str">
        <f>"=SUMIFS(INDEX(REPORT_FR2052a!$1:$1048576,0,"&amp;(MATCH(BA140,REPORT_FR2052a!$1:$1,0))&amp;")"</f>
        <v>=SUMIFS(INDEX(REPORT_FR2052a!$1:$1048576,0,14)</v>
      </c>
      <c r="BC140" s="137" t="str">
        <f t="shared" si="600"/>
        <v>=SUMIFS(INDEX(REPORT_FR2052a!$1:$1048576,0,14),INDEX(REPORT_FR2052a!$1:$1048576,0,44),"I.U.1",INDEX(REPORT_FR2052a!$1:$1048576,0,43),1,INDEX(REPORT_FR2052a!$1:$1048576,0,26),"Non-Financial Corporate",INDEX(REPORT_FR2052a!$1:$1048576,0,7),"")</v>
      </c>
      <c r="BD140" s="141">
        <f>SUMIFS(INDEX(REPORT_FR2052a!$1:$1048576,0,14),INDEX(REPORT_FR2052a!$1:$1048576,0,44),"I.U.1",INDEX(REPORT_FR2052a!$1:$1048576,0,43),1,INDEX(REPORT_FR2052a!$1:$1048576,0,26),"Non-Financial Corporate",INDEX(REPORT_FR2052a!$1:$1048576,0,7),"")</f>
        <v>0</v>
      </c>
      <c r="BE140" s="137" t="s">
        <v>331</v>
      </c>
      <c r="BF140" s="139" t="s">
        <v>47</v>
      </c>
      <c r="BG140" s="137" t="str">
        <f t="shared" si="574"/>
        <v>,INDEX(REPORT_FR2052a!$1:$1048576,0,5),"Bank of China - Combined US Branches and Agencies"</v>
      </c>
      <c r="BI140" s="137" t="str">
        <f t="shared" si="587"/>
        <v>=SUMIFS(INDEX(REPORT_FR2052a!$1:$1048576,0,14),INDEX(REPORT_FR2052a!$1:$1048576,0,44),"I.U.1",INDEX(REPORT_FR2052a!$1:$1048576,0,43),1,INDEX(REPORT_FR2052a!$1:$1048576,0,26),"Non-Financial Corporate",INDEX(REPORT_FR2052a!$1:$1048576,0,7),"",INDEX(REPORT_FR2052a!$1:$1048576,0,5),"Bank of China - Combined US Branches and Agencies")</v>
      </c>
      <c r="BJ140" s="142">
        <f>SUMIFS(INDEX(REPORT_FR2052a!$1:$1048576,0,14),INDEX(REPORT_FR2052a!$1:$1048576,0,44),"I.U.1",INDEX(REPORT_FR2052a!$1:$1048576,0,43),1,INDEX(REPORT_FR2052a!$1:$1048576,0,26),"Non-Financial Corporate",INDEX(REPORT_FR2052a!$1:$1048576,0,7),"",INDEX(REPORT_FR2052a!$1:$1048576,0,5),"Bank of China - Combined US Branches and Agencies")</f>
        <v>0</v>
      </c>
      <c r="BK140" s="143">
        <f t="shared" si="588"/>
        <v>0</v>
      </c>
    </row>
    <row r="141" spans="1:63">
      <c r="A141" s="136">
        <v>105</v>
      </c>
      <c r="B141" s="137" t="str">
        <f>IFERROR(INDEX('LCR TYPE EXPLAIN'!B:B,MATCH(A141,'LCR TYPE EXPLAIN'!A:A,0)),"")</f>
        <v>Non-Financial Wholesale Cash Inflow Amount (§.33(d)(2))</v>
      </c>
      <c r="F141" s="137" t="s">
        <v>331</v>
      </c>
      <c r="G141" s="138" t="s">
        <v>376</v>
      </c>
      <c r="H141" s="137" t="str">
        <f t="shared" si="604"/>
        <v>,INDEX(REPORT_FR2052a!$1:$1048576,0,44),"I.U.2"</v>
      </c>
      <c r="I141" s="137" t="s">
        <v>331</v>
      </c>
      <c r="J141" s="137">
        <v>1</v>
      </c>
      <c r="K141" s="137" t="str">
        <f t="shared" si="577"/>
        <v>,INDEX(REPORT_FR2052a!$1:$1048576,0,43),1</v>
      </c>
      <c r="N141" s="137" t="str">
        <f t="shared" si="578"/>
        <v/>
      </c>
      <c r="Q141" s="137" t="str">
        <f t="shared" si="542"/>
        <v/>
      </c>
      <c r="T141" s="137" t="str">
        <f t="shared" si="579"/>
        <v/>
      </c>
      <c r="V141" s="139"/>
      <c r="W141" s="137" t="str">
        <f t="shared" si="580"/>
        <v/>
      </c>
      <c r="Y141" s="139"/>
      <c r="Z141" s="137" t="str">
        <f t="shared" si="581"/>
        <v/>
      </c>
      <c r="AB141" s="139"/>
      <c r="AC141" s="137" t="str">
        <f t="shared" si="582"/>
        <v/>
      </c>
      <c r="AD141" s="137" t="s">
        <v>331</v>
      </c>
      <c r="AE141" s="140" t="s">
        <v>84</v>
      </c>
      <c r="AF141" s="137" t="str">
        <f t="shared" si="583"/>
        <v>,INDEX(REPORT_FR2052a!$1:$1048576,0,26),"Non-Financial Corporate"</v>
      </c>
      <c r="AH141" s="139"/>
      <c r="AI141" s="137" t="str">
        <f t="shared" si="584"/>
        <v/>
      </c>
      <c r="AK141" s="139"/>
      <c r="AL141" s="137" t="str">
        <f t="shared" si="585"/>
        <v/>
      </c>
      <c r="AO141" s="137" t="str">
        <f t="shared" si="573"/>
        <v/>
      </c>
      <c r="AR141" s="137" t="str">
        <f t="shared" si="214"/>
        <v/>
      </c>
      <c r="AU141" s="137" t="str">
        <f t="shared" si="488"/>
        <v/>
      </c>
      <c r="AV141" s="137" t="s">
        <v>331</v>
      </c>
      <c r="AW141" s="139" t="s">
        <v>762</v>
      </c>
      <c r="AX141" s="137" t="str">
        <f t="shared" si="586"/>
        <v>,INDEX(REPORT_FR2052a!$1:$1048576,0,7),""</v>
      </c>
      <c r="BA141" s="137" t="s">
        <v>13</v>
      </c>
      <c r="BB141" s="137" t="str">
        <f>"=SUMIFS(INDEX(REPORT_FR2052a!$1:$1048576,0,"&amp;(MATCH(BA141,REPORT_FR2052a!$1:$1,0))&amp;")"</f>
        <v>=SUMIFS(INDEX(REPORT_FR2052a!$1:$1048576,0,14)</v>
      </c>
      <c r="BC141" s="137" t="str">
        <f t="shared" si="600"/>
        <v>=SUMIFS(INDEX(REPORT_FR2052a!$1:$1048576,0,14),INDEX(REPORT_FR2052a!$1:$1048576,0,44),"I.U.2",INDEX(REPORT_FR2052a!$1:$1048576,0,43),1,INDEX(REPORT_FR2052a!$1:$1048576,0,26),"Non-Financial Corporate",INDEX(REPORT_FR2052a!$1:$1048576,0,7),"")</v>
      </c>
      <c r="BD141" s="141">
        <f>SUMIFS(INDEX(REPORT_FR2052a!$1:$1048576,0,14),INDEX(REPORT_FR2052a!$1:$1048576,0,44),"I.U.2",INDEX(REPORT_FR2052a!$1:$1048576,0,43),1,INDEX(REPORT_FR2052a!$1:$1048576,0,26),"Non-Financial Corporate",INDEX(REPORT_FR2052a!$1:$1048576,0,7),"")</f>
        <v>0</v>
      </c>
      <c r="BE141" s="137" t="s">
        <v>331</v>
      </c>
      <c r="BF141" s="139" t="s">
        <v>47</v>
      </c>
      <c r="BG141" s="137" t="str">
        <f t="shared" si="574"/>
        <v>,INDEX(REPORT_FR2052a!$1:$1048576,0,5),"Bank of China - Combined US Branches and Agencies"</v>
      </c>
      <c r="BI141" s="137" t="str">
        <f t="shared" si="587"/>
        <v>=SUMIFS(INDEX(REPORT_FR2052a!$1:$1048576,0,14),INDEX(REPORT_FR2052a!$1:$1048576,0,44),"I.U.2",INDEX(REPORT_FR2052a!$1:$1048576,0,43),1,INDEX(REPORT_FR2052a!$1:$1048576,0,26),"Non-Financial Corporate",INDEX(REPORT_FR2052a!$1:$1048576,0,7),"",INDEX(REPORT_FR2052a!$1:$1048576,0,5),"Bank of China - Combined US Branches and Agencies")</v>
      </c>
      <c r="BJ141" s="142">
        <f>SUMIFS(INDEX(REPORT_FR2052a!$1:$1048576,0,14),INDEX(REPORT_FR2052a!$1:$1048576,0,44),"I.U.2",INDEX(REPORT_FR2052a!$1:$1048576,0,43),1,INDEX(REPORT_FR2052a!$1:$1048576,0,26),"Non-Financial Corporate",INDEX(REPORT_FR2052a!$1:$1048576,0,7),"",INDEX(REPORT_FR2052a!$1:$1048576,0,5),"Bank of China - Combined US Branches and Agencies")</f>
        <v>0</v>
      </c>
      <c r="BK141" s="143">
        <f t="shared" si="588"/>
        <v>0</v>
      </c>
    </row>
    <row r="142" spans="1:63">
      <c r="A142" s="136">
        <v>105</v>
      </c>
      <c r="B142" s="137" t="str">
        <f>IFERROR(INDEX('LCR TYPE EXPLAIN'!B:B,MATCH(A142,'LCR TYPE EXPLAIN'!A:A,0)),"")</f>
        <v>Non-Financial Wholesale Cash Inflow Amount (§.33(d)(2))</v>
      </c>
      <c r="F142" s="137" t="s">
        <v>331</v>
      </c>
      <c r="G142" s="138" t="s">
        <v>375</v>
      </c>
      <c r="H142" s="137" t="str">
        <f t="shared" si="604"/>
        <v>,INDEX(REPORT_FR2052a!$1:$1048576,0,44),"I.U.6"</v>
      </c>
      <c r="I142" s="137" t="s">
        <v>331</v>
      </c>
      <c r="J142" s="137">
        <v>1</v>
      </c>
      <c r="K142" s="137" t="str">
        <f t="shared" si="577"/>
        <v>,INDEX(REPORT_FR2052a!$1:$1048576,0,43),1</v>
      </c>
      <c r="N142" s="137" t="str">
        <f t="shared" si="578"/>
        <v/>
      </c>
      <c r="Q142" s="137" t="str">
        <f t="shared" si="542"/>
        <v/>
      </c>
      <c r="T142" s="137" t="str">
        <f t="shared" si="579"/>
        <v/>
      </c>
      <c r="V142" s="139"/>
      <c r="W142" s="137" t="str">
        <f t="shared" si="580"/>
        <v/>
      </c>
      <c r="Y142" s="139"/>
      <c r="Z142" s="137" t="str">
        <f t="shared" si="581"/>
        <v/>
      </c>
      <c r="AB142" s="139"/>
      <c r="AC142" s="137" t="str">
        <f t="shared" si="582"/>
        <v/>
      </c>
      <c r="AD142" s="137" t="s">
        <v>331</v>
      </c>
      <c r="AE142" s="140" t="s">
        <v>84</v>
      </c>
      <c r="AF142" s="137" t="str">
        <f t="shared" si="583"/>
        <v>,INDEX(REPORT_FR2052a!$1:$1048576,0,26),"Non-Financial Corporate"</v>
      </c>
      <c r="AH142" s="139"/>
      <c r="AI142" s="137" t="str">
        <f t="shared" si="584"/>
        <v/>
      </c>
      <c r="AK142" s="139"/>
      <c r="AL142" s="137" t="str">
        <f t="shared" si="585"/>
        <v/>
      </c>
      <c r="AO142" s="137" t="str">
        <f t="shared" si="573"/>
        <v/>
      </c>
      <c r="AR142" s="137" t="str">
        <f t="shared" si="214"/>
        <v/>
      </c>
      <c r="AU142" s="137" t="str">
        <f t="shared" si="488"/>
        <v/>
      </c>
      <c r="AV142" s="137" t="s">
        <v>331</v>
      </c>
      <c r="AW142" s="139" t="s">
        <v>762</v>
      </c>
      <c r="AX142" s="137" t="str">
        <f t="shared" si="586"/>
        <v>,INDEX(REPORT_FR2052a!$1:$1048576,0,7),""</v>
      </c>
      <c r="BA142" s="137" t="s">
        <v>13</v>
      </c>
      <c r="BB142" s="137" t="str">
        <f>"=SUMIFS(INDEX(REPORT_FR2052a!$1:$1048576,0,"&amp;(MATCH(BA142,REPORT_FR2052a!$1:$1,0))&amp;")"</f>
        <v>=SUMIFS(INDEX(REPORT_FR2052a!$1:$1048576,0,14)</v>
      </c>
      <c r="BC142" s="137" t="str">
        <f t="shared" si="600"/>
        <v>=SUMIFS(INDEX(REPORT_FR2052a!$1:$1048576,0,14),INDEX(REPORT_FR2052a!$1:$1048576,0,44),"I.U.6",INDEX(REPORT_FR2052a!$1:$1048576,0,43),1,INDEX(REPORT_FR2052a!$1:$1048576,0,26),"Non-Financial Corporate",INDEX(REPORT_FR2052a!$1:$1048576,0,7),"")</v>
      </c>
      <c r="BD142" s="141">
        <f>SUMIFS(INDEX(REPORT_FR2052a!$1:$1048576,0,14),INDEX(REPORT_FR2052a!$1:$1048576,0,44),"I.U.6",INDEX(REPORT_FR2052a!$1:$1048576,0,43),1,INDEX(REPORT_FR2052a!$1:$1048576,0,26),"Non-Financial Corporate",INDEX(REPORT_FR2052a!$1:$1048576,0,7),"")</f>
        <v>94.259999999999991</v>
      </c>
      <c r="BE142" s="137" t="s">
        <v>331</v>
      </c>
      <c r="BF142" s="139" t="s">
        <v>47</v>
      </c>
      <c r="BG142" s="137" t="str">
        <f t="shared" si="574"/>
        <v>,INDEX(REPORT_FR2052a!$1:$1048576,0,5),"Bank of China - Combined US Branches and Agencies"</v>
      </c>
      <c r="BI142" s="137" t="str">
        <f t="shared" si="587"/>
        <v>=SUMIFS(INDEX(REPORT_FR2052a!$1:$1048576,0,14),INDEX(REPORT_FR2052a!$1:$1048576,0,44),"I.U.6",INDEX(REPORT_FR2052a!$1:$1048576,0,43),1,INDEX(REPORT_FR2052a!$1:$1048576,0,26),"Non-Financial Corporate",INDEX(REPORT_FR2052a!$1:$1048576,0,7),"",INDEX(REPORT_FR2052a!$1:$1048576,0,5),"Bank of China - Combined US Branches and Agencies")</v>
      </c>
      <c r="BJ142" s="142">
        <f>SUMIFS(INDEX(REPORT_FR2052a!$1:$1048576,0,14),INDEX(REPORT_FR2052a!$1:$1048576,0,44),"I.U.6",INDEX(REPORT_FR2052a!$1:$1048576,0,43),1,INDEX(REPORT_FR2052a!$1:$1048576,0,26),"Non-Financial Corporate",INDEX(REPORT_FR2052a!$1:$1048576,0,7),"",INDEX(REPORT_FR2052a!$1:$1048576,0,5),"Bank of China - Combined US Branches and Agencies")</f>
        <v>85.41</v>
      </c>
      <c r="BK142" s="143">
        <f t="shared" si="588"/>
        <v>8.8499999999999943</v>
      </c>
    </row>
    <row r="143" spans="1:63">
      <c r="A143" s="136">
        <v>105</v>
      </c>
      <c r="B143" s="137" t="str">
        <f>IFERROR(INDEX('LCR TYPE EXPLAIN'!B:B,MATCH(A143,'LCR TYPE EXPLAIN'!A:A,0)),"")</f>
        <v>Non-Financial Wholesale Cash Inflow Amount (§.33(d)(2))</v>
      </c>
      <c r="F143" s="137" t="s">
        <v>331</v>
      </c>
      <c r="G143" s="138" t="s">
        <v>377</v>
      </c>
      <c r="H143" s="137" t="str">
        <f t="shared" si="604"/>
        <v>,INDEX(REPORT_FR2052a!$1:$1048576,0,44),"I.U.1"</v>
      </c>
      <c r="I143" s="137" t="s">
        <v>331</v>
      </c>
      <c r="J143" s="137">
        <v>1</v>
      </c>
      <c r="K143" s="137" t="str">
        <f t="shared" ref="K143:K145" si="619">IF(I143="","",",INDEX(REPORT_FR2052a!$1:$1048576,0,"&amp;K$2&amp;"),"&amp;IF(ISTEXT(J143),CHAR(34),"")&amp;IF(I143="is","",""&amp;"&lt;&gt;")&amp;J143&amp;IF(ISTEXT(J143),CHAR(34),""))</f>
        <v>,INDEX(REPORT_FR2052a!$1:$1048576,0,43),1</v>
      </c>
      <c r="N143" s="137" t="str">
        <f t="shared" ref="N143:N145" si="620">IF(L143="","",",INDEX(REPORT_FR2052a!$1:$1048576,0,"&amp;N$2&amp;"),"&amp;IF(ISTEXT(M143),CHAR(34),"")&amp;IF(L143="is","",""&amp;"&lt;&gt;")&amp;M143&amp;IF(ISTEXT(M143),CHAR(34),""))</f>
        <v/>
      </c>
      <c r="Q143" s="137" t="str">
        <f t="shared" ref="Q143:Q145" si="621">IF(O143="","",",INDEX(REPORT_FR2052a!$1:$1048576,0,"&amp;Q$2&amp;"),"&amp;IF(OR(ISTEXT(P143),ISBLANK(P143)),CHAR(34),"")&amp;IF(O143="is","",""&amp;"&lt;&gt;")&amp;P143&amp;IF(OR(ISTEXT(P143),ISBLANK(P143)),CHAR(34),""))</f>
        <v/>
      </c>
      <c r="T143" s="137" t="str">
        <f t="shared" ref="T143:T145" si="622">IF(R143="","",",INDEX(REPORT_FR2052a!$1:$1048576,0,"&amp;T$2&amp;"),"&amp;IF(ISTEXT(S143),CHAR(34),"")&amp;IF(R143="is","",""&amp;"&lt;&gt;")&amp;S143&amp;IF(ISTEXT(S143),CHAR(34),""))</f>
        <v/>
      </c>
      <c r="V143" s="139"/>
      <c r="W143" s="137" t="str">
        <f t="shared" ref="W143:W145" si="623">IF(U143="","",",INDEX(REPORT_FR2052a!$1:$1048576,0,"&amp;W$2&amp;"),"&amp;IF(ISTEXT(V143),CHAR(34),"")&amp;IF(U143="is","",""&amp;"&lt;&gt;")&amp;V143&amp;IF(ISTEXT(V143),CHAR(34),""))</f>
        <v/>
      </c>
      <c r="Y143" s="139"/>
      <c r="Z143" s="137" t="str">
        <f t="shared" ref="Z143:Z145" si="624">IF(X143="","",",INDEX(REPORT_FR2052a!$1:$1048576,0,"&amp;Z$2&amp;"),"&amp;IF(ISTEXT(Y143),CHAR(34),"")&amp;IF(X143="is","",""&amp;"&lt;&gt;")&amp;Y143&amp;IF(ISTEXT(Y143),CHAR(34),""))</f>
        <v/>
      </c>
      <c r="AB143" s="139"/>
      <c r="AC143" s="137" t="str">
        <f t="shared" ref="AC143:AC145" si="625">IF(AA143="","",",INDEX(REPORT_FR2052a!$1:$1048576,0,"&amp;AC$2&amp;"),"&amp;IF(ISTEXT(AB143),CHAR(34),"")&amp;IF(AA143="is","",""&amp;"&lt;&gt;")&amp;AB143&amp;IF(ISTEXT(AB143),CHAR(34),""))</f>
        <v/>
      </c>
      <c r="AD143" s="137" t="s">
        <v>331</v>
      </c>
      <c r="AE143" s="140" t="s">
        <v>162</v>
      </c>
      <c r="AF143" s="137" t="str">
        <f t="shared" ref="AF143:AF145" si="626">IF(AD143="","",",INDEX(REPORT_FR2052a!$1:$1048576,0,"&amp;AF$2&amp;"),"&amp;IF(ISTEXT(AE143),CHAR(34),"")&amp;IF(AD143="is","",""&amp;"&lt;&gt;")&amp;AE143&amp;IF(ISTEXT(AE143),CHAR(34),""))</f>
        <v>,INDEX(REPORT_FR2052a!$1:$1048576,0,26),"Sovereign"</v>
      </c>
      <c r="AH143" s="139"/>
      <c r="AI143" s="137" t="str">
        <f t="shared" ref="AI143:AI145" si="627">IF(AG143="","",",INDEX(REPORT_FR2052a!$1:$1048576,0,"&amp;AI$2&amp;"),"&amp;IF(ISTEXT(AH143),CHAR(34),"")&amp;IF(AG143="is","",""&amp;"&lt;&gt;")&amp;AH143&amp;IF(ISTEXT(AH143),CHAR(34),""))</f>
        <v/>
      </c>
      <c r="AK143" s="139"/>
      <c r="AL143" s="137" t="str">
        <f t="shared" ref="AL143:AL145" si="628">IF(AJ143="","",",INDEX(REPORT_FR2052a!$1:$1048576,0,"&amp;AL$2&amp;"),"&amp;IF(ISTEXT(AK143),CHAR(34),"")&amp;IF(AJ143="is","",""&amp;"&lt;&gt;")&amp;AK143&amp;IF(ISTEXT(AK143),CHAR(34),""))</f>
        <v/>
      </c>
      <c r="AO143" s="137" t="str">
        <f t="shared" ref="AO143:AO145" si="629">IF(AM143="","",",INDEX(REPORT_FR2052a!$1:$1048576,0,"&amp;AO$2&amp;"),"&amp;IF(ISTEXT(AN143),CHAR(34),"")&amp;IF(AM143="is","",""&amp;"&lt;&gt;")&amp;AN143&amp;IF(ISTEXT(AN143),CHAR(34),""))</f>
        <v/>
      </c>
      <c r="AR143" s="137" t="str">
        <f t="shared" si="214"/>
        <v/>
      </c>
      <c r="AU143" s="137" t="str">
        <f t="shared" si="488"/>
        <v/>
      </c>
      <c r="AV143" s="137" t="s">
        <v>331</v>
      </c>
      <c r="AW143" s="139" t="s">
        <v>762</v>
      </c>
      <c r="AX143" s="137" t="str">
        <f t="shared" si="586"/>
        <v>,INDEX(REPORT_FR2052a!$1:$1048576,0,7),""</v>
      </c>
      <c r="BA143" s="137" t="s">
        <v>13</v>
      </c>
      <c r="BB143" s="137" t="str">
        <f>"=SUMIFS(INDEX(REPORT_FR2052a!$1:$1048576,0,"&amp;(MATCH(BA143,REPORT_FR2052a!$1:$1,0))&amp;")"</f>
        <v>=SUMIFS(INDEX(REPORT_FR2052a!$1:$1048576,0,14)</v>
      </c>
      <c r="BC143" s="137" t="str">
        <f t="shared" si="600"/>
        <v>=SUMIFS(INDEX(REPORT_FR2052a!$1:$1048576,0,14),INDEX(REPORT_FR2052a!$1:$1048576,0,44),"I.U.1",INDEX(REPORT_FR2052a!$1:$1048576,0,43),1,INDEX(REPORT_FR2052a!$1:$1048576,0,26),"Sovereign",INDEX(REPORT_FR2052a!$1:$1048576,0,7),"")</v>
      </c>
      <c r="BD143" s="141">
        <f>SUMIFS(INDEX(REPORT_FR2052a!$1:$1048576,0,14),INDEX(REPORT_FR2052a!$1:$1048576,0,44),"I.U.1",INDEX(REPORT_FR2052a!$1:$1048576,0,43),1,INDEX(REPORT_FR2052a!$1:$1048576,0,26),"Sovereign",INDEX(REPORT_FR2052a!$1:$1048576,0,7),"")</f>
        <v>0</v>
      </c>
      <c r="BE143" s="137" t="s">
        <v>331</v>
      </c>
      <c r="BF143" s="139" t="s">
        <v>47</v>
      </c>
      <c r="BG143" s="137" t="str">
        <f t="shared" ref="BG143:BG145" si="630">IF(BE143="","",",INDEX(REPORT_FR2052a!$1:$1048576,0,"&amp;BG$2&amp;"),"&amp;IF(ISTEXT(BF143),CHAR(34),"")&amp;IF(BE143="is","",""&amp;"&lt;&gt;")&amp;BF143&amp;IF(ISTEXT(BF143),CHAR(34),""))</f>
        <v>,INDEX(REPORT_FR2052a!$1:$1048576,0,5),"Bank of China - Combined US Branches and Agencies"</v>
      </c>
      <c r="BI143" s="137" t="str">
        <f t="shared" ref="BI143:BI145" si="631">LEFT(BC143,LEN(BC143)-1)&amp;BG143&amp;")"</f>
        <v>=SUMIFS(INDEX(REPORT_FR2052a!$1:$1048576,0,14),INDEX(REPORT_FR2052a!$1:$1048576,0,44),"I.U.1",INDEX(REPORT_FR2052a!$1:$1048576,0,43),1,INDEX(REPORT_FR2052a!$1:$1048576,0,26),"Sovereign",INDEX(REPORT_FR2052a!$1:$1048576,0,7),"",INDEX(REPORT_FR2052a!$1:$1048576,0,5),"Bank of China - Combined US Branches and Agencies")</v>
      </c>
      <c r="BJ143" s="142">
        <f>SUMIFS(INDEX(REPORT_FR2052a!$1:$1048576,0,14),INDEX(REPORT_FR2052a!$1:$1048576,0,44),"I.U.1",INDEX(REPORT_FR2052a!$1:$1048576,0,43),1,INDEX(REPORT_FR2052a!$1:$1048576,0,26),"Sovereign",INDEX(REPORT_FR2052a!$1:$1048576,0,7),"",INDEX(REPORT_FR2052a!$1:$1048576,0,5),"Bank of China - Combined US Branches and Agencies")</f>
        <v>0</v>
      </c>
      <c r="BK143" s="143">
        <f t="shared" ref="BK143:BK145" si="632">BD143-BJ143</f>
        <v>0</v>
      </c>
    </row>
    <row r="144" spans="1:63">
      <c r="A144" s="136">
        <v>105</v>
      </c>
      <c r="B144" s="137" t="str">
        <f>IFERROR(INDEX('LCR TYPE EXPLAIN'!B:B,MATCH(A144,'LCR TYPE EXPLAIN'!A:A,0)),"")</f>
        <v>Non-Financial Wholesale Cash Inflow Amount (§.33(d)(2))</v>
      </c>
      <c r="F144" s="137" t="s">
        <v>331</v>
      </c>
      <c r="G144" s="138" t="s">
        <v>376</v>
      </c>
      <c r="H144" s="137" t="str">
        <f t="shared" si="604"/>
        <v>,INDEX(REPORT_FR2052a!$1:$1048576,0,44),"I.U.2"</v>
      </c>
      <c r="I144" s="137" t="s">
        <v>331</v>
      </c>
      <c r="J144" s="137">
        <v>1</v>
      </c>
      <c r="K144" s="137" t="str">
        <f t="shared" si="619"/>
        <v>,INDEX(REPORT_FR2052a!$1:$1048576,0,43),1</v>
      </c>
      <c r="N144" s="137" t="str">
        <f t="shared" si="620"/>
        <v/>
      </c>
      <c r="Q144" s="137" t="str">
        <f t="shared" si="621"/>
        <v/>
      </c>
      <c r="T144" s="137" t="str">
        <f t="shared" si="622"/>
        <v/>
      </c>
      <c r="V144" s="139"/>
      <c r="W144" s="137" t="str">
        <f t="shared" si="623"/>
        <v/>
      </c>
      <c r="Y144" s="139"/>
      <c r="Z144" s="137" t="str">
        <f t="shared" si="624"/>
        <v/>
      </c>
      <c r="AB144" s="139"/>
      <c r="AC144" s="137" t="str">
        <f t="shared" si="625"/>
        <v/>
      </c>
      <c r="AD144" s="137" t="s">
        <v>331</v>
      </c>
      <c r="AE144" s="140" t="s">
        <v>162</v>
      </c>
      <c r="AF144" s="137" t="str">
        <f t="shared" si="626"/>
        <v>,INDEX(REPORT_FR2052a!$1:$1048576,0,26),"Sovereign"</v>
      </c>
      <c r="AH144" s="139"/>
      <c r="AI144" s="137" t="str">
        <f t="shared" si="627"/>
        <v/>
      </c>
      <c r="AK144" s="139"/>
      <c r="AL144" s="137" t="str">
        <f t="shared" si="628"/>
        <v/>
      </c>
      <c r="AO144" s="137" t="str">
        <f t="shared" si="629"/>
        <v/>
      </c>
      <c r="AR144" s="137" t="str">
        <f t="shared" si="214"/>
        <v/>
      </c>
      <c r="AU144" s="137" t="str">
        <f t="shared" si="488"/>
        <v/>
      </c>
      <c r="AV144" s="137" t="s">
        <v>331</v>
      </c>
      <c r="AW144" s="139" t="s">
        <v>762</v>
      </c>
      <c r="AX144" s="137" t="str">
        <f t="shared" si="586"/>
        <v>,INDEX(REPORT_FR2052a!$1:$1048576,0,7),""</v>
      </c>
      <c r="BA144" s="137" t="s">
        <v>13</v>
      </c>
      <c r="BB144" s="137" t="str">
        <f>"=SUMIFS(INDEX(REPORT_FR2052a!$1:$1048576,0,"&amp;(MATCH(BA144,REPORT_FR2052a!$1:$1,0))&amp;")"</f>
        <v>=SUMIFS(INDEX(REPORT_FR2052a!$1:$1048576,0,14)</v>
      </c>
      <c r="BC144" s="137" t="str">
        <f t="shared" si="600"/>
        <v>=SUMIFS(INDEX(REPORT_FR2052a!$1:$1048576,0,14),INDEX(REPORT_FR2052a!$1:$1048576,0,44),"I.U.2",INDEX(REPORT_FR2052a!$1:$1048576,0,43),1,INDEX(REPORT_FR2052a!$1:$1048576,0,26),"Sovereign",INDEX(REPORT_FR2052a!$1:$1048576,0,7),"")</v>
      </c>
      <c r="BD144" s="141">
        <f>SUMIFS(INDEX(REPORT_FR2052a!$1:$1048576,0,14),INDEX(REPORT_FR2052a!$1:$1048576,0,44),"I.U.2",INDEX(REPORT_FR2052a!$1:$1048576,0,43),1,INDEX(REPORT_FR2052a!$1:$1048576,0,26),"Sovereign",INDEX(REPORT_FR2052a!$1:$1048576,0,7),"")</f>
        <v>0</v>
      </c>
      <c r="BE144" s="137" t="s">
        <v>331</v>
      </c>
      <c r="BF144" s="139" t="s">
        <v>47</v>
      </c>
      <c r="BG144" s="137" t="str">
        <f t="shared" si="630"/>
        <v>,INDEX(REPORT_FR2052a!$1:$1048576,0,5),"Bank of China - Combined US Branches and Agencies"</v>
      </c>
      <c r="BI144" s="137" t="str">
        <f t="shared" si="631"/>
        <v>=SUMIFS(INDEX(REPORT_FR2052a!$1:$1048576,0,14),INDEX(REPORT_FR2052a!$1:$1048576,0,44),"I.U.2",INDEX(REPORT_FR2052a!$1:$1048576,0,43),1,INDEX(REPORT_FR2052a!$1:$1048576,0,26),"Sovereign",INDEX(REPORT_FR2052a!$1:$1048576,0,7),"",INDEX(REPORT_FR2052a!$1:$1048576,0,5),"Bank of China - Combined US Branches and Agencies")</v>
      </c>
      <c r="BJ144" s="142">
        <f>SUMIFS(INDEX(REPORT_FR2052a!$1:$1048576,0,14),INDEX(REPORT_FR2052a!$1:$1048576,0,44),"I.U.2",INDEX(REPORT_FR2052a!$1:$1048576,0,43),1,INDEX(REPORT_FR2052a!$1:$1048576,0,26),"Sovereign",INDEX(REPORT_FR2052a!$1:$1048576,0,7),"",INDEX(REPORT_FR2052a!$1:$1048576,0,5),"Bank of China - Combined US Branches and Agencies")</f>
        <v>0</v>
      </c>
      <c r="BK144" s="143">
        <f t="shared" si="632"/>
        <v>0</v>
      </c>
    </row>
    <row r="145" spans="1:63">
      <c r="A145" s="136">
        <v>105</v>
      </c>
      <c r="B145" s="137" t="str">
        <f>IFERROR(INDEX('LCR TYPE EXPLAIN'!B:B,MATCH(A145,'LCR TYPE EXPLAIN'!A:A,0)),"")</f>
        <v>Non-Financial Wholesale Cash Inflow Amount (§.33(d)(2))</v>
      </c>
      <c r="F145" s="137" t="s">
        <v>331</v>
      </c>
      <c r="G145" s="138" t="s">
        <v>375</v>
      </c>
      <c r="H145" s="137" t="str">
        <f t="shared" si="604"/>
        <v>,INDEX(REPORT_FR2052a!$1:$1048576,0,44),"I.U.6"</v>
      </c>
      <c r="I145" s="137" t="s">
        <v>331</v>
      </c>
      <c r="J145" s="137">
        <v>1</v>
      </c>
      <c r="K145" s="137" t="str">
        <f t="shared" si="619"/>
        <v>,INDEX(REPORT_FR2052a!$1:$1048576,0,43),1</v>
      </c>
      <c r="N145" s="137" t="str">
        <f t="shared" si="620"/>
        <v/>
      </c>
      <c r="Q145" s="137" t="str">
        <f t="shared" si="621"/>
        <v/>
      </c>
      <c r="T145" s="137" t="str">
        <f t="shared" si="622"/>
        <v/>
      </c>
      <c r="V145" s="139"/>
      <c r="W145" s="137" t="str">
        <f t="shared" si="623"/>
        <v/>
      </c>
      <c r="Y145" s="139"/>
      <c r="Z145" s="137" t="str">
        <f t="shared" si="624"/>
        <v/>
      </c>
      <c r="AB145" s="139"/>
      <c r="AC145" s="137" t="str">
        <f t="shared" si="625"/>
        <v/>
      </c>
      <c r="AD145" s="137" t="s">
        <v>331</v>
      </c>
      <c r="AE145" s="140" t="s">
        <v>162</v>
      </c>
      <c r="AF145" s="137" t="str">
        <f t="shared" si="626"/>
        <v>,INDEX(REPORT_FR2052a!$1:$1048576,0,26),"Sovereign"</v>
      </c>
      <c r="AH145" s="139"/>
      <c r="AI145" s="137" t="str">
        <f t="shared" si="627"/>
        <v/>
      </c>
      <c r="AK145" s="139"/>
      <c r="AL145" s="137" t="str">
        <f t="shared" si="628"/>
        <v/>
      </c>
      <c r="AO145" s="137" t="str">
        <f t="shared" si="629"/>
        <v/>
      </c>
      <c r="AR145" s="137" t="str">
        <f t="shared" si="214"/>
        <v/>
      </c>
      <c r="AU145" s="137" t="str">
        <f t="shared" si="488"/>
        <v/>
      </c>
      <c r="AV145" s="137" t="s">
        <v>331</v>
      </c>
      <c r="AW145" s="139" t="s">
        <v>762</v>
      </c>
      <c r="AX145" s="137" t="str">
        <f t="shared" si="586"/>
        <v>,INDEX(REPORT_FR2052a!$1:$1048576,0,7),""</v>
      </c>
      <c r="BA145" s="137" t="s">
        <v>13</v>
      </c>
      <c r="BB145" s="137" t="str">
        <f>"=SUMIFS(INDEX(REPORT_FR2052a!$1:$1048576,0,"&amp;(MATCH(BA145,REPORT_FR2052a!$1:$1,0))&amp;")"</f>
        <v>=SUMIFS(INDEX(REPORT_FR2052a!$1:$1048576,0,14)</v>
      </c>
      <c r="BC145" s="137" t="str">
        <f t="shared" si="600"/>
        <v>=SUMIFS(INDEX(REPORT_FR2052a!$1:$1048576,0,14),INDEX(REPORT_FR2052a!$1:$1048576,0,44),"I.U.6",INDEX(REPORT_FR2052a!$1:$1048576,0,43),1,INDEX(REPORT_FR2052a!$1:$1048576,0,26),"Sovereign",INDEX(REPORT_FR2052a!$1:$1048576,0,7),"")</v>
      </c>
      <c r="BD145" s="141">
        <f>SUMIFS(INDEX(REPORT_FR2052a!$1:$1048576,0,14),INDEX(REPORT_FR2052a!$1:$1048576,0,44),"I.U.6",INDEX(REPORT_FR2052a!$1:$1048576,0,43),1,INDEX(REPORT_FR2052a!$1:$1048576,0,26),"Sovereign",INDEX(REPORT_FR2052a!$1:$1048576,0,7),"")</f>
        <v>0</v>
      </c>
      <c r="BE145" s="137" t="s">
        <v>331</v>
      </c>
      <c r="BF145" s="139" t="s">
        <v>47</v>
      </c>
      <c r="BG145" s="137" t="str">
        <f t="shared" si="630"/>
        <v>,INDEX(REPORT_FR2052a!$1:$1048576,0,5),"Bank of China - Combined US Branches and Agencies"</v>
      </c>
      <c r="BI145" s="137" t="str">
        <f t="shared" si="631"/>
        <v>=SUMIFS(INDEX(REPORT_FR2052a!$1:$1048576,0,14),INDEX(REPORT_FR2052a!$1:$1048576,0,44),"I.U.6",INDEX(REPORT_FR2052a!$1:$1048576,0,43),1,INDEX(REPORT_FR2052a!$1:$1048576,0,26),"Sovereign",INDEX(REPORT_FR2052a!$1:$1048576,0,7),"",INDEX(REPORT_FR2052a!$1:$1048576,0,5),"Bank of China - Combined US Branches and Agencies")</v>
      </c>
      <c r="BJ145" s="142">
        <f>SUMIFS(INDEX(REPORT_FR2052a!$1:$1048576,0,14),INDEX(REPORT_FR2052a!$1:$1048576,0,44),"I.U.6",INDEX(REPORT_FR2052a!$1:$1048576,0,43),1,INDEX(REPORT_FR2052a!$1:$1048576,0,26),"Sovereign",INDEX(REPORT_FR2052a!$1:$1048576,0,7),"",INDEX(REPORT_FR2052a!$1:$1048576,0,5),"Bank of China - Combined US Branches and Agencies")</f>
        <v>0</v>
      </c>
      <c r="BK145" s="143">
        <f t="shared" si="632"/>
        <v>0</v>
      </c>
    </row>
    <row r="146" spans="1:63">
      <c r="A146" s="136">
        <v>105</v>
      </c>
      <c r="B146" s="137" t="str">
        <f>IFERROR(INDEX('LCR TYPE EXPLAIN'!B:B,MATCH(A146,'LCR TYPE EXPLAIN'!A:A,0)),"")</f>
        <v>Non-Financial Wholesale Cash Inflow Amount (§.33(d)(2))</v>
      </c>
      <c r="F146" s="137" t="s">
        <v>331</v>
      </c>
      <c r="G146" s="138" t="s">
        <v>377</v>
      </c>
      <c r="H146" s="137" t="str">
        <f t="shared" si="604"/>
        <v>,INDEX(REPORT_FR2052a!$1:$1048576,0,44),"I.U.1"</v>
      </c>
      <c r="I146" s="137" t="s">
        <v>331</v>
      </c>
      <c r="J146" s="137">
        <v>1</v>
      </c>
      <c r="K146" s="137" t="str">
        <f t="shared" ref="K146:K148" si="633">IF(I146="","",",INDEX(REPORT_FR2052a!$1:$1048576,0,"&amp;K$2&amp;"),"&amp;IF(ISTEXT(J146),CHAR(34),"")&amp;IF(I146="is","",""&amp;"&lt;&gt;")&amp;J146&amp;IF(ISTEXT(J146),CHAR(34),""))</f>
        <v>,INDEX(REPORT_FR2052a!$1:$1048576,0,43),1</v>
      </c>
      <c r="N146" s="137" t="str">
        <f t="shared" ref="N146:N148" si="634">IF(L146="","",",INDEX(REPORT_FR2052a!$1:$1048576,0,"&amp;N$2&amp;"),"&amp;IF(ISTEXT(M146),CHAR(34),"")&amp;IF(L146="is","",""&amp;"&lt;&gt;")&amp;M146&amp;IF(ISTEXT(M146),CHAR(34),""))</f>
        <v/>
      </c>
      <c r="Q146" s="137" t="str">
        <f t="shared" ref="Q146:Q148" si="635">IF(O146="","",",INDEX(REPORT_FR2052a!$1:$1048576,0,"&amp;Q$2&amp;"),"&amp;IF(OR(ISTEXT(P146),ISBLANK(P146)),CHAR(34),"")&amp;IF(O146="is","",""&amp;"&lt;&gt;")&amp;P146&amp;IF(OR(ISTEXT(P146),ISBLANK(P146)),CHAR(34),""))</f>
        <v/>
      </c>
      <c r="T146" s="137" t="str">
        <f t="shared" ref="T146:T148" si="636">IF(R146="","",",INDEX(REPORT_FR2052a!$1:$1048576,0,"&amp;T$2&amp;"),"&amp;IF(ISTEXT(S146),CHAR(34),"")&amp;IF(R146="is","",""&amp;"&lt;&gt;")&amp;S146&amp;IF(ISTEXT(S146),CHAR(34),""))</f>
        <v/>
      </c>
      <c r="V146" s="139"/>
      <c r="W146" s="137" t="str">
        <f t="shared" ref="W146:W148" si="637">IF(U146="","",",INDEX(REPORT_FR2052a!$1:$1048576,0,"&amp;W$2&amp;"),"&amp;IF(ISTEXT(V146),CHAR(34),"")&amp;IF(U146="is","",""&amp;"&lt;&gt;")&amp;V146&amp;IF(ISTEXT(V146),CHAR(34),""))</f>
        <v/>
      </c>
      <c r="Y146" s="139"/>
      <c r="Z146" s="137" t="str">
        <f t="shared" ref="Z146:Z148" si="638">IF(X146="","",",INDEX(REPORT_FR2052a!$1:$1048576,0,"&amp;Z$2&amp;"),"&amp;IF(ISTEXT(Y146),CHAR(34),"")&amp;IF(X146="is","",""&amp;"&lt;&gt;")&amp;Y146&amp;IF(ISTEXT(Y146),CHAR(34),""))</f>
        <v/>
      </c>
      <c r="AB146" s="139"/>
      <c r="AC146" s="137" t="str">
        <f t="shared" ref="AC146:AC148" si="639">IF(AA146="","",",INDEX(REPORT_FR2052a!$1:$1048576,0,"&amp;AC$2&amp;"),"&amp;IF(ISTEXT(AB146),CHAR(34),"")&amp;IF(AA146="is","",""&amp;"&lt;&gt;")&amp;AB146&amp;IF(ISTEXT(AB146),CHAR(34),""))</f>
        <v/>
      </c>
      <c r="AD146" s="137" t="s">
        <v>331</v>
      </c>
      <c r="AE146" s="140" t="s">
        <v>136</v>
      </c>
      <c r="AF146" s="137" t="str">
        <f t="shared" ref="AF146:AF148" si="640">IF(AD146="","",",INDEX(REPORT_FR2052a!$1:$1048576,0,"&amp;AF$2&amp;"),"&amp;IF(ISTEXT(AE146),CHAR(34),"")&amp;IF(AD146="is","",""&amp;"&lt;&gt;")&amp;AE146&amp;IF(ISTEXT(AE146),CHAR(34),""))</f>
        <v>,INDEX(REPORT_FR2052a!$1:$1048576,0,26),"Other"</v>
      </c>
      <c r="AH146" s="139"/>
      <c r="AI146" s="137" t="str">
        <f t="shared" ref="AI146:AI148" si="641">IF(AG146="","",",INDEX(REPORT_FR2052a!$1:$1048576,0,"&amp;AI$2&amp;"),"&amp;IF(ISTEXT(AH146),CHAR(34),"")&amp;IF(AG146="is","",""&amp;"&lt;&gt;")&amp;AH146&amp;IF(ISTEXT(AH146),CHAR(34),""))</f>
        <v/>
      </c>
      <c r="AK146" s="139"/>
      <c r="AL146" s="137" t="str">
        <f t="shared" ref="AL146:AL148" si="642">IF(AJ146="","",",INDEX(REPORT_FR2052a!$1:$1048576,0,"&amp;AL$2&amp;"),"&amp;IF(ISTEXT(AK146),CHAR(34),"")&amp;IF(AJ146="is","",""&amp;"&lt;&gt;")&amp;AK146&amp;IF(ISTEXT(AK146),CHAR(34),""))</f>
        <v/>
      </c>
      <c r="AO146" s="137" t="str">
        <f t="shared" ref="AO146:AO148" si="643">IF(AM146="","",",INDEX(REPORT_FR2052a!$1:$1048576,0,"&amp;AO$2&amp;"),"&amp;IF(ISTEXT(AN146),CHAR(34),"")&amp;IF(AM146="is","",""&amp;"&lt;&gt;")&amp;AN146&amp;IF(ISTEXT(AN146),CHAR(34),""))</f>
        <v/>
      </c>
      <c r="AR146" s="137" t="str">
        <f t="shared" ref="AR146:AR172" si="644">IF(AP146="","",",INDEX(REPORT_FR2052a!$1:$1048576,0,"&amp;AR$2&amp;"),"&amp;IF(ISTEXT(AQ146),CHAR(34),"")&amp;IF(AP146="is","",""&amp;"&lt;&gt;")&amp;AQ146&amp;IF(ISTEXT(AQ146),CHAR(34),""))</f>
        <v/>
      </c>
      <c r="AU146" s="137" t="str">
        <f t="shared" si="488"/>
        <v/>
      </c>
      <c r="AV146" s="137" t="s">
        <v>331</v>
      </c>
      <c r="AW146" s="139" t="s">
        <v>762</v>
      </c>
      <c r="AX146" s="137" t="str">
        <f t="shared" si="586"/>
        <v>,INDEX(REPORT_FR2052a!$1:$1048576,0,7),""</v>
      </c>
      <c r="BA146" s="137" t="s">
        <v>13</v>
      </c>
      <c r="BB146" s="137" t="str">
        <f>"=SUMIFS(INDEX(REPORT_FR2052a!$1:$1048576,0,"&amp;(MATCH(BA146,REPORT_FR2052a!$1:$1,0))&amp;")"</f>
        <v>=SUMIFS(INDEX(REPORT_FR2052a!$1:$1048576,0,14)</v>
      </c>
      <c r="BC146" s="137" t="str">
        <f t="shared" si="600"/>
        <v>=SUMIFS(INDEX(REPORT_FR2052a!$1:$1048576,0,14),INDEX(REPORT_FR2052a!$1:$1048576,0,44),"I.U.1",INDEX(REPORT_FR2052a!$1:$1048576,0,43),1,INDEX(REPORT_FR2052a!$1:$1048576,0,26),"Other",INDEX(REPORT_FR2052a!$1:$1048576,0,7),"")</v>
      </c>
      <c r="BD146" s="141">
        <f>SUMIFS(INDEX(REPORT_FR2052a!$1:$1048576,0,14),INDEX(REPORT_FR2052a!$1:$1048576,0,44),"I.U.1",INDEX(REPORT_FR2052a!$1:$1048576,0,43),1,INDEX(REPORT_FR2052a!$1:$1048576,0,26),"Other",INDEX(REPORT_FR2052a!$1:$1048576,0,7),"")</f>
        <v>0</v>
      </c>
      <c r="BE146" s="137" t="s">
        <v>331</v>
      </c>
      <c r="BF146" s="139" t="s">
        <v>47</v>
      </c>
      <c r="BG146" s="137" t="str">
        <f t="shared" ref="BG146:BG148" si="645">IF(BE146="","",",INDEX(REPORT_FR2052a!$1:$1048576,0,"&amp;BG$2&amp;"),"&amp;IF(ISTEXT(BF146),CHAR(34),"")&amp;IF(BE146="is","",""&amp;"&lt;&gt;")&amp;BF146&amp;IF(ISTEXT(BF146),CHAR(34),""))</f>
        <v>,INDEX(REPORT_FR2052a!$1:$1048576,0,5),"Bank of China - Combined US Branches and Agencies"</v>
      </c>
      <c r="BI146" s="137" t="str">
        <f t="shared" ref="BI146:BI148" si="646">LEFT(BC146,LEN(BC146)-1)&amp;BG146&amp;")"</f>
        <v>=SUMIFS(INDEX(REPORT_FR2052a!$1:$1048576,0,14),INDEX(REPORT_FR2052a!$1:$1048576,0,44),"I.U.1",INDEX(REPORT_FR2052a!$1:$1048576,0,43),1,INDEX(REPORT_FR2052a!$1:$1048576,0,26),"Other",INDEX(REPORT_FR2052a!$1:$1048576,0,7),"",INDEX(REPORT_FR2052a!$1:$1048576,0,5),"Bank of China - Combined US Branches and Agencies")</v>
      </c>
      <c r="BJ146" s="142">
        <f>SUMIFS(INDEX(REPORT_FR2052a!$1:$1048576,0,14),INDEX(REPORT_FR2052a!$1:$1048576,0,44),"I.U.1",INDEX(REPORT_FR2052a!$1:$1048576,0,43),1,INDEX(REPORT_FR2052a!$1:$1048576,0,26),"Other",INDEX(REPORT_FR2052a!$1:$1048576,0,7),"",INDEX(REPORT_FR2052a!$1:$1048576,0,5),"Bank of China - Combined US Branches and Agencies")</f>
        <v>0</v>
      </c>
      <c r="BK146" s="143">
        <f t="shared" ref="BK146:BK148" si="647">BD146-BJ146</f>
        <v>0</v>
      </c>
    </row>
    <row r="147" spans="1:63">
      <c r="A147" s="136">
        <v>105</v>
      </c>
      <c r="B147" s="137" t="str">
        <f>IFERROR(INDEX('LCR TYPE EXPLAIN'!B:B,MATCH(A147,'LCR TYPE EXPLAIN'!A:A,0)),"")</f>
        <v>Non-Financial Wholesale Cash Inflow Amount (§.33(d)(2))</v>
      </c>
      <c r="F147" s="137" t="s">
        <v>331</v>
      </c>
      <c r="G147" s="138" t="s">
        <v>376</v>
      </c>
      <c r="H147" s="137" t="str">
        <f t="shared" si="604"/>
        <v>,INDEX(REPORT_FR2052a!$1:$1048576,0,44),"I.U.2"</v>
      </c>
      <c r="I147" s="137" t="s">
        <v>331</v>
      </c>
      <c r="J147" s="137">
        <v>1</v>
      </c>
      <c r="K147" s="137" t="str">
        <f t="shared" si="633"/>
        <v>,INDEX(REPORT_FR2052a!$1:$1048576,0,43),1</v>
      </c>
      <c r="N147" s="137" t="str">
        <f t="shared" si="634"/>
        <v/>
      </c>
      <c r="Q147" s="137" t="str">
        <f t="shared" si="635"/>
        <v/>
      </c>
      <c r="T147" s="137" t="str">
        <f t="shared" si="636"/>
        <v/>
      </c>
      <c r="V147" s="139"/>
      <c r="W147" s="137" t="str">
        <f t="shared" si="637"/>
        <v/>
      </c>
      <c r="Y147" s="139"/>
      <c r="Z147" s="137" t="str">
        <f t="shared" si="638"/>
        <v/>
      </c>
      <c r="AB147" s="139"/>
      <c r="AC147" s="137" t="str">
        <f t="shared" si="639"/>
        <v/>
      </c>
      <c r="AD147" s="137" t="s">
        <v>331</v>
      </c>
      <c r="AE147" s="140" t="s">
        <v>136</v>
      </c>
      <c r="AF147" s="137" t="str">
        <f t="shared" si="640"/>
        <v>,INDEX(REPORT_FR2052a!$1:$1048576,0,26),"Other"</v>
      </c>
      <c r="AH147" s="139"/>
      <c r="AI147" s="137" t="str">
        <f t="shared" si="641"/>
        <v/>
      </c>
      <c r="AK147" s="139"/>
      <c r="AL147" s="137" t="str">
        <f t="shared" si="642"/>
        <v/>
      </c>
      <c r="AO147" s="137" t="str">
        <f t="shared" si="643"/>
        <v/>
      </c>
      <c r="AR147" s="137" t="str">
        <f t="shared" si="644"/>
        <v/>
      </c>
      <c r="AU147" s="137" t="str">
        <f t="shared" si="488"/>
        <v/>
      </c>
      <c r="AV147" s="137" t="s">
        <v>331</v>
      </c>
      <c r="AW147" s="139" t="s">
        <v>762</v>
      </c>
      <c r="AX147" s="137" t="str">
        <f t="shared" si="586"/>
        <v>,INDEX(REPORT_FR2052a!$1:$1048576,0,7),""</v>
      </c>
      <c r="BA147" s="137" t="s">
        <v>13</v>
      </c>
      <c r="BB147" s="137" t="str">
        <f>"=SUMIFS(INDEX(REPORT_FR2052a!$1:$1048576,0,"&amp;(MATCH(BA147,REPORT_FR2052a!$1:$1,0))&amp;")"</f>
        <v>=SUMIFS(INDEX(REPORT_FR2052a!$1:$1048576,0,14)</v>
      </c>
      <c r="BC147" s="137" t="str">
        <f t="shared" si="600"/>
        <v>=SUMIFS(INDEX(REPORT_FR2052a!$1:$1048576,0,14),INDEX(REPORT_FR2052a!$1:$1048576,0,44),"I.U.2",INDEX(REPORT_FR2052a!$1:$1048576,0,43),1,INDEX(REPORT_FR2052a!$1:$1048576,0,26),"Other",INDEX(REPORT_FR2052a!$1:$1048576,0,7),"")</v>
      </c>
      <c r="BD147" s="141">
        <f>SUMIFS(INDEX(REPORT_FR2052a!$1:$1048576,0,14),INDEX(REPORT_FR2052a!$1:$1048576,0,44),"I.U.2",INDEX(REPORT_FR2052a!$1:$1048576,0,43),1,INDEX(REPORT_FR2052a!$1:$1048576,0,26),"Other",INDEX(REPORT_FR2052a!$1:$1048576,0,7),"")</f>
        <v>0</v>
      </c>
      <c r="BE147" s="137" t="s">
        <v>331</v>
      </c>
      <c r="BF147" s="139" t="s">
        <v>47</v>
      </c>
      <c r="BG147" s="137" t="str">
        <f t="shared" si="645"/>
        <v>,INDEX(REPORT_FR2052a!$1:$1048576,0,5),"Bank of China - Combined US Branches and Agencies"</v>
      </c>
      <c r="BI147" s="137" t="str">
        <f t="shared" si="646"/>
        <v>=SUMIFS(INDEX(REPORT_FR2052a!$1:$1048576,0,14),INDEX(REPORT_FR2052a!$1:$1048576,0,44),"I.U.2",INDEX(REPORT_FR2052a!$1:$1048576,0,43),1,INDEX(REPORT_FR2052a!$1:$1048576,0,26),"Other",INDEX(REPORT_FR2052a!$1:$1048576,0,7),"",INDEX(REPORT_FR2052a!$1:$1048576,0,5),"Bank of China - Combined US Branches and Agencies")</v>
      </c>
      <c r="BJ147" s="142">
        <f>SUMIFS(INDEX(REPORT_FR2052a!$1:$1048576,0,14),INDEX(REPORT_FR2052a!$1:$1048576,0,44),"I.U.2",INDEX(REPORT_FR2052a!$1:$1048576,0,43),1,INDEX(REPORT_FR2052a!$1:$1048576,0,26),"Other",INDEX(REPORT_FR2052a!$1:$1048576,0,7),"",INDEX(REPORT_FR2052a!$1:$1048576,0,5),"Bank of China - Combined US Branches and Agencies")</f>
        <v>0</v>
      </c>
      <c r="BK147" s="143">
        <f t="shared" si="647"/>
        <v>0</v>
      </c>
    </row>
    <row r="148" spans="1:63">
      <c r="A148" s="136">
        <v>105</v>
      </c>
      <c r="B148" s="137" t="str">
        <f>IFERROR(INDEX('LCR TYPE EXPLAIN'!B:B,MATCH(A148,'LCR TYPE EXPLAIN'!A:A,0)),"")</f>
        <v>Non-Financial Wholesale Cash Inflow Amount (§.33(d)(2))</v>
      </c>
      <c r="F148" s="137" t="s">
        <v>331</v>
      </c>
      <c r="G148" s="138" t="s">
        <v>375</v>
      </c>
      <c r="H148" s="137" t="str">
        <f t="shared" si="604"/>
        <v>,INDEX(REPORT_FR2052a!$1:$1048576,0,44),"I.U.6"</v>
      </c>
      <c r="I148" s="137" t="s">
        <v>331</v>
      </c>
      <c r="J148" s="137">
        <v>1</v>
      </c>
      <c r="K148" s="137" t="str">
        <f t="shared" si="633"/>
        <v>,INDEX(REPORT_FR2052a!$1:$1048576,0,43),1</v>
      </c>
      <c r="N148" s="137" t="str">
        <f t="shared" si="634"/>
        <v/>
      </c>
      <c r="Q148" s="137" t="str">
        <f t="shared" si="635"/>
        <v/>
      </c>
      <c r="T148" s="137" t="str">
        <f t="shared" si="636"/>
        <v/>
      </c>
      <c r="V148" s="139"/>
      <c r="W148" s="137" t="str">
        <f t="shared" si="637"/>
        <v/>
      </c>
      <c r="Y148" s="139"/>
      <c r="Z148" s="137" t="str">
        <f t="shared" si="638"/>
        <v/>
      </c>
      <c r="AB148" s="139"/>
      <c r="AC148" s="137" t="str">
        <f t="shared" si="639"/>
        <v/>
      </c>
      <c r="AD148" s="137" t="s">
        <v>331</v>
      </c>
      <c r="AE148" s="140" t="s">
        <v>136</v>
      </c>
      <c r="AF148" s="137" t="str">
        <f t="shared" si="640"/>
        <v>,INDEX(REPORT_FR2052a!$1:$1048576,0,26),"Other"</v>
      </c>
      <c r="AH148" s="139"/>
      <c r="AI148" s="137" t="str">
        <f t="shared" si="641"/>
        <v/>
      </c>
      <c r="AK148" s="139"/>
      <c r="AL148" s="137" t="str">
        <f t="shared" si="642"/>
        <v/>
      </c>
      <c r="AO148" s="137" t="str">
        <f t="shared" si="643"/>
        <v/>
      </c>
      <c r="AR148" s="137" t="str">
        <f t="shared" si="644"/>
        <v/>
      </c>
      <c r="AU148" s="137" t="str">
        <f t="shared" si="488"/>
        <v/>
      </c>
      <c r="AV148" s="137" t="s">
        <v>331</v>
      </c>
      <c r="AW148" s="139" t="s">
        <v>762</v>
      </c>
      <c r="AX148" s="137" t="str">
        <f t="shared" si="586"/>
        <v>,INDEX(REPORT_FR2052a!$1:$1048576,0,7),""</v>
      </c>
      <c r="BA148" s="137" t="s">
        <v>13</v>
      </c>
      <c r="BB148" s="137" t="str">
        <f>"=SUMIFS(INDEX(REPORT_FR2052a!$1:$1048576,0,"&amp;(MATCH(BA148,REPORT_FR2052a!$1:$1,0))&amp;")"</f>
        <v>=SUMIFS(INDEX(REPORT_FR2052a!$1:$1048576,0,14)</v>
      </c>
      <c r="BC148" s="137" t="str">
        <f t="shared" si="600"/>
        <v>=SUMIFS(INDEX(REPORT_FR2052a!$1:$1048576,0,14),INDEX(REPORT_FR2052a!$1:$1048576,0,44),"I.U.6",INDEX(REPORT_FR2052a!$1:$1048576,0,43),1,INDEX(REPORT_FR2052a!$1:$1048576,0,26),"Other",INDEX(REPORT_FR2052a!$1:$1048576,0,7),"")</v>
      </c>
      <c r="BD148" s="141">
        <f>SUMIFS(INDEX(REPORT_FR2052a!$1:$1048576,0,14),INDEX(REPORT_FR2052a!$1:$1048576,0,44),"I.U.6",INDEX(REPORT_FR2052a!$1:$1048576,0,43),1,INDEX(REPORT_FR2052a!$1:$1048576,0,26),"Other",INDEX(REPORT_FR2052a!$1:$1048576,0,7),"")</f>
        <v>0</v>
      </c>
      <c r="BE148" s="137" t="s">
        <v>331</v>
      </c>
      <c r="BF148" s="139" t="s">
        <v>47</v>
      </c>
      <c r="BG148" s="137" t="str">
        <f t="shared" si="645"/>
        <v>,INDEX(REPORT_FR2052a!$1:$1048576,0,5),"Bank of China - Combined US Branches and Agencies"</v>
      </c>
      <c r="BI148" s="137" t="str">
        <f t="shared" si="646"/>
        <v>=SUMIFS(INDEX(REPORT_FR2052a!$1:$1048576,0,14),INDEX(REPORT_FR2052a!$1:$1048576,0,44),"I.U.6",INDEX(REPORT_FR2052a!$1:$1048576,0,43),1,INDEX(REPORT_FR2052a!$1:$1048576,0,26),"Other",INDEX(REPORT_FR2052a!$1:$1048576,0,7),"",INDEX(REPORT_FR2052a!$1:$1048576,0,5),"Bank of China - Combined US Branches and Agencies")</v>
      </c>
      <c r="BJ148" s="142">
        <f>SUMIFS(INDEX(REPORT_FR2052a!$1:$1048576,0,14),INDEX(REPORT_FR2052a!$1:$1048576,0,44),"I.U.6",INDEX(REPORT_FR2052a!$1:$1048576,0,43),1,INDEX(REPORT_FR2052a!$1:$1048576,0,26),"Other",INDEX(REPORT_FR2052a!$1:$1048576,0,7),"",INDEX(REPORT_FR2052a!$1:$1048576,0,5),"Bank of China - Combined US Branches and Agencies")</f>
        <v>0</v>
      </c>
      <c r="BK148" s="143">
        <f t="shared" si="647"/>
        <v>0</v>
      </c>
    </row>
    <row r="149" spans="1:63">
      <c r="A149" s="136">
        <v>106</v>
      </c>
      <c r="B149" s="137" t="str">
        <f>IFERROR(INDEX('LCR TYPE EXPLAIN'!B:B,MATCH(A149,'LCR TYPE EXPLAIN'!A:A,0)),"")</f>
        <v>Non-Financial Wholesale Cash Inflow Amount (§.33(d)(2))</v>
      </c>
      <c r="F149" s="137" t="s">
        <v>331</v>
      </c>
      <c r="G149" s="138" t="s">
        <v>372</v>
      </c>
      <c r="H149" s="137" t="str">
        <f t="shared" si="604"/>
        <v>,INDEX(REPORT_FR2052a!$1:$1048576,0,44),"I.S.7"</v>
      </c>
      <c r="I149" s="137" t="s">
        <v>331</v>
      </c>
      <c r="J149" s="137">
        <v>1</v>
      </c>
      <c r="K149" s="137" t="str">
        <f t="shared" si="577"/>
        <v>,INDEX(REPORT_FR2052a!$1:$1048576,0,43),1</v>
      </c>
      <c r="N149" s="137" t="str">
        <f t="shared" si="578"/>
        <v/>
      </c>
      <c r="O149" s="137" t="s">
        <v>331</v>
      </c>
      <c r="P149" s="137" t="s">
        <v>64</v>
      </c>
      <c r="Q149" s="137" t="str">
        <f t="shared" si="542"/>
        <v>,INDEX(REPORT_FR2052a!$1:$1048576,0,23),"Z-1"</v>
      </c>
      <c r="T149" s="137" t="str">
        <f t="shared" si="579"/>
        <v/>
      </c>
      <c r="V149" s="139"/>
      <c r="W149" s="137" t="str">
        <f t="shared" si="580"/>
        <v/>
      </c>
      <c r="Y149" s="139"/>
      <c r="Z149" s="137" t="str">
        <f t="shared" si="581"/>
        <v/>
      </c>
      <c r="AB149" s="139"/>
      <c r="AC149" s="137" t="str">
        <f t="shared" si="582"/>
        <v/>
      </c>
      <c r="AD149" s="137" t="s">
        <v>331</v>
      </c>
      <c r="AE149" s="140" t="s">
        <v>84</v>
      </c>
      <c r="AF149" s="137" t="str">
        <f t="shared" si="583"/>
        <v>,INDEX(REPORT_FR2052a!$1:$1048576,0,26),"Non-Financial Corporate"</v>
      </c>
      <c r="AH149" s="139"/>
      <c r="AI149" s="137" t="str">
        <f t="shared" si="584"/>
        <v/>
      </c>
      <c r="AK149" s="139"/>
      <c r="AL149" s="137" t="str">
        <f t="shared" si="585"/>
        <v/>
      </c>
      <c r="AO149" s="137" t="str">
        <f t="shared" si="573"/>
        <v/>
      </c>
      <c r="AR149" s="137" t="str">
        <f t="shared" si="644"/>
        <v/>
      </c>
      <c r="AU149" s="137" t="str">
        <f t="shared" si="488"/>
        <v/>
      </c>
      <c r="AV149" s="137" t="s">
        <v>331</v>
      </c>
      <c r="AW149" s="139" t="s">
        <v>762</v>
      </c>
      <c r="AX149" s="137" t="str">
        <f t="shared" si="586"/>
        <v>,INDEX(REPORT_FR2052a!$1:$1048576,0,7),""</v>
      </c>
      <c r="BA149" s="137" t="s">
        <v>13</v>
      </c>
      <c r="BB149" s="137" t="str">
        <f>"=SUMIFS(INDEX(REPORT_FR2052a!$1:$1048576,0,"&amp;(MATCH(BA149,REPORT_FR2052a!$1:$1,0))&amp;")"</f>
        <v>=SUMIFS(INDEX(REPORT_FR2052a!$1:$1048576,0,14)</v>
      </c>
      <c r="BC149" s="137" t="str">
        <f t="shared" si="600"/>
        <v>=SUMIFS(INDEX(REPORT_FR2052a!$1:$1048576,0,14),INDEX(REPORT_FR2052a!$1:$1048576,0,44),"I.S.7",INDEX(REPORT_FR2052a!$1:$1048576,0,43),1,INDEX(REPORT_FR2052a!$1:$1048576,0,23),"Z-1",INDEX(REPORT_FR2052a!$1:$1048576,0,26),"Non-Financial Corporate",INDEX(REPORT_FR2052a!$1:$1048576,0,7),"")</v>
      </c>
      <c r="BD149" s="141">
        <f>SUMIFS(INDEX(REPORT_FR2052a!$1:$1048576,0,14),INDEX(REPORT_FR2052a!$1:$1048576,0,44),"I.S.7",INDEX(REPORT_FR2052a!$1:$1048576,0,43),1,INDEX(REPORT_FR2052a!$1:$1048576,0,23),"Z-1",INDEX(REPORT_FR2052a!$1:$1048576,0,26),"Non-Financial Corporate",INDEX(REPORT_FR2052a!$1:$1048576,0,7),"")</f>
        <v>257.36</v>
      </c>
      <c r="BE149" s="137" t="s">
        <v>331</v>
      </c>
      <c r="BF149" s="139" t="s">
        <v>47</v>
      </c>
      <c r="BG149" s="137" t="str">
        <f t="shared" si="574"/>
        <v>,INDEX(REPORT_FR2052a!$1:$1048576,0,5),"Bank of China - Combined US Branches and Agencies"</v>
      </c>
      <c r="BI149" s="137" t="str">
        <f t="shared" si="587"/>
        <v>=SUMIFS(INDEX(REPORT_FR2052a!$1:$1048576,0,14),INDEX(REPORT_FR2052a!$1:$1048576,0,44),"I.S.7",INDEX(REPORT_FR2052a!$1:$1048576,0,43),1,INDEX(REPORT_FR2052a!$1:$1048576,0,23),"Z-1",INDEX(REPORT_FR2052a!$1:$1048576,0,26),"Non-Financial Corporate",INDEX(REPORT_FR2052a!$1:$1048576,0,7),"",INDEX(REPORT_FR2052a!$1:$1048576,0,5),"Bank of China - Combined US Branches and Agencies")</v>
      </c>
      <c r="BJ149" s="142">
        <f>SUMIFS(INDEX(REPORT_FR2052a!$1:$1048576,0,14),INDEX(REPORT_FR2052a!$1:$1048576,0,44),"I.S.7",INDEX(REPORT_FR2052a!$1:$1048576,0,43),1,INDEX(REPORT_FR2052a!$1:$1048576,0,23),"Z-1",INDEX(REPORT_FR2052a!$1:$1048576,0,26),"Non-Financial Corporate",INDEX(REPORT_FR2052a!$1:$1048576,0,7),"",INDEX(REPORT_FR2052a!$1:$1048576,0,5),"Bank of China - Combined US Branches and Agencies")</f>
        <v>257.36</v>
      </c>
      <c r="BK149" s="143">
        <f t="shared" si="588"/>
        <v>0</v>
      </c>
    </row>
    <row r="150" spans="1:63">
      <c r="A150" s="136">
        <v>106</v>
      </c>
      <c r="B150" s="137" t="str">
        <f>IFERROR(INDEX('LCR TYPE EXPLAIN'!B:B,MATCH(A150,'LCR TYPE EXPLAIN'!A:A,0)),"")</f>
        <v>Non-Financial Wholesale Cash Inflow Amount (§.33(d)(2))</v>
      </c>
      <c r="F150" s="137" t="s">
        <v>331</v>
      </c>
      <c r="G150" s="138" t="s">
        <v>372</v>
      </c>
      <c r="H150" s="137" t="str">
        <f t="shared" si="604"/>
        <v>,INDEX(REPORT_FR2052a!$1:$1048576,0,44),"I.S.7"</v>
      </c>
      <c r="I150" s="137" t="s">
        <v>331</v>
      </c>
      <c r="J150" s="137">
        <v>1</v>
      </c>
      <c r="K150" s="137" t="str">
        <f t="shared" ref="K150" si="648">IF(I150="","",",INDEX(REPORT_FR2052a!$1:$1048576,0,"&amp;K$2&amp;"),"&amp;IF(ISTEXT(J150),CHAR(34),"")&amp;IF(I150="is","",""&amp;"&lt;&gt;")&amp;J150&amp;IF(ISTEXT(J150),CHAR(34),""))</f>
        <v>,INDEX(REPORT_FR2052a!$1:$1048576,0,43),1</v>
      </c>
      <c r="N150" s="137" t="str">
        <f t="shared" ref="N150" si="649">IF(L150="","",",INDEX(REPORT_FR2052a!$1:$1048576,0,"&amp;N$2&amp;"),"&amp;IF(ISTEXT(M150),CHAR(34),"")&amp;IF(L150="is","",""&amp;"&lt;&gt;")&amp;M150&amp;IF(ISTEXT(M150),CHAR(34),""))</f>
        <v/>
      </c>
      <c r="O150" s="137" t="s">
        <v>331</v>
      </c>
      <c r="P150" s="137" t="s">
        <v>64</v>
      </c>
      <c r="Q150" s="137" t="str">
        <f t="shared" ref="Q150" si="650">IF(O150="","",",INDEX(REPORT_FR2052a!$1:$1048576,0,"&amp;Q$2&amp;"),"&amp;IF(OR(ISTEXT(P150),ISBLANK(P150)),CHAR(34),"")&amp;IF(O150="is","",""&amp;"&lt;&gt;")&amp;P150&amp;IF(OR(ISTEXT(P150),ISBLANK(P150)),CHAR(34),""))</f>
        <v>,INDEX(REPORT_FR2052a!$1:$1048576,0,23),"Z-1"</v>
      </c>
      <c r="T150" s="137" t="str">
        <f t="shared" ref="T150" si="651">IF(R150="","",",INDEX(REPORT_FR2052a!$1:$1048576,0,"&amp;T$2&amp;"),"&amp;IF(ISTEXT(S150),CHAR(34),"")&amp;IF(R150="is","",""&amp;"&lt;&gt;")&amp;S150&amp;IF(ISTEXT(S150),CHAR(34),""))</f>
        <v/>
      </c>
      <c r="V150" s="139"/>
      <c r="W150" s="137" t="str">
        <f t="shared" ref="W150" si="652">IF(U150="","",",INDEX(REPORT_FR2052a!$1:$1048576,0,"&amp;W$2&amp;"),"&amp;IF(ISTEXT(V150),CHAR(34),"")&amp;IF(U150="is","",""&amp;"&lt;&gt;")&amp;V150&amp;IF(ISTEXT(V150),CHAR(34),""))</f>
        <v/>
      </c>
      <c r="Y150" s="139"/>
      <c r="Z150" s="137" t="str">
        <f t="shared" ref="Z150" si="653">IF(X150="","",",INDEX(REPORT_FR2052a!$1:$1048576,0,"&amp;Z$2&amp;"),"&amp;IF(ISTEXT(Y150),CHAR(34),"")&amp;IF(X150="is","",""&amp;"&lt;&gt;")&amp;Y150&amp;IF(ISTEXT(Y150),CHAR(34),""))</f>
        <v/>
      </c>
      <c r="AB150" s="139"/>
      <c r="AC150" s="137" t="str">
        <f t="shared" ref="AC150" si="654">IF(AA150="","",",INDEX(REPORT_FR2052a!$1:$1048576,0,"&amp;AC$2&amp;"),"&amp;IF(ISTEXT(AB150),CHAR(34),"")&amp;IF(AA150="is","",""&amp;"&lt;&gt;")&amp;AB150&amp;IF(ISTEXT(AB150),CHAR(34),""))</f>
        <v/>
      </c>
      <c r="AD150" s="137" t="s">
        <v>331</v>
      </c>
      <c r="AE150" s="140" t="s">
        <v>162</v>
      </c>
      <c r="AF150" s="137" t="str">
        <f t="shared" ref="AF150" si="655">IF(AD150="","",",INDEX(REPORT_FR2052a!$1:$1048576,0,"&amp;AF$2&amp;"),"&amp;IF(ISTEXT(AE150),CHAR(34),"")&amp;IF(AD150="is","",""&amp;"&lt;&gt;")&amp;AE150&amp;IF(ISTEXT(AE150),CHAR(34),""))</f>
        <v>,INDEX(REPORT_FR2052a!$1:$1048576,0,26),"Sovereign"</v>
      </c>
      <c r="AH150" s="139"/>
      <c r="AI150" s="137" t="str">
        <f t="shared" ref="AI150" si="656">IF(AG150="","",",INDEX(REPORT_FR2052a!$1:$1048576,0,"&amp;AI$2&amp;"),"&amp;IF(ISTEXT(AH150),CHAR(34),"")&amp;IF(AG150="is","",""&amp;"&lt;&gt;")&amp;AH150&amp;IF(ISTEXT(AH150),CHAR(34),""))</f>
        <v/>
      </c>
      <c r="AK150" s="139"/>
      <c r="AL150" s="137" t="str">
        <f t="shared" ref="AL150" si="657">IF(AJ150="","",",INDEX(REPORT_FR2052a!$1:$1048576,0,"&amp;AL$2&amp;"),"&amp;IF(ISTEXT(AK150),CHAR(34),"")&amp;IF(AJ150="is","",""&amp;"&lt;&gt;")&amp;AK150&amp;IF(ISTEXT(AK150),CHAR(34),""))</f>
        <v/>
      </c>
      <c r="AO150" s="137" t="str">
        <f t="shared" ref="AO150" si="658">IF(AM150="","",",INDEX(REPORT_FR2052a!$1:$1048576,0,"&amp;AO$2&amp;"),"&amp;IF(ISTEXT(AN150),CHAR(34),"")&amp;IF(AM150="is","",""&amp;"&lt;&gt;")&amp;AN150&amp;IF(ISTEXT(AN150),CHAR(34),""))</f>
        <v/>
      </c>
      <c r="AR150" s="137" t="str">
        <f t="shared" si="644"/>
        <v/>
      </c>
      <c r="AU150" s="137" t="str">
        <f t="shared" si="488"/>
        <v/>
      </c>
      <c r="AV150" s="137" t="s">
        <v>331</v>
      </c>
      <c r="AW150" s="139" t="s">
        <v>762</v>
      </c>
      <c r="AX150" s="137" t="str">
        <f t="shared" si="586"/>
        <v>,INDEX(REPORT_FR2052a!$1:$1048576,0,7),""</v>
      </c>
      <c r="BA150" s="137" t="s">
        <v>13</v>
      </c>
      <c r="BB150" s="137" t="str">
        <f>"=SUMIFS(INDEX(REPORT_FR2052a!$1:$1048576,0,"&amp;(MATCH(BA150,REPORT_FR2052a!$1:$1,0))&amp;")"</f>
        <v>=SUMIFS(INDEX(REPORT_FR2052a!$1:$1048576,0,14)</v>
      </c>
      <c r="BC150" s="137" t="str">
        <f t="shared" si="600"/>
        <v>=SUMIFS(INDEX(REPORT_FR2052a!$1:$1048576,0,14),INDEX(REPORT_FR2052a!$1:$1048576,0,44),"I.S.7",INDEX(REPORT_FR2052a!$1:$1048576,0,43),1,INDEX(REPORT_FR2052a!$1:$1048576,0,23),"Z-1",INDEX(REPORT_FR2052a!$1:$1048576,0,26),"Sovereign",INDEX(REPORT_FR2052a!$1:$1048576,0,7),"")</v>
      </c>
      <c r="BD150" s="141">
        <f>SUMIFS(INDEX(REPORT_FR2052a!$1:$1048576,0,14),INDEX(REPORT_FR2052a!$1:$1048576,0,44),"I.S.7",INDEX(REPORT_FR2052a!$1:$1048576,0,43),1,INDEX(REPORT_FR2052a!$1:$1048576,0,23),"Z-1",INDEX(REPORT_FR2052a!$1:$1048576,0,26),"Sovereign",INDEX(REPORT_FR2052a!$1:$1048576,0,7),"")</f>
        <v>0</v>
      </c>
      <c r="BE150" s="137" t="s">
        <v>331</v>
      </c>
      <c r="BF150" s="139" t="s">
        <v>47</v>
      </c>
      <c r="BG150" s="137" t="str">
        <f t="shared" ref="BG150" si="659">IF(BE150="","",",INDEX(REPORT_FR2052a!$1:$1048576,0,"&amp;BG$2&amp;"),"&amp;IF(ISTEXT(BF150),CHAR(34),"")&amp;IF(BE150="is","",""&amp;"&lt;&gt;")&amp;BF150&amp;IF(ISTEXT(BF150),CHAR(34),""))</f>
        <v>,INDEX(REPORT_FR2052a!$1:$1048576,0,5),"Bank of China - Combined US Branches and Agencies"</v>
      </c>
      <c r="BI150" s="137" t="str">
        <f t="shared" ref="BI150" si="660">LEFT(BC150,LEN(BC150)-1)&amp;BG150&amp;")"</f>
        <v>=SUMIFS(INDEX(REPORT_FR2052a!$1:$1048576,0,14),INDEX(REPORT_FR2052a!$1:$1048576,0,44),"I.S.7",INDEX(REPORT_FR2052a!$1:$1048576,0,43),1,INDEX(REPORT_FR2052a!$1:$1048576,0,23),"Z-1",INDEX(REPORT_FR2052a!$1:$1048576,0,26),"Sovereign",INDEX(REPORT_FR2052a!$1:$1048576,0,7),"",INDEX(REPORT_FR2052a!$1:$1048576,0,5),"Bank of China - Combined US Branches and Agencies")</v>
      </c>
      <c r="BJ150" s="142">
        <f>SUMIFS(INDEX(REPORT_FR2052a!$1:$1048576,0,14),INDEX(REPORT_FR2052a!$1:$1048576,0,44),"I.S.7",INDEX(REPORT_FR2052a!$1:$1048576,0,43),1,INDEX(REPORT_FR2052a!$1:$1048576,0,23),"Z-1",INDEX(REPORT_FR2052a!$1:$1048576,0,26),"Sovereign",INDEX(REPORT_FR2052a!$1:$1048576,0,7),"",INDEX(REPORT_FR2052a!$1:$1048576,0,5),"Bank of China - Combined US Branches and Agencies")</f>
        <v>0</v>
      </c>
      <c r="BK150" s="143">
        <f t="shared" ref="BK150" si="661">BD150-BJ150</f>
        <v>0</v>
      </c>
    </row>
    <row r="151" spans="1:63">
      <c r="A151" s="136">
        <v>106</v>
      </c>
      <c r="B151" s="137" t="str">
        <f>IFERROR(INDEX('LCR TYPE EXPLAIN'!B:B,MATCH(A151,'LCR TYPE EXPLAIN'!A:A,0)),"")</f>
        <v>Non-Financial Wholesale Cash Inflow Amount (§.33(d)(2))</v>
      </c>
      <c r="F151" s="137" t="s">
        <v>331</v>
      </c>
      <c r="G151" s="138" t="s">
        <v>372</v>
      </c>
      <c r="H151" s="137" t="str">
        <f t="shared" si="604"/>
        <v>,INDEX(REPORT_FR2052a!$1:$1048576,0,44),"I.S.7"</v>
      </c>
      <c r="I151" s="137" t="s">
        <v>331</v>
      </c>
      <c r="J151" s="137">
        <v>1</v>
      </c>
      <c r="K151" s="137" t="str">
        <f t="shared" ref="K151" si="662">IF(I151="","",",INDEX(REPORT_FR2052a!$1:$1048576,0,"&amp;K$2&amp;"),"&amp;IF(ISTEXT(J151),CHAR(34),"")&amp;IF(I151="is","",""&amp;"&lt;&gt;")&amp;J151&amp;IF(ISTEXT(J151),CHAR(34),""))</f>
        <v>,INDEX(REPORT_FR2052a!$1:$1048576,0,43),1</v>
      </c>
      <c r="N151" s="137" t="str">
        <f t="shared" ref="N151" si="663">IF(L151="","",",INDEX(REPORT_FR2052a!$1:$1048576,0,"&amp;N$2&amp;"),"&amp;IF(ISTEXT(M151),CHAR(34),"")&amp;IF(L151="is","",""&amp;"&lt;&gt;")&amp;M151&amp;IF(ISTEXT(M151),CHAR(34),""))</f>
        <v/>
      </c>
      <c r="O151" s="137" t="s">
        <v>331</v>
      </c>
      <c r="P151" s="137" t="s">
        <v>64</v>
      </c>
      <c r="Q151" s="137" t="str">
        <f t="shared" ref="Q151" si="664">IF(O151="","",",INDEX(REPORT_FR2052a!$1:$1048576,0,"&amp;Q$2&amp;"),"&amp;IF(OR(ISTEXT(P151),ISBLANK(P151)),CHAR(34),"")&amp;IF(O151="is","",""&amp;"&lt;&gt;")&amp;P151&amp;IF(OR(ISTEXT(P151),ISBLANK(P151)),CHAR(34),""))</f>
        <v>,INDEX(REPORT_FR2052a!$1:$1048576,0,23),"Z-1"</v>
      </c>
      <c r="T151" s="137" t="str">
        <f t="shared" ref="T151" si="665">IF(R151="","",",INDEX(REPORT_FR2052a!$1:$1048576,0,"&amp;T$2&amp;"),"&amp;IF(ISTEXT(S151),CHAR(34),"")&amp;IF(R151="is","",""&amp;"&lt;&gt;")&amp;S151&amp;IF(ISTEXT(S151),CHAR(34),""))</f>
        <v/>
      </c>
      <c r="V151" s="139"/>
      <c r="W151" s="137" t="str">
        <f t="shared" ref="W151" si="666">IF(U151="","",",INDEX(REPORT_FR2052a!$1:$1048576,0,"&amp;W$2&amp;"),"&amp;IF(ISTEXT(V151),CHAR(34),"")&amp;IF(U151="is","",""&amp;"&lt;&gt;")&amp;V151&amp;IF(ISTEXT(V151),CHAR(34),""))</f>
        <v/>
      </c>
      <c r="Y151" s="139"/>
      <c r="Z151" s="137" t="str">
        <f t="shared" ref="Z151" si="667">IF(X151="","",",INDEX(REPORT_FR2052a!$1:$1048576,0,"&amp;Z$2&amp;"),"&amp;IF(ISTEXT(Y151),CHAR(34),"")&amp;IF(X151="is","",""&amp;"&lt;&gt;")&amp;Y151&amp;IF(ISTEXT(Y151),CHAR(34),""))</f>
        <v/>
      </c>
      <c r="AB151" s="139"/>
      <c r="AC151" s="137" t="str">
        <f t="shared" ref="AC151" si="668">IF(AA151="","",",INDEX(REPORT_FR2052a!$1:$1048576,0,"&amp;AC$2&amp;"),"&amp;IF(ISTEXT(AB151),CHAR(34),"")&amp;IF(AA151="is","",""&amp;"&lt;&gt;")&amp;AB151&amp;IF(ISTEXT(AB151),CHAR(34),""))</f>
        <v/>
      </c>
      <c r="AD151" s="137" t="s">
        <v>331</v>
      </c>
      <c r="AE151" s="140" t="s">
        <v>136</v>
      </c>
      <c r="AF151" s="137" t="str">
        <f t="shared" ref="AF151" si="669">IF(AD151="","",",INDEX(REPORT_FR2052a!$1:$1048576,0,"&amp;AF$2&amp;"),"&amp;IF(ISTEXT(AE151),CHAR(34),"")&amp;IF(AD151="is","",""&amp;"&lt;&gt;")&amp;AE151&amp;IF(ISTEXT(AE151),CHAR(34),""))</f>
        <v>,INDEX(REPORT_FR2052a!$1:$1048576,0,26),"Other"</v>
      </c>
      <c r="AH151" s="139"/>
      <c r="AI151" s="137" t="str">
        <f t="shared" ref="AI151" si="670">IF(AG151="","",",INDEX(REPORT_FR2052a!$1:$1048576,0,"&amp;AI$2&amp;"),"&amp;IF(ISTEXT(AH151),CHAR(34),"")&amp;IF(AG151="is","",""&amp;"&lt;&gt;")&amp;AH151&amp;IF(ISTEXT(AH151),CHAR(34),""))</f>
        <v/>
      </c>
      <c r="AK151" s="139"/>
      <c r="AL151" s="137" t="str">
        <f t="shared" ref="AL151" si="671">IF(AJ151="","",",INDEX(REPORT_FR2052a!$1:$1048576,0,"&amp;AL$2&amp;"),"&amp;IF(ISTEXT(AK151),CHAR(34),"")&amp;IF(AJ151="is","",""&amp;"&lt;&gt;")&amp;AK151&amp;IF(ISTEXT(AK151),CHAR(34),""))</f>
        <v/>
      </c>
      <c r="AO151" s="137" t="str">
        <f t="shared" ref="AO151" si="672">IF(AM151="","",",INDEX(REPORT_FR2052a!$1:$1048576,0,"&amp;AO$2&amp;"),"&amp;IF(ISTEXT(AN151),CHAR(34),"")&amp;IF(AM151="is","",""&amp;"&lt;&gt;")&amp;AN151&amp;IF(ISTEXT(AN151),CHAR(34),""))</f>
        <v/>
      </c>
      <c r="AR151" s="137" t="str">
        <f t="shared" si="644"/>
        <v/>
      </c>
      <c r="AU151" s="137" t="str">
        <f t="shared" si="488"/>
        <v/>
      </c>
      <c r="AV151" s="137" t="s">
        <v>331</v>
      </c>
      <c r="AW151" s="139" t="s">
        <v>762</v>
      </c>
      <c r="AX151" s="137" t="str">
        <f t="shared" si="586"/>
        <v>,INDEX(REPORT_FR2052a!$1:$1048576,0,7),""</v>
      </c>
      <c r="BA151" s="137" t="s">
        <v>13</v>
      </c>
      <c r="BB151" s="137" t="str">
        <f>"=SUMIFS(INDEX(REPORT_FR2052a!$1:$1048576,0,"&amp;(MATCH(BA151,REPORT_FR2052a!$1:$1,0))&amp;")"</f>
        <v>=SUMIFS(INDEX(REPORT_FR2052a!$1:$1048576,0,14)</v>
      </c>
      <c r="BC151" s="137" t="str">
        <f t="shared" si="600"/>
        <v>=SUMIFS(INDEX(REPORT_FR2052a!$1:$1048576,0,14),INDEX(REPORT_FR2052a!$1:$1048576,0,44),"I.S.7",INDEX(REPORT_FR2052a!$1:$1048576,0,43),1,INDEX(REPORT_FR2052a!$1:$1048576,0,23),"Z-1",INDEX(REPORT_FR2052a!$1:$1048576,0,26),"Other",INDEX(REPORT_FR2052a!$1:$1048576,0,7),"")</v>
      </c>
      <c r="BD151" s="141">
        <f>SUMIFS(INDEX(REPORT_FR2052a!$1:$1048576,0,14),INDEX(REPORT_FR2052a!$1:$1048576,0,44),"I.S.7",INDEX(REPORT_FR2052a!$1:$1048576,0,43),1,INDEX(REPORT_FR2052a!$1:$1048576,0,23),"Z-1",INDEX(REPORT_FR2052a!$1:$1048576,0,26),"Other",INDEX(REPORT_FR2052a!$1:$1048576,0,7),"")</f>
        <v>0</v>
      </c>
      <c r="BE151" s="137" t="s">
        <v>331</v>
      </c>
      <c r="BF151" s="139" t="s">
        <v>47</v>
      </c>
      <c r="BG151" s="137" t="str">
        <f t="shared" ref="BG151" si="673">IF(BE151="","",",INDEX(REPORT_FR2052a!$1:$1048576,0,"&amp;BG$2&amp;"),"&amp;IF(ISTEXT(BF151),CHAR(34),"")&amp;IF(BE151="is","",""&amp;"&lt;&gt;")&amp;BF151&amp;IF(ISTEXT(BF151),CHAR(34),""))</f>
        <v>,INDEX(REPORT_FR2052a!$1:$1048576,0,5),"Bank of China - Combined US Branches and Agencies"</v>
      </c>
      <c r="BI151" s="137" t="str">
        <f t="shared" ref="BI151" si="674">LEFT(BC151,LEN(BC151)-1)&amp;BG151&amp;")"</f>
        <v>=SUMIFS(INDEX(REPORT_FR2052a!$1:$1048576,0,14),INDEX(REPORT_FR2052a!$1:$1048576,0,44),"I.S.7",INDEX(REPORT_FR2052a!$1:$1048576,0,43),1,INDEX(REPORT_FR2052a!$1:$1048576,0,23),"Z-1",INDEX(REPORT_FR2052a!$1:$1048576,0,26),"Other",INDEX(REPORT_FR2052a!$1:$1048576,0,7),"",INDEX(REPORT_FR2052a!$1:$1048576,0,5),"Bank of China - Combined US Branches and Agencies")</v>
      </c>
      <c r="BJ151" s="142">
        <f>SUMIFS(INDEX(REPORT_FR2052a!$1:$1048576,0,14),INDEX(REPORT_FR2052a!$1:$1048576,0,44),"I.S.7",INDEX(REPORT_FR2052a!$1:$1048576,0,43),1,INDEX(REPORT_FR2052a!$1:$1048576,0,23),"Z-1",INDEX(REPORT_FR2052a!$1:$1048576,0,26),"Other",INDEX(REPORT_FR2052a!$1:$1048576,0,7),"",INDEX(REPORT_FR2052a!$1:$1048576,0,5),"Bank of China - Combined US Branches and Agencies")</f>
        <v>0</v>
      </c>
      <c r="BK151" s="143">
        <f t="shared" ref="BK151" si="675">BD151-BJ151</f>
        <v>0</v>
      </c>
    </row>
    <row r="152" spans="1:63">
      <c r="A152" s="136">
        <v>107</v>
      </c>
      <c r="B152" s="137" t="str">
        <f>IFERROR(INDEX('LCR TYPE EXPLAIN'!B:B,MATCH(A152,'LCR TYPE EXPLAIN'!A:A,0)),"")</f>
        <v>Securities Cash Inflow Amount (§.33(e ))</v>
      </c>
      <c r="F152" s="137" t="s">
        <v>331</v>
      </c>
      <c r="G152" s="138" t="s">
        <v>380</v>
      </c>
      <c r="H152" s="137" t="str">
        <f t="shared" si="604"/>
        <v>,INDEX(REPORT_FR2052a!$1:$1048576,0,44),"I.O.6"</v>
      </c>
      <c r="I152" s="137" t="s">
        <v>331</v>
      </c>
      <c r="J152" s="137">
        <v>1</v>
      </c>
      <c r="K152" s="137" t="str">
        <f t="shared" si="577"/>
        <v>,INDEX(REPORT_FR2052a!$1:$1048576,0,43),1</v>
      </c>
      <c r="N152" s="137" t="str">
        <f t="shared" si="578"/>
        <v/>
      </c>
      <c r="O152" s="137" t="s">
        <v>332</v>
      </c>
      <c r="Q152" s="137" t="str">
        <f t="shared" si="542"/>
        <v>,INDEX(REPORT_FR2052a!$1:$1048576,0,23),"&lt;&gt;"</v>
      </c>
      <c r="R152" s="137" t="s">
        <v>331</v>
      </c>
      <c r="S152" s="137">
        <v>0</v>
      </c>
      <c r="T152" s="137" t="str">
        <f t="shared" si="579"/>
        <v>,INDEX(REPORT_FR2052a!$1:$1048576,0,46),0</v>
      </c>
      <c r="V152" s="139"/>
      <c r="W152" s="137" t="str">
        <f t="shared" si="580"/>
        <v/>
      </c>
      <c r="Y152" s="139"/>
      <c r="Z152" s="137" t="str">
        <f t="shared" si="581"/>
        <v/>
      </c>
      <c r="AA152" s="137" t="s">
        <v>332</v>
      </c>
      <c r="AB152" s="139" t="s">
        <v>765</v>
      </c>
      <c r="AC152" s="137" t="str">
        <f t="shared" si="582"/>
        <v>,INDEX(REPORT_FR2052a!$1:$1048576,0,42),"&lt;&gt;0"</v>
      </c>
      <c r="AF152" s="137" t="str">
        <f t="shared" si="583"/>
        <v/>
      </c>
      <c r="AH152" s="139"/>
      <c r="AI152" s="137" t="str">
        <f t="shared" si="584"/>
        <v/>
      </c>
      <c r="AK152" s="139"/>
      <c r="AL152" s="137" t="str">
        <f t="shared" si="585"/>
        <v/>
      </c>
      <c r="AO152" s="137" t="str">
        <f t="shared" si="573"/>
        <v/>
      </c>
      <c r="AR152" s="137" t="str">
        <f t="shared" si="644"/>
        <v/>
      </c>
      <c r="AU152" s="137" t="str">
        <f t="shared" si="488"/>
        <v/>
      </c>
      <c r="AV152" s="137" t="s">
        <v>331</v>
      </c>
      <c r="AW152" s="139" t="s">
        <v>762</v>
      </c>
      <c r="AX152" s="137" t="str">
        <f t="shared" si="586"/>
        <v>,INDEX(REPORT_FR2052a!$1:$1048576,0,7),""</v>
      </c>
      <c r="BA152" s="137" t="s">
        <v>13</v>
      </c>
      <c r="BB152" s="137" t="str">
        <f>"=SUMIFS(INDEX(REPORT_FR2052a!$1:$1048576,0,"&amp;(MATCH(BA152,REPORT_FR2052a!$1:$1,0))&amp;")"</f>
        <v>=SUMIFS(INDEX(REPORT_FR2052a!$1:$1048576,0,14)</v>
      </c>
      <c r="BC152" s="137" t="str">
        <f t="shared" si="600"/>
        <v>=SUMIFS(INDEX(REPORT_FR2052a!$1:$1048576,0,14),INDEX(REPORT_FR2052a!$1:$1048576,0,44),"I.O.6",INDEX(REPORT_FR2052a!$1:$1048576,0,43),1,INDEX(REPORT_FR2052a!$1:$1048576,0,23),"&lt;&gt;",INDEX(REPORT_FR2052a!$1:$1048576,0,46),0,INDEX(REPORT_FR2052a!$1:$1048576,0,42),"&lt;&gt;0",INDEX(REPORT_FR2052a!$1:$1048576,0,7),"")</v>
      </c>
      <c r="BD152" s="141">
        <f>SUMIFS(INDEX(REPORT_FR2052a!$1:$1048576,0,14),INDEX(REPORT_FR2052a!$1:$1048576,0,44),"I.O.6",INDEX(REPORT_FR2052a!$1:$1048576,0,43),1,INDEX(REPORT_FR2052a!$1:$1048576,0,23),"&lt;&gt;",INDEX(REPORT_FR2052a!$1:$1048576,0,46),0,INDEX(REPORT_FR2052a!$1:$1048576,0,42),"&lt;&gt;0",INDEX(REPORT_FR2052a!$1:$1048576,0,7),"")</f>
        <v>0</v>
      </c>
      <c r="BE152" s="137" t="s">
        <v>331</v>
      </c>
      <c r="BF152" s="139" t="s">
        <v>47</v>
      </c>
      <c r="BG152" s="137" t="str">
        <f t="shared" si="574"/>
        <v>,INDEX(REPORT_FR2052a!$1:$1048576,0,5),"Bank of China - Combined US Branches and Agencies"</v>
      </c>
      <c r="BI152" s="137" t="str">
        <f t="shared" si="587"/>
        <v>=SUMIFS(INDEX(REPORT_FR2052a!$1:$1048576,0,14),INDEX(REPORT_FR2052a!$1:$1048576,0,44),"I.O.6",INDEX(REPORT_FR2052a!$1:$1048576,0,43),1,INDEX(REPORT_FR2052a!$1:$1048576,0,23),"&lt;&gt;",INDEX(REPORT_FR2052a!$1:$1048576,0,46),0,INDEX(REPORT_FR2052a!$1:$1048576,0,42),"&lt;&gt;0",INDEX(REPORT_FR2052a!$1:$1048576,0,7),"",INDEX(REPORT_FR2052a!$1:$1048576,0,5),"Bank of China - Combined US Branches and Agencies")</v>
      </c>
      <c r="BJ152" s="142">
        <f>SUMIFS(INDEX(REPORT_FR2052a!$1:$1048576,0,14),INDEX(REPORT_FR2052a!$1:$1048576,0,44),"I.O.6",INDEX(REPORT_FR2052a!$1:$1048576,0,43),1,INDEX(REPORT_FR2052a!$1:$1048576,0,23),"&lt;&gt;",INDEX(REPORT_FR2052a!$1:$1048576,0,46),0,INDEX(REPORT_FR2052a!$1:$1048576,0,42),"&lt;&gt;0",INDEX(REPORT_FR2052a!$1:$1048576,0,7),"",INDEX(REPORT_FR2052a!$1:$1048576,0,5),"Bank of China - Combined US Branches and Agencies")</f>
        <v>0</v>
      </c>
      <c r="BK152" s="143">
        <f t="shared" si="588"/>
        <v>0</v>
      </c>
    </row>
    <row r="153" spans="1:63">
      <c r="A153" s="136">
        <v>107</v>
      </c>
      <c r="B153" s="137" t="str">
        <f>IFERROR(INDEX('LCR TYPE EXPLAIN'!B:B,MATCH(A153,'LCR TYPE EXPLAIN'!A:A,0)),"")</f>
        <v>Securities Cash Inflow Amount (§.33(e ))</v>
      </c>
      <c r="F153" s="137" t="s">
        <v>331</v>
      </c>
      <c r="G153" s="138" t="s">
        <v>381</v>
      </c>
      <c r="H153" s="137" t="str">
        <f t="shared" si="604"/>
        <v>,INDEX(REPORT_FR2052a!$1:$1048576,0,44),"I.O.8"</v>
      </c>
      <c r="I153" s="137" t="s">
        <v>331</v>
      </c>
      <c r="J153" s="137">
        <v>1</v>
      </c>
      <c r="K153" s="137" t="str">
        <f t="shared" si="577"/>
        <v>,INDEX(REPORT_FR2052a!$1:$1048576,0,43),1</v>
      </c>
      <c r="N153" s="137" t="str">
        <f t="shared" si="578"/>
        <v/>
      </c>
      <c r="O153" s="137" t="s">
        <v>332</v>
      </c>
      <c r="Q153" s="137" t="str">
        <f t="shared" si="542"/>
        <v>,INDEX(REPORT_FR2052a!$1:$1048576,0,23),"&lt;&gt;"</v>
      </c>
      <c r="R153" s="137" t="s">
        <v>331</v>
      </c>
      <c r="S153" s="137">
        <v>0</v>
      </c>
      <c r="T153" s="137" t="str">
        <f t="shared" si="579"/>
        <v>,INDEX(REPORT_FR2052a!$1:$1048576,0,46),0</v>
      </c>
      <c r="V153" s="139"/>
      <c r="W153" s="137" t="str">
        <f t="shared" si="580"/>
        <v/>
      </c>
      <c r="Y153" s="139"/>
      <c r="Z153" s="137" t="str">
        <f t="shared" si="581"/>
        <v/>
      </c>
      <c r="AA153" s="137" t="s">
        <v>332</v>
      </c>
      <c r="AB153" s="139" t="s">
        <v>765</v>
      </c>
      <c r="AC153" s="137" t="str">
        <f t="shared" si="582"/>
        <v>,INDEX(REPORT_FR2052a!$1:$1048576,0,42),"&lt;&gt;0"</v>
      </c>
      <c r="AF153" s="137" t="str">
        <f t="shared" si="583"/>
        <v/>
      </c>
      <c r="AH153" s="139"/>
      <c r="AI153" s="137" t="str">
        <f t="shared" si="584"/>
        <v/>
      </c>
      <c r="AK153" s="139"/>
      <c r="AL153" s="137" t="str">
        <f t="shared" si="585"/>
        <v/>
      </c>
      <c r="AO153" s="137" t="str">
        <f t="shared" si="573"/>
        <v/>
      </c>
      <c r="AR153" s="137" t="str">
        <f t="shared" si="644"/>
        <v/>
      </c>
      <c r="AU153" s="137" t="str">
        <f t="shared" si="488"/>
        <v/>
      </c>
      <c r="AV153" s="137" t="s">
        <v>331</v>
      </c>
      <c r="AW153" s="139" t="s">
        <v>762</v>
      </c>
      <c r="AX153" s="137" t="str">
        <f t="shared" si="586"/>
        <v>,INDEX(REPORT_FR2052a!$1:$1048576,0,7),""</v>
      </c>
      <c r="BA153" s="137" t="s">
        <v>13</v>
      </c>
      <c r="BB153" s="137" t="str">
        <f>"=SUMIFS(INDEX(REPORT_FR2052a!$1:$1048576,0,"&amp;(MATCH(BA153,REPORT_FR2052a!$1:$1,0))&amp;")"</f>
        <v>=SUMIFS(INDEX(REPORT_FR2052a!$1:$1048576,0,14)</v>
      </c>
      <c r="BC153" s="137" t="str">
        <f t="shared" si="600"/>
        <v>=SUMIFS(INDEX(REPORT_FR2052a!$1:$1048576,0,14),INDEX(REPORT_FR2052a!$1:$1048576,0,44),"I.O.8",INDEX(REPORT_FR2052a!$1:$1048576,0,43),1,INDEX(REPORT_FR2052a!$1:$1048576,0,23),"&lt;&gt;",INDEX(REPORT_FR2052a!$1:$1048576,0,46),0,INDEX(REPORT_FR2052a!$1:$1048576,0,42),"&lt;&gt;0",INDEX(REPORT_FR2052a!$1:$1048576,0,7),"")</v>
      </c>
      <c r="BD153" s="141">
        <f>SUMIFS(INDEX(REPORT_FR2052a!$1:$1048576,0,14),INDEX(REPORT_FR2052a!$1:$1048576,0,44),"I.O.8",INDEX(REPORT_FR2052a!$1:$1048576,0,43),1,INDEX(REPORT_FR2052a!$1:$1048576,0,23),"&lt;&gt;",INDEX(REPORT_FR2052a!$1:$1048576,0,46),0,INDEX(REPORT_FR2052a!$1:$1048576,0,42),"&lt;&gt;0",INDEX(REPORT_FR2052a!$1:$1048576,0,7),"")</f>
        <v>0</v>
      </c>
      <c r="BE153" s="137" t="s">
        <v>331</v>
      </c>
      <c r="BF153" s="139" t="s">
        <v>47</v>
      </c>
      <c r="BG153" s="137" t="str">
        <f t="shared" si="574"/>
        <v>,INDEX(REPORT_FR2052a!$1:$1048576,0,5),"Bank of China - Combined US Branches and Agencies"</v>
      </c>
      <c r="BI153" s="137" t="str">
        <f t="shared" si="587"/>
        <v>=SUMIFS(INDEX(REPORT_FR2052a!$1:$1048576,0,14),INDEX(REPORT_FR2052a!$1:$1048576,0,44),"I.O.8",INDEX(REPORT_FR2052a!$1:$1048576,0,43),1,INDEX(REPORT_FR2052a!$1:$1048576,0,23),"&lt;&gt;",INDEX(REPORT_FR2052a!$1:$1048576,0,46),0,INDEX(REPORT_FR2052a!$1:$1048576,0,42),"&lt;&gt;0",INDEX(REPORT_FR2052a!$1:$1048576,0,7),"",INDEX(REPORT_FR2052a!$1:$1048576,0,5),"Bank of China - Combined US Branches and Agencies")</v>
      </c>
      <c r="BJ153" s="142">
        <f>SUMIFS(INDEX(REPORT_FR2052a!$1:$1048576,0,14),INDEX(REPORT_FR2052a!$1:$1048576,0,44),"I.O.8",INDEX(REPORT_FR2052a!$1:$1048576,0,43),1,INDEX(REPORT_FR2052a!$1:$1048576,0,23),"&lt;&gt;",INDEX(REPORT_FR2052a!$1:$1048576,0,46),0,INDEX(REPORT_FR2052a!$1:$1048576,0,42),"&lt;&gt;0",INDEX(REPORT_FR2052a!$1:$1048576,0,7),"",INDEX(REPORT_FR2052a!$1:$1048576,0,5),"Bank of China - Combined US Branches and Agencies")</f>
        <v>0</v>
      </c>
      <c r="BK153" s="143">
        <f t="shared" si="588"/>
        <v>0</v>
      </c>
    </row>
    <row r="154" spans="1:63">
      <c r="A154" s="136">
        <v>108</v>
      </c>
      <c r="B154" s="137" t="str">
        <f>IFERROR(INDEX('LCR TYPE EXPLAIN'!B:B,MATCH(A154,'LCR TYPE EXPLAIN'!A:A,0)),"")</f>
        <v>Securities Cash Inflow Amount (§.33(e ))</v>
      </c>
      <c r="F154" s="137" t="s">
        <v>331</v>
      </c>
      <c r="G154" s="138" t="s">
        <v>380</v>
      </c>
      <c r="H154" s="137" t="str">
        <f t="shared" si="604"/>
        <v>,INDEX(REPORT_FR2052a!$1:$1048576,0,44),"I.O.6"</v>
      </c>
      <c r="I154" s="137" t="s">
        <v>331</v>
      </c>
      <c r="J154" s="137">
        <v>1</v>
      </c>
      <c r="K154" s="137" t="str">
        <f t="shared" si="577"/>
        <v>,INDEX(REPORT_FR2052a!$1:$1048576,0,43),1</v>
      </c>
      <c r="N154" s="137" t="str">
        <f t="shared" si="578"/>
        <v/>
      </c>
      <c r="Q154" s="137" t="str">
        <f t="shared" si="542"/>
        <v/>
      </c>
      <c r="R154" s="137" t="s">
        <v>331</v>
      </c>
      <c r="S154" s="137">
        <v>1</v>
      </c>
      <c r="T154" s="137" t="str">
        <f t="shared" si="579"/>
        <v>,INDEX(REPORT_FR2052a!$1:$1048576,0,46),1</v>
      </c>
      <c r="U154" s="137" t="s">
        <v>331</v>
      </c>
      <c r="V154" s="139">
        <v>0</v>
      </c>
      <c r="W154" s="137" t="str">
        <f t="shared" si="580"/>
        <v>,INDEX(REPORT_FR2052a!$1:$1048576,0,47),0</v>
      </c>
      <c r="Y154" s="139"/>
      <c r="Z154" s="137" t="str">
        <f t="shared" si="581"/>
        <v/>
      </c>
      <c r="AA154" s="137" t="s">
        <v>332</v>
      </c>
      <c r="AB154" s="139" t="s">
        <v>765</v>
      </c>
      <c r="AC154" s="137" t="str">
        <f t="shared" si="582"/>
        <v>,INDEX(REPORT_FR2052a!$1:$1048576,0,42),"&lt;&gt;0"</v>
      </c>
      <c r="AF154" s="137" t="str">
        <f t="shared" si="583"/>
        <v/>
      </c>
      <c r="AH154" s="139"/>
      <c r="AI154" s="137" t="str">
        <f t="shared" si="584"/>
        <v/>
      </c>
      <c r="AK154" s="139"/>
      <c r="AL154" s="137" t="str">
        <f t="shared" si="585"/>
        <v/>
      </c>
      <c r="AO154" s="137" t="str">
        <f t="shared" si="573"/>
        <v/>
      </c>
      <c r="AR154" s="137" t="str">
        <f t="shared" si="644"/>
        <v/>
      </c>
      <c r="AU154" s="137" t="str">
        <f t="shared" si="488"/>
        <v/>
      </c>
      <c r="AV154" s="137" t="s">
        <v>331</v>
      </c>
      <c r="AW154" s="139" t="s">
        <v>762</v>
      </c>
      <c r="AX154" s="137" t="str">
        <f t="shared" si="586"/>
        <v>,INDEX(REPORT_FR2052a!$1:$1048576,0,7),""</v>
      </c>
      <c r="BA154" s="137" t="s">
        <v>13</v>
      </c>
      <c r="BB154" s="137" t="str">
        <f>"=SUMIFS(INDEX(REPORT_FR2052a!$1:$1048576,0,"&amp;(MATCH(BA154,REPORT_FR2052a!$1:$1,0))&amp;")"</f>
        <v>=SUMIFS(INDEX(REPORT_FR2052a!$1:$1048576,0,14)</v>
      </c>
      <c r="BC154" s="137" t="str">
        <f t="shared" si="600"/>
        <v>=SUMIFS(INDEX(REPORT_FR2052a!$1:$1048576,0,14),INDEX(REPORT_FR2052a!$1:$1048576,0,44),"I.O.6",INDEX(REPORT_FR2052a!$1:$1048576,0,43),1,INDEX(REPORT_FR2052a!$1:$1048576,0,46),1,INDEX(REPORT_FR2052a!$1:$1048576,0,47),0,INDEX(REPORT_FR2052a!$1:$1048576,0,42),"&lt;&gt;0",INDEX(REPORT_FR2052a!$1:$1048576,0,7),"")</v>
      </c>
      <c r="BD154" s="141">
        <f>SUMIFS(INDEX(REPORT_FR2052a!$1:$1048576,0,14),INDEX(REPORT_FR2052a!$1:$1048576,0,44),"I.O.6",INDEX(REPORT_FR2052a!$1:$1048576,0,43),1,INDEX(REPORT_FR2052a!$1:$1048576,0,46),1,INDEX(REPORT_FR2052a!$1:$1048576,0,47),0,INDEX(REPORT_FR2052a!$1:$1048576,0,42),"&lt;&gt;0",INDEX(REPORT_FR2052a!$1:$1048576,0,7),"")</f>
        <v>0</v>
      </c>
      <c r="BE154" s="137" t="s">
        <v>331</v>
      </c>
      <c r="BF154" s="139" t="s">
        <v>47</v>
      </c>
      <c r="BG154" s="137" t="str">
        <f t="shared" si="574"/>
        <v>,INDEX(REPORT_FR2052a!$1:$1048576,0,5),"Bank of China - Combined US Branches and Agencies"</v>
      </c>
      <c r="BI154" s="137" t="str">
        <f t="shared" si="587"/>
        <v>=SUMIFS(INDEX(REPORT_FR2052a!$1:$1048576,0,14),INDEX(REPORT_FR2052a!$1:$1048576,0,44),"I.O.6",INDEX(REPORT_FR2052a!$1:$1048576,0,43),1,INDEX(REPORT_FR2052a!$1:$1048576,0,46),1,INDEX(REPORT_FR2052a!$1:$1048576,0,47),0,INDEX(REPORT_FR2052a!$1:$1048576,0,42),"&lt;&gt;0",INDEX(REPORT_FR2052a!$1:$1048576,0,7),"",INDEX(REPORT_FR2052a!$1:$1048576,0,5),"Bank of China - Combined US Branches and Agencies")</v>
      </c>
      <c r="BJ154" s="142">
        <f>SUMIFS(INDEX(REPORT_FR2052a!$1:$1048576,0,14),INDEX(REPORT_FR2052a!$1:$1048576,0,44),"I.O.6",INDEX(REPORT_FR2052a!$1:$1048576,0,43),1,INDEX(REPORT_FR2052a!$1:$1048576,0,46),1,INDEX(REPORT_FR2052a!$1:$1048576,0,47),0,INDEX(REPORT_FR2052a!$1:$1048576,0,42),"&lt;&gt;0",INDEX(REPORT_FR2052a!$1:$1048576,0,7),"",INDEX(REPORT_FR2052a!$1:$1048576,0,5),"Bank of China - Combined US Branches and Agencies")</f>
        <v>0</v>
      </c>
      <c r="BK154" s="143">
        <f t="shared" si="588"/>
        <v>0</v>
      </c>
    </row>
    <row r="155" spans="1:63">
      <c r="A155" s="136">
        <v>108</v>
      </c>
      <c r="B155" s="137" t="str">
        <f>IFERROR(INDEX('LCR TYPE EXPLAIN'!B:B,MATCH(A155,'LCR TYPE EXPLAIN'!A:A,0)),"")</f>
        <v>Securities Cash Inflow Amount (§.33(e ))</v>
      </c>
      <c r="F155" s="137" t="s">
        <v>331</v>
      </c>
      <c r="G155" s="138" t="s">
        <v>381</v>
      </c>
      <c r="H155" s="137" t="str">
        <f t="shared" si="604"/>
        <v>,INDEX(REPORT_FR2052a!$1:$1048576,0,44),"I.O.8"</v>
      </c>
      <c r="I155" s="137" t="s">
        <v>331</v>
      </c>
      <c r="J155" s="137">
        <v>1</v>
      </c>
      <c r="K155" s="137" t="str">
        <f t="shared" si="577"/>
        <v>,INDEX(REPORT_FR2052a!$1:$1048576,0,43),1</v>
      </c>
      <c r="N155" s="137" t="str">
        <f t="shared" si="578"/>
        <v/>
      </c>
      <c r="Q155" s="137" t="str">
        <f t="shared" si="542"/>
        <v/>
      </c>
      <c r="R155" s="137" t="s">
        <v>331</v>
      </c>
      <c r="S155" s="137">
        <v>1</v>
      </c>
      <c r="T155" s="137" t="str">
        <f t="shared" si="579"/>
        <v>,INDEX(REPORT_FR2052a!$1:$1048576,0,46),1</v>
      </c>
      <c r="U155" s="137" t="s">
        <v>331</v>
      </c>
      <c r="V155" s="139">
        <v>0</v>
      </c>
      <c r="W155" s="137" t="str">
        <f t="shared" si="580"/>
        <v>,INDEX(REPORT_FR2052a!$1:$1048576,0,47),0</v>
      </c>
      <c r="Y155" s="139"/>
      <c r="Z155" s="137" t="str">
        <f t="shared" si="581"/>
        <v/>
      </c>
      <c r="AA155" s="137" t="s">
        <v>332</v>
      </c>
      <c r="AB155" s="139" t="s">
        <v>765</v>
      </c>
      <c r="AC155" s="137" t="str">
        <f t="shared" si="582"/>
        <v>,INDEX(REPORT_FR2052a!$1:$1048576,0,42),"&lt;&gt;0"</v>
      </c>
      <c r="AF155" s="137" t="str">
        <f t="shared" si="583"/>
        <v/>
      </c>
      <c r="AH155" s="139"/>
      <c r="AI155" s="137" t="str">
        <f t="shared" si="584"/>
        <v/>
      </c>
      <c r="AK155" s="139"/>
      <c r="AL155" s="137" t="str">
        <f t="shared" si="585"/>
        <v/>
      </c>
      <c r="AO155" s="137" t="str">
        <f t="shared" si="573"/>
        <v/>
      </c>
      <c r="AR155" s="137" t="str">
        <f t="shared" si="644"/>
        <v/>
      </c>
      <c r="AU155" s="137" t="str">
        <f t="shared" si="488"/>
        <v/>
      </c>
      <c r="AV155" s="137" t="s">
        <v>331</v>
      </c>
      <c r="AW155" s="139" t="s">
        <v>762</v>
      </c>
      <c r="AX155" s="137" t="str">
        <f t="shared" si="586"/>
        <v>,INDEX(REPORT_FR2052a!$1:$1048576,0,7),""</v>
      </c>
      <c r="BA155" s="137" t="s">
        <v>13</v>
      </c>
      <c r="BB155" s="137" t="str">
        <f>"=SUMIFS(INDEX(REPORT_FR2052a!$1:$1048576,0,"&amp;(MATCH(BA155,REPORT_FR2052a!$1:$1,0))&amp;")"</f>
        <v>=SUMIFS(INDEX(REPORT_FR2052a!$1:$1048576,0,14)</v>
      </c>
      <c r="BC155" s="137" t="str">
        <f t="shared" si="600"/>
        <v>=SUMIFS(INDEX(REPORT_FR2052a!$1:$1048576,0,14),INDEX(REPORT_FR2052a!$1:$1048576,0,44),"I.O.8",INDEX(REPORT_FR2052a!$1:$1048576,0,43),1,INDEX(REPORT_FR2052a!$1:$1048576,0,46),1,INDEX(REPORT_FR2052a!$1:$1048576,0,47),0,INDEX(REPORT_FR2052a!$1:$1048576,0,42),"&lt;&gt;0",INDEX(REPORT_FR2052a!$1:$1048576,0,7),"")</v>
      </c>
      <c r="BD155" s="141">
        <f>SUMIFS(INDEX(REPORT_FR2052a!$1:$1048576,0,14),INDEX(REPORT_FR2052a!$1:$1048576,0,44),"I.O.8",INDEX(REPORT_FR2052a!$1:$1048576,0,43),1,INDEX(REPORT_FR2052a!$1:$1048576,0,46),1,INDEX(REPORT_FR2052a!$1:$1048576,0,47),0,INDEX(REPORT_FR2052a!$1:$1048576,0,42),"&lt;&gt;0",INDEX(REPORT_FR2052a!$1:$1048576,0,7),"")</f>
        <v>0</v>
      </c>
      <c r="BE155" s="137" t="s">
        <v>331</v>
      </c>
      <c r="BF155" s="139" t="s">
        <v>47</v>
      </c>
      <c r="BG155" s="137" t="str">
        <f t="shared" si="574"/>
        <v>,INDEX(REPORT_FR2052a!$1:$1048576,0,5),"Bank of China - Combined US Branches and Agencies"</v>
      </c>
      <c r="BI155" s="137" t="str">
        <f t="shared" si="587"/>
        <v>=SUMIFS(INDEX(REPORT_FR2052a!$1:$1048576,0,14),INDEX(REPORT_FR2052a!$1:$1048576,0,44),"I.O.8",INDEX(REPORT_FR2052a!$1:$1048576,0,43),1,INDEX(REPORT_FR2052a!$1:$1048576,0,46),1,INDEX(REPORT_FR2052a!$1:$1048576,0,47),0,INDEX(REPORT_FR2052a!$1:$1048576,0,42),"&lt;&gt;0",INDEX(REPORT_FR2052a!$1:$1048576,0,7),"",INDEX(REPORT_FR2052a!$1:$1048576,0,5),"Bank of China - Combined US Branches and Agencies")</v>
      </c>
      <c r="BJ155" s="142">
        <f>SUMIFS(INDEX(REPORT_FR2052a!$1:$1048576,0,14),INDEX(REPORT_FR2052a!$1:$1048576,0,44),"I.O.8",INDEX(REPORT_FR2052a!$1:$1048576,0,43),1,INDEX(REPORT_FR2052a!$1:$1048576,0,46),1,INDEX(REPORT_FR2052a!$1:$1048576,0,47),0,INDEX(REPORT_FR2052a!$1:$1048576,0,42),"&lt;&gt;0",INDEX(REPORT_FR2052a!$1:$1048576,0,7),"",INDEX(REPORT_FR2052a!$1:$1048576,0,5),"Bank of China - Combined US Branches and Agencies")</f>
        <v>0</v>
      </c>
      <c r="BK155" s="143">
        <f t="shared" si="588"/>
        <v>0</v>
      </c>
    </row>
    <row r="156" spans="1:63">
      <c r="A156" s="136">
        <v>132</v>
      </c>
      <c r="B156" s="137" t="str">
        <f>IFERROR(INDEX('LCR TYPE EXPLAIN'!B:B,MATCH(A156,'LCR TYPE EXPLAIN'!A:A,0)),"")</f>
        <v>Other Cash Inflow Amount (§.33(h))</v>
      </c>
      <c r="F156" s="137" t="s">
        <v>331</v>
      </c>
      <c r="G156" s="138" t="s">
        <v>382</v>
      </c>
      <c r="H156" s="137" t="str">
        <f t="shared" si="604"/>
        <v>,INDEX(REPORT_FR2052a!$1:$1048576,0,44),"I.O.9"</v>
      </c>
      <c r="I156" s="137" t="s">
        <v>331</v>
      </c>
      <c r="J156" s="137">
        <v>1</v>
      </c>
      <c r="K156" s="137" t="str">
        <f t="shared" si="577"/>
        <v>,INDEX(REPORT_FR2052a!$1:$1048576,0,43),1</v>
      </c>
      <c r="N156" s="137" t="str">
        <f t="shared" si="578"/>
        <v/>
      </c>
      <c r="Q156" s="137" t="str">
        <f t="shared" si="542"/>
        <v/>
      </c>
      <c r="T156" s="137" t="str">
        <f t="shared" si="579"/>
        <v/>
      </c>
      <c r="V156" s="139"/>
      <c r="W156" s="137" t="str">
        <f t="shared" si="580"/>
        <v/>
      </c>
      <c r="Y156" s="139"/>
      <c r="Z156" s="137" t="str">
        <f t="shared" si="581"/>
        <v/>
      </c>
      <c r="AB156" s="139"/>
      <c r="AC156" s="137" t="str">
        <f t="shared" si="582"/>
        <v/>
      </c>
      <c r="AF156" s="137" t="str">
        <f t="shared" si="583"/>
        <v/>
      </c>
      <c r="AH156" s="139"/>
      <c r="AI156" s="137" t="str">
        <f t="shared" si="584"/>
        <v/>
      </c>
      <c r="AK156" s="139"/>
      <c r="AL156" s="137" t="str">
        <f t="shared" si="585"/>
        <v/>
      </c>
      <c r="AO156" s="137" t="str">
        <f t="shared" si="573"/>
        <v/>
      </c>
      <c r="AR156" s="137" t="str">
        <f t="shared" si="644"/>
        <v/>
      </c>
      <c r="AU156" s="137" t="str">
        <f t="shared" si="488"/>
        <v/>
      </c>
      <c r="AV156" s="137" t="s">
        <v>331</v>
      </c>
      <c r="AW156" s="139" t="s">
        <v>762</v>
      </c>
      <c r="AX156" s="137" t="str">
        <f t="shared" ref="AX156" si="676">IF(AV156="","",",INDEX(REPORT_FR2052a!$1:$1048576,0,"&amp;AX$2&amp;"),"&amp;IF(ISTEXT(AW156),CHAR(34),"")&amp;IF(AV156="is","",""&amp;"&lt;&gt;")&amp;AW156&amp;IF(ISTEXT(AW156),CHAR(34),""))</f>
        <v>,INDEX(REPORT_FR2052a!$1:$1048576,0,7),""</v>
      </c>
      <c r="BA156" s="137" t="s">
        <v>13</v>
      </c>
      <c r="BB156" s="137" t="str">
        <f>"=SUMIFS(INDEX(REPORT_FR2052a!$1:$1048576,0,"&amp;(MATCH(BA156,REPORT_FR2052a!$1:$1,0))&amp;")"</f>
        <v>=SUMIFS(INDEX(REPORT_FR2052a!$1:$1048576,0,14)</v>
      </c>
      <c r="BC156" s="137" t="str">
        <f t="shared" si="600"/>
        <v>=SUMIFS(INDEX(REPORT_FR2052a!$1:$1048576,0,14),INDEX(REPORT_FR2052a!$1:$1048576,0,44),"I.O.9",INDEX(REPORT_FR2052a!$1:$1048576,0,43),1,INDEX(REPORT_FR2052a!$1:$1048576,0,7),"")</v>
      </c>
      <c r="BD156" s="141">
        <f>SUMIFS(INDEX(REPORT_FR2052a!$1:$1048576,0,14),INDEX(REPORT_FR2052a!$1:$1048576,0,44),"I.O.9",INDEX(REPORT_FR2052a!$1:$1048576,0,43),1,INDEX(REPORT_FR2052a!$1:$1048576,0,7),"")</f>
        <v>0.27</v>
      </c>
      <c r="BE156" s="137" t="s">
        <v>331</v>
      </c>
      <c r="BF156" s="139" t="s">
        <v>47</v>
      </c>
      <c r="BG156" s="137" t="str">
        <f t="shared" si="574"/>
        <v>,INDEX(REPORT_FR2052a!$1:$1048576,0,5),"Bank of China - Combined US Branches and Agencies"</v>
      </c>
      <c r="BI156" s="137" t="str">
        <f t="shared" si="587"/>
        <v>=SUMIFS(INDEX(REPORT_FR2052a!$1:$1048576,0,14),INDEX(REPORT_FR2052a!$1:$1048576,0,44),"I.O.9",INDEX(REPORT_FR2052a!$1:$1048576,0,43),1,INDEX(REPORT_FR2052a!$1:$1048576,0,7),"",INDEX(REPORT_FR2052a!$1:$1048576,0,5),"Bank of China - Combined US Branches and Agencies")</v>
      </c>
      <c r="BJ156" s="142">
        <f>SUMIFS(INDEX(REPORT_FR2052a!$1:$1048576,0,14),INDEX(REPORT_FR2052a!$1:$1048576,0,44),"I.O.9",INDEX(REPORT_FR2052a!$1:$1048576,0,43),1,INDEX(REPORT_FR2052a!$1:$1048576,0,7),"",INDEX(REPORT_FR2052a!$1:$1048576,0,5),"Bank of China - Combined US Branches and Agencies")</f>
        <v>0.27</v>
      </c>
      <c r="BK156" s="143">
        <f t="shared" si="588"/>
        <v>0</v>
      </c>
    </row>
    <row r="157" spans="1:63">
      <c r="A157" s="136">
        <v>134</v>
      </c>
      <c r="B157" s="137" t="str">
        <f>IFERROR(INDEX('LCR TYPE EXPLAIN'!B:B,MATCH(A157,'LCR TYPE EXPLAIN'!A:A,0)),"")</f>
        <v>Undercollaterlized Borrowing - Mapping ID 54</v>
      </c>
      <c r="E157" s="137">
        <v>1</v>
      </c>
      <c r="F157" s="137" t="s">
        <v>331</v>
      </c>
      <c r="G157" s="138" t="s">
        <v>393</v>
      </c>
      <c r="H157" s="137" t="str">
        <f t="shared" si="604"/>
        <v>,INDEX(REPORT_FR2052a!$1:$1048576,0,44),"O.D.4"</v>
      </c>
      <c r="I157" s="137" t="s">
        <v>331</v>
      </c>
      <c r="J157" s="137">
        <v>1</v>
      </c>
      <c r="K157" s="137" t="str">
        <f t="shared" ref="K157:K172" si="677">IF(I157="","",",INDEX(REPORT_FR2052a!$1:$1048576,0,"&amp;K$2&amp;"),"&amp;IF(ISTEXT(J157),CHAR(34),"")&amp;IF(I157="is","",""&amp;"&lt;&gt;")&amp;J157&amp;IF(ISTEXT(J157),CHAR(34),""))</f>
        <v>,INDEX(REPORT_FR2052a!$1:$1048576,0,43),1</v>
      </c>
      <c r="N157" s="137" t="str">
        <f t="shared" ref="N157:N172" si="678">IF(L157="","",",INDEX(REPORT_FR2052a!$1:$1048576,0,"&amp;N$2&amp;"),"&amp;IF(ISTEXT(M157),CHAR(34),"")&amp;IF(L157="is","",""&amp;"&lt;&gt;")&amp;M157&amp;IF(ISTEXT(M157),CHAR(34),""))</f>
        <v/>
      </c>
      <c r="Q157" s="137" t="str">
        <f t="shared" si="542"/>
        <v/>
      </c>
      <c r="T157" s="137" t="str">
        <f t="shared" ref="T157:T172" si="679">IF(R157="","",",INDEX(REPORT_FR2052a!$1:$1048576,0,"&amp;T$2&amp;"),"&amp;IF(ISTEXT(S157),CHAR(34),"")&amp;IF(R157="is","",""&amp;"&lt;&gt;")&amp;S157&amp;IF(ISTEXT(S157),CHAR(34),""))</f>
        <v/>
      </c>
      <c r="V157" s="139"/>
      <c r="W157" s="137" t="str">
        <f t="shared" ref="W157:W172" si="680">IF(U157="","",",INDEX(REPORT_FR2052a!$1:$1048576,0,"&amp;W$2&amp;"),"&amp;IF(ISTEXT(V157),CHAR(34),"")&amp;IF(U157="is","",""&amp;"&lt;&gt;")&amp;V157&amp;IF(ISTEXT(V157),CHAR(34),""))</f>
        <v/>
      </c>
      <c r="Y157" s="139"/>
      <c r="Z157" s="137" t="str">
        <f t="shared" ref="Z157:Z172" si="681">IF(X157="","",",INDEX(REPORT_FR2052a!$1:$1048576,0,"&amp;Z$2&amp;"),"&amp;IF(ISTEXT(Y157),CHAR(34),"")&amp;IF(X157="is","",""&amp;"&lt;&gt;")&amp;Y157&amp;IF(ISTEXT(Y157),CHAR(34),""))</f>
        <v/>
      </c>
      <c r="AB157" s="139"/>
      <c r="AC157" s="137" t="str">
        <f t="shared" ref="AC157:AC172" si="682">IF(AA157="","",",INDEX(REPORT_FR2052a!$1:$1048576,0,"&amp;AC$2&amp;"),"&amp;IF(ISTEXT(AB157),CHAR(34),"")&amp;IF(AA157="is","",""&amp;"&lt;&gt;")&amp;AB157&amp;IF(ISTEXT(AB157),CHAR(34),""))</f>
        <v/>
      </c>
      <c r="AD157" s="137" t="s">
        <v>331</v>
      </c>
      <c r="AE157" s="140" t="s">
        <v>84</v>
      </c>
      <c r="AF157" s="137" t="str">
        <f t="shared" ref="AF157:AF172" si="683">IF(AD157="","",",INDEX(REPORT_FR2052a!$1:$1048576,0,"&amp;AF$2&amp;"),"&amp;IF(ISTEXT(AE157),CHAR(34),"")&amp;IF(AD157="is","",""&amp;"&lt;&gt;")&amp;AE157&amp;IF(ISTEXT(AE157),CHAR(34),""))</f>
        <v>,INDEX(REPORT_FR2052a!$1:$1048576,0,26),"Non-Financial Corporate"</v>
      </c>
      <c r="AH157" s="139"/>
      <c r="AI157" s="137" t="str">
        <f t="shared" ref="AI157:AI172" si="684">IF(AG157="","",",INDEX(REPORT_FR2052a!$1:$1048576,0,"&amp;AI$2&amp;"),"&amp;IF(ISTEXT(AH157),CHAR(34),"")&amp;IF(AG157="is","",""&amp;"&lt;&gt;")&amp;AH157&amp;IF(ISTEXT(AH157),CHAR(34),""))</f>
        <v/>
      </c>
      <c r="AJ157" s="137" t="s">
        <v>332</v>
      </c>
      <c r="AK157" s="139" t="s">
        <v>154</v>
      </c>
      <c r="AL157" s="137" t="str">
        <f t="shared" ref="AL157:AL172" si="685">IF(AJ157="","",",INDEX(REPORT_FR2052a!$1:$1048576,0,"&amp;AL$2&amp;"),"&amp;IF(ISTEXT(AK157),CHAR(34),"")&amp;IF(AJ157="is","",""&amp;"&lt;&gt;")&amp;AK157&amp;IF(ISTEXT(AK157),CHAR(34),""))</f>
        <v>,INDEX(REPORT_FR2052a!$1:$1048576,0,27),"&lt;&gt;FDIC"</v>
      </c>
      <c r="AM157" s="137" t="s">
        <v>331</v>
      </c>
      <c r="AN157" s="137">
        <v>1</v>
      </c>
      <c r="AO157" s="137" t="str">
        <f t="shared" ref="AO157:AO172" si="686">IF(AM157="","",",INDEX(REPORT_FR2052a!$1:$1048576,0,"&amp;AO$2&amp;"),"&amp;IF(ISTEXT(AN157),CHAR(34),"")&amp;IF(AM157="is","",""&amp;"&lt;&gt;")&amp;AN157&amp;IF(ISTEXT(AN157),CHAR(34),""))</f>
        <v>,INDEX(REPORT_FR2052a!$1:$1048576,0,49),1</v>
      </c>
      <c r="AR157" s="137" t="str">
        <f t="shared" si="644"/>
        <v/>
      </c>
      <c r="AU157" s="137" t="str">
        <f t="shared" si="488"/>
        <v/>
      </c>
      <c r="BA157" s="137" t="s">
        <v>13</v>
      </c>
      <c r="BB157" s="137" t="str">
        <f>"=SUMIFS(INDEX(REPORT_FR2052a!$1:$1048576,0,"&amp;(MATCH(BA157,REPORT_FR2052a!$1:$1,0))&amp;")"</f>
        <v>=SUMIFS(INDEX(REPORT_FR2052a!$1:$1048576,0,14)</v>
      </c>
      <c r="BC157" s="137" t="str">
        <f t="shared" si="600"/>
        <v>=SUMIFS(INDEX(REPORT_FR2052a!$1:$1048576,0,14),INDEX(REPORT_FR2052a!$1:$1048576,0,44),"O.D.4",INDEX(REPORT_FR2052a!$1:$1048576,0,43),1,INDEX(REPORT_FR2052a!$1:$1048576,0,26),"Non-Financial Corporate",INDEX(REPORT_FR2052a!$1:$1048576,0,27),"&lt;&gt;FDIC",INDEX(REPORT_FR2052a!$1:$1048576,0,49),1)</v>
      </c>
      <c r="BD157" s="141">
        <f>SUMIFS(INDEX(REPORT_FR2052a!$1:$1048576,0,14),INDEX(REPORT_FR2052a!$1:$1048576,0,44),"O.D.4",INDEX(REPORT_FR2052a!$1:$1048576,0,43),1,INDEX(REPORT_FR2052a!$1:$1048576,0,26),"Non-Financial Corporate",INDEX(REPORT_FR2052a!$1:$1048576,0,27),"&lt;&gt;FDIC",INDEX(REPORT_FR2052a!$1:$1048576,0,49),1)</f>
        <v>0</v>
      </c>
      <c r="BE157" s="137" t="s">
        <v>331</v>
      </c>
      <c r="BF157" s="139" t="s">
        <v>47</v>
      </c>
      <c r="BG157" s="137" t="str">
        <f t="shared" ref="BG157:BG172" si="687">IF(BE157="","",",INDEX(REPORT_FR2052a!$1:$1048576,0,"&amp;BG$2&amp;"),"&amp;IF(ISTEXT(BF157),CHAR(34),"")&amp;IF(BE157="is","",""&amp;"&lt;&gt;")&amp;BF157&amp;IF(ISTEXT(BF157),CHAR(34),""))</f>
        <v>,INDEX(REPORT_FR2052a!$1:$1048576,0,5),"Bank of China - Combined US Branches and Agencies"</v>
      </c>
      <c r="BI157" s="137" t="str">
        <f t="shared" ref="BI157:BI172" si="688">LEFT(BC157,LEN(BC157)-1)&amp;BG157&amp;")"</f>
        <v>=SUMIFS(INDEX(REPORT_FR2052a!$1:$1048576,0,14),INDEX(REPORT_FR2052a!$1:$1048576,0,44),"O.D.4",INDEX(REPORT_FR2052a!$1:$1048576,0,43),1,INDEX(REPORT_FR2052a!$1:$1048576,0,26),"Non-Financial Corporate",INDEX(REPORT_FR2052a!$1:$1048576,0,27),"&lt;&gt;FDIC",INDEX(REPORT_FR2052a!$1:$1048576,0,49),1,INDEX(REPORT_FR2052a!$1:$1048576,0,5),"Bank of China - Combined US Branches and Agencies")</v>
      </c>
      <c r="BJ157" s="142">
        <f>SUMIFS(INDEX(REPORT_FR2052a!$1:$1048576,0,14),INDEX(REPORT_FR2052a!$1:$1048576,0,44),"O.D.4",INDEX(REPORT_FR2052a!$1:$1048576,0,43),1,INDEX(REPORT_FR2052a!$1:$1048576,0,26),"Non-Financial Corporate",INDEX(REPORT_FR2052a!$1:$1048576,0,27),"&lt;&gt;FDIC",INDEX(REPORT_FR2052a!$1:$1048576,0,49),1,INDEX(REPORT_FR2052a!$1:$1048576,0,5),"Bank of China - Combined US Branches and Agencies")</f>
        <v>0</v>
      </c>
      <c r="BK157" s="143">
        <f t="shared" ref="BK157:BK172" si="689">BD157-BJ157</f>
        <v>0</v>
      </c>
    </row>
    <row r="158" spans="1:63">
      <c r="A158" s="136">
        <v>134</v>
      </c>
      <c r="B158" s="137" t="str">
        <f>IFERROR(INDEX('LCR TYPE EXPLAIN'!B:B,MATCH(A158,'LCR TYPE EXPLAIN'!A:A,0)),"")</f>
        <v>Undercollaterlized Borrowing - Mapping ID 54</v>
      </c>
      <c r="E158" s="137">
        <v>1</v>
      </c>
      <c r="F158" s="137" t="s">
        <v>331</v>
      </c>
      <c r="G158" s="138" t="s">
        <v>393</v>
      </c>
      <c r="H158" s="137" t="str">
        <f t="shared" si="604"/>
        <v>,INDEX(REPORT_FR2052a!$1:$1048576,0,44),"O.D.4"</v>
      </c>
      <c r="I158" s="137" t="s">
        <v>331</v>
      </c>
      <c r="J158" s="137">
        <v>1</v>
      </c>
      <c r="K158" s="137" t="str">
        <f t="shared" si="677"/>
        <v>,INDEX(REPORT_FR2052a!$1:$1048576,0,43),1</v>
      </c>
      <c r="N158" s="137" t="str">
        <f t="shared" si="678"/>
        <v/>
      </c>
      <c r="Q158" s="137" t="str">
        <f t="shared" si="542"/>
        <v/>
      </c>
      <c r="T158" s="137" t="str">
        <f t="shared" si="679"/>
        <v/>
      </c>
      <c r="V158" s="139"/>
      <c r="W158" s="137" t="str">
        <f t="shared" si="680"/>
        <v/>
      </c>
      <c r="Y158" s="139"/>
      <c r="Z158" s="137" t="str">
        <f t="shared" si="681"/>
        <v/>
      </c>
      <c r="AB158" s="139"/>
      <c r="AC158" s="137" t="str">
        <f t="shared" si="682"/>
        <v/>
      </c>
      <c r="AD158" s="137" t="s">
        <v>331</v>
      </c>
      <c r="AE158" s="140" t="s">
        <v>162</v>
      </c>
      <c r="AF158" s="137" t="str">
        <f t="shared" si="683"/>
        <v>,INDEX(REPORT_FR2052a!$1:$1048576,0,26),"Sovereign"</v>
      </c>
      <c r="AH158" s="139"/>
      <c r="AI158" s="137" t="str">
        <f t="shared" si="684"/>
        <v/>
      </c>
      <c r="AJ158" s="137" t="s">
        <v>332</v>
      </c>
      <c r="AK158" s="139" t="s">
        <v>154</v>
      </c>
      <c r="AL158" s="137" t="str">
        <f t="shared" si="685"/>
        <v>,INDEX(REPORT_FR2052a!$1:$1048576,0,27),"&lt;&gt;FDIC"</v>
      </c>
      <c r="AM158" s="137" t="s">
        <v>331</v>
      </c>
      <c r="AN158" s="137">
        <v>1</v>
      </c>
      <c r="AO158" s="137" t="str">
        <f t="shared" si="686"/>
        <v>,INDEX(REPORT_FR2052a!$1:$1048576,0,49),1</v>
      </c>
      <c r="AR158" s="137" t="str">
        <f t="shared" si="644"/>
        <v/>
      </c>
      <c r="AU158" s="137" t="str">
        <f t="shared" si="488"/>
        <v/>
      </c>
      <c r="BA158" s="137" t="s">
        <v>13</v>
      </c>
      <c r="BB158" s="137" t="str">
        <f>"=SUMIFS(INDEX(REPORT_FR2052a!$1:$1048576,0,"&amp;(MATCH(BA158,REPORT_FR2052a!$1:$1,0))&amp;")"</f>
        <v>=SUMIFS(INDEX(REPORT_FR2052a!$1:$1048576,0,14)</v>
      </c>
      <c r="BC158" s="137" t="str">
        <f t="shared" si="600"/>
        <v>=SUMIFS(INDEX(REPORT_FR2052a!$1:$1048576,0,14),INDEX(REPORT_FR2052a!$1:$1048576,0,44),"O.D.4",INDEX(REPORT_FR2052a!$1:$1048576,0,43),1,INDEX(REPORT_FR2052a!$1:$1048576,0,26),"Sovereign",INDEX(REPORT_FR2052a!$1:$1048576,0,27),"&lt;&gt;FDIC",INDEX(REPORT_FR2052a!$1:$1048576,0,49),1)</v>
      </c>
      <c r="BD158" s="141">
        <f>SUMIFS(INDEX(REPORT_FR2052a!$1:$1048576,0,14),INDEX(REPORT_FR2052a!$1:$1048576,0,44),"O.D.4",INDEX(REPORT_FR2052a!$1:$1048576,0,43),1,INDEX(REPORT_FR2052a!$1:$1048576,0,26),"Sovereign",INDEX(REPORT_FR2052a!$1:$1048576,0,27),"&lt;&gt;FDIC",INDEX(REPORT_FR2052a!$1:$1048576,0,49),1)</f>
        <v>0</v>
      </c>
      <c r="BE158" s="137" t="s">
        <v>331</v>
      </c>
      <c r="BF158" s="139" t="s">
        <v>47</v>
      </c>
      <c r="BG158" s="137" t="str">
        <f t="shared" si="687"/>
        <v>,INDEX(REPORT_FR2052a!$1:$1048576,0,5),"Bank of China - Combined US Branches and Agencies"</v>
      </c>
      <c r="BI158" s="137" t="str">
        <f t="shared" si="688"/>
        <v>=SUMIFS(INDEX(REPORT_FR2052a!$1:$1048576,0,14),INDEX(REPORT_FR2052a!$1:$1048576,0,44),"O.D.4",INDEX(REPORT_FR2052a!$1:$1048576,0,43),1,INDEX(REPORT_FR2052a!$1:$1048576,0,26),"Sovereign",INDEX(REPORT_FR2052a!$1:$1048576,0,27),"&lt;&gt;FDIC",INDEX(REPORT_FR2052a!$1:$1048576,0,49),1,INDEX(REPORT_FR2052a!$1:$1048576,0,5),"Bank of China - Combined US Branches and Agencies")</v>
      </c>
      <c r="BJ158" s="142">
        <f>SUMIFS(INDEX(REPORT_FR2052a!$1:$1048576,0,14),INDEX(REPORT_FR2052a!$1:$1048576,0,44),"O.D.4",INDEX(REPORT_FR2052a!$1:$1048576,0,43),1,INDEX(REPORT_FR2052a!$1:$1048576,0,26),"Sovereign",INDEX(REPORT_FR2052a!$1:$1048576,0,27),"&lt;&gt;FDIC",INDEX(REPORT_FR2052a!$1:$1048576,0,49),1,INDEX(REPORT_FR2052a!$1:$1048576,0,5),"Bank of China - Combined US Branches and Agencies")</f>
        <v>0</v>
      </c>
      <c r="BK158" s="143">
        <f t="shared" si="689"/>
        <v>0</v>
      </c>
    </row>
    <row r="159" spans="1:63">
      <c r="A159" s="136">
        <v>134</v>
      </c>
      <c r="B159" s="137" t="str">
        <f>IFERROR(INDEX('LCR TYPE EXPLAIN'!B:B,MATCH(A159,'LCR TYPE EXPLAIN'!A:A,0)),"")</f>
        <v>Undercollaterlized Borrowing - Mapping ID 54</v>
      </c>
      <c r="E159" s="137">
        <v>1</v>
      </c>
      <c r="F159" s="137" t="s">
        <v>331</v>
      </c>
      <c r="G159" s="138" t="s">
        <v>393</v>
      </c>
      <c r="H159" s="137" t="str">
        <f t="shared" si="604"/>
        <v>,INDEX(REPORT_FR2052a!$1:$1048576,0,44),"O.D.4"</v>
      </c>
      <c r="I159" s="137" t="s">
        <v>331</v>
      </c>
      <c r="J159" s="137">
        <v>1</v>
      </c>
      <c r="K159" s="137" t="str">
        <f t="shared" si="677"/>
        <v>,INDEX(REPORT_FR2052a!$1:$1048576,0,43),1</v>
      </c>
      <c r="N159" s="137" t="str">
        <f t="shared" si="678"/>
        <v/>
      </c>
      <c r="Q159" s="137" t="str">
        <f t="shared" si="542"/>
        <v/>
      </c>
      <c r="T159" s="137" t="str">
        <f t="shared" si="679"/>
        <v/>
      </c>
      <c r="V159" s="139"/>
      <c r="W159" s="137" t="str">
        <f t="shared" si="680"/>
        <v/>
      </c>
      <c r="Y159" s="139"/>
      <c r="Z159" s="137" t="str">
        <f t="shared" si="681"/>
        <v/>
      </c>
      <c r="AB159" s="139"/>
      <c r="AC159" s="137" t="str">
        <f t="shared" si="682"/>
        <v/>
      </c>
      <c r="AD159" s="137" t="s">
        <v>331</v>
      </c>
      <c r="AE159" s="140" t="s">
        <v>759</v>
      </c>
      <c r="AF159" s="137" t="str">
        <f t="shared" si="683"/>
        <v>,INDEX(REPORT_FR2052a!$1:$1048576,0,26),"Bank"</v>
      </c>
      <c r="AH159" s="139"/>
      <c r="AI159" s="137" t="str">
        <f t="shared" si="684"/>
        <v/>
      </c>
      <c r="AJ159" s="137" t="s">
        <v>332</v>
      </c>
      <c r="AK159" s="139" t="s">
        <v>154</v>
      </c>
      <c r="AL159" s="137" t="str">
        <f t="shared" si="685"/>
        <v>,INDEX(REPORT_FR2052a!$1:$1048576,0,27),"&lt;&gt;FDIC"</v>
      </c>
      <c r="AM159" s="137" t="s">
        <v>331</v>
      </c>
      <c r="AN159" s="137">
        <v>1</v>
      </c>
      <c r="AO159" s="137" t="str">
        <f t="shared" si="686"/>
        <v>,INDEX(REPORT_FR2052a!$1:$1048576,0,49),1</v>
      </c>
      <c r="AR159" s="137" t="str">
        <f t="shared" si="644"/>
        <v/>
      </c>
      <c r="AU159" s="137" t="str">
        <f t="shared" si="488"/>
        <v/>
      </c>
      <c r="BA159" s="137" t="s">
        <v>13</v>
      </c>
      <c r="BB159" s="137" t="str">
        <f>"=SUMIFS(INDEX(REPORT_FR2052a!$1:$1048576,0,"&amp;(MATCH(BA159,REPORT_FR2052a!$1:$1,0))&amp;")"</f>
        <v>=SUMIFS(INDEX(REPORT_FR2052a!$1:$1048576,0,14)</v>
      </c>
      <c r="BC159" s="137" t="str">
        <f t="shared" si="600"/>
        <v>=SUMIFS(INDEX(REPORT_FR2052a!$1:$1048576,0,14),INDEX(REPORT_FR2052a!$1:$1048576,0,44),"O.D.4",INDEX(REPORT_FR2052a!$1:$1048576,0,43),1,INDEX(REPORT_FR2052a!$1:$1048576,0,26),"Bank",INDEX(REPORT_FR2052a!$1:$1048576,0,27),"&lt;&gt;FDIC",INDEX(REPORT_FR2052a!$1:$1048576,0,49),1)</v>
      </c>
      <c r="BD159" s="141">
        <f>SUMIFS(INDEX(REPORT_FR2052a!$1:$1048576,0,14),INDEX(REPORT_FR2052a!$1:$1048576,0,44),"O.D.4",INDEX(REPORT_FR2052a!$1:$1048576,0,43),1,INDEX(REPORT_FR2052a!$1:$1048576,0,26),"Bank",INDEX(REPORT_FR2052a!$1:$1048576,0,27),"&lt;&gt;FDIC",INDEX(REPORT_FR2052a!$1:$1048576,0,49),1)</f>
        <v>0</v>
      </c>
      <c r="BE159" s="137" t="s">
        <v>331</v>
      </c>
      <c r="BF159" s="139" t="s">
        <v>47</v>
      </c>
      <c r="BG159" s="137" t="str">
        <f t="shared" si="687"/>
        <v>,INDEX(REPORT_FR2052a!$1:$1048576,0,5),"Bank of China - Combined US Branches and Agencies"</v>
      </c>
      <c r="BI159" s="137" t="str">
        <f t="shared" si="688"/>
        <v>=SUMIFS(INDEX(REPORT_FR2052a!$1:$1048576,0,14),INDEX(REPORT_FR2052a!$1:$1048576,0,44),"O.D.4",INDEX(REPORT_FR2052a!$1:$1048576,0,43),1,INDEX(REPORT_FR2052a!$1:$1048576,0,26),"Bank",INDEX(REPORT_FR2052a!$1:$1048576,0,27),"&lt;&gt;FDIC",INDEX(REPORT_FR2052a!$1:$1048576,0,49),1,INDEX(REPORT_FR2052a!$1:$1048576,0,5),"Bank of China - Combined US Branches and Agencies")</v>
      </c>
      <c r="BJ159" s="142">
        <f>SUMIFS(INDEX(REPORT_FR2052a!$1:$1048576,0,14),INDEX(REPORT_FR2052a!$1:$1048576,0,44),"O.D.4",INDEX(REPORT_FR2052a!$1:$1048576,0,43),1,INDEX(REPORT_FR2052a!$1:$1048576,0,26),"Bank",INDEX(REPORT_FR2052a!$1:$1048576,0,27),"&lt;&gt;FDIC",INDEX(REPORT_FR2052a!$1:$1048576,0,49),1,INDEX(REPORT_FR2052a!$1:$1048576,0,5),"Bank of China - Combined US Branches and Agencies")</f>
        <v>0</v>
      </c>
      <c r="BK159" s="143">
        <f t="shared" si="689"/>
        <v>0</v>
      </c>
    </row>
    <row r="160" spans="1:63">
      <c r="A160" s="136">
        <v>134</v>
      </c>
      <c r="B160" s="137" t="str">
        <f>IFERROR(INDEX('LCR TYPE EXPLAIN'!B:B,MATCH(A160,'LCR TYPE EXPLAIN'!A:A,0)),"")</f>
        <v>Undercollaterlized Borrowing - Mapping ID 54</v>
      </c>
      <c r="E160" s="137">
        <v>1</v>
      </c>
      <c r="F160" s="137" t="s">
        <v>331</v>
      </c>
      <c r="G160" s="138" t="s">
        <v>393</v>
      </c>
      <c r="H160" s="137" t="str">
        <f t="shared" si="604"/>
        <v>,INDEX(REPORT_FR2052a!$1:$1048576,0,44),"O.D.4"</v>
      </c>
      <c r="I160" s="137" t="s">
        <v>331</v>
      </c>
      <c r="J160" s="137">
        <v>1</v>
      </c>
      <c r="K160" s="137" t="str">
        <f t="shared" si="677"/>
        <v>,INDEX(REPORT_FR2052a!$1:$1048576,0,43),1</v>
      </c>
      <c r="N160" s="137" t="str">
        <f t="shared" si="678"/>
        <v/>
      </c>
      <c r="Q160" s="137" t="str">
        <f t="shared" si="542"/>
        <v/>
      </c>
      <c r="T160" s="137" t="str">
        <f t="shared" si="679"/>
        <v/>
      </c>
      <c r="V160" s="139"/>
      <c r="W160" s="137" t="str">
        <f t="shared" si="680"/>
        <v/>
      </c>
      <c r="Y160" s="139"/>
      <c r="Z160" s="137" t="str">
        <f t="shared" si="681"/>
        <v/>
      </c>
      <c r="AB160" s="139"/>
      <c r="AC160" s="137" t="str">
        <f t="shared" si="682"/>
        <v/>
      </c>
      <c r="AD160" s="137" t="s">
        <v>331</v>
      </c>
      <c r="AE160" s="140" t="s">
        <v>116</v>
      </c>
      <c r="AF160" s="137" t="str">
        <f t="shared" si="683"/>
        <v>,INDEX(REPORT_FR2052a!$1:$1048576,0,26),"Supervised Non-Bank Financial Entity"</v>
      </c>
      <c r="AH160" s="139"/>
      <c r="AI160" s="137" t="str">
        <f t="shared" si="684"/>
        <v/>
      </c>
      <c r="AJ160" s="137" t="s">
        <v>332</v>
      </c>
      <c r="AK160" s="139" t="s">
        <v>154</v>
      </c>
      <c r="AL160" s="137" t="str">
        <f t="shared" si="685"/>
        <v>,INDEX(REPORT_FR2052a!$1:$1048576,0,27),"&lt;&gt;FDIC"</v>
      </c>
      <c r="AM160" s="137" t="s">
        <v>331</v>
      </c>
      <c r="AN160" s="137">
        <v>1</v>
      </c>
      <c r="AO160" s="137" t="str">
        <f t="shared" si="686"/>
        <v>,INDEX(REPORT_FR2052a!$1:$1048576,0,49),1</v>
      </c>
      <c r="AR160" s="137" t="str">
        <f t="shared" si="644"/>
        <v/>
      </c>
      <c r="AU160" s="137" t="str">
        <f t="shared" si="488"/>
        <v/>
      </c>
      <c r="BA160" s="137" t="s">
        <v>13</v>
      </c>
      <c r="BB160" s="137" t="str">
        <f>"=SUMIFS(INDEX(REPORT_FR2052a!$1:$1048576,0,"&amp;(MATCH(BA160,REPORT_FR2052a!$1:$1,0))&amp;")"</f>
        <v>=SUMIFS(INDEX(REPORT_FR2052a!$1:$1048576,0,14)</v>
      </c>
      <c r="BC160" s="137" t="str">
        <f t="shared" si="600"/>
        <v>=SUMIFS(INDEX(REPORT_FR2052a!$1:$1048576,0,14),INDEX(REPORT_FR2052a!$1:$1048576,0,44),"O.D.4",INDEX(REPORT_FR2052a!$1:$1048576,0,43),1,INDEX(REPORT_FR2052a!$1:$1048576,0,26),"Supervised Non-Bank Financial Entity",INDEX(REPORT_FR2052a!$1:$1048576,0,27),"&lt;&gt;FDIC",INDEX(REPORT_FR2052a!$1:$1048576,0,49),1)</v>
      </c>
      <c r="BD160" s="141">
        <f>SUMIFS(INDEX(REPORT_FR2052a!$1:$1048576,0,14),INDEX(REPORT_FR2052a!$1:$1048576,0,44),"O.D.4",INDEX(REPORT_FR2052a!$1:$1048576,0,43),1,INDEX(REPORT_FR2052a!$1:$1048576,0,26),"Supervised Non-Bank Financial Entity",INDEX(REPORT_FR2052a!$1:$1048576,0,27),"&lt;&gt;FDIC",INDEX(REPORT_FR2052a!$1:$1048576,0,49),1)</f>
        <v>0</v>
      </c>
      <c r="BE160" s="137" t="s">
        <v>331</v>
      </c>
      <c r="BF160" s="139" t="s">
        <v>47</v>
      </c>
      <c r="BG160" s="137" t="str">
        <f t="shared" si="687"/>
        <v>,INDEX(REPORT_FR2052a!$1:$1048576,0,5),"Bank of China - Combined US Branches and Agencies"</v>
      </c>
      <c r="BI160" s="137" t="str">
        <f t="shared" si="688"/>
        <v>=SUMIFS(INDEX(REPORT_FR2052a!$1:$1048576,0,14),INDEX(REPORT_FR2052a!$1:$1048576,0,44),"O.D.4",INDEX(REPORT_FR2052a!$1:$1048576,0,43),1,INDEX(REPORT_FR2052a!$1:$1048576,0,26),"Supervised Non-Bank Financial Entity",INDEX(REPORT_FR2052a!$1:$1048576,0,27),"&lt;&gt;FDIC",INDEX(REPORT_FR2052a!$1:$1048576,0,49),1,INDEX(REPORT_FR2052a!$1:$1048576,0,5),"Bank of China - Combined US Branches and Agencies")</v>
      </c>
      <c r="BJ160" s="142">
        <f>SUMIFS(INDEX(REPORT_FR2052a!$1:$1048576,0,14),INDEX(REPORT_FR2052a!$1:$1048576,0,44),"O.D.4",INDEX(REPORT_FR2052a!$1:$1048576,0,43),1,INDEX(REPORT_FR2052a!$1:$1048576,0,26),"Supervised Non-Bank Financial Entity",INDEX(REPORT_FR2052a!$1:$1048576,0,27),"&lt;&gt;FDIC",INDEX(REPORT_FR2052a!$1:$1048576,0,49),1,INDEX(REPORT_FR2052a!$1:$1048576,0,5),"Bank of China - Combined US Branches and Agencies")</f>
        <v>0</v>
      </c>
      <c r="BK160" s="143">
        <f t="shared" si="689"/>
        <v>0</v>
      </c>
    </row>
    <row r="161" spans="1:63">
      <c r="A161" s="136">
        <v>134</v>
      </c>
      <c r="B161" s="137" t="str">
        <f>IFERROR(INDEX('LCR TYPE EXPLAIN'!B:B,MATCH(A161,'LCR TYPE EXPLAIN'!A:A,0)),"")</f>
        <v>Undercollaterlized Borrowing - Mapping ID 54</v>
      </c>
      <c r="E161" s="137">
        <v>1</v>
      </c>
      <c r="F161" s="137" t="s">
        <v>331</v>
      </c>
      <c r="G161" s="138" t="s">
        <v>393</v>
      </c>
      <c r="H161" s="137" t="str">
        <f t="shared" si="604"/>
        <v>,INDEX(REPORT_FR2052a!$1:$1048576,0,44),"O.D.4"</v>
      </c>
      <c r="I161" s="137" t="s">
        <v>331</v>
      </c>
      <c r="J161" s="137">
        <v>1</v>
      </c>
      <c r="K161" s="137" t="str">
        <f t="shared" si="677"/>
        <v>,INDEX(REPORT_FR2052a!$1:$1048576,0,43),1</v>
      </c>
      <c r="N161" s="137" t="str">
        <f t="shared" si="678"/>
        <v/>
      </c>
      <c r="Q161" s="137" t="str">
        <f t="shared" si="542"/>
        <v/>
      </c>
      <c r="T161" s="137" t="str">
        <f t="shared" si="679"/>
        <v/>
      </c>
      <c r="V161" s="139"/>
      <c r="W161" s="137" t="str">
        <f t="shared" si="680"/>
        <v/>
      </c>
      <c r="Y161" s="139"/>
      <c r="Z161" s="137" t="str">
        <f t="shared" si="681"/>
        <v/>
      </c>
      <c r="AB161" s="139"/>
      <c r="AC161" s="137" t="str">
        <f t="shared" si="682"/>
        <v/>
      </c>
      <c r="AD161" s="137" t="s">
        <v>331</v>
      </c>
      <c r="AE161" s="140" t="s">
        <v>158</v>
      </c>
      <c r="AF161" s="137" t="str">
        <f t="shared" si="683"/>
        <v>,INDEX(REPORT_FR2052a!$1:$1048576,0,26),"Central Bank"</v>
      </c>
      <c r="AH161" s="139"/>
      <c r="AI161" s="137" t="str">
        <f t="shared" si="684"/>
        <v/>
      </c>
      <c r="AJ161" s="137" t="s">
        <v>332</v>
      </c>
      <c r="AK161" s="139" t="s">
        <v>154</v>
      </c>
      <c r="AL161" s="137" t="str">
        <f t="shared" si="685"/>
        <v>,INDEX(REPORT_FR2052a!$1:$1048576,0,27),"&lt;&gt;FDIC"</v>
      </c>
      <c r="AM161" s="137" t="s">
        <v>331</v>
      </c>
      <c r="AN161" s="137">
        <v>1</v>
      </c>
      <c r="AO161" s="137" t="str">
        <f t="shared" si="686"/>
        <v>,INDEX(REPORT_FR2052a!$1:$1048576,0,49),1</v>
      </c>
      <c r="AR161" s="137" t="str">
        <f t="shared" si="644"/>
        <v/>
      </c>
      <c r="AU161" s="137" t="str">
        <f t="shared" si="488"/>
        <v/>
      </c>
      <c r="BA161" s="137" t="s">
        <v>13</v>
      </c>
      <c r="BB161" s="137" t="str">
        <f>"=SUMIFS(INDEX(REPORT_FR2052a!$1:$1048576,0,"&amp;(MATCH(BA161,REPORT_FR2052a!$1:$1,0))&amp;")"</f>
        <v>=SUMIFS(INDEX(REPORT_FR2052a!$1:$1048576,0,14)</v>
      </c>
      <c r="BC161" s="137" t="str">
        <f t="shared" si="600"/>
        <v>=SUMIFS(INDEX(REPORT_FR2052a!$1:$1048576,0,14),INDEX(REPORT_FR2052a!$1:$1048576,0,44),"O.D.4",INDEX(REPORT_FR2052a!$1:$1048576,0,43),1,INDEX(REPORT_FR2052a!$1:$1048576,0,26),"Central Bank",INDEX(REPORT_FR2052a!$1:$1048576,0,27),"&lt;&gt;FDIC",INDEX(REPORT_FR2052a!$1:$1048576,0,49),1)</v>
      </c>
      <c r="BD161" s="141">
        <f>SUMIFS(INDEX(REPORT_FR2052a!$1:$1048576,0,14),INDEX(REPORT_FR2052a!$1:$1048576,0,44),"O.D.4",INDEX(REPORT_FR2052a!$1:$1048576,0,43),1,INDEX(REPORT_FR2052a!$1:$1048576,0,26),"Central Bank",INDEX(REPORT_FR2052a!$1:$1048576,0,27),"&lt;&gt;FDIC",INDEX(REPORT_FR2052a!$1:$1048576,0,49),1)</f>
        <v>0</v>
      </c>
      <c r="BE161" s="137" t="s">
        <v>331</v>
      </c>
      <c r="BF161" s="139" t="s">
        <v>47</v>
      </c>
      <c r="BG161" s="137" t="str">
        <f t="shared" si="687"/>
        <v>,INDEX(REPORT_FR2052a!$1:$1048576,0,5),"Bank of China - Combined US Branches and Agencies"</v>
      </c>
      <c r="BI161" s="137" t="str">
        <f t="shared" si="688"/>
        <v>=SUMIFS(INDEX(REPORT_FR2052a!$1:$1048576,0,14),INDEX(REPORT_FR2052a!$1:$1048576,0,44),"O.D.4",INDEX(REPORT_FR2052a!$1:$1048576,0,43),1,INDEX(REPORT_FR2052a!$1:$1048576,0,26),"Central Bank",INDEX(REPORT_FR2052a!$1:$1048576,0,27),"&lt;&gt;FDIC",INDEX(REPORT_FR2052a!$1:$1048576,0,49),1,INDEX(REPORT_FR2052a!$1:$1048576,0,5),"Bank of China - Combined US Branches and Agencies")</v>
      </c>
      <c r="BJ161" s="142">
        <f>SUMIFS(INDEX(REPORT_FR2052a!$1:$1048576,0,14),INDEX(REPORT_FR2052a!$1:$1048576,0,44),"O.D.4",INDEX(REPORT_FR2052a!$1:$1048576,0,43),1,INDEX(REPORT_FR2052a!$1:$1048576,0,26),"Central Bank",INDEX(REPORT_FR2052a!$1:$1048576,0,27),"&lt;&gt;FDIC",INDEX(REPORT_FR2052a!$1:$1048576,0,49),1,INDEX(REPORT_FR2052a!$1:$1048576,0,5),"Bank of China - Combined US Branches and Agencies")</f>
        <v>0</v>
      </c>
      <c r="BK161" s="143">
        <f t="shared" si="689"/>
        <v>0</v>
      </c>
    </row>
    <row r="162" spans="1:63">
      <c r="A162" s="136">
        <v>136</v>
      </c>
      <c r="B162" s="137" t="str">
        <f>IFERROR(INDEX('LCR TYPE EXPLAIN'!B:B,MATCH(A162,'LCR TYPE EXPLAIN'!A:A,0)),"")</f>
        <v>Undercollateralized Lending - Financial (include in Mapping ID 102)</v>
      </c>
      <c r="E162" s="137">
        <v>1</v>
      </c>
      <c r="F162" s="137" t="s">
        <v>331</v>
      </c>
      <c r="G162" s="138" t="s">
        <v>377</v>
      </c>
      <c r="H162" s="137" t="str">
        <f t="shared" si="604"/>
        <v>,INDEX(REPORT_FR2052a!$1:$1048576,0,44),"I.U.1"</v>
      </c>
      <c r="I162" s="137" t="s">
        <v>331</v>
      </c>
      <c r="J162" s="137">
        <v>1</v>
      </c>
      <c r="K162" s="137" t="str">
        <f t="shared" si="677"/>
        <v>,INDEX(REPORT_FR2052a!$1:$1048576,0,43),1</v>
      </c>
      <c r="N162" s="137" t="str">
        <f t="shared" si="678"/>
        <v/>
      </c>
      <c r="Q162" s="137" t="str">
        <f t="shared" si="542"/>
        <v/>
      </c>
      <c r="T162" s="137" t="str">
        <f t="shared" si="679"/>
        <v/>
      </c>
      <c r="V162" s="139"/>
      <c r="W162" s="137" t="str">
        <f t="shared" si="680"/>
        <v/>
      </c>
      <c r="Y162" s="139"/>
      <c r="Z162" s="137" t="str">
        <f t="shared" si="681"/>
        <v/>
      </c>
      <c r="AB162" s="139"/>
      <c r="AC162" s="137" t="str">
        <f t="shared" si="682"/>
        <v/>
      </c>
      <c r="AD162" s="137" t="s">
        <v>331</v>
      </c>
      <c r="AE162" s="140" t="s">
        <v>759</v>
      </c>
      <c r="AF162" s="137" t="str">
        <f t="shared" si="683"/>
        <v>,INDEX(REPORT_FR2052a!$1:$1048576,0,26),"Bank"</v>
      </c>
      <c r="AH162" s="139"/>
      <c r="AI162" s="137" t="str">
        <f t="shared" si="684"/>
        <v/>
      </c>
      <c r="AK162" s="139"/>
      <c r="AL162" s="137" t="str">
        <f t="shared" si="685"/>
        <v/>
      </c>
      <c r="AM162" s="137" t="s">
        <v>331</v>
      </c>
      <c r="AN162" s="137">
        <v>1</v>
      </c>
      <c r="AO162" s="137" t="str">
        <f t="shared" si="686"/>
        <v>,INDEX(REPORT_FR2052a!$1:$1048576,0,49),1</v>
      </c>
      <c r="AR162" s="137" t="str">
        <f t="shared" si="644"/>
        <v/>
      </c>
      <c r="AU162" s="137" t="str">
        <f t="shared" si="488"/>
        <v/>
      </c>
      <c r="AV162" s="137" t="s">
        <v>331</v>
      </c>
      <c r="AW162" s="139" t="s">
        <v>762</v>
      </c>
      <c r="AX162" s="137" t="str">
        <f t="shared" ref="AX162:AX172" si="690">IF(AV162="","",",INDEX(REPORT_FR2052a!$1:$1048576,0,"&amp;AX$2&amp;"),"&amp;IF(ISTEXT(AW162),CHAR(34),"")&amp;IF(AV162="is","",""&amp;"&lt;&gt;")&amp;AW162&amp;IF(ISTEXT(AW162),CHAR(34),""))</f>
        <v>,INDEX(REPORT_FR2052a!$1:$1048576,0,7),""</v>
      </c>
      <c r="BA162" s="137" t="s">
        <v>13</v>
      </c>
      <c r="BB162" s="137" t="str">
        <f>"=SUMIFS(INDEX(REPORT_FR2052a!$1:$1048576,0,"&amp;(MATCH(BA162,REPORT_FR2052a!$1:$1,0))&amp;")"</f>
        <v>=SUMIFS(INDEX(REPORT_FR2052a!$1:$1048576,0,14)</v>
      </c>
      <c r="BC162" s="137" t="str">
        <f t="shared" si="600"/>
        <v>=SUMIFS(INDEX(REPORT_FR2052a!$1:$1048576,0,14),INDEX(REPORT_FR2052a!$1:$1048576,0,44),"I.U.1",INDEX(REPORT_FR2052a!$1:$1048576,0,43),1,INDEX(REPORT_FR2052a!$1:$1048576,0,26),"Bank",INDEX(REPORT_FR2052a!$1:$1048576,0,49),1,INDEX(REPORT_FR2052a!$1:$1048576,0,7),"")</v>
      </c>
      <c r="BD162" s="141">
        <f>SUMIFS(INDEX(REPORT_FR2052a!$1:$1048576,0,14),INDEX(REPORT_FR2052a!$1:$1048576,0,44),"I.U.1",INDEX(REPORT_FR2052a!$1:$1048576,0,43),1,INDEX(REPORT_FR2052a!$1:$1048576,0,26),"Bank",INDEX(REPORT_FR2052a!$1:$1048576,0,49),1,INDEX(REPORT_FR2052a!$1:$1048576,0,7),"")</f>
        <v>0</v>
      </c>
      <c r="BE162" s="137" t="s">
        <v>331</v>
      </c>
      <c r="BF162" s="139" t="s">
        <v>47</v>
      </c>
      <c r="BG162" s="137" t="str">
        <f t="shared" si="687"/>
        <v>,INDEX(REPORT_FR2052a!$1:$1048576,0,5),"Bank of China - Combined US Branches and Agencies"</v>
      </c>
      <c r="BI162" s="137" t="str">
        <f t="shared" si="688"/>
        <v>=SUMIFS(INDEX(REPORT_FR2052a!$1:$1048576,0,14),INDEX(REPORT_FR2052a!$1:$1048576,0,44),"I.U.1",INDEX(REPORT_FR2052a!$1:$1048576,0,43),1,INDEX(REPORT_FR2052a!$1:$1048576,0,26),"Bank",INDEX(REPORT_FR2052a!$1:$1048576,0,49),1,INDEX(REPORT_FR2052a!$1:$1048576,0,7),"",INDEX(REPORT_FR2052a!$1:$1048576,0,5),"Bank of China - Combined US Branches and Agencies")</v>
      </c>
      <c r="BJ162" s="142">
        <f>SUMIFS(INDEX(REPORT_FR2052a!$1:$1048576,0,14),INDEX(REPORT_FR2052a!$1:$1048576,0,44),"I.U.1",INDEX(REPORT_FR2052a!$1:$1048576,0,43),1,INDEX(REPORT_FR2052a!$1:$1048576,0,26),"Bank",INDEX(REPORT_FR2052a!$1:$1048576,0,49),1,INDEX(REPORT_FR2052a!$1:$1048576,0,7),"",INDEX(REPORT_FR2052a!$1:$1048576,0,5),"Bank of China - Combined US Branches and Agencies")</f>
        <v>0</v>
      </c>
      <c r="BK162" s="143">
        <f t="shared" si="689"/>
        <v>0</v>
      </c>
    </row>
    <row r="163" spans="1:63">
      <c r="A163" s="136">
        <v>136</v>
      </c>
      <c r="B163" s="137" t="str">
        <f>IFERROR(INDEX('LCR TYPE EXPLAIN'!B:B,MATCH(A163,'LCR TYPE EXPLAIN'!A:A,0)),"")</f>
        <v>Undercollateralized Lending - Financial (include in Mapping ID 102)</v>
      </c>
      <c r="E163" s="137">
        <v>1</v>
      </c>
      <c r="F163" s="137" t="s">
        <v>331</v>
      </c>
      <c r="G163" s="138" t="s">
        <v>377</v>
      </c>
      <c r="H163" s="137" t="str">
        <f t="shared" si="604"/>
        <v>,INDEX(REPORT_FR2052a!$1:$1048576,0,44),"I.U.1"</v>
      </c>
      <c r="I163" s="137" t="s">
        <v>331</v>
      </c>
      <c r="J163" s="137">
        <v>1</v>
      </c>
      <c r="K163" s="137" t="str">
        <f t="shared" si="677"/>
        <v>,INDEX(REPORT_FR2052a!$1:$1048576,0,43),1</v>
      </c>
      <c r="N163" s="137" t="str">
        <f t="shared" si="678"/>
        <v/>
      </c>
      <c r="Q163" s="137" t="str">
        <f t="shared" si="542"/>
        <v/>
      </c>
      <c r="T163" s="137" t="str">
        <f t="shared" si="679"/>
        <v/>
      </c>
      <c r="V163" s="139"/>
      <c r="W163" s="137" t="str">
        <f t="shared" si="680"/>
        <v/>
      </c>
      <c r="Y163" s="139"/>
      <c r="Z163" s="137" t="str">
        <f t="shared" si="681"/>
        <v/>
      </c>
      <c r="AB163" s="139"/>
      <c r="AC163" s="137" t="str">
        <f t="shared" si="682"/>
        <v/>
      </c>
      <c r="AD163" s="137" t="s">
        <v>331</v>
      </c>
      <c r="AE163" s="140" t="s">
        <v>116</v>
      </c>
      <c r="AF163" s="137" t="str">
        <f t="shared" si="683"/>
        <v>,INDEX(REPORT_FR2052a!$1:$1048576,0,26),"Supervised Non-Bank Financial Entity"</v>
      </c>
      <c r="AH163" s="139"/>
      <c r="AI163" s="137" t="str">
        <f t="shared" si="684"/>
        <v/>
      </c>
      <c r="AK163" s="139"/>
      <c r="AL163" s="137" t="str">
        <f t="shared" si="685"/>
        <v/>
      </c>
      <c r="AM163" s="137" t="s">
        <v>331</v>
      </c>
      <c r="AN163" s="137">
        <v>1</v>
      </c>
      <c r="AO163" s="137" t="str">
        <f t="shared" si="686"/>
        <v>,INDEX(REPORT_FR2052a!$1:$1048576,0,49),1</v>
      </c>
      <c r="AR163" s="137" t="str">
        <f t="shared" si="644"/>
        <v/>
      </c>
      <c r="AU163" s="137" t="str">
        <f t="shared" si="488"/>
        <v/>
      </c>
      <c r="AV163" s="137" t="s">
        <v>331</v>
      </c>
      <c r="AW163" s="139" t="s">
        <v>762</v>
      </c>
      <c r="AX163" s="137" t="str">
        <f t="shared" si="690"/>
        <v>,INDEX(REPORT_FR2052a!$1:$1048576,0,7),""</v>
      </c>
      <c r="BA163" s="137" t="s">
        <v>13</v>
      </c>
      <c r="BB163" s="137" t="str">
        <f>"=SUMIFS(INDEX(REPORT_FR2052a!$1:$1048576,0,"&amp;(MATCH(BA163,REPORT_FR2052a!$1:$1,0))&amp;")"</f>
        <v>=SUMIFS(INDEX(REPORT_FR2052a!$1:$1048576,0,14)</v>
      </c>
      <c r="BC163" s="137" t="str">
        <f t="shared" si="600"/>
        <v>=SUMIFS(INDEX(REPORT_FR2052a!$1:$1048576,0,14),INDEX(REPORT_FR2052a!$1:$1048576,0,44),"I.U.1",INDEX(REPORT_FR2052a!$1:$1048576,0,43),1,INDEX(REPORT_FR2052a!$1:$1048576,0,26),"Supervised Non-Bank Financial Entity",INDEX(REPORT_FR2052a!$1:$1048576,0,49),1,INDEX(REPORT_FR2052a!$1:$1048576,0,7),"")</v>
      </c>
      <c r="BD163" s="141">
        <f>SUMIFS(INDEX(REPORT_FR2052a!$1:$1048576,0,14),INDEX(REPORT_FR2052a!$1:$1048576,0,44),"I.U.1",INDEX(REPORT_FR2052a!$1:$1048576,0,43),1,INDEX(REPORT_FR2052a!$1:$1048576,0,26),"Supervised Non-Bank Financial Entity",INDEX(REPORT_FR2052a!$1:$1048576,0,49),1,INDEX(REPORT_FR2052a!$1:$1048576,0,7),"")</f>
        <v>0</v>
      </c>
      <c r="BE163" s="137" t="s">
        <v>331</v>
      </c>
      <c r="BF163" s="139" t="s">
        <v>47</v>
      </c>
      <c r="BG163" s="137" t="str">
        <f t="shared" si="687"/>
        <v>,INDEX(REPORT_FR2052a!$1:$1048576,0,5),"Bank of China - Combined US Branches and Agencies"</v>
      </c>
      <c r="BI163" s="137" t="str">
        <f t="shared" si="688"/>
        <v>=SUMIFS(INDEX(REPORT_FR2052a!$1:$1048576,0,14),INDEX(REPORT_FR2052a!$1:$1048576,0,44),"I.U.1",INDEX(REPORT_FR2052a!$1:$1048576,0,43),1,INDEX(REPORT_FR2052a!$1:$1048576,0,26),"Supervised Non-Bank Financial Entity",INDEX(REPORT_FR2052a!$1:$1048576,0,49),1,INDEX(REPORT_FR2052a!$1:$1048576,0,7),"",INDEX(REPORT_FR2052a!$1:$1048576,0,5),"Bank of China - Combined US Branches and Agencies")</v>
      </c>
      <c r="BJ163" s="142">
        <f>SUMIFS(INDEX(REPORT_FR2052a!$1:$1048576,0,14),INDEX(REPORT_FR2052a!$1:$1048576,0,44),"I.U.1",INDEX(REPORT_FR2052a!$1:$1048576,0,43),1,INDEX(REPORT_FR2052a!$1:$1048576,0,26),"Supervised Non-Bank Financial Entity",INDEX(REPORT_FR2052a!$1:$1048576,0,49),1,INDEX(REPORT_FR2052a!$1:$1048576,0,7),"",INDEX(REPORT_FR2052a!$1:$1048576,0,5),"Bank of China - Combined US Branches and Agencies")</f>
        <v>0</v>
      </c>
      <c r="BK163" s="143">
        <f t="shared" si="689"/>
        <v>0</v>
      </c>
    </row>
    <row r="164" spans="1:63">
      <c r="A164" s="136">
        <v>136</v>
      </c>
      <c r="B164" s="137" t="str">
        <f>IFERROR(INDEX('LCR TYPE EXPLAIN'!B:B,MATCH(A164,'LCR TYPE EXPLAIN'!A:A,0)),"")</f>
        <v>Undercollateralized Lending - Financial (include in Mapping ID 102)</v>
      </c>
      <c r="E164" s="137">
        <v>1</v>
      </c>
      <c r="F164" s="137" t="s">
        <v>331</v>
      </c>
      <c r="G164" s="138" t="s">
        <v>376</v>
      </c>
      <c r="H164" s="137" t="str">
        <f t="shared" si="604"/>
        <v>,INDEX(REPORT_FR2052a!$1:$1048576,0,44),"I.U.2"</v>
      </c>
      <c r="I164" s="137" t="s">
        <v>331</v>
      </c>
      <c r="J164" s="137">
        <v>1</v>
      </c>
      <c r="K164" s="137" t="str">
        <f t="shared" si="677"/>
        <v>,INDEX(REPORT_FR2052a!$1:$1048576,0,43),1</v>
      </c>
      <c r="N164" s="137" t="str">
        <f t="shared" si="678"/>
        <v/>
      </c>
      <c r="Q164" s="137" t="str">
        <f t="shared" si="542"/>
        <v/>
      </c>
      <c r="T164" s="137" t="str">
        <f t="shared" si="679"/>
        <v/>
      </c>
      <c r="V164" s="139"/>
      <c r="W164" s="137" t="str">
        <f t="shared" si="680"/>
        <v/>
      </c>
      <c r="Y164" s="139"/>
      <c r="Z164" s="137" t="str">
        <f t="shared" si="681"/>
        <v/>
      </c>
      <c r="AB164" s="139"/>
      <c r="AC164" s="137" t="str">
        <f t="shared" si="682"/>
        <v/>
      </c>
      <c r="AD164" s="137" t="s">
        <v>331</v>
      </c>
      <c r="AE164" s="140" t="s">
        <v>759</v>
      </c>
      <c r="AF164" s="137" t="str">
        <f t="shared" si="683"/>
        <v>,INDEX(REPORT_FR2052a!$1:$1048576,0,26),"Bank"</v>
      </c>
      <c r="AH164" s="139"/>
      <c r="AI164" s="137" t="str">
        <f t="shared" si="684"/>
        <v/>
      </c>
      <c r="AK164" s="139"/>
      <c r="AL164" s="137" t="str">
        <f t="shared" si="685"/>
        <v/>
      </c>
      <c r="AM164" s="137" t="s">
        <v>331</v>
      </c>
      <c r="AN164" s="137">
        <v>1</v>
      </c>
      <c r="AO164" s="137" t="str">
        <f t="shared" si="686"/>
        <v>,INDEX(REPORT_FR2052a!$1:$1048576,0,49),1</v>
      </c>
      <c r="AR164" s="137" t="str">
        <f t="shared" si="644"/>
        <v/>
      </c>
      <c r="AU164" s="137" t="str">
        <f t="shared" si="488"/>
        <v/>
      </c>
      <c r="AV164" s="137" t="s">
        <v>331</v>
      </c>
      <c r="AW164" s="139" t="s">
        <v>762</v>
      </c>
      <c r="AX164" s="137" t="str">
        <f t="shared" si="690"/>
        <v>,INDEX(REPORT_FR2052a!$1:$1048576,0,7),""</v>
      </c>
      <c r="BA164" s="137" t="s">
        <v>13</v>
      </c>
      <c r="BB164" s="137" t="str">
        <f>"=SUMIFS(INDEX(REPORT_FR2052a!$1:$1048576,0,"&amp;(MATCH(BA164,REPORT_FR2052a!$1:$1,0))&amp;")"</f>
        <v>=SUMIFS(INDEX(REPORT_FR2052a!$1:$1048576,0,14)</v>
      </c>
      <c r="BC164" s="137" t="str">
        <f t="shared" si="600"/>
        <v>=SUMIFS(INDEX(REPORT_FR2052a!$1:$1048576,0,14),INDEX(REPORT_FR2052a!$1:$1048576,0,44),"I.U.2",INDEX(REPORT_FR2052a!$1:$1048576,0,43),1,INDEX(REPORT_FR2052a!$1:$1048576,0,26),"Bank",INDEX(REPORT_FR2052a!$1:$1048576,0,49),1,INDEX(REPORT_FR2052a!$1:$1048576,0,7),"")</v>
      </c>
      <c r="BD164" s="141">
        <f>SUMIFS(INDEX(REPORT_FR2052a!$1:$1048576,0,14),INDEX(REPORT_FR2052a!$1:$1048576,0,44),"I.U.2",INDEX(REPORT_FR2052a!$1:$1048576,0,43),1,INDEX(REPORT_FR2052a!$1:$1048576,0,26),"Bank",INDEX(REPORT_FR2052a!$1:$1048576,0,49),1,INDEX(REPORT_FR2052a!$1:$1048576,0,7),"")</f>
        <v>0</v>
      </c>
      <c r="BE164" s="137" t="s">
        <v>331</v>
      </c>
      <c r="BF164" s="139" t="s">
        <v>47</v>
      </c>
      <c r="BG164" s="137" t="str">
        <f t="shared" si="687"/>
        <v>,INDEX(REPORT_FR2052a!$1:$1048576,0,5),"Bank of China - Combined US Branches and Agencies"</v>
      </c>
      <c r="BI164" s="137" t="str">
        <f t="shared" si="688"/>
        <v>=SUMIFS(INDEX(REPORT_FR2052a!$1:$1048576,0,14),INDEX(REPORT_FR2052a!$1:$1048576,0,44),"I.U.2",INDEX(REPORT_FR2052a!$1:$1048576,0,43),1,INDEX(REPORT_FR2052a!$1:$1048576,0,26),"Bank",INDEX(REPORT_FR2052a!$1:$1048576,0,49),1,INDEX(REPORT_FR2052a!$1:$1048576,0,7),"",INDEX(REPORT_FR2052a!$1:$1048576,0,5),"Bank of China - Combined US Branches and Agencies")</v>
      </c>
      <c r="BJ164" s="142">
        <f>SUMIFS(INDEX(REPORT_FR2052a!$1:$1048576,0,14),INDEX(REPORT_FR2052a!$1:$1048576,0,44),"I.U.2",INDEX(REPORT_FR2052a!$1:$1048576,0,43),1,INDEX(REPORT_FR2052a!$1:$1048576,0,26),"Bank",INDEX(REPORT_FR2052a!$1:$1048576,0,49),1,INDEX(REPORT_FR2052a!$1:$1048576,0,7),"",INDEX(REPORT_FR2052a!$1:$1048576,0,5),"Bank of China - Combined US Branches and Agencies")</f>
        <v>0</v>
      </c>
      <c r="BK164" s="143">
        <f t="shared" si="689"/>
        <v>0</v>
      </c>
    </row>
    <row r="165" spans="1:63">
      <c r="A165" s="136">
        <v>136</v>
      </c>
      <c r="B165" s="137" t="str">
        <f>IFERROR(INDEX('LCR TYPE EXPLAIN'!B:B,MATCH(A165,'LCR TYPE EXPLAIN'!A:A,0)),"")</f>
        <v>Undercollateralized Lending - Financial (include in Mapping ID 102)</v>
      </c>
      <c r="E165" s="137">
        <v>1</v>
      </c>
      <c r="F165" s="137" t="s">
        <v>331</v>
      </c>
      <c r="G165" s="138" t="s">
        <v>376</v>
      </c>
      <c r="H165" s="137" t="str">
        <f t="shared" si="604"/>
        <v>,INDEX(REPORT_FR2052a!$1:$1048576,0,44),"I.U.2"</v>
      </c>
      <c r="I165" s="137" t="s">
        <v>331</v>
      </c>
      <c r="J165" s="137">
        <v>1</v>
      </c>
      <c r="K165" s="137" t="str">
        <f t="shared" si="677"/>
        <v>,INDEX(REPORT_FR2052a!$1:$1048576,0,43),1</v>
      </c>
      <c r="N165" s="137" t="str">
        <f t="shared" si="678"/>
        <v/>
      </c>
      <c r="Q165" s="137" t="str">
        <f t="shared" si="542"/>
        <v/>
      </c>
      <c r="T165" s="137" t="str">
        <f t="shared" si="679"/>
        <v/>
      </c>
      <c r="V165" s="139"/>
      <c r="W165" s="137" t="str">
        <f t="shared" si="680"/>
        <v/>
      </c>
      <c r="Y165" s="139"/>
      <c r="Z165" s="137" t="str">
        <f t="shared" si="681"/>
        <v/>
      </c>
      <c r="AB165" s="139"/>
      <c r="AC165" s="137" t="str">
        <f t="shared" si="682"/>
        <v/>
      </c>
      <c r="AD165" s="137" t="s">
        <v>331</v>
      </c>
      <c r="AE165" s="140" t="s">
        <v>116</v>
      </c>
      <c r="AF165" s="137" t="str">
        <f t="shared" si="683"/>
        <v>,INDEX(REPORT_FR2052a!$1:$1048576,0,26),"Supervised Non-Bank Financial Entity"</v>
      </c>
      <c r="AH165" s="139"/>
      <c r="AI165" s="137" t="str">
        <f t="shared" si="684"/>
        <v/>
      </c>
      <c r="AK165" s="139"/>
      <c r="AL165" s="137" t="str">
        <f t="shared" si="685"/>
        <v/>
      </c>
      <c r="AM165" s="137" t="s">
        <v>331</v>
      </c>
      <c r="AN165" s="137">
        <v>1</v>
      </c>
      <c r="AO165" s="137" t="str">
        <f t="shared" si="686"/>
        <v>,INDEX(REPORT_FR2052a!$1:$1048576,0,49),1</v>
      </c>
      <c r="AR165" s="137" t="str">
        <f t="shared" si="644"/>
        <v/>
      </c>
      <c r="AU165" s="137" t="str">
        <f t="shared" si="488"/>
        <v/>
      </c>
      <c r="AV165" s="137" t="s">
        <v>331</v>
      </c>
      <c r="AW165" s="139" t="s">
        <v>762</v>
      </c>
      <c r="AX165" s="137" t="str">
        <f t="shared" si="690"/>
        <v>,INDEX(REPORT_FR2052a!$1:$1048576,0,7),""</v>
      </c>
      <c r="BA165" s="137" t="s">
        <v>13</v>
      </c>
      <c r="BB165" s="137" t="str">
        <f>"=SUMIFS(INDEX(REPORT_FR2052a!$1:$1048576,0,"&amp;(MATCH(BA165,REPORT_FR2052a!$1:$1,0))&amp;")"</f>
        <v>=SUMIFS(INDEX(REPORT_FR2052a!$1:$1048576,0,14)</v>
      </c>
      <c r="BC165" s="137" t="str">
        <f t="shared" si="600"/>
        <v>=SUMIFS(INDEX(REPORT_FR2052a!$1:$1048576,0,14),INDEX(REPORT_FR2052a!$1:$1048576,0,44),"I.U.2",INDEX(REPORT_FR2052a!$1:$1048576,0,43),1,INDEX(REPORT_FR2052a!$1:$1048576,0,26),"Supervised Non-Bank Financial Entity",INDEX(REPORT_FR2052a!$1:$1048576,0,49),1,INDEX(REPORT_FR2052a!$1:$1048576,0,7),"")</v>
      </c>
      <c r="BD165" s="141">
        <f>SUMIFS(INDEX(REPORT_FR2052a!$1:$1048576,0,14),INDEX(REPORT_FR2052a!$1:$1048576,0,44),"I.U.2",INDEX(REPORT_FR2052a!$1:$1048576,0,43),1,INDEX(REPORT_FR2052a!$1:$1048576,0,26),"Supervised Non-Bank Financial Entity",INDEX(REPORT_FR2052a!$1:$1048576,0,49),1,INDEX(REPORT_FR2052a!$1:$1048576,0,7),"")</f>
        <v>0</v>
      </c>
      <c r="BE165" s="137" t="s">
        <v>331</v>
      </c>
      <c r="BF165" s="139" t="s">
        <v>47</v>
      </c>
      <c r="BG165" s="137" t="str">
        <f t="shared" si="687"/>
        <v>,INDEX(REPORT_FR2052a!$1:$1048576,0,5),"Bank of China - Combined US Branches and Agencies"</v>
      </c>
      <c r="BI165" s="137" t="str">
        <f t="shared" si="688"/>
        <v>=SUMIFS(INDEX(REPORT_FR2052a!$1:$1048576,0,14),INDEX(REPORT_FR2052a!$1:$1048576,0,44),"I.U.2",INDEX(REPORT_FR2052a!$1:$1048576,0,43),1,INDEX(REPORT_FR2052a!$1:$1048576,0,26),"Supervised Non-Bank Financial Entity",INDEX(REPORT_FR2052a!$1:$1048576,0,49),1,INDEX(REPORT_FR2052a!$1:$1048576,0,7),"",INDEX(REPORT_FR2052a!$1:$1048576,0,5),"Bank of China - Combined US Branches and Agencies")</v>
      </c>
      <c r="BJ165" s="142">
        <f>SUMIFS(INDEX(REPORT_FR2052a!$1:$1048576,0,14),INDEX(REPORT_FR2052a!$1:$1048576,0,44),"I.U.2",INDEX(REPORT_FR2052a!$1:$1048576,0,43),1,INDEX(REPORT_FR2052a!$1:$1048576,0,26),"Supervised Non-Bank Financial Entity",INDEX(REPORT_FR2052a!$1:$1048576,0,49),1,INDEX(REPORT_FR2052a!$1:$1048576,0,7),"",INDEX(REPORT_FR2052a!$1:$1048576,0,5),"Bank of China - Combined US Branches and Agencies")</f>
        <v>0</v>
      </c>
      <c r="BK165" s="143">
        <f t="shared" si="689"/>
        <v>0</v>
      </c>
    </row>
    <row r="166" spans="1:63">
      <c r="A166" s="136">
        <v>136</v>
      </c>
      <c r="B166" s="137" t="str">
        <f>IFERROR(INDEX('LCR TYPE EXPLAIN'!B:B,MATCH(A166,'LCR TYPE EXPLAIN'!A:A,0)),"")</f>
        <v>Undercollateralized Lending - Financial (include in Mapping ID 102)</v>
      </c>
      <c r="E166" s="137">
        <v>1</v>
      </c>
      <c r="F166" s="137" t="s">
        <v>331</v>
      </c>
      <c r="G166" s="138" t="s">
        <v>378</v>
      </c>
      <c r="H166" s="137" t="str">
        <f t="shared" si="604"/>
        <v>,INDEX(REPORT_FR2052a!$1:$1048576,0,44),"I.U.4"</v>
      </c>
      <c r="I166" s="137" t="s">
        <v>331</v>
      </c>
      <c r="J166" s="137">
        <v>1</v>
      </c>
      <c r="K166" s="137" t="str">
        <f t="shared" si="677"/>
        <v>,INDEX(REPORT_FR2052a!$1:$1048576,0,43),1</v>
      </c>
      <c r="N166" s="137" t="str">
        <f t="shared" si="678"/>
        <v/>
      </c>
      <c r="Q166" s="137" t="str">
        <f t="shared" si="542"/>
        <v/>
      </c>
      <c r="T166" s="137" t="str">
        <f t="shared" si="679"/>
        <v/>
      </c>
      <c r="V166" s="139"/>
      <c r="W166" s="137" t="str">
        <f t="shared" si="680"/>
        <v/>
      </c>
      <c r="Y166" s="139"/>
      <c r="Z166" s="137" t="str">
        <f t="shared" si="681"/>
        <v/>
      </c>
      <c r="AB166" s="139"/>
      <c r="AC166" s="137" t="str">
        <f t="shared" si="682"/>
        <v/>
      </c>
      <c r="AD166" s="137" t="s">
        <v>331</v>
      </c>
      <c r="AE166" s="140" t="s">
        <v>759</v>
      </c>
      <c r="AF166" s="137" t="str">
        <f t="shared" si="683"/>
        <v>,INDEX(REPORT_FR2052a!$1:$1048576,0,26),"Bank"</v>
      </c>
      <c r="AH166" s="139"/>
      <c r="AI166" s="137" t="str">
        <f t="shared" si="684"/>
        <v/>
      </c>
      <c r="AK166" s="139"/>
      <c r="AL166" s="137" t="str">
        <f t="shared" si="685"/>
        <v/>
      </c>
      <c r="AM166" s="137" t="s">
        <v>331</v>
      </c>
      <c r="AN166" s="137">
        <v>1</v>
      </c>
      <c r="AO166" s="137" t="str">
        <f t="shared" si="686"/>
        <v>,INDEX(REPORT_FR2052a!$1:$1048576,0,49),1</v>
      </c>
      <c r="AR166" s="137" t="str">
        <f t="shared" si="644"/>
        <v/>
      </c>
      <c r="AU166" s="137" t="str">
        <f t="shared" si="488"/>
        <v/>
      </c>
      <c r="AV166" s="137" t="s">
        <v>331</v>
      </c>
      <c r="AW166" s="139" t="s">
        <v>762</v>
      </c>
      <c r="AX166" s="137" t="str">
        <f t="shared" si="690"/>
        <v>,INDEX(REPORT_FR2052a!$1:$1048576,0,7),""</v>
      </c>
      <c r="BA166" s="137" t="s">
        <v>13</v>
      </c>
      <c r="BB166" s="137" t="str">
        <f>"=SUMIFS(INDEX(REPORT_FR2052a!$1:$1048576,0,"&amp;(MATCH(BA166,REPORT_FR2052a!$1:$1,0))&amp;")"</f>
        <v>=SUMIFS(INDEX(REPORT_FR2052a!$1:$1048576,0,14)</v>
      </c>
      <c r="BC166" s="137" t="str">
        <f t="shared" si="600"/>
        <v>=SUMIFS(INDEX(REPORT_FR2052a!$1:$1048576,0,14),INDEX(REPORT_FR2052a!$1:$1048576,0,44),"I.U.4",INDEX(REPORT_FR2052a!$1:$1048576,0,43),1,INDEX(REPORT_FR2052a!$1:$1048576,0,26),"Bank",INDEX(REPORT_FR2052a!$1:$1048576,0,49),1,INDEX(REPORT_FR2052a!$1:$1048576,0,7),"")</v>
      </c>
      <c r="BD166" s="141">
        <f>SUMIFS(INDEX(REPORT_FR2052a!$1:$1048576,0,14),INDEX(REPORT_FR2052a!$1:$1048576,0,44),"I.U.4",INDEX(REPORT_FR2052a!$1:$1048576,0,43),1,INDEX(REPORT_FR2052a!$1:$1048576,0,26),"Bank",INDEX(REPORT_FR2052a!$1:$1048576,0,49),1,INDEX(REPORT_FR2052a!$1:$1048576,0,7),"")</f>
        <v>0</v>
      </c>
      <c r="BE166" s="137" t="s">
        <v>331</v>
      </c>
      <c r="BF166" s="139" t="s">
        <v>47</v>
      </c>
      <c r="BG166" s="137" t="str">
        <f t="shared" si="687"/>
        <v>,INDEX(REPORT_FR2052a!$1:$1048576,0,5),"Bank of China - Combined US Branches and Agencies"</v>
      </c>
      <c r="BI166" s="137" t="str">
        <f t="shared" si="688"/>
        <v>=SUMIFS(INDEX(REPORT_FR2052a!$1:$1048576,0,14),INDEX(REPORT_FR2052a!$1:$1048576,0,44),"I.U.4",INDEX(REPORT_FR2052a!$1:$1048576,0,43),1,INDEX(REPORT_FR2052a!$1:$1048576,0,26),"Bank",INDEX(REPORT_FR2052a!$1:$1048576,0,49),1,INDEX(REPORT_FR2052a!$1:$1048576,0,7),"",INDEX(REPORT_FR2052a!$1:$1048576,0,5),"Bank of China - Combined US Branches and Agencies")</v>
      </c>
      <c r="BJ166" s="142">
        <f>SUMIFS(INDEX(REPORT_FR2052a!$1:$1048576,0,14),INDEX(REPORT_FR2052a!$1:$1048576,0,44),"I.U.4",INDEX(REPORT_FR2052a!$1:$1048576,0,43),1,INDEX(REPORT_FR2052a!$1:$1048576,0,26),"Bank",INDEX(REPORT_FR2052a!$1:$1048576,0,49),1,INDEX(REPORT_FR2052a!$1:$1048576,0,7),"",INDEX(REPORT_FR2052a!$1:$1048576,0,5),"Bank of China - Combined US Branches and Agencies")</f>
        <v>0</v>
      </c>
      <c r="BK166" s="143">
        <f t="shared" si="689"/>
        <v>0</v>
      </c>
    </row>
    <row r="167" spans="1:63">
      <c r="A167" s="136">
        <v>136</v>
      </c>
      <c r="B167" s="137" t="str">
        <f>IFERROR(INDEX('LCR TYPE EXPLAIN'!B:B,MATCH(A167,'LCR TYPE EXPLAIN'!A:A,0)),"")</f>
        <v>Undercollateralized Lending - Financial (include in Mapping ID 102)</v>
      </c>
      <c r="E167" s="137">
        <v>1</v>
      </c>
      <c r="F167" s="137" t="s">
        <v>331</v>
      </c>
      <c r="G167" s="138" t="s">
        <v>378</v>
      </c>
      <c r="H167" s="137" t="str">
        <f t="shared" si="604"/>
        <v>,INDEX(REPORT_FR2052a!$1:$1048576,0,44),"I.U.4"</v>
      </c>
      <c r="I167" s="137" t="s">
        <v>331</v>
      </c>
      <c r="J167" s="137">
        <v>1</v>
      </c>
      <c r="K167" s="137" t="str">
        <f t="shared" si="677"/>
        <v>,INDEX(REPORT_FR2052a!$1:$1048576,0,43),1</v>
      </c>
      <c r="N167" s="137" t="str">
        <f t="shared" si="678"/>
        <v/>
      </c>
      <c r="Q167" s="137" t="str">
        <f t="shared" si="542"/>
        <v/>
      </c>
      <c r="T167" s="137" t="str">
        <f t="shared" si="679"/>
        <v/>
      </c>
      <c r="V167" s="139"/>
      <c r="W167" s="137" t="str">
        <f t="shared" si="680"/>
        <v/>
      </c>
      <c r="Y167" s="139"/>
      <c r="Z167" s="137" t="str">
        <f t="shared" si="681"/>
        <v/>
      </c>
      <c r="AB167" s="139"/>
      <c r="AC167" s="137" t="str">
        <f t="shared" si="682"/>
        <v/>
      </c>
      <c r="AD167" s="137" t="s">
        <v>331</v>
      </c>
      <c r="AE167" s="140" t="s">
        <v>116</v>
      </c>
      <c r="AF167" s="137" t="str">
        <f t="shared" si="683"/>
        <v>,INDEX(REPORT_FR2052a!$1:$1048576,0,26),"Supervised Non-Bank Financial Entity"</v>
      </c>
      <c r="AH167" s="139"/>
      <c r="AI167" s="137" t="str">
        <f t="shared" si="684"/>
        <v/>
      </c>
      <c r="AK167" s="139"/>
      <c r="AL167" s="137" t="str">
        <f t="shared" si="685"/>
        <v/>
      </c>
      <c r="AM167" s="137" t="s">
        <v>331</v>
      </c>
      <c r="AN167" s="137">
        <v>1</v>
      </c>
      <c r="AO167" s="137" t="str">
        <f t="shared" si="686"/>
        <v>,INDEX(REPORT_FR2052a!$1:$1048576,0,49),1</v>
      </c>
      <c r="AR167" s="137" t="str">
        <f t="shared" si="644"/>
        <v/>
      </c>
      <c r="AU167" s="137" t="str">
        <f t="shared" si="488"/>
        <v/>
      </c>
      <c r="AV167" s="137" t="s">
        <v>331</v>
      </c>
      <c r="AW167" s="139" t="s">
        <v>762</v>
      </c>
      <c r="AX167" s="137" t="str">
        <f t="shared" si="690"/>
        <v>,INDEX(REPORT_FR2052a!$1:$1048576,0,7),""</v>
      </c>
      <c r="BA167" s="137" t="s">
        <v>13</v>
      </c>
      <c r="BB167" s="137" t="str">
        <f>"=SUMIFS(INDEX(REPORT_FR2052a!$1:$1048576,0,"&amp;(MATCH(BA167,REPORT_FR2052a!$1:$1,0))&amp;")"</f>
        <v>=SUMIFS(INDEX(REPORT_FR2052a!$1:$1048576,0,14)</v>
      </c>
      <c r="BC167" s="137" t="str">
        <f t="shared" si="600"/>
        <v>=SUMIFS(INDEX(REPORT_FR2052a!$1:$1048576,0,14),INDEX(REPORT_FR2052a!$1:$1048576,0,44),"I.U.4",INDEX(REPORT_FR2052a!$1:$1048576,0,43),1,INDEX(REPORT_FR2052a!$1:$1048576,0,26),"Supervised Non-Bank Financial Entity",INDEX(REPORT_FR2052a!$1:$1048576,0,49),1,INDEX(REPORT_FR2052a!$1:$1048576,0,7),"")</v>
      </c>
      <c r="BD167" s="141">
        <f>SUMIFS(INDEX(REPORT_FR2052a!$1:$1048576,0,14),INDEX(REPORT_FR2052a!$1:$1048576,0,44),"I.U.4",INDEX(REPORT_FR2052a!$1:$1048576,0,43),1,INDEX(REPORT_FR2052a!$1:$1048576,0,26),"Supervised Non-Bank Financial Entity",INDEX(REPORT_FR2052a!$1:$1048576,0,49),1,INDEX(REPORT_FR2052a!$1:$1048576,0,7),"")</f>
        <v>0</v>
      </c>
      <c r="BE167" s="137" t="s">
        <v>331</v>
      </c>
      <c r="BF167" s="139" t="s">
        <v>47</v>
      </c>
      <c r="BG167" s="137" t="str">
        <f t="shared" si="687"/>
        <v>,INDEX(REPORT_FR2052a!$1:$1048576,0,5),"Bank of China - Combined US Branches and Agencies"</v>
      </c>
      <c r="BI167" s="137" t="str">
        <f t="shared" si="688"/>
        <v>=SUMIFS(INDEX(REPORT_FR2052a!$1:$1048576,0,14),INDEX(REPORT_FR2052a!$1:$1048576,0,44),"I.U.4",INDEX(REPORT_FR2052a!$1:$1048576,0,43),1,INDEX(REPORT_FR2052a!$1:$1048576,0,26),"Supervised Non-Bank Financial Entity",INDEX(REPORT_FR2052a!$1:$1048576,0,49),1,INDEX(REPORT_FR2052a!$1:$1048576,0,7),"",INDEX(REPORT_FR2052a!$1:$1048576,0,5),"Bank of China - Combined US Branches and Agencies")</v>
      </c>
      <c r="BJ167" s="142">
        <f>SUMIFS(INDEX(REPORT_FR2052a!$1:$1048576,0,14),INDEX(REPORT_FR2052a!$1:$1048576,0,44),"I.U.4",INDEX(REPORT_FR2052a!$1:$1048576,0,43),1,INDEX(REPORT_FR2052a!$1:$1048576,0,26),"Supervised Non-Bank Financial Entity",INDEX(REPORT_FR2052a!$1:$1048576,0,49),1,INDEX(REPORT_FR2052a!$1:$1048576,0,7),"",INDEX(REPORT_FR2052a!$1:$1048576,0,5),"Bank of China - Combined US Branches and Agencies")</f>
        <v>0</v>
      </c>
      <c r="BK167" s="143">
        <f t="shared" si="689"/>
        <v>0</v>
      </c>
    </row>
    <row r="168" spans="1:63">
      <c r="A168" s="136">
        <v>136</v>
      </c>
      <c r="B168" s="137" t="str">
        <f>IFERROR(INDEX('LCR TYPE EXPLAIN'!B:B,MATCH(A168,'LCR TYPE EXPLAIN'!A:A,0)),"")</f>
        <v>Undercollateralized Lending - Financial (include in Mapping ID 102)</v>
      </c>
      <c r="E168" s="137">
        <v>1</v>
      </c>
      <c r="F168" s="137" t="s">
        <v>331</v>
      </c>
      <c r="G168" s="138" t="s">
        <v>375</v>
      </c>
      <c r="H168" s="137" t="str">
        <f t="shared" ref="H168:H172" si="691">IF(F168="","",",INDEX(REPORT_FR2052a!$1:$1048576,0,"&amp;H$2&amp;"),"&amp;IF(ISTEXT(G168),CHAR(34),"")&amp;IF(F168="is","",""&amp;"&lt;&gt;")&amp;G168&amp;IF(ISTEXT(G168),CHAR(34),""))</f>
        <v>,INDEX(REPORT_FR2052a!$1:$1048576,0,44),"I.U.6"</v>
      </c>
      <c r="I168" s="137" t="s">
        <v>331</v>
      </c>
      <c r="J168" s="137">
        <v>1</v>
      </c>
      <c r="K168" s="137" t="str">
        <f t="shared" si="677"/>
        <v>,INDEX(REPORT_FR2052a!$1:$1048576,0,43),1</v>
      </c>
      <c r="N168" s="137" t="str">
        <f t="shared" si="678"/>
        <v/>
      </c>
      <c r="Q168" s="137" t="str">
        <f t="shared" si="542"/>
        <v/>
      </c>
      <c r="T168" s="137" t="str">
        <f t="shared" si="679"/>
        <v/>
      </c>
      <c r="V168" s="139"/>
      <c r="W168" s="137" t="str">
        <f t="shared" si="680"/>
        <v/>
      </c>
      <c r="Y168" s="139"/>
      <c r="Z168" s="137" t="str">
        <f t="shared" si="681"/>
        <v/>
      </c>
      <c r="AB168" s="139"/>
      <c r="AC168" s="137" t="str">
        <f t="shared" si="682"/>
        <v/>
      </c>
      <c r="AD168" s="137" t="s">
        <v>331</v>
      </c>
      <c r="AE168" s="140" t="s">
        <v>759</v>
      </c>
      <c r="AF168" s="137" t="str">
        <f t="shared" si="683"/>
        <v>,INDEX(REPORT_FR2052a!$1:$1048576,0,26),"Bank"</v>
      </c>
      <c r="AH168" s="139"/>
      <c r="AI168" s="137" t="str">
        <f t="shared" si="684"/>
        <v/>
      </c>
      <c r="AK168" s="139"/>
      <c r="AL168" s="137" t="str">
        <f t="shared" si="685"/>
        <v/>
      </c>
      <c r="AM168" s="137" t="s">
        <v>331</v>
      </c>
      <c r="AN168" s="137">
        <v>1</v>
      </c>
      <c r="AO168" s="137" t="str">
        <f t="shared" si="686"/>
        <v>,INDEX(REPORT_FR2052a!$1:$1048576,0,49),1</v>
      </c>
      <c r="AR168" s="137" t="str">
        <f t="shared" si="644"/>
        <v/>
      </c>
      <c r="AU168" s="137" t="str">
        <f t="shared" si="488"/>
        <v/>
      </c>
      <c r="AV168" s="137" t="s">
        <v>331</v>
      </c>
      <c r="AW168" s="139" t="s">
        <v>762</v>
      </c>
      <c r="AX168" s="137" t="str">
        <f t="shared" si="690"/>
        <v>,INDEX(REPORT_FR2052a!$1:$1048576,0,7),""</v>
      </c>
      <c r="BA168" s="137" t="s">
        <v>13</v>
      </c>
      <c r="BB168" s="137" t="str">
        <f>"=SUMIFS(INDEX(REPORT_FR2052a!$1:$1048576,0,"&amp;(MATCH(BA168,REPORT_FR2052a!$1:$1,0))&amp;")"</f>
        <v>=SUMIFS(INDEX(REPORT_FR2052a!$1:$1048576,0,14)</v>
      </c>
      <c r="BC168" s="137" t="str">
        <f t="shared" si="600"/>
        <v>=SUMIFS(INDEX(REPORT_FR2052a!$1:$1048576,0,14),INDEX(REPORT_FR2052a!$1:$1048576,0,44),"I.U.6",INDEX(REPORT_FR2052a!$1:$1048576,0,43),1,INDEX(REPORT_FR2052a!$1:$1048576,0,26),"Bank",INDEX(REPORT_FR2052a!$1:$1048576,0,49),1,INDEX(REPORT_FR2052a!$1:$1048576,0,7),"")</v>
      </c>
      <c r="BD168" s="141">
        <f>SUMIFS(INDEX(REPORT_FR2052a!$1:$1048576,0,14),INDEX(REPORT_FR2052a!$1:$1048576,0,44),"I.U.6",INDEX(REPORT_FR2052a!$1:$1048576,0,43),1,INDEX(REPORT_FR2052a!$1:$1048576,0,26),"Bank",INDEX(REPORT_FR2052a!$1:$1048576,0,49),1,INDEX(REPORT_FR2052a!$1:$1048576,0,7),"")</f>
        <v>0</v>
      </c>
      <c r="BE168" s="137" t="s">
        <v>331</v>
      </c>
      <c r="BF168" s="139" t="s">
        <v>47</v>
      </c>
      <c r="BG168" s="137" t="str">
        <f t="shared" si="687"/>
        <v>,INDEX(REPORT_FR2052a!$1:$1048576,0,5),"Bank of China - Combined US Branches and Agencies"</v>
      </c>
      <c r="BI168" s="137" t="str">
        <f t="shared" si="688"/>
        <v>=SUMIFS(INDEX(REPORT_FR2052a!$1:$1048576,0,14),INDEX(REPORT_FR2052a!$1:$1048576,0,44),"I.U.6",INDEX(REPORT_FR2052a!$1:$1048576,0,43),1,INDEX(REPORT_FR2052a!$1:$1048576,0,26),"Bank",INDEX(REPORT_FR2052a!$1:$1048576,0,49),1,INDEX(REPORT_FR2052a!$1:$1048576,0,7),"",INDEX(REPORT_FR2052a!$1:$1048576,0,5),"Bank of China - Combined US Branches and Agencies")</v>
      </c>
      <c r="BJ168" s="142">
        <f>SUMIFS(INDEX(REPORT_FR2052a!$1:$1048576,0,14),INDEX(REPORT_FR2052a!$1:$1048576,0,44),"I.U.6",INDEX(REPORT_FR2052a!$1:$1048576,0,43),1,INDEX(REPORT_FR2052a!$1:$1048576,0,26),"Bank",INDEX(REPORT_FR2052a!$1:$1048576,0,49),1,INDEX(REPORT_FR2052a!$1:$1048576,0,7),"",INDEX(REPORT_FR2052a!$1:$1048576,0,5),"Bank of China - Combined US Branches and Agencies")</f>
        <v>0</v>
      </c>
      <c r="BK168" s="143">
        <f t="shared" si="689"/>
        <v>0</v>
      </c>
    </row>
    <row r="169" spans="1:63">
      <c r="A169" s="136">
        <v>136</v>
      </c>
      <c r="B169" s="137" t="str">
        <f>IFERROR(INDEX('LCR TYPE EXPLAIN'!B:B,MATCH(A169,'LCR TYPE EXPLAIN'!A:A,0)),"")</f>
        <v>Undercollateralized Lending - Financial (include in Mapping ID 102)</v>
      </c>
      <c r="E169" s="137">
        <v>1</v>
      </c>
      <c r="F169" s="137" t="s">
        <v>331</v>
      </c>
      <c r="G169" s="138" t="s">
        <v>375</v>
      </c>
      <c r="H169" s="137" t="str">
        <f t="shared" si="691"/>
        <v>,INDEX(REPORT_FR2052a!$1:$1048576,0,44),"I.U.6"</v>
      </c>
      <c r="I169" s="137" t="s">
        <v>331</v>
      </c>
      <c r="J169" s="137">
        <v>1</v>
      </c>
      <c r="K169" s="137" t="str">
        <f t="shared" si="677"/>
        <v>,INDEX(REPORT_FR2052a!$1:$1048576,0,43),1</v>
      </c>
      <c r="N169" s="137" t="str">
        <f t="shared" si="678"/>
        <v/>
      </c>
      <c r="Q169" s="137" t="str">
        <f t="shared" si="542"/>
        <v/>
      </c>
      <c r="T169" s="137" t="str">
        <f t="shared" si="679"/>
        <v/>
      </c>
      <c r="V169" s="139"/>
      <c r="W169" s="137" t="str">
        <f t="shared" si="680"/>
        <v/>
      </c>
      <c r="Y169" s="139"/>
      <c r="Z169" s="137" t="str">
        <f t="shared" si="681"/>
        <v/>
      </c>
      <c r="AB169" s="139"/>
      <c r="AC169" s="137" t="str">
        <f t="shared" si="682"/>
        <v/>
      </c>
      <c r="AD169" s="137" t="s">
        <v>331</v>
      </c>
      <c r="AE169" s="140" t="s">
        <v>116</v>
      </c>
      <c r="AF169" s="137" t="str">
        <f t="shared" si="683"/>
        <v>,INDEX(REPORT_FR2052a!$1:$1048576,0,26),"Supervised Non-Bank Financial Entity"</v>
      </c>
      <c r="AH169" s="139"/>
      <c r="AI169" s="137" t="str">
        <f t="shared" si="684"/>
        <v/>
      </c>
      <c r="AK169" s="139"/>
      <c r="AL169" s="137" t="str">
        <f t="shared" si="685"/>
        <v/>
      </c>
      <c r="AM169" s="137" t="s">
        <v>331</v>
      </c>
      <c r="AN169" s="137">
        <v>1</v>
      </c>
      <c r="AO169" s="137" t="str">
        <f t="shared" si="686"/>
        <v>,INDEX(REPORT_FR2052a!$1:$1048576,0,49),1</v>
      </c>
      <c r="AR169" s="137" t="str">
        <f t="shared" si="644"/>
        <v/>
      </c>
      <c r="AU169" s="137" t="str">
        <f t="shared" si="488"/>
        <v/>
      </c>
      <c r="AV169" s="137" t="s">
        <v>331</v>
      </c>
      <c r="AW169" s="139" t="s">
        <v>762</v>
      </c>
      <c r="AX169" s="137" t="str">
        <f t="shared" si="690"/>
        <v>,INDEX(REPORT_FR2052a!$1:$1048576,0,7),""</v>
      </c>
      <c r="BA169" s="137" t="s">
        <v>13</v>
      </c>
      <c r="BB169" s="137" t="str">
        <f>"=SUMIFS(INDEX(REPORT_FR2052a!$1:$1048576,0,"&amp;(MATCH(BA169,REPORT_FR2052a!$1:$1,0))&amp;")"</f>
        <v>=SUMIFS(INDEX(REPORT_FR2052a!$1:$1048576,0,14)</v>
      </c>
      <c r="BC169" s="137" t="str">
        <f t="shared" si="600"/>
        <v>=SUMIFS(INDEX(REPORT_FR2052a!$1:$1048576,0,14),INDEX(REPORT_FR2052a!$1:$1048576,0,44),"I.U.6",INDEX(REPORT_FR2052a!$1:$1048576,0,43),1,INDEX(REPORT_FR2052a!$1:$1048576,0,26),"Supervised Non-Bank Financial Entity",INDEX(REPORT_FR2052a!$1:$1048576,0,49),1,INDEX(REPORT_FR2052a!$1:$1048576,0,7),"")</v>
      </c>
      <c r="BD169" s="141">
        <f>SUMIFS(INDEX(REPORT_FR2052a!$1:$1048576,0,14),INDEX(REPORT_FR2052a!$1:$1048576,0,44),"I.U.6",INDEX(REPORT_FR2052a!$1:$1048576,0,43),1,INDEX(REPORT_FR2052a!$1:$1048576,0,26),"Supervised Non-Bank Financial Entity",INDEX(REPORT_FR2052a!$1:$1048576,0,49),1,INDEX(REPORT_FR2052a!$1:$1048576,0,7),"")</f>
        <v>0</v>
      </c>
      <c r="BE169" s="137" t="s">
        <v>331</v>
      </c>
      <c r="BF169" s="139" t="s">
        <v>47</v>
      </c>
      <c r="BG169" s="137" t="str">
        <f t="shared" si="687"/>
        <v>,INDEX(REPORT_FR2052a!$1:$1048576,0,5),"Bank of China - Combined US Branches and Agencies"</v>
      </c>
      <c r="BI169" s="137" t="str">
        <f t="shared" si="688"/>
        <v>=SUMIFS(INDEX(REPORT_FR2052a!$1:$1048576,0,14),INDEX(REPORT_FR2052a!$1:$1048576,0,44),"I.U.6",INDEX(REPORT_FR2052a!$1:$1048576,0,43),1,INDEX(REPORT_FR2052a!$1:$1048576,0,26),"Supervised Non-Bank Financial Entity",INDEX(REPORT_FR2052a!$1:$1048576,0,49),1,INDEX(REPORT_FR2052a!$1:$1048576,0,7),"",INDEX(REPORT_FR2052a!$1:$1048576,0,5),"Bank of China - Combined US Branches and Agencies")</v>
      </c>
      <c r="BJ169" s="142">
        <f>SUMIFS(INDEX(REPORT_FR2052a!$1:$1048576,0,14),INDEX(REPORT_FR2052a!$1:$1048576,0,44),"I.U.6",INDEX(REPORT_FR2052a!$1:$1048576,0,43),1,INDEX(REPORT_FR2052a!$1:$1048576,0,26),"Supervised Non-Bank Financial Entity",INDEX(REPORT_FR2052a!$1:$1048576,0,49),1,INDEX(REPORT_FR2052a!$1:$1048576,0,7),"",INDEX(REPORT_FR2052a!$1:$1048576,0,5),"Bank of China - Combined US Branches and Agencies")</f>
        <v>0</v>
      </c>
      <c r="BK169" s="143">
        <f t="shared" si="689"/>
        <v>0</v>
      </c>
    </row>
    <row r="170" spans="1:63">
      <c r="A170" s="136">
        <v>137</v>
      </c>
      <c r="B170" s="137" t="str">
        <f>IFERROR(INDEX('LCR TYPE EXPLAIN'!B:B,MATCH(A170,'LCR TYPE EXPLAIN'!A:A,0)),"")</f>
        <v>Undercollateralized Lending - Non-Financial (include in Mapping ID 105)</v>
      </c>
      <c r="E170" s="137">
        <v>1</v>
      </c>
      <c r="F170" s="137" t="s">
        <v>331</v>
      </c>
      <c r="G170" s="138" t="s">
        <v>377</v>
      </c>
      <c r="H170" s="137" t="str">
        <f t="shared" si="691"/>
        <v>,INDEX(REPORT_FR2052a!$1:$1048576,0,44),"I.U.1"</v>
      </c>
      <c r="I170" s="137" t="s">
        <v>331</v>
      </c>
      <c r="J170" s="137">
        <v>1</v>
      </c>
      <c r="K170" s="137" t="str">
        <f t="shared" si="677"/>
        <v>,INDEX(REPORT_FR2052a!$1:$1048576,0,43),1</v>
      </c>
      <c r="N170" s="137" t="str">
        <f t="shared" si="678"/>
        <v/>
      </c>
      <c r="Q170" s="137" t="str">
        <f t="shared" si="542"/>
        <v/>
      </c>
      <c r="T170" s="137" t="str">
        <f t="shared" si="679"/>
        <v/>
      </c>
      <c r="V170" s="139"/>
      <c r="W170" s="137" t="str">
        <f t="shared" si="680"/>
        <v/>
      </c>
      <c r="Y170" s="139"/>
      <c r="Z170" s="137" t="str">
        <f t="shared" si="681"/>
        <v/>
      </c>
      <c r="AB170" s="139"/>
      <c r="AC170" s="137" t="str">
        <f t="shared" si="682"/>
        <v/>
      </c>
      <c r="AD170" s="137" t="s">
        <v>331</v>
      </c>
      <c r="AE170" s="140" t="s">
        <v>84</v>
      </c>
      <c r="AF170" s="137" t="str">
        <f t="shared" si="683"/>
        <v>,INDEX(REPORT_FR2052a!$1:$1048576,0,26),"Non-Financial Corporate"</v>
      </c>
      <c r="AH170" s="139"/>
      <c r="AI170" s="137" t="str">
        <f t="shared" si="684"/>
        <v/>
      </c>
      <c r="AK170" s="139"/>
      <c r="AL170" s="137" t="str">
        <f t="shared" si="685"/>
        <v/>
      </c>
      <c r="AM170" s="137" t="s">
        <v>331</v>
      </c>
      <c r="AN170" s="137">
        <v>1</v>
      </c>
      <c r="AO170" s="137" t="str">
        <f t="shared" si="686"/>
        <v>,INDEX(REPORT_FR2052a!$1:$1048576,0,49),1</v>
      </c>
      <c r="AR170" s="137" t="str">
        <f t="shared" si="644"/>
        <v/>
      </c>
      <c r="AU170" s="137" t="str">
        <f t="shared" si="488"/>
        <v/>
      </c>
      <c r="AV170" s="137" t="s">
        <v>331</v>
      </c>
      <c r="AW170" s="139" t="s">
        <v>762</v>
      </c>
      <c r="AX170" s="137" t="str">
        <f t="shared" si="690"/>
        <v>,INDEX(REPORT_FR2052a!$1:$1048576,0,7),""</v>
      </c>
      <c r="BA170" s="137" t="s">
        <v>13</v>
      </c>
      <c r="BB170" s="137" t="str">
        <f>"=SUMIFS(INDEX(REPORT_FR2052a!$1:$1048576,0,"&amp;(MATCH(BA170,REPORT_FR2052a!$1:$1,0))&amp;")"</f>
        <v>=SUMIFS(INDEX(REPORT_FR2052a!$1:$1048576,0,14)</v>
      </c>
      <c r="BC170" s="137" t="str">
        <f t="shared" si="600"/>
        <v>=SUMIFS(INDEX(REPORT_FR2052a!$1:$1048576,0,14),INDEX(REPORT_FR2052a!$1:$1048576,0,44),"I.U.1",INDEX(REPORT_FR2052a!$1:$1048576,0,43),1,INDEX(REPORT_FR2052a!$1:$1048576,0,26),"Non-Financial Corporate",INDEX(REPORT_FR2052a!$1:$1048576,0,49),1,INDEX(REPORT_FR2052a!$1:$1048576,0,7),"")</v>
      </c>
      <c r="BD170" s="141">
        <f>SUMIFS(INDEX(REPORT_FR2052a!$1:$1048576,0,14),INDEX(REPORT_FR2052a!$1:$1048576,0,44),"I.U.1",INDEX(REPORT_FR2052a!$1:$1048576,0,43),1,INDEX(REPORT_FR2052a!$1:$1048576,0,26),"Non-Financial Corporate",INDEX(REPORT_FR2052a!$1:$1048576,0,49),1,INDEX(REPORT_FR2052a!$1:$1048576,0,7),"")</f>
        <v>0</v>
      </c>
      <c r="BE170" s="137" t="s">
        <v>331</v>
      </c>
      <c r="BF170" s="139" t="s">
        <v>47</v>
      </c>
      <c r="BG170" s="137" t="str">
        <f t="shared" si="687"/>
        <v>,INDEX(REPORT_FR2052a!$1:$1048576,0,5),"Bank of China - Combined US Branches and Agencies"</v>
      </c>
      <c r="BI170" s="137" t="str">
        <f t="shared" si="688"/>
        <v>=SUMIFS(INDEX(REPORT_FR2052a!$1:$1048576,0,14),INDEX(REPORT_FR2052a!$1:$1048576,0,44),"I.U.1",INDEX(REPORT_FR2052a!$1:$1048576,0,43),1,INDEX(REPORT_FR2052a!$1:$1048576,0,26),"Non-Financial Corporate",INDEX(REPORT_FR2052a!$1:$1048576,0,49),1,INDEX(REPORT_FR2052a!$1:$1048576,0,7),"",INDEX(REPORT_FR2052a!$1:$1048576,0,5),"Bank of China - Combined US Branches and Agencies")</v>
      </c>
      <c r="BJ170" s="142">
        <f>SUMIFS(INDEX(REPORT_FR2052a!$1:$1048576,0,14),INDEX(REPORT_FR2052a!$1:$1048576,0,44),"I.U.1",INDEX(REPORT_FR2052a!$1:$1048576,0,43),1,INDEX(REPORT_FR2052a!$1:$1048576,0,26),"Non-Financial Corporate",INDEX(REPORT_FR2052a!$1:$1048576,0,49),1,INDEX(REPORT_FR2052a!$1:$1048576,0,7),"",INDEX(REPORT_FR2052a!$1:$1048576,0,5),"Bank of China - Combined US Branches and Agencies")</f>
        <v>0</v>
      </c>
      <c r="BK170" s="143">
        <f t="shared" si="689"/>
        <v>0</v>
      </c>
    </row>
    <row r="171" spans="1:63">
      <c r="A171" s="136">
        <v>137</v>
      </c>
      <c r="B171" s="137" t="str">
        <f>IFERROR(INDEX('LCR TYPE EXPLAIN'!B:B,MATCH(A171,'LCR TYPE EXPLAIN'!A:A,0)),"")</f>
        <v>Undercollateralized Lending - Non-Financial (include in Mapping ID 105)</v>
      </c>
      <c r="E171" s="137">
        <v>1</v>
      </c>
      <c r="F171" s="137" t="s">
        <v>331</v>
      </c>
      <c r="G171" s="138" t="s">
        <v>376</v>
      </c>
      <c r="H171" s="137" t="str">
        <f t="shared" si="691"/>
        <v>,INDEX(REPORT_FR2052a!$1:$1048576,0,44),"I.U.2"</v>
      </c>
      <c r="I171" s="137" t="s">
        <v>331</v>
      </c>
      <c r="J171" s="137">
        <v>1</v>
      </c>
      <c r="K171" s="137" t="str">
        <f t="shared" si="677"/>
        <v>,INDEX(REPORT_FR2052a!$1:$1048576,0,43),1</v>
      </c>
      <c r="N171" s="137" t="str">
        <f t="shared" si="678"/>
        <v/>
      </c>
      <c r="Q171" s="137" t="str">
        <f t="shared" si="542"/>
        <v/>
      </c>
      <c r="T171" s="137" t="str">
        <f t="shared" si="679"/>
        <v/>
      </c>
      <c r="V171" s="139"/>
      <c r="W171" s="137" t="str">
        <f t="shared" si="680"/>
        <v/>
      </c>
      <c r="Y171" s="139"/>
      <c r="Z171" s="137" t="str">
        <f t="shared" si="681"/>
        <v/>
      </c>
      <c r="AB171" s="139"/>
      <c r="AC171" s="137" t="str">
        <f t="shared" si="682"/>
        <v/>
      </c>
      <c r="AD171" s="137" t="s">
        <v>331</v>
      </c>
      <c r="AE171" s="140" t="s">
        <v>84</v>
      </c>
      <c r="AF171" s="137" t="str">
        <f t="shared" si="683"/>
        <v>,INDEX(REPORT_FR2052a!$1:$1048576,0,26),"Non-Financial Corporate"</v>
      </c>
      <c r="AH171" s="139"/>
      <c r="AI171" s="137" t="str">
        <f t="shared" si="684"/>
        <v/>
      </c>
      <c r="AK171" s="139"/>
      <c r="AL171" s="137" t="str">
        <f t="shared" si="685"/>
        <v/>
      </c>
      <c r="AM171" s="137" t="s">
        <v>331</v>
      </c>
      <c r="AN171" s="137">
        <v>1</v>
      </c>
      <c r="AO171" s="137" t="str">
        <f t="shared" si="686"/>
        <v>,INDEX(REPORT_FR2052a!$1:$1048576,0,49),1</v>
      </c>
      <c r="AR171" s="137" t="str">
        <f t="shared" si="644"/>
        <v/>
      </c>
      <c r="AU171" s="137" t="str">
        <f t="shared" si="488"/>
        <v/>
      </c>
      <c r="AV171" s="137" t="s">
        <v>331</v>
      </c>
      <c r="AW171" s="139" t="s">
        <v>762</v>
      </c>
      <c r="AX171" s="137" t="str">
        <f t="shared" si="690"/>
        <v>,INDEX(REPORT_FR2052a!$1:$1048576,0,7),""</v>
      </c>
      <c r="BA171" s="137" t="s">
        <v>13</v>
      </c>
      <c r="BB171" s="137" t="str">
        <f>"=SUMIFS(INDEX(REPORT_FR2052a!$1:$1048576,0,"&amp;(MATCH(BA171,REPORT_FR2052a!$1:$1,0))&amp;")"</f>
        <v>=SUMIFS(INDEX(REPORT_FR2052a!$1:$1048576,0,14)</v>
      </c>
      <c r="BC171" s="137" t="str">
        <f t="shared" si="600"/>
        <v>=SUMIFS(INDEX(REPORT_FR2052a!$1:$1048576,0,14),INDEX(REPORT_FR2052a!$1:$1048576,0,44),"I.U.2",INDEX(REPORT_FR2052a!$1:$1048576,0,43),1,INDEX(REPORT_FR2052a!$1:$1048576,0,26),"Non-Financial Corporate",INDEX(REPORT_FR2052a!$1:$1048576,0,49),1,INDEX(REPORT_FR2052a!$1:$1048576,0,7),"")</v>
      </c>
      <c r="BD171" s="141">
        <f>SUMIFS(INDEX(REPORT_FR2052a!$1:$1048576,0,14),INDEX(REPORT_FR2052a!$1:$1048576,0,44),"I.U.2",INDEX(REPORT_FR2052a!$1:$1048576,0,43),1,INDEX(REPORT_FR2052a!$1:$1048576,0,26),"Non-Financial Corporate",INDEX(REPORT_FR2052a!$1:$1048576,0,49),1,INDEX(REPORT_FR2052a!$1:$1048576,0,7),"")</f>
        <v>0</v>
      </c>
      <c r="BE171" s="137" t="s">
        <v>331</v>
      </c>
      <c r="BF171" s="139" t="s">
        <v>47</v>
      </c>
      <c r="BG171" s="137" t="str">
        <f t="shared" si="687"/>
        <v>,INDEX(REPORT_FR2052a!$1:$1048576,0,5),"Bank of China - Combined US Branches and Agencies"</v>
      </c>
      <c r="BI171" s="137" t="str">
        <f t="shared" si="688"/>
        <v>=SUMIFS(INDEX(REPORT_FR2052a!$1:$1048576,0,14),INDEX(REPORT_FR2052a!$1:$1048576,0,44),"I.U.2",INDEX(REPORT_FR2052a!$1:$1048576,0,43),1,INDEX(REPORT_FR2052a!$1:$1048576,0,26),"Non-Financial Corporate",INDEX(REPORT_FR2052a!$1:$1048576,0,49),1,INDEX(REPORT_FR2052a!$1:$1048576,0,7),"",INDEX(REPORT_FR2052a!$1:$1048576,0,5),"Bank of China - Combined US Branches and Agencies")</v>
      </c>
      <c r="BJ171" s="142">
        <f>SUMIFS(INDEX(REPORT_FR2052a!$1:$1048576,0,14),INDEX(REPORT_FR2052a!$1:$1048576,0,44),"I.U.2",INDEX(REPORT_FR2052a!$1:$1048576,0,43),1,INDEX(REPORT_FR2052a!$1:$1048576,0,26),"Non-Financial Corporate",INDEX(REPORT_FR2052a!$1:$1048576,0,49),1,INDEX(REPORT_FR2052a!$1:$1048576,0,7),"",INDEX(REPORT_FR2052a!$1:$1048576,0,5),"Bank of China - Combined US Branches and Agencies")</f>
        <v>0</v>
      </c>
      <c r="BK171" s="143">
        <f t="shared" si="689"/>
        <v>0</v>
      </c>
    </row>
    <row r="172" spans="1:63">
      <c r="A172" s="136">
        <v>137</v>
      </c>
      <c r="B172" s="137" t="str">
        <f>IFERROR(INDEX('LCR TYPE EXPLAIN'!B:B,MATCH(A172,'LCR TYPE EXPLAIN'!A:A,0)),"")</f>
        <v>Undercollateralized Lending - Non-Financial (include in Mapping ID 105)</v>
      </c>
      <c r="E172" s="137">
        <v>1</v>
      </c>
      <c r="F172" s="137" t="s">
        <v>331</v>
      </c>
      <c r="G172" s="138" t="s">
        <v>375</v>
      </c>
      <c r="H172" s="137" t="str">
        <f t="shared" si="691"/>
        <v>,INDEX(REPORT_FR2052a!$1:$1048576,0,44),"I.U.6"</v>
      </c>
      <c r="I172" s="137" t="s">
        <v>331</v>
      </c>
      <c r="J172" s="137">
        <v>1</v>
      </c>
      <c r="K172" s="137" t="str">
        <f t="shared" si="677"/>
        <v>,INDEX(REPORT_FR2052a!$1:$1048576,0,43),1</v>
      </c>
      <c r="N172" s="137" t="str">
        <f t="shared" si="678"/>
        <v/>
      </c>
      <c r="Q172" s="137" t="str">
        <f t="shared" si="542"/>
        <v/>
      </c>
      <c r="T172" s="137" t="str">
        <f t="shared" si="679"/>
        <v/>
      </c>
      <c r="V172" s="139"/>
      <c r="W172" s="137" t="str">
        <f t="shared" si="680"/>
        <v/>
      </c>
      <c r="Y172" s="139"/>
      <c r="Z172" s="137" t="str">
        <f t="shared" si="681"/>
        <v/>
      </c>
      <c r="AB172" s="139"/>
      <c r="AC172" s="137" t="str">
        <f t="shared" si="682"/>
        <v/>
      </c>
      <c r="AD172" s="137" t="s">
        <v>331</v>
      </c>
      <c r="AE172" s="140" t="s">
        <v>84</v>
      </c>
      <c r="AF172" s="137" t="str">
        <f t="shared" si="683"/>
        <v>,INDEX(REPORT_FR2052a!$1:$1048576,0,26),"Non-Financial Corporate"</v>
      </c>
      <c r="AH172" s="139"/>
      <c r="AI172" s="137" t="str">
        <f t="shared" si="684"/>
        <v/>
      </c>
      <c r="AK172" s="139"/>
      <c r="AL172" s="137" t="str">
        <f t="shared" si="685"/>
        <v/>
      </c>
      <c r="AM172" s="137" t="s">
        <v>331</v>
      </c>
      <c r="AN172" s="137">
        <v>1</v>
      </c>
      <c r="AO172" s="137" t="str">
        <f t="shared" si="686"/>
        <v>,INDEX(REPORT_FR2052a!$1:$1048576,0,49),1</v>
      </c>
      <c r="AR172" s="137" t="str">
        <f t="shared" si="644"/>
        <v/>
      </c>
      <c r="AU172" s="137" t="str">
        <f t="shared" si="488"/>
        <v/>
      </c>
      <c r="AV172" s="137" t="s">
        <v>331</v>
      </c>
      <c r="AW172" s="139" t="s">
        <v>762</v>
      </c>
      <c r="AX172" s="137" t="str">
        <f t="shared" si="690"/>
        <v>,INDEX(REPORT_FR2052a!$1:$1048576,0,7),""</v>
      </c>
      <c r="BA172" s="137" t="s">
        <v>13</v>
      </c>
      <c r="BB172" s="137" t="str">
        <f>"=SUMIFS(INDEX(REPORT_FR2052a!$1:$1048576,0,"&amp;(MATCH(BA172,REPORT_FR2052a!$1:$1,0))&amp;")"</f>
        <v>=SUMIFS(INDEX(REPORT_FR2052a!$1:$1048576,0,14)</v>
      </c>
      <c r="BC172" s="137" t="str">
        <f t="shared" si="600"/>
        <v>=SUMIFS(INDEX(REPORT_FR2052a!$1:$1048576,0,14),INDEX(REPORT_FR2052a!$1:$1048576,0,44),"I.U.6",INDEX(REPORT_FR2052a!$1:$1048576,0,43),1,INDEX(REPORT_FR2052a!$1:$1048576,0,26),"Non-Financial Corporate",INDEX(REPORT_FR2052a!$1:$1048576,0,49),1,INDEX(REPORT_FR2052a!$1:$1048576,0,7),"")</v>
      </c>
      <c r="BD172" s="141">
        <f>SUMIFS(INDEX(REPORT_FR2052a!$1:$1048576,0,14),INDEX(REPORT_FR2052a!$1:$1048576,0,44),"I.U.6",INDEX(REPORT_FR2052a!$1:$1048576,0,43),1,INDEX(REPORT_FR2052a!$1:$1048576,0,26),"Non-Financial Corporate",INDEX(REPORT_FR2052a!$1:$1048576,0,49),1,INDEX(REPORT_FR2052a!$1:$1048576,0,7),"")</f>
        <v>0</v>
      </c>
      <c r="BE172" s="137" t="s">
        <v>331</v>
      </c>
      <c r="BF172" s="139" t="s">
        <v>47</v>
      </c>
      <c r="BG172" s="137" t="str">
        <f t="shared" si="687"/>
        <v>,INDEX(REPORT_FR2052a!$1:$1048576,0,5),"Bank of China - Combined US Branches and Agencies"</v>
      </c>
      <c r="BI172" s="137" t="str">
        <f t="shared" si="688"/>
        <v>=SUMIFS(INDEX(REPORT_FR2052a!$1:$1048576,0,14),INDEX(REPORT_FR2052a!$1:$1048576,0,44),"I.U.6",INDEX(REPORT_FR2052a!$1:$1048576,0,43),1,INDEX(REPORT_FR2052a!$1:$1048576,0,26),"Non-Financial Corporate",INDEX(REPORT_FR2052a!$1:$1048576,0,49),1,INDEX(REPORT_FR2052a!$1:$1048576,0,7),"",INDEX(REPORT_FR2052a!$1:$1048576,0,5),"Bank of China - Combined US Branches and Agencies")</v>
      </c>
      <c r="BJ172" s="142">
        <f>SUMIFS(INDEX(REPORT_FR2052a!$1:$1048576,0,14),INDEX(REPORT_FR2052a!$1:$1048576,0,44),"I.U.6",INDEX(REPORT_FR2052a!$1:$1048576,0,43),1,INDEX(REPORT_FR2052a!$1:$1048576,0,26),"Non-Financial Corporate",INDEX(REPORT_FR2052a!$1:$1048576,0,49),1,INDEX(REPORT_FR2052a!$1:$1048576,0,7),"",INDEX(REPORT_FR2052a!$1:$1048576,0,5),"Bank of China - Combined US Branches and Agencies")</f>
        <v>0</v>
      </c>
      <c r="BK172" s="143">
        <f t="shared" si="689"/>
        <v>0</v>
      </c>
    </row>
    <row r="173" spans="1:63">
      <c r="V173" s="139"/>
      <c r="Y173" s="139"/>
      <c r="AB173" s="139"/>
      <c r="AH173" s="139"/>
      <c r="AK173" s="139"/>
      <c r="BF173" s="139"/>
      <c r="BK173" s="143"/>
    </row>
    <row r="174" spans="1:63">
      <c r="V174" s="139"/>
      <c r="Y174" s="139"/>
      <c r="AB174" s="139"/>
      <c r="AH174" s="139"/>
      <c r="AK174" s="139"/>
      <c r="BF174" s="139"/>
      <c r="BK174" s="143"/>
    </row>
    <row r="175" spans="1:63">
      <c r="V175" s="139"/>
      <c r="Y175" s="139"/>
      <c r="AB175" s="139"/>
      <c r="AH175" s="139"/>
      <c r="AK175" s="139"/>
      <c r="BF175" s="139"/>
      <c r="BK175" s="143"/>
    </row>
    <row r="176" spans="1:63">
      <c r="V176" s="139"/>
      <c r="Y176" s="139"/>
      <c r="AB176" s="139"/>
      <c r="AH176" s="139"/>
      <c r="AK176" s="139"/>
      <c r="BF176" s="139"/>
      <c r="BK176" s="143"/>
    </row>
  </sheetData>
  <autoFilter ref="A1:BK172"/>
  <sortState ref="A48:BD63">
    <sortCondition ref="G48:G63"/>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IT">
                <anchor moveWithCells="1" sizeWithCells="1">
                  <from>
                    <xdr:col>65</xdr:col>
                    <xdr:colOff>257175</xdr:colOff>
                    <xdr:row>1</xdr:row>
                    <xdr:rowOff>0</xdr:rowOff>
                  </from>
                  <to>
                    <xdr:col>69</xdr:col>
                    <xdr:colOff>257175</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21"/>
  <sheetViews>
    <sheetView workbookViewId="0"/>
  </sheetViews>
  <sheetFormatPr defaultRowHeight="15"/>
  <cols>
    <col min="1" max="1" width="14.140625" bestFit="1" customWidth="1"/>
  </cols>
  <sheetData>
    <row r="1" spans="1:2">
      <c r="A1" t="s">
        <v>22</v>
      </c>
      <c r="B1" t="s">
        <v>358</v>
      </c>
    </row>
    <row r="2" spans="1:2">
      <c r="A2" t="s">
        <v>54</v>
      </c>
      <c r="B2">
        <v>1</v>
      </c>
    </row>
    <row r="3" spans="1:2">
      <c r="A3" t="s">
        <v>60</v>
      </c>
      <c r="B3">
        <v>1</v>
      </c>
    </row>
    <row r="4" spans="1:2">
      <c r="A4" t="s">
        <v>340</v>
      </c>
      <c r="B4">
        <v>1</v>
      </c>
    </row>
    <row r="5" spans="1:2">
      <c r="A5" t="s">
        <v>341</v>
      </c>
      <c r="B5">
        <v>1</v>
      </c>
    </row>
    <row r="6" spans="1:2">
      <c r="A6" t="s">
        <v>342</v>
      </c>
      <c r="B6">
        <v>1</v>
      </c>
    </row>
    <row r="7" spans="1:2">
      <c r="A7" t="s">
        <v>343</v>
      </c>
      <c r="B7">
        <v>1</v>
      </c>
    </row>
    <row r="8" spans="1:2">
      <c r="A8" t="s">
        <v>344</v>
      </c>
      <c r="B8">
        <v>1</v>
      </c>
    </row>
    <row r="9" spans="1:2">
      <c r="A9" t="s">
        <v>345</v>
      </c>
      <c r="B9">
        <v>1</v>
      </c>
    </row>
    <row r="10" spans="1:2">
      <c r="A10" t="s">
        <v>346</v>
      </c>
      <c r="B10">
        <v>1</v>
      </c>
    </row>
    <row r="11" spans="1:2">
      <c r="A11" t="s">
        <v>347</v>
      </c>
      <c r="B11">
        <v>1</v>
      </c>
    </row>
    <row r="12" spans="1:2">
      <c r="A12" t="s">
        <v>348</v>
      </c>
      <c r="B12" t="s">
        <v>359</v>
      </c>
    </row>
    <row r="13" spans="1:2">
      <c r="A13" t="s">
        <v>349</v>
      </c>
      <c r="B13" t="s">
        <v>359</v>
      </c>
    </row>
    <row r="14" spans="1:2">
      <c r="A14" t="s">
        <v>350</v>
      </c>
      <c r="B14" t="s">
        <v>359</v>
      </c>
    </row>
    <row r="15" spans="1:2">
      <c r="A15" t="s">
        <v>351</v>
      </c>
      <c r="B15" t="s">
        <v>359</v>
      </c>
    </row>
    <row r="16" spans="1:2">
      <c r="A16" t="s">
        <v>352</v>
      </c>
      <c r="B16" t="s">
        <v>359</v>
      </c>
    </row>
    <row r="17" spans="1:2">
      <c r="A17" t="s">
        <v>353</v>
      </c>
      <c r="B17" t="s">
        <v>359</v>
      </c>
    </row>
    <row r="18" spans="1:2">
      <c r="A18" t="s">
        <v>354</v>
      </c>
      <c r="B18" t="s">
        <v>360</v>
      </c>
    </row>
    <row r="19" spans="1:2">
      <c r="A19" t="s">
        <v>355</v>
      </c>
      <c r="B19" t="s">
        <v>360</v>
      </c>
    </row>
    <row r="20" spans="1:2">
      <c r="A20" t="s">
        <v>356</v>
      </c>
      <c r="B20" t="s">
        <v>360</v>
      </c>
    </row>
    <row r="21" spans="1:2">
      <c r="A21" t="s">
        <v>357</v>
      </c>
      <c r="B21" t="s">
        <v>360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M45"/>
  <sheetViews>
    <sheetView tabSelected="1" topLeftCell="B1" zoomScale="85" zoomScaleNormal="85" workbookViewId="0">
      <selection activeCell="B1" sqref="B1"/>
    </sheetView>
  </sheetViews>
  <sheetFormatPr defaultRowHeight="15"/>
  <cols>
    <col min="1" max="1" width="9.140625" hidden="1" customWidth="1"/>
    <col min="3" max="3" width="66.42578125" bestFit="1" customWidth="1"/>
    <col min="4" max="4" width="32.7109375" bestFit="1" customWidth="1"/>
    <col min="5" max="5" width="28.140625" bestFit="1" customWidth="1"/>
    <col min="6" max="6" width="27" customWidth="1"/>
    <col min="7" max="7" width="35.28515625" customWidth="1"/>
    <col min="8" max="8" width="16.85546875" bestFit="1" customWidth="1"/>
    <col min="9" max="9" width="17.85546875" bestFit="1" customWidth="1"/>
    <col min="10" max="10" width="14.5703125" bestFit="1" customWidth="1"/>
    <col min="12" max="12" width="13.140625" bestFit="1" customWidth="1"/>
    <col min="13" max="13" width="9.140625" customWidth="1"/>
  </cols>
  <sheetData>
    <row r="1" spans="1:13" ht="15.75" thickBot="1">
      <c r="A1" s="146" t="s">
        <v>897</v>
      </c>
      <c r="B1" s="146" t="s">
        <v>1</v>
      </c>
      <c r="C1" s="146"/>
      <c r="D1" s="146" t="s">
        <v>760</v>
      </c>
      <c r="E1" s="146" t="s">
        <v>757</v>
      </c>
      <c r="F1" s="146" t="s">
        <v>900</v>
      </c>
      <c r="G1" s="148" t="s">
        <v>758</v>
      </c>
      <c r="H1" s="188"/>
      <c r="I1" t="s">
        <v>893</v>
      </c>
      <c r="J1" t="s">
        <v>894</v>
      </c>
      <c r="L1" t="s">
        <v>898</v>
      </c>
      <c r="M1" t="s">
        <v>899</v>
      </c>
    </row>
    <row r="2" spans="1:13" ht="30">
      <c r="A2" s="146"/>
      <c r="B2" s="146" t="s">
        <v>337</v>
      </c>
      <c r="C2" s="146" t="str">
        <f>INDEX('PID SUMM'!B:B,MATCH(B2,'PID SUMM'!A:A,0))</f>
        <v>Unencumbered Assets</v>
      </c>
      <c r="D2" s="147">
        <f>SUMIFS(FORMULAGE!$BD:$BD,FORMULAGE!$G:$G,B2,FORMULAGE!$E:$E,"&lt;&gt;1")</f>
        <v>2455.69</v>
      </c>
      <c r="E2" s="147">
        <f>SUMIFS(REPORT_FR2052a!$M:$M,REPORT_FR2052a!$AR:$AR,$B2,REPORT_FR2052a!$AQ:$AQ,1)</f>
        <v>2822.5899999999997</v>
      </c>
      <c r="F2" s="147">
        <f>SUMIFS(REPORT_FR2052a!$M:$M,REPORT_FR2052a!$AR:$AR,$B2)</f>
        <v>2822.5899999999997</v>
      </c>
      <c r="G2" s="148" t="s">
        <v>756</v>
      </c>
      <c r="H2" s="144"/>
      <c r="I2" s="182" t="str">
        <f>IFERROR(MATCH(1,REPORT_FR2052a!$AZ:$AZ,0),"")</f>
        <v/>
      </c>
      <c r="J2" s="183" t="str">
        <f>IFERROR(INDEX(REPORT_FR2052a!$AR:$AR,I2),"")</f>
        <v/>
      </c>
      <c r="L2" s="144">
        <f>IF(OR(ABS(D2-E2)&lt;100,M2=1),0,1)</f>
        <v>0</v>
      </c>
      <c r="M2">
        <v>1</v>
      </c>
    </row>
    <row r="3" spans="1:13">
      <c r="A3" s="146"/>
      <c r="B3" s="146" t="s">
        <v>361</v>
      </c>
      <c r="C3" s="146" t="str">
        <f>INDEX('PID SUMM'!B:B,MATCH(B3,'PID SUMM'!A:A,0))</f>
        <v>Unrestricted Reserve Balances</v>
      </c>
      <c r="D3" s="147">
        <f>SUMIFS(FORMULAGE!$BD:$BD,FORMULAGE!$G:$G,B3,FORMULAGE!$E:$E,"&lt;&gt;1")</f>
        <v>30602.91</v>
      </c>
      <c r="E3" s="147">
        <f>SUMIFS(REPORT_FR2052a!$M:$M,REPORT_FR2052a!$AR:$AR,$B3,REPORT_FR2052a!$AQ:$AQ,1)</f>
        <v>30602.91</v>
      </c>
      <c r="F3" s="147">
        <f>SUMIFS(REPORT_FR2052a!$M:$M,REPORT_FR2052a!$AR:$AR,$B3)</f>
        <v>30602.91</v>
      </c>
      <c r="G3" s="148"/>
      <c r="H3" s="144"/>
      <c r="I3" s="184" t="str">
        <f ca="1">IFERROR(MATCH(1,OFFSET(REPORT_FR2052a!$AZ$1,I2,0,100000,1),0)+I2,"")</f>
        <v/>
      </c>
      <c r="J3" s="185" t="str">
        <f ca="1">IFERROR(INDEX(REPORT_FR2052a!$AR:$AR,I3),"")</f>
        <v/>
      </c>
      <c r="L3" s="144">
        <f t="shared" ref="L3" si="0">IF(OR(ABS(D3-E3)&lt;100,M3=1),0,1)</f>
        <v>0</v>
      </c>
    </row>
    <row r="4" spans="1:13">
      <c r="A4" s="146"/>
      <c r="B4" s="146" t="s">
        <v>394</v>
      </c>
      <c r="C4" s="146" t="str">
        <f>INDEX('PID SUMM'!B:B,MATCH(B4,'PID SUMM'!A:A,0))</f>
        <v>Restricted Reserve Balances</v>
      </c>
      <c r="D4" s="147">
        <f>SUMIFS(FORMULAGE!$BD:$BD,FORMULAGE!$G:$G,B4,FORMULAGE!$E:$E,"&lt;&gt;1")</f>
        <v>0</v>
      </c>
      <c r="E4" s="147">
        <f>SUMIFS(REPORT_FR2052a!$M:$M,REPORT_FR2052a!$AR:$AR,$B4,REPORT_FR2052a!$AQ:$AQ,1)</f>
        <v>424.34</v>
      </c>
      <c r="F4" s="147">
        <f>SUMIFS(REPORT_FR2052a!$M:$M,REPORT_FR2052a!$AR:$AR,$B4)</f>
        <v>424.34</v>
      </c>
      <c r="G4" s="148" t="s">
        <v>755</v>
      </c>
      <c r="H4" s="144"/>
      <c r="I4" s="184" t="str">
        <f ca="1">IFERROR(MATCH(1,OFFSET(REPORT_FR2052a!$AZ$1,I3,0,100000,1),0)+I3,"")</f>
        <v/>
      </c>
      <c r="J4" s="185" t="str">
        <f ca="1">IFERROR(INDEX(REPORT_FR2052a!$AR:$AR,I4),"")</f>
        <v/>
      </c>
      <c r="L4" s="144">
        <f t="shared" ref="L4:L45" si="1">IF(OR(ABS(D4-E4)&lt;100,M4=1),0,1)</f>
        <v>0</v>
      </c>
      <c r="M4">
        <v>1</v>
      </c>
    </row>
    <row r="5" spans="1:13">
      <c r="A5" s="146"/>
      <c r="B5" s="146" t="s">
        <v>602</v>
      </c>
      <c r="C5" s="146" t="str">
        <f>INDEX('PID SUMM'!B:B,MATCH(B5,'PID SUMM'!A:A,0))</f>
        <v>Unsettled Asset Purchases</v>
      </c>
      <c r="D5" s="147">
        <f>SUMIFS(FORMULAGE!$BD:$BD,FORMULAGE!$G:$G,B5,FORMULAGE!$E:$E,"&lt;&gt;1")</f>
        <v>0</v>
      </c>
      <c r="E5" s="147">
        <f>SUMIFS(REPORT_FR2052a!$M:$M,REPORT_FR2052a!$AR:$AR,$B5,REPORT_FR2052a!$AQ:$AQ,1)</f>
        <v>0</v>
      </c>
      <c r="F5" s="147">
        <f>SUMIFS(REPORT_FR2052a!$M:$M,REPORT_FR2052a!$AR:$AR,$B5)</f>
        <v>0</v>
      </c>
      <c r="G5" s="148" t="s">
        <v>755</v>
      </c>
      <c r="H5" s="144"/>
      <c r="I5" s="184" t="str">
        <f ca="1">IFERROR(MATCH(1,OFFSET(REPORT_FR2052a!$AZ$1,I4,0,100000,1),0)+I4,"")</f>
        <v/>
      </c>
      <c r="J5" s="185" t="str">
        <f ca="1">IFERROR(INDEX(REPORT_FR2052a!$AR:$AR,I5),"")</f>
        <v/>
      </c>
      <c r="L5" s="144">
        <f t="shared" si="1"/>
        <v>0</v>
      </c>
    </row>
    <row r="6" spans="1:13">
      <c r="A6" s="146"/>
      <c r="B6" s="146" t="s">
        <v>604</v>
      </c>
      <c r="C6" s="146" t="str">
        <f>INDEX('PID SUMM'!B:B,MATCH(B6,'PID SUMM'!A:A,0))</f>
        <v>Forward Asset Purchases</v>
      </c>
      <c r="D6" s="147">
        <f>SUMIFS(FORMULAGE!$BD:$BD,FORMULAGE!$G:$G,B6,FORMULAGE!$E:$E,"&lt;&gt;1")</f>
        <v>0</v>
      </c>
      <c r="E6" s="147">
        <f>SUMIFS(REPORT_FR2052a!$M:$M,REPORT_FR2052a!$AR:$AR,$B6,REPORT_FR2052a!$AQ:$AQ,1)</f>
        <v>0</v>
      </c>
      <c r="F6" s="147">
        <f>SUMIFS(REPORT_FR2052a!$M:$M,REPORT_FR2052a!$AR:$AR,$B6)</f>
        <v>0</v>
      </c>
      <c r="G6" s="148" t="s">
        <v>755</v>
      </c>
      <c r="H6" s="144"/>
      <c r="I6" s="184" t="str">
        <f ca="1">IFERROR(MATCH(1,OFFSET(REPORT_FR2052a!$AZ$1,I5,0,100000,1),0)+I5,"")</f>
        <v/>
      </c>
      <c r="J6" s="185" t="str">
        <f ca="1">IFERROR(INDEX(REPORT_FR2052a!$AR:$AR,I6),"")</f>
        <v/>
      </c>
      <c r="L6" s="144">
        <f>IF(OR(ABS(D6-E6)&lt;100,M6=1),0,1)</f>
        <v>0</v>
      </c>
      <c r="M6">
        <v>1</v>
      </c>
    </row>
    <row r="7" spans="1:13">
      <c r="A7" s="146"/>
      <c r="B7" s="146" t="s">
        <v>397</v>
      </c>
      <c r="C7" s="146" t="str">
        <f>INDEX('PID SUMM'!B:B,MATCH(B7,'PID SUMM'!A:A,0))</f>
        <v>Derivative Receivables</v>
      </c>
      <c r="D7" s="147">
        <f>SUMIFS(FORMULAGE!$BD:$BD,FORMULAGE!$G:$G,B7,FORMULAGE!$E:$E,"&lt;&gt;1")</f>
        <v>0</v>
      </c>
      <c r="E7" s="147">
        <f>SUMIFS(REPORT_FR2052a!$N:$N,REPORT_FR2052a!$AR:$AR,$B7,REPORT_FR2052a!$AQ:$AQ,1)</f>
        <v>0.31</v>
      </c>
      <c r="F7" s="147">
        <f>SUMIFS(REPORT_FR2052a!$N:$N,REPORT_FR2052a!$AR:$AR,$B7)</f>
        <v>24.53</v>
      </c>
      <c r="G7" s="148" t="s">
        <v>755</v>
      </c>
      <c r="H7" s="144"/>
      <c r="I7" s="184" t="str">
        <f ca="1">IFERROR(MATCH(1,OFFSET(REPORT_FR2052a!$AZ$1,I6,0,100000,1),0)+I6,"")</f>
        <v/>
      </c>
      <c r="J7" s="185" t="str">
        <f ca="1">IFERROR(INDEX(REPORT_FR2052a!$AR:$AR,I7),"")</f>
        <v/>
      </c>
      <c r="L7" s="144">
        <f t="shared" si="1"/>
        <v>0</v>
      </c>
      <c r="M7">
        <v>1</v>
      </c>
    </row>
    <row r="8" spans="1:13">
      <c r="A8" s="146">
        <v>1</v>
      </c>
      <c r="B8" s="146" t="s">
        <v>380</v>
      </c>
      <c r="C8" s="146" t="str">
        <f>INDEX('PID SUMM'!B:B,MATCH(B8,'PID SUMM'!A:A,0))</f>
        <v>Interest and Dividends Receivable</v>
      </c>
      <c r="D8" s="147">
        <f>SUMIFS(FORMULAGE!$BD:$BD,FORMULAGE!$G:$G,B8,FORMULAGE!$E:$E,"&lt;&gt;1")</f>
        <v>0</v>
      </c>
      <c r="E8" s="147">
        <f>SUMIFS(REPORT_FR2052a!$N:$N,REPORT_FR2052a!$AR:$AR,$B8,REPORT_FR2052a!$AQ:$AQ,1)</f>
        <v>9.36</v>
      </c>
      <c r="F8" s="147">
        <f>SUMIFS(REPORT_FR2052a!$N:$N,REPORT_FR2052a!$AR:$AR,$B8)</f>
        <v>9.36</v>
      </c>
      <c r="G8" s="148" t="s">
        <v>764</v>
      </c>
      <c r="H8" s="144"/>
      <c r="I8" s="184" t="str">
        <f ca="1">IFERROR(MATCH(1,OFFSET(REPORT_FR2052a!$AZ$1,I7,0,100000,1),0)+I7,"")</f>
        <v/>
      </c>
      <c r="J8" s="185" t="str">
        <f ca="1">IFERROR(INDEX(REPORT_FR2052a!$AR:$AR,I8),"")</f>
        <v/>
      </c>
      <c r="L8" s="144">
        <f t="shared" si="1"/>
        <v>0</v>
      </c>
      <c r="M8">
        <v>1</v>
      </c>
    </row>
    <row r="9" spans="1:13">
      <c r="A9" s="146"/>
      <c r="B9" s="146" t="s">
        <v>379</v>
      </c>
      <c r="C9" s="146" t="str">
        <f>INDEX('PID SUMM'!B:B,MATCH(B9,'PID SUMM'!A:A,0))</f>
        <v>Net 30-Day Derivative Receivables</v>
      </c>
      <c r="D9" s="147">
        <f>SUMIFS(FORMULAGE!$BD:$BD,FORMULAGE!$G:$G,B9,FORMULAGE!$E:$E,"&lt;&gt;1")</f>
        <v>108.99000000000001</v>
      </c>
      <c r="E9" s="147">
        <f>SUMIFS(REPORT_FR2052a!$N:$N,REPORT_FR2052a!$AR:$AR,$B9,REPORT_FR2052a!$AQ:$AQ,1)</f>
        <v>108.99000000000001</v>
      </c>
      <c r="F9" s="147">
        <f>SUMIFS(REPORT_FR2052a!$N:$N,REPORT_FR2052a!$AR:$AR,$B9)</f>
        <v>108.99000000000001</v>
      </c>
      <c r="G9" s="148"/>
      <c r="H9" s="144"/>
      <c r="I9" s="184" t="str">
        <f ca="1">IFERROR(MATCH(1,OFFSET(REPORT_FR2052a!$AZ$1,I8,0,100000,1),0)+I8,"")</f>
        <v/>
      </c>
      <c r="J9" s="185" t="str">
        <f ca="1">IFERROR(INDEX(REPORT_FR2052a!$AR:$AR,I9),"")</f>
        <v/>
      </c>
      <c r="L9" s="144">
        <f t="shared" si="1"/>
        <v>0</v>
      </c>
    </row>
    <row r="10" spans="1:13">
      <c r="A10" s="146">
        <v>1</v>
      </c>
      <c r="B10" s="146" t="s">
        <v>381</v>
      </c>
      <c r="C10" s="146" t="str">
        <f>INDEX('PID SUMM'!B:B,MATCH(B10,'PID SUMM'!A:A,0))</f>
        <v>Principal Payments Receivable on Unencumbered Investment Securities</v>
      </c>
      <c r="D10" s="147">
        <f>SUMIFS(FORMULAGE!$BD:$BD,FORMULAGE!$G:$G,B10,FORMULAGE!$E:$E,"&lt;&gt;1")</f>
        <v>0</v>
      </c>
      <c r="E10" s="147">
        <f>SUMIFS(REPORT_FR2052a!$N:$N,REPORT_FR2052a!$AR:$AR,$B10,REPORT_FR2052a!$AQ:$AQ,1)</f>
        <v>0</v>
      </c>
      <c r="F10" s="200">
        <f>SUMIFS(REPORT_FR2052a!$N:$N,REPORT_FR2052a!$AR:$AR,$B10)</f>
        <v>2850.9300000000003</v>
      </c>
      <c r="G10" s="148" t="s">
        <v>896</v>
      </c>
      <c r="H10" s="144"/>
      <c r="I10" s="184" t="str">
        <f ca="1">IFERROR(MATCH(1,OFFSET(REPORT_FR2052a!$AZ$1,I9,0,100000,1),0)+I9,"")</f>
        <v/>
      </c>
      <c r="J10" s="185" t="str">
        <f ca="1">IFERROR(INDEX(REPORT_FR2052a!$AR:$AR,I10),"")</f>
        <v/>
      </c>
      <c r="L10" s="144">
        <f t="shared" si="1"/>
        <v>0</v>
      </c>
      <c r="M10">
        <v>1</v>
      </c>
    </row>
    <row r="11" spans="1:13">
      <c r="A11" s="146"/>
      <c r="B11" s="146" t="s">
        <v>382</v>
      </c>
      <c r="C11" s="146" t="str">
        <f>INDEX('PID SUMM'!B:B,MATCH(B11,'PID SUMM'!A:A,0))</f>
        <v>Other Cash Inflows</v>
      </c>
      <c r="D11" s="147">
        <f>SUMIFS(FORMULAGE!$BD:$BD,FORMULAGE!$G:$G,B11,FORMULAGE!$E:$E,"&lt;&gt;1")</f>
        <v>0.27</v>
      </c>
      <c r="E11" s="147">
        <f>SUMIFS(REPORT_FR2052a!$N:$N,REPORT_FR2052a!$AR:$AR,$B11,REPORT_FR2052a!$AQ:$AQ,1)</f>
        <v>0.27</v>
      </c>
      <c r="F11" s="147">
        <f>SUMIFS(REPORT_FR2052a!$N:$N,REPORT_FR2052a!$AR:$AR,$B11)</f>
        <v>77.610000000000014</v>
      </c>
      <c r="G11" s="148"/>
      <c r="H11" s="144"/>
      <c r="I11" s="184" t="str">
        <f ca="1">IFERROR(MATCH(1,OFFSET(REPORT_FR2052a!$AZ$1,I10,0,100000,1),0)+I10,"")</f>
        <v/>
      </c>
      <c r="J11" s="185" t="str">
        <f ca="1">IFERROR(INDEX(REPORT_FR2052a!$AR:$AR,I11),"")</f>
        <v/>
      </c>
      <c r="L11" s="144">
        <f>IF(OR(ABS(D11-E11)&lt;100,M11=1),0,1)</f>
        <v>0</v>
      </c>
    </row>
    <row r="12" spans="1:13">
      <c r="A12" s="146"/>
      <c r="B12" s="146" t="s">
        <v>372</v>
      </c>
      <c r="C12" s="146" t="str">
        <f>INDEX('PID SUMM'!B:B,MATCH(B12,'PID SUMM'!A:A,0))</f>
        <v>Other Secured Loans - Non-Rehypothecatable</v>
      </c>
      <c r="D12" s="147">
        <f>SUMIFS(FORMULAGE!$BD:$BD,FORMULAGE!$G:$G,B12,FORMULAGE!$E:$E,"&lt;&gt;1")</f>
        <v>559.98</v>
      </c>
      <c r="E12" s="147">
        <f>SUMIFS(REPORT_FR2052a!$N:$N,REPORT_FR2052a!$AR:$AR,$B12,REPORT_FR2052a!$AQ:$AQ,1)</f>
        <v>559.98</v>
      </c>
      <c r="F12" s="147">
        <f>SUMIFS(REPORT_FR2052a!$N:$N,REPORT_FR2052a!$AR:$AR,$B12)</f>
        <v>12987.460000000001</v>
      </c>
      <c r="G12" s="148"/>
      <c r="H12" s="144"/>
      <c r="I12" s="184" t="str">
        <f ca="1">IFERROR(MATCH(1,OFFSET(REPORT_FR2052a!$AZ$1,I11,0,100000,1),0)+I11,"")</f>
        <v/>
      </c>
      <c r="J12" s="185" t="str">
        <f ca="1">IFERROR(INDEX(REPORT_FR2052a!$AR:$AR,I12),"")</f>
        <v/>
      </c>
      <c r="L12" s="144">
        <f t="shared" si="1"/>
        <v>0</v>
      </c>
    </row>
    <row r="13" spans="1:13">
      <c r="A13" s="146"/>
      <c r="B13" s="146" t="s">
        <v>377</v>
      </c>
      <c r="C13" s="146" t="str">
        <f>INDEX('PID SUMM'!B:B,MATCH(B13,'PID SUMM'!A:A,0))</f>
        <v>Onshore Placements</v>
      </c>
      <c r="D13" s="147">
        <f>SUMIFS(FORMULAGE!$BD:$BD,FORMULAGE!$G:$G,B13,FORMULAGE!$E:$E,"&lt;&gt;1")</f>
        <v>0</v>
      </c>
      <c r="E13" s="147">
        <f>SUMIFS(REPORT_FR2052a!$N:$N,REPORT_FR2052a!$AR:$AR,$B13,REPORT_FR2052a!$AQ:$AQ,1)</f>
        <v>0</v>
      </c>
      <c r="F13" s="147">
        <f>SUMIFS(REPORT_FR2052a!$N:$N,REPORT_FR2052a!$AR:$AR,$B13)</f>
        <v>0</v>
      </c>
      <c r="G13" s="148"/>
      <c r="H13" s="144"/>
      <c r="I13" s="184" t="str">
        <f ca="1">IFERROR(MATCH(1,OFFSET(REPORT_FR2052a!$AZ$1,I12,0,100000,1),0)+I12,"")</f>
        <v/>
      </c>
      <c r="J13" s="185" t="str">
        <f ca="1">IFERROR(INDEX(REPORT_FR2052a!$AR:$AR,I13),"")</f>
        <v/>
      </c>
      <c r="L13" s="144">
        <f t="shared" si="1"/>
        <v>0</v>
      </c>
    </row>
    <row r="14" spans="1:13">
      <c r="A14" s="146"/>
      <c r="B14" s="146" t="s">
        <v>376</v>
      </c>
      <c r="C14" s="146" t="str">
        <f>INDEX('PID SUMM'!B:B,MATCH(B14,'PID SUMM'!A:A,0))</f>
        <v>Offshore Placements</v>
      </c>
      <c r="D14" s="147">
        <f>SUMIFS(FORMULAGE!$BD:$BD,FORMULAGE!$G:$G,B14,FORMULAGE!$E:$E,"&lt;&gt;1")</f>
        <v>326.38</v>
      </c>
      <c r="E14" s="147">
        <f>SUMIFS(REPORT_FR2052a!$N:$N,REPORT_FR2052a!$AR:$AR,$B14,REPORT_FR2052a!$AQ:$AQ,1)</f>
        <v>326.38</v>
      </c>
      <c r="F14" s="147">
        <f>SUMIFS(REPORT_FR2052a!$N:$N,REPORT_FR2052a!$AR:$AR,$B14)</f>
        <v>1423.38</v>
      </c>
      <c r="G14" s="148"/>
      <c r="H14" s="144"/>
      <c r="I14" s="184" t="str">
        <f ca="1">IFERROR(MATCH(1,OFFSET(REPORT_FR2052a!$AZ$1,I13,0,100000,1),0)+I13,"")</f>
        <v/>
      </c>
      <c r="J14" s="185" t="str">
        <f ca="1">IFERROR(INDEX(REPORT_FR2052a!$AR:$AR,I14),"")</f>
        <v/>
      </c>
      <c r="L14" s="144">
        <f t="shared" si="1"/>
        <v>0</v>
      </c>
    </row>
    <row r="15" spans="1:13">
      <c r="A15" s="146"/>
      <c r="B15" s="146" t="s">
        <v>396</v>
      </c>
      <c r="C15" s="146" t="str">
        <f>INDEX('PID SUMM'!B:B,MATCH(B15,'PID SUMM'!A:A,0))</f>
        <v>Required Nostro Accounts</v>
      </c>
      <c r="D15" s="147">
        <f>SUMIFS(FORMULAGE!$BD:$BD,FORMULAGE!$G:$G,B15,FORMULAGE!$E:$E,"&lt;&gt;1")</f>
        <v>0</v>
      </c>
      <c r="E15" s="147">
        <f>SUMIFS(REPORT_FR2052a!$N:$N,REPORT_FR2052a!$AR:$AR,$B15,REPORT_FR2052a!$AQ:$AQ,1)</f>
        <v>20.860000000000003</v>
      </c>
      <c r="F15" s="147">
        <f>SUMIFS(REPORT_FR2052a!$N:$N,REPORT_FR2052a!$AR:$AR,$B15)</f>
        <v>20.860000000000003</v>
      </c>
      <c r="G15" s="148" t="s">
        <v>755</v>
      </c>
      <c r="H15" s="144"/>
      <c r="I15" s="184" t="str">
        <f ca="1">IFERROR(MATCH(1,OFFSET(REPORT_FR2052a!$AZ$1,I14,0,100000,1),0)+I14,"")</f>
        <v/>
      </c>
      <c r="J15" s="185" t="str">
        <f ca="1">IFERROR(INDEX(REPORT_FR2052a!$AR:$AR,I15),"")</f>
        <v/>
      </c>
      <c r="L15" s="144">
        <f t="shared" si="1"/>
        <v>0</v>
      </c>
      <c r="M15">
        <v>1</v>
      </c>
    </row>
    <row r="16" spans="1:13">
      <c r="A16" s="146"/>
      <c r="B16" s="146" t="s">
        <v>378</v>
      </c>
      <c r="C16" s="146" t="str">
        <f>INDEX('PID SUMM'!B:B,MATCH(B16,'PID SUMM'!A:A,0))</f>
        <v>Excess Nostro Accounts</v>
      </c>
      <c r="D16" s="147">
        <f>SUMIFS(FORMULAGE!$BD:$BD,FORMULAGE!$G:$G,B16,FORMULAGE!$E:$E,"&lt;&gt;1")</f>
        <v>55.67</v>
      </c>
      <c r="E16" s="147">
        <f>SUMIFS(REPORT_FR2052a!$N:$N,REPORT_FR2052a!$AR:$AR,$B16,REPORT_FR2052a!$AQ:$AQ,1)</f>
        <v>55.67</v>
      </c>
      <c r="F16" s="147">
        <f>SUMIFS(REPORT_FR2052a!$N:$N,REPORT_FR2052a!$AR:$AR,$B16)</f>
        <v>55.67</v>
      </c>
      <c r="G16" s="148"/>
      <c r="H16" s="144"/>
      <c r="I16" s="184" t="str">
        <f ca="1">IFERROR(MATCH(1,OFFSET(REPORT_FR2052a!$AZ$1,I15,0,100000,1),0)+I15,"")</f>
        <v/>
      </c>
      <c r="J16" s="185" t="str">
        <f ca="1">IFERROR(INDEX(REPORT_FR2052a!$AR:$AR,I16),"")</f>
        <v/>
      </c>
      <c r="L16" s="144">
        <f t="shared" si="1"/>
        <v>0</v>
      </c>
    </row>
    <row r="17" spans="1:13">
      <c r="A17" s="146"/>
      <c r="B17" s="146" t="s">
        <v>395</v>
      </c>
      <c r="C17" s="146" t="str">
        <f>INDEX('PID SUMM'!B:B,MATCH(B17,'PID SUMM'!A:A,0))</f>
        <v>Outstanding Draws on Revolving Credit Facilities</v>
      </c>
      <c r="D17" s="147">
        <f>SUMIFS(FORMULAGE!$BD:$BD,FORMULAGE!$G:$G,B17,FORMULAGE!$E:$E,"&lt;&gt;1")</f>
        <v>0</v>
      </c>
      <c r="E17" s="147">
        <f>SUMIFS(REPORT_FR2052a!$N:$N,REPORT_FR2052a!$AR:$AR,$B17,REPORT_FR2052a!$AQ:$AQ,1)</f>
        <v>957.76999999999987</v>
      </c>
      <c r="F17" s="147">
        <f>SUMIFS(REPORT_FR2052a!$N:$N,REPORT_FR2052a!$AR:$AR,$B17)</f>
        <v>6408.9200000000028</v>
      </c>
      <c r="G17" s="148" t="s">
        <v>755</v>
      </c>
      <c r="H17" s="144"/>
      <c r="I17" s="184" t="str">
        <f ca="1">IFERROR(MATCH(1,OFFSET(REPORT_FR2052a!$AZ$1,I16,0,100000,1),0)+I16,"")</f>
        <v/>
      </c>
      <c r="J17" s="185" t="str">
        <f ca="1">IFERROR(INDEX(REPORT_FR2052a!$AR:$AR,I17),"")</f>
        <v/>
      </c>
      <c r="L17" s="144">
        <f t="shared" si="1"/>
        <v>0</v>
      </c>
      <c r="M17">
        <v>1</v>
      </c>
    </row>
    <row r="18" spans="1:13">
      <c r="A18" s="146"/>
      <c r="B18" s="146" t="s">
        <v>375</v>
      </c>
      <c r="C18" s="146" t="str">
        <f>INDEX('PID SUMM'!B:B,MATCH(B18,'PID SUMM'!A:A,0))</f>
        <v>Other Loans</v>
      </c>
      <c r="D18" s="147">
        <f>SUMIFS(FORMULAGE!$BD:$BD,FORMULAGE!$G:$G,B18,FORMULAGE!$E:$E,"&lt;&gt;1")</f>
        <v>94.279999999999987</v>
      </c>
      <c r="E18" s="147">
        <f>SUMIFS(REPORT_FR2052a!$N:$N,REPORT_FR2052a!$AR:$AR,$B18,REPORT_FR2052a!$AQ:$AQ,1)</f>
        <v>94.279999999999987</v>
      </c>
      <c r="F18" s="147">
        <f>SUMIFS(REPORT_FR2052a!$N:$N,REPORT_FR2052a!$AR:$AR,$B18)</f>
        <v>5759.07</v>
      </c>
      <c r="G18" s="148"/>
      <c r="H18" s="144"/>
      <c r="I18" s="184" t="str">
        <f ca="1">IFERROR(MATCH(1,OFFSET(REPORT_FR2052a!$AZ$1,I17,0,100000,1),0)+I17,"")</f>
        <v/>
      </c>
      <c r="J18" s="185" t="str">
        <f ca="1">IFERROR(INDEX(REPORT_FR2052a!$AR:$AR,I18),"")</f>
        <v/>
      </c>
      <c r="L18" s="144">
        <f t="shared" si="1"/>
        <v>0</v>
      </c>
    </row>
    <row r="19" spans="1:13">
      <c r="A19" s="146"/>
      <c r="B19" s="146" t="s">
        <v>384</v>
      </c>
      <c r="C19" s="146" t="str">
        <f>INDEX('PID SUMM'!B:B,MATCH(B19,'PID SUMM'!A:A,0))</f>
        <v>Transactional Accounts</v>
      </c>
      <c r="D19" s="147">
        <f>SUMIFS(FORMULAGE!$BD:$BD,FORMULAGE!$G:$G,B19,FORMULAGE!$E:$E,"&lt;&gt;1")</f>
        <v>69.67</v>
      </c>
      <c r="E19" s="147">
        <f>SUMIFS(REPORT_FR2052a!$N:$N,REPORT_FR2052a!$AR:$AR,$B19,REPORT_FR2052a!$AQ:$AQ,1)</f>
        <v>69.67</v>
      </c>
      <c r="F19" s="147">
        <f>SUMIFS(REPORT_FR2052a!$N:$N,REPORT_FR2052a!$AR:$AR,$B19)</f>
        <v>69.67</v>
      </c>
      <c r="G19" s="148"/>
      <c r="H19" s="144"/>
      <c r="I19" s="184" t="str">
        <f ca="1">IFERROR(MATCH(1,OFFSET(REPORT_FR2052a!$AZ$1,I18,0,100000,1),0)+I18,"")</f>
        <v/>
      </c>
      <c r="J19" s="185" t="str">
        <f ca="1">IFERROR(INDEX(REPORT_FR2052a!$AR:$AR,I19),"")</f>
        <v/>
      </c>
      <c r="L19" s="144">
        <f t="shared" si="1"/>
        <v>0</v>
      </c>
    </row>
    <row r="20" spans="1:13" ht="15.75" thickBot="1">
      <c r="A20" s="146"/>
      <c r="B20" s="146" t="s">
        <v>405</v>
      </c>
      <c r="C20" s="146" t="str">
        <f>INDEX('PID SUMM'!B:B,MATCH(B20,'PID SUMM'!A:A,0))</f>
        <v>Other Product Sweep Accounts</v>
      </c>
      <c r="D20" s="147">
        <f>SUMIFS(FORMULAGE!$BD:$BD,FORMULAGE!$G:$G,B20,FORMULAGE!$E:$E,"&lt;&gt;1")</f>
        <v>0</v>
      </c>
      <c r="E20" s="147">
        <f>SUMIFS(REPORT_FR2052a!$N:$N,REPORT_FR2052a!$AR:$AR,$B20,REPORT_FR2052a!$AQ:$AQ,1)</f>
        <v>18130.140000000003</v>
      </c>
      <c r="F20" s="147">
        <f>SUMIFS(REPORT_FR2052a!$N:$N,REPORT_FR2052a!$AR:$AR,$B20)</f>
        <v>18130.140000000003</v>
      </c>
      <c r="G20" s="148" t="s">
        <v>755</v>
      </c>
      <c r="H20" s="144"/>
      <c r="I20" s="186" t="str">
        <f ca="1">IFERROR(MATCH(1,OFFSET(REPORT_FR2052a!$AZ$1,I19,0,100000,1),0)+I19,"")</f>
        <v/>
      </c>
      <c r="J20" s="187" t="str">
        <f ca="1">IFERROR(INDEX(REPORT_FR2052a!$AR:$AR,I20),"")</f>
        <v/>
      </c>
      <c r="L20" s="144">
        <f t="shared" si="1"/>
        <v>0</v>
      </c>
      <c r="M20">
        <v>1</v>
      </c>
    </row>
    <row r="21" spans="1:13">
      <c r="A21" s="146"/>
      <c r="B21" s="146" t="s">
        <v>407</v>
      </c>
      <c r="C21" s="146" t="str">
        <f>INDEX('PID SUMM'!B:B,MATCH(B21,'PID SUMM'!A:A,0))</f>
        <v>Reciprocal Accounts</v>
      </c>
      <c r="D21" s="147">
        <f>SUMIFS(FORMULAGE!$BD:$BD,FORMULAGE!$G:$G,B21,FORMULAGE!$E:$E,"&lt;&gt;1")</f>
        <v>12.18</v>
      </c>
      <c r="E21" s="147">
        <f>SUMIFS(REPORT_FR2052a!$N:$N,REPORT_FR2052a!$AR:$AR,$B21,REPORT_FR2052a!$AQ:$AQ,1)</f>
        <v>12.18</v>
      </c>
      <c r="F21" s="147">
        <f>SUMIFS(REPORT_FR2052a!$N:$N,REPORT_FR2052a!$AR:$AR,$B21)</f>
        <v>260.29000000000002</v>
      </c>
      <c r="G21" s="148"/>
      <c r="H21" s="144"/>
      <c r="J21" s="181"/>
      <c r="L21" s="144">
        <f t="shared" si="1"/>
        <v>0</v>
      </c>
    </row>
    <row r="22" spans="1:13">
      <c r="A22" s="146"/>
      <c r="B22" s="146" t="s">
        <v>385</v>
      </c>
      <c r="C22" s="146" t="str">
        <f>INDEX('PID SUMM'!B:B,MATCH(B22,'PID SUMM'!A:A,0))</f>
        <v>Non-Transactional Relationship Accounts</v>
      </c>
      <c r="D22" s="147">
        <f>SUMIFS(FORMULAGE!$BD:$BD,FORMULAGE!$G:$G,B22,FORMULAGE!$E:$E,"&lt;&gt;1")</f>
        <v>180.58999999999997</v>
      </c>
      <c r="E22" s="147">
        <f>SUMIFS(REPORT_FR2052a!$N:$N,REPORT_FR2052a!$AR:$AR,$B22)</f>
        <v>180.59000000000012</v>
      </c>
      <c r="F22" s="147">
        <f>SUMIFS(REPORT_FR2052a!$N:$N,REPORT_FR2052a!$AR:$AR,$B22)</f>
        <v>180.59000000000012</v>
      </c>
      <c r="G22" s="148" t="s">
        <v>748</v>
      </c>
      <c r="H22" s="144"/>
      <c r="J22" s="181"/>
      <c r="L22" s="144">
        <f t="shared" si="1"/>
        <v>0</v>
      </c>
    </row>
    <row r="23" spans="1:13">
      <c r="A23" s="146"/>
      <c r="B23" s="146" t="s">
        <v>386</v>
      </c>
      <c r="C23" s="146" t="str">
        <f>INDEX('PID SUMM'!B:B,MATCH(B23,'PID SUMM'!A:A,0))</f>
        <v>Non-Transactional Non-Relationship Accounts</v>
      </c>
      <c r="D23" s="147">
        <f>SUMIFS(FORMULAGE!$BD:$BD,FORMULAGE!$G:$G,B23,FORMULAGE!$E:$E,"&lt;&gt;1")</f>
        <v>44.469999999999992</v>
      </c>
      <c r="E23" s="147">
        <f>SUMIFS(REPORT_FR2052a!$N:$N,REPORT_FR2052a!$AR:$AR,$B23)</f>
        <v>44.469999999999992</v>
      </c>
      <c r="F23" s="147">
        <f>SUMIFS(REPORT_FR2052a!$N:$N,REPORT_FR2052a!$AR:$AR,$B23)</f>
        <v>44.469999999999992</v>
      </c>
      <c r="G23" s="148" t="s">
        <v>748</v>
      </c>
      <c r="H23" s="144"/>
      <c r="J23" s="181"/>
      <c r="L23" s="144">
        <f t="shared" si="1"/>
        <v>0</v>
      </c>
    </row>
    <row r="24" spans="1:13">
      <c r="A24" s="146"/>
      <c r="B24" s="146" t="s">
        <v>393</v>
      </c>
      <c r="C24" s="146" t="str">
        <f>INDEX('PID SUMM'!B:B,MATCH(B24,'PID SUMM'!A:A,0))</f>
        <v>Operational Accounts</v>
      </c>
      <c r="D24" s="147">
        <f>SUMIFS(FORMULAGE!$BD:$BD,FORMULAGE!$G:$G,B24,FORMULAGE!$E:$E,"&lt;&gt;1")</f>
        <v>21506.15</v>
      </c>
      <c r="E24" s="147">
        <f>SUMIFS(REPORT_FR2052a!$N:$N,REPORT_FR2052a!$AR:$AR,$B24,REPORT_FR2052a!$AQ:$AQ,1)</f>
        <v>21506.149999999998</v>
      </c>
      <c r="F24" s="147">
        <f>SUMIFS(REPORT_FR2052a!$N:$N,REPORT_FR2052a!$AR:$AR,$B24)</f>
        <v>21506.149999999998</v>
      </c>
      <c r="G24" s="148"/>
      <c r="H24" s="144"/>
      <c r="J24" s="181"/>
      <c r="L24" s="144">
        <f t="shared" si="1"/>
        <v>0</v>
      </c>
    </row>
    <row r="25" spans="1:13">
      <c r="A25" s="146"/>
      <c r="B25" s="146" t="s">
        <v>329</v>
      </c>
      <c r="C25" s="146" t="str">
        <f>INDEX('PID SUMM'!B:B,MATCH(B25,'PID SUMM'!A:A,0))</f>
        <v>Non-Operational Accounts</v>
      </c>
      <c r="D25" s="147">
        <f>SUMIFS(FORMULAGE!$BD:$BD,FORMULAGE!$G:$G,B25,FORMULAGE!$E:$E,"&lt;&gt;1")</f>
        <v>3070.25</v>
      </c>
      <c r="E25" s="147">
        <f>SUMIFS(REPORT_FR2052a!$N:$N,REPORT_FR2052a!$AR:$AR,$B25,REPORT_FR2052a!$AQ:$AQ,1)</f>
        <v>3070.2499999999995</v>
      </c>
      <c r="F25" s="147">
        <f>SUMIFS(REPORT_FR2052a!$N:$N,REPORT_FR2052a!$AR:$AR,$B25)</f>
        <v>4407.62</v>
      </c>
      <c r="G25" s="148"/>
      <c r="H25" s="144"/>
      <c r="J25" s="181"/>
      <c r="L25" s="144">
        <f t="shared" si="1"/>
        <v>0</v>
      </c>
    </row>
    <row r="26" spans="1:13">
      <c r="A26" s="146"/>
      <c r="B26" s="146" t="s">
        <v>333</v>
      </c>
      <c r="C26" s="146" t="str">
        <f>INDEX('PID SUMM'!B:B,MATCH(B26,'PID SUMM'!A:A,0))</f>
        <v>Mortgage Escrow Accounts</v>
      </c>
      <c r="D26" s="147">
        <f>SUMIFS(FORMULAGE!$BD:$BD,FORMULAGE!$G:$G,B26,FORMULAGE!$E:$E,"&lt;&gt;1")</f>
        <v>147.19999999999999</v>
      </c>
      <c r="E26" s="147">
        <f>SUMIFS(REPORT_FR2052a!$N:$N,REPORT_FR2052a!$AR:$AR,$B26,REPORT_FR2052a!$AQ:$AQ,1)</f>
        <v>147.19999999999999</v>
      </c>
      <c r="F26" s="147">
        <f>SUMIFS(REPORT_FR2052a!$N:$N,REPORT_FR2052a!$AR:$AR,$B26)</f>
        <v>147.19999999999999</v>
      </c>
      <c r="G26" s="148"/>
      <c r="H26" s="144"/>
      <c r="J26" s="181"/>
      <c r="L26" s="144">
        <f t="shared" si="1"/>
        <v>0</v>
      </c>
    </row>
    <row r="27" spans="1:13">
      <c r="A27" s="146"/>
      <c r="B27" s="146" t="s">
        <v>334</v>
      </c>
      <c r="C27" s="146" t="str">
        <f>INDEX('PID SUMM'!B:B,MATCH(B27,'PID SUMM'!A:A,0))</f>
        <v>Non-Reciprocal Brokered Accounts</v>
      </c>
      <c r="D27" s="147">
        <f>SUMIFS(FORMULAGE!$BD:$BD,FORMULAGE!$G:$G,B27,FORMULAGE!$E:$E,"&lt;&gt;1")</f>
        <v>2493.7799999999997</v>
      </c>
      <c r="E27" s="147">
        <f>SUMIFS(REPORT_FR2052a!$N:$N,REPORT_FR2052a!$AR:$AR,$B27,REPORT_FR2052a!$AQ:$AQ,1)</f>
        <v>2493.7800000000002</v>
      </c>
      <c r="F27" s="147">
        <f>SUMIFS(REPORT_FR2052a!$N:$N,REPORT_FR2052a!$AR:$AR,$B27)</f>
        <v>9675.5699999999979</v>
      </c>
      <c r="G27" s="148"/>
      <c r="H27" s="144"/>
      <c r="J27" s="181"/>
      <c r="L27" s="144">
        <f t="shared" si="1"/>
        <v>0</v>
      </c>
    </row>
    <row r="28" spans="1:13">
      <c r="A28" s="146"/>
      <c r="B28" s="146" t="s">
        <v>406</v>
      </c>
      <c r="C28" s="146" t="str">
        <f>INDEX('PID SUMM'!B:B,MATCH(B28,'PID SUMM'!A:A,0))</f>
        <v>Non-Affiliated Sweep Accounts</v>
      </c>
      <c r="D28" s="147">
        <f>SUMIFS(FORMULAGE!$BD:$BD,FORMULAGE!$G:$G,B28,FORMULAGE!$E:$E,"&lt;&gt;1")</f>
        <v>4063.67</v>
      </c>
      <c r="E28" s="147">
        <f>SUMIFS(REPORT_FR2052a!$N:$N,REPORT_FR2052a!$AR:$AR,$B28,REPORT_FR2052a!$AQ:$AQ,1)</f>
        <v>4063.67</v>
      </c>
      <c r="F28" s="147">
        <f>SUMIFS(REPORT_FR2052a!$N:$N,REPORT_FR2052a!$AR:$AR,$B28)</f>
        <v>4063.67</v>
      </c>
      <c r="G28" s="148"/>
      <c r="H28" s="144"/>
      <c r="J28" s="181"/>
      <c r="L28" s="144">
        <f t="shared" si="1"/>
        <v>0</v>
      </c>
    </row>
    <row r="29" spans="1:13">
      <c r="A29" s="146"/>
      <c r="B29" s="146" t="s">
        <v>404</v>
      </c>
      <c r="C29" s="146" t="str">
        <f>INDEX('PID SUMM'!B:B,MATCH(B29,'PID SUMM'!A:A,0))</f>
        <v>Derivative Payables</v>
      </c>
      <c r="D29" s="147">
        <f>SUMIFS(FORMULAGE!$BD:$BD,FORMULAGE!$G:$G,B29,FORMULAGE!$E:$E,"&lt;&gt;1")</f>
        <v>0</v>
      </c>
      <c r="E29" s="147">
        <f>SUMIFS(REPORT_FR2052a!$N:$N,REPORT_FR2052a!$AR:$AR,$B29,REPORT_FR2052a!$AQ:$AQ,1)</f>
        <v>0.27999999999999997</v>
      </c>
      <c r="F29" s="147">
        <f>SUMIFS(REPORT_FR2052a!$N:$N,REPORT_FR2052a!$AR:$AR,$B29)</f>
        <v>21.97</v>
      </c>
      <c r="G29" s="148" t="s">
        <v>755</v>
      </c>
      <c r="H29" s="144"/>
      <c r="J29" s="181"/>
      <c r="L29" s="144">
        <f t="shared" si="1"/>
        <v>0</v>
      </c>
      <c r="M29">
        <v>1</v>
      </c>
    </row>
    <row r="30" spans="1:13">
      <c r="A30" s="146"/>
      <c r="B30" s="146" t="s">
        <v>402</v>
      </c>
      <c r="C30" s="146" t="str">
        <f>INDEX('PID SUMM'!B:B,MATCH(B30,'PID SUMM'!A:A,0))</f>
        <v>Interest and Dividends Payable</v>
      </c>
      <c r="D30" s="147">
        <f>SUMIFS(FORMULAGE!$BD:$BD,FORMULAGE!$G:$G,B30,FORMULAGE!$E:$E,"&lt;&gt;1")</f>
        <v>42.16</v>
      </c>
      <c r="E30" s="147">
        <f>SUMIFS(REPORT_FR2052a!$N:$N,REPORT_FR2052a!$AR:$AR,$B30,REPORT_FR2052a!$AQ:$AQ,1)</f>
        <v>42.16</v>
      </c>
      <c r="F30" s="147">
        <f>SUMIFS(REPORT_FR2052a!$N:$N,REPORT_FR2052a!$AR:$AR,$B30)</f>
        <v>42.16</v>
      </c>
      <c r="G30" s="148"/>
      <c r="H30" s="144"/>
      <c r="J30" s="181"/>
      <c r="L30" s="144">
        <f t="shared" si="1"/>
        <v>0</v>
      </c>
    </row>
    <row r="31" spans="1:13">
      <c r="A31" s="146"/>
      <c r="B31" s="146" t="s">
        <v>387</v>
      </c>
      <c r="C31" s="146" t="str">
        <f>INDEX('PID SUMM'!B:B,MATCH(B31,'PID SUMM'!A:A,0))</f>
        <v>Net 30-Day Derivative Payables</v>
      </c>
      <c r="D31" s="147">
        <f>SUMIFS(FORMULAGE!$BD:$BD,FORMULAGE!$G:$G,B31,FORMULAGE!$E:$E,"&lt;&gt;1")</f>
        <v>108.94999999999999</v>
      </c>
      <c r="E31" s="147">
        <f>SUMIFS(REPORT_FR2052a!$N:$N,REPORT_FR2052a!$AR:$AR,$B31,REPORT_FR2052a!$AQ:$AQ,1)</f>
        <v>108.94999999999999</v>
      </c>
      <c r="F31" s="147">
        <f>SUMIFS(REPORT_FR2052a!$N:$N,REPORT_FR2052a!$AR:$AR,$B31)</f>
        <v>108.94999999999999</v>
      </c>
      <c r="G31" s="148"/>
      <c r="H31" s="144"/>
      <c r="J31" s="181"/>
      <c r="L31" s="144">
        <f t="shared" si="1"/>
        <v>0</v>
      </c>
    </row>
    <row r="32" spans="1:13">
      <c r="A32" s="146"/>
      <c r="B32" s="146" t="s">
        <v>694</v>
      </c>
      <c r="C32" s="146" t="str">
        <f>INDEX('PID SUMM'!B:B,MATCH(B32,'PID SUMM'!A:A,0))</f>
        <v>Other Cash Outflows</v>
      </c>
      <c r="D32" s="147">
        <f>SUMIFS(FORMULAGE!$BD:$BD,FORMULAGE!$G:$G,B32,FORMULAGE!$E:$E,"&lt;&gt;1")</f>
        <v>0</v>
      </c>
      <c r="E32" s="147">
        <f>SUMIFS(REPORT_FR2052a!$N:$N,REPORT_FR2052a!$AR:$AR,$B32,REPORT_FR2052a!$AQ:$AQ,1)</f>
        <v>0</v>
      </c>
      <c r="F32" s="147">
        <f>SUMIFS(REPORT_FR2052a!$N:$N,REPORT_FR2052a!$AR:$AR,$B32)</f>
        <v>0</v>
      </c>
      <c r="G32" s="148"/>
      <c r="H32" s="144"/>
      <c r="J32" s="181"/>
      <c r="L32" s="144">
        <f t="shared" ref="L32" si="2">IF(OR(ABS(D32-E32)&lt;100,M32=1),0,1)</f>
        <v>0</v>
      </c>
    </row>
    <row r="33" spans="1:13">
      <c r="A33" s="146"/>
      <c r="B33" s="146" t="s">
        <v>388</v>
      </c>
      <c r="C33" s="146" t="str">
        <f>INDEX('PID SUMM'!B:B,MATCH(B33,'PID SUMM'!A:A,0))</f>
        <v>Credit Facilities</v>
      </c>
      <c r="D33" s="147">
        <f>SUMIFS(FORMULAGE!$BD:$BD,FORMULAGE!$G:$G,B33,FORMULAGE!$E:$E,"&lt;&gt;1")</f>
        <v>17282.859999999997</v>
      </c>
      <c r="E33" s="147">
        <f>SUMIFS(REPORT_FR2052a!$N:$N,REPORT_FR2052a!$AR:$AR,$B33,REPORT_FR2052a!$AQ:$AQ,1)</f>
        <v>17282.86</v>
      </c>
      <c r="F33" s="147">
        <f>SUMIFS(REPORT_FR2052a!$N:$N,REPORT_FR2052a!$AR:$AR,$B33)</f>
        <v>17282.86</v>
      </c>
      <c r="G33" s="148"/>
      <c r="H33" s="144"/>
      <c r="I33" s="144"/>
      <c r="J33" s="181"/>
      <c r="L33" s="144">
        <f t="shared" si="1"/>
        <v>0</v>
      </c>
    </row>
    <row r="34" spans="1:13">
      <c r="A34" s="146"/>
      <c r="B34" s="146" t="s">
        <v>391</v>
      </c>
      <c r="C34" s="146" t="str">
        <f>INDEX('PID SUMM'!B:B,MATCH(B34,'PID SUMM'!A:A,0))</f>
        <v>Liquidity Facilities</v>
      </c>
      <c r="D34" s="147">
        <f>SUMIFS(FORMULAGE!$BD:$BD,FORMULAGE!$G:$G,B34,FORMULAGE!$E:$E,"&lt;&gt;1")</f>
        <v>560</v>
      </c>
      <c r="E34" s="147">
        <f>SUMIFS(REPORT_FR2052a!$N:$N,REPORT_FR2052a!$AR:$AR,$B34,REPORT_FR2052a!$AQ:$AQ,1)</f>
        <v>560</v>
      </c>
      <c r="F34" s="147">
        <f>SUMIFS(REPORT_FR2052a!$N:$N,REPORT_FR2052a!$AR:$AR,$B34)</f>
        <v>560</v>
      </c>
      <c r="G34" s="148"/>
      <c r="H34" s="144"/>
      <c r="J34" s="181"/>
      <c r="L34" s="144">
        <f t="shared" si="1"/>
        <v>0</v>
      </c>
    </row>
    <row r="35" spans="1:13">
      <c r="A35" s="146"/>
      <c r="B35" s="146" t="s">
        <v>403</v>
      </c>
      <c r="C35" s="146" t="str">
        <f>INDEX('PID SUMM'!B:B,MATCH(B35,'PID SUMM'!A:A,0))</f>
        <v>Trade Finance Instruments</v>
      </c>
      <c r="D35" s="147">
        <f>SUMIFS(FORMULAGE!$BD:$BD,FORMULAGE!$G:$G,B35,FORMULAGE!$E:$E,"&lt;&gt;1")</f>
        <v>0</v>
      </c>
      <c r="E35" s="147">
        <f>SUMIFS(REPORT_FR2052a!$N:$N,REPORT_FR2052a!$AR:$AR,$B35,REPORT_FR2052a!$AQ:$AQ,1)</f>
        <v>0</v>
      </c>
      <c r="F35" s="147">
        <f>SUMIFS(REPORT_FR2052a!$N:$N,REPORT_FR2052a!$AR:$AR,$B35)</f>
        <v>0</v>
      </c>
      <c r="G35" s="148" t="s">
        <v>755</v>
      </c>
      <c r="H35" s="144"/>
      <c r="J35" s="181"/>
      <c r="L35" s="144">
        <f t="shared" si="1"/>
        <v>0</v>
      </c>
      <c r="M35">
        <v>1</v>
      </c>
    </row>
    <row r="36" spans="1:13">
      <c r="A36" s="146"/>
      <c r="B36" s="146" t="s">
        <v>398</v>
      </c>
      <c r="C36" s="146" t="str">
        <f>INDEX('PID SUMM'!B:B,MATCH(B36,'PID SUMM'!A:A,0))</f>
        <v>Firm Shorts</v>
      </c>
      <c r="D36" s="147">
        <f>SUMIFS(FORMULAGE!$BD:$BD,FORMULAGE!$G:$G,B36,FORMULAGE!$E:$E,"&lt;&gt;1")</f>
        <v>0</v>
      </c>
      <c r="E36" s="147">
        <f>SUMIFS(REPORT_FR2052a!$N:$N,REPORT_FR2052a!$AR:$AR,$B36,REPORT_FR2052a!$AQ:$AQ,1)</f>
        <v>0</v>
      </c>
      <c r="F36" s="147">
        <f>SUMIFS(REPORT_FR2052a!$N:$N,REPORT_FR2052a!$AR:$AR,$B36)</f>
        <v>0</v>
      </c>
      <c r="G36" s="148" t="s">
        <v>755</v>
      </c>
      <c r="H36" s="144"/>
      <c r="J36" s="181"/>
      <c r="L36" s="144">
        <f t="shared" si="1"/>
        <v>0</v>
      </c>
      <c r="M36">
        <v>1</v>
      </c>
    </row>
    <row r="37" spans="1:13">
      <c r="A37" s="146"/>
      <c r="B37" s="146" t="s">
        <v>658</v>
      </c>
      <c r="C37" s="146" t="str">
        <f>INDEX('PID SUMM'!B:B,MATCH(B37,'PID SUMM'!A:A,0))</f>
        <v>Other Secured Financing Transactions</v>
      </c>
      <c r="D37" s="147">
        <f>SUMIFS(FORMULAGE!$BD:$BD,FORMULAGE!$G:$G,B37,FORMULAGE!$E:$E,"&lt;&gt;1")</f>
        <v>3.67</v>
      </c>
      <c r="E37" s="147">
        <f>SUMIFS(REPORT_FR2052a!$N:$N,REPORT_FR2052a!$AR:$AR,$B37,REPORT_FR2052a!$AQ:$AQ,1)</f>
        <v>3.67</v>
      </c>
      <c r="F37" s="147">
        <f>SUMIFS(REPORT_FR2052a!$N:$N,REPORT_FR2052a!$AR:$AR,$B37)</f>
        <v>195.14</v>
      </c>
      <c r="G37" s="148"/>
      <c r="H37" s="144"/>
      <c r="J37" s="181"/>
      <c r="L37" s="144">
        <f t="shared" si="1"/>
        <v>0</v>
      </c>
    </row>
    <row r="38" spans="1:13" ht="30">
      <c r="A38" s="146"/>
      <c r="B38" s="146" t="s">
        <v>401</v>
      </c>
      <c r="C38" s="146" t="str">
        <f>INDEX('PID SUMM'!B:B,MATCH(B38,'PID SUMM'!A:A,0))</f>
        <v>Offshore Borrowing</v>
      </c>
      <c r="D38" s="147">
        <f>SUMIFS(FORMULAGE!$BD:$BD,FORMULAGE!$G:$G,B38,FORMULAGE!$E:$E,"&lt;&gt;1")</f>
        <v>14240.84</v>
      </c>
      <c r="E38" s="147">
        <f>SUMIFS(REPORT_FR2052a!$N:$N,REPORT_FR2052a!$AR:$AR,$B38,REPORT_FR2052a!$AQ:$AQ,1)</f>
        <v>14240.84</v>
      </c>
      <c r="F38" s="147">
        <f>SUMIFS(REPORT_FR2052a!$N:$N,REPORT_FR2052a!$AR:$AR,$B38)</f>
        <v>19837.84</v>
      </c>
      <c r="G38" s="148" t="s">
        <v>955</v>
      </c>
      <c r="H38" s="144"/>
      <c r="J38" s="181"/>
      <c r="L38" s="144">
        <f t="shared" si="1"/>
        <v>0</v>
      </c>
    </row>
    <row r="39" spans="1:13">
      <c r="A39" s="146"/>
      <c r="B39" s="146" t="s">
        <v>399</v>
      </c>
      <c r="C39" s="146" t="str">
        <f>INDEX('PID SUMM'!B:B,MATCH(B39,'PID SUMM'!A:A,0))</f>
        <v>Unstructured Long Term Debt</v>
      </c>
      <c r="D39" s="147">
        <f>SUMIFS(FORMULAGE!$BD:$BD,FORMULAGE!$G:$G,B39,FORMULAGE!$E:$E,"&lt;&gt;1")</f>
        <v>0</v>
      </c>
      <c r="E39" s="147">
        <f>SUMIFS(REPORT_FR2052a!$N:$N,REPORT_FR2052a!$AR:$AR,$B39,REPORT_FR2052a!$AQ:$AQ,1)</f>
        <v>0</v>
      </c>
      <c r="F39" s="147">
        <f>SUMIFS(REPORT_FR2052a!$N:$N,REPORT_FR2052a!$AR:$AR,$B39)</f>
        <v>0</v>
      </c>
      <c r="G39" s="148"/>
      <c r="H39" s="144"/>
      <c r="J39" s="181"/>
      <c r="L39" s="144">
        <f t="shared" si="1"/>
        <v>0</v>
      </c>
    </row>
    <row r="40" spans="1:13">
      <c r="A40" s="146"/>
      <c r="B40" s="146" t="s">
        <v>641</v>
      </c>
      <c r="C40" s="146" t="str">
        <f>INDEX('PID SUMM'!B:B,MATCH(B40,'PID SUMM'!A:A,0))</f>
        <v>Wholesale CDs</v>
      </c>
      <c r="D40" s="147">
        <f>SUMIFS(FORMULAGE!$BD:$BD,FORMULAGE!$G:$G,B40,FORMULAGE!$E:$E,"&lt;&gt;1")</f>
        <v>0</v>
      </c>
      <c r="E40" s="147">
        <f>SUMIFS(REPORT_FR2052a!$N:$N,REPORT_FR2052a!$AR:$AR,$B40,REPORT_FR2052a!$AQ:$AQ,1)</f>
        <v>0</v>
      </c>
      <c r="F40" s="147">
        <f>SUMIFS(REPORT_FR2052a!$N:$N,REPORT_FR2052a!$AR:$AR,$B40)</f>
        <v>0</v>
      </c>
      <c r="G40" s="148"/>
      <c r="H40" s="144"/>
      <c r="J40" s="181"/>
      <c r="L40" s="144">
        <f t="shared" si="1"/>
        <v>0</v>
      </c>
    </row>
    <row r="41" spans="1:13">
      <c r="A41" s="146"/>
      <c r="B41" s="146" t="s">
        <v>645</v>
      </c>
      <c r="C41" s="146" t="str">
        <f>INDEX('PID SUMM'!B:B,MATCH(B41,'PID SUMM'!A:A,0))</f>
        <v>Free Credits</v>
      </c>
      <c r="D41" s="147">
        <f>SUMIFS(FORMULAGE!$BD:$BD,FORMULAGE!$G:$G,B41,FORMULAGE!$E:$E,"&lt;&gt;1")</f>
        <v>0</v>
      </c>
      <c r="E41" s="147">
        <f>SUMIFS(REPORT_FR2052a!$N:$N,REPORT_FR2052a!$AR:$AR,$B41,REPORT_FR2052a!$AQ:$AQ,1)</f>
        <v>0</v>
      </c>
      <c r="F41" s="147">
        <f>SUMIFS(REPORT_FR2052a!$N:$N,REPORT_FR2052a!$AR:$AR,$B41)</f>
        <v>0</v>
      </c>
      <c r="G41" s="148"/>
      <c r="H41" s="144"/>
      <c r="J41" s="181"/>
      <c r="L41" s="144">
        <f t="shared" si="1"/>
        <v>0</v>
      </c>
    </row>
    <row r="42" spans="1:13">
      <c r="A42" s="146"/>
      <c r="B42" s="146" t="s">
        <v>400</v>
      </c>
      <c r="C42" s="146" t="str">
        <f>INDEX('PID SUMM'!B:B,MATCH(B42,'PID SUMM'!A:A,0))</f>
        <v>Other Unsecured Financing</v>
      </c>
      <c r="D42" s="147">
        <f>SUMIFS(FORMULAGE!$BD:$BD,FORMULAGE!$G:$G,B42,FORMULAGE!$E:$E,"&lt;&gt;1")</f>
        <v>0.95</v>
      </c>
      <c r="E42" s="147">
        <f>SUMIFS(REPORT_FR2052a!$N:$N,REPORT_FR2052a!$AR:$AR,$B42,REPORT_FR2052a!$AQ:$AQ,1)</f>
        <v>0.95</v>
      </c>
      <c r="F42" s="147">
        <f>SUMIFS(REPORT_FR2052a!$N:$N,REPORT_FR2052a!$AR:$AR,$B42)</f>
        <v>113.1</v>
      </c>
      <c r="G42" s="148"/>
      <c r="H42" s="144"/>
      <c r="J42" s="181"/>
      <c r="L42" s="144">
        <f t="shared" si="1"/>
        <v>0</v>
      </c>
    </row>
    <row r="43" spans="1:13">
      <c r="A43" s="146"/>
      <c r="B43" s="146" t="s">
        <v>698</v>
      </c>
      <c r="C43" s="146" t="str">
        <f>INDEX('PID SUMM'!B:B,MATCH(B43,'PID SUMM'!A:A,0))</f>
        <v>Initial Margin Posted - Customer</v>
      </c>
      <c r="D43" s="147">
        <f>SUMIFS(FORMULAGE!$BD:$BD,FORMULAGE!$G:$G,B43,FORMULAGE!$E:$E,"&lt;&gt;1")</f>
        <v>0</v>
      </c>
      <c r="E43" s="147">
        <f>SUMIFS(REPORT_FR2052a!$M:$M,REPORT_FR2052a!$AR:$AR,$B43)</f>
        <v>0</v>
      </c>
      <c r="F43" s="147">
        <f>SUMIFS(REPORT_FR2052a!$N:$N,REPORT_FR2052a!$AR:$AR,$B43)</f>
        <v>0</v>
      </c>
      <c r="G43" s="148"/>
      <c r="H43" s="144"/>
      <c r="J43" s="181"/>
      <c r="L43" s="144">
        <f t="shared" si="1"/>
        <v>0</v>
      </c>
    </row>
    <row r="44" spans="1:13">
      <c r="A44" s="146"/>
      <c r="B44" s="146" t="s">
        <v>704</v>
      </c>
      <c r="C44" s="146" t="str">
        <f>INDEX('PID SUMM'!B:B,MATCH(B44,'PID SUMM'!A:A,0))</f>
        <v>Variation Margin Posted - Customer</v>
      </c>
      <c r="D44" s="147">
        <f>SUMIFS(FORMULAGE!$BD:$BD,FORMULAGE!$G:$G,B44,FORMULAGE!$E:$E,"&lt;&gt;1")</f>
        <v>0</v>
      </c>
      <c r="E44" s="147">
        <f>SUMIFS(REPORT_FR2052a!$M:$M,REPORT_FR2052a!$AR:$AR,$B44)</f>
        <v>0</v>
      </c>
      <c r="F44" s="147">
        <f>SUMIFS(REPORT_FR2052a!$N:$N,REPORT_FR2052a!$AR:$AR,$B44)</f>
        <v>0</v>
      </c>
      <c r="G44" s="148"/>
      <c r="H44" s="144"/>
      <c r="J44" s="181"/>
      <c r="L44" s="144">
        <f t="shared" si="1"/>
        <v>0</v>
      </c>
    </row>
    <row r="45" spans="1:13">
      <c r="A45" s="146"/>
      <c r="B45" s="146" t="s">
        <v>730</v>
      </c>
      <c r="C45" s="146" t="str">
        <f>INDEX('PID SUMM'!B:B,MATCH(B45,'PID SUMM'!A:A,0))</f>
        <v>Gross Client Wires Paid</v>
      </c>
      <c r="D45" s="147">
        <f>SUMIFS(FORMULAGE!$BD:$BD,FORMULAGE!$G:$G,B45,FORMULAGE!$E:$E,"&lt;&gt;1")</f>
        <v>0</v>
      </c>
      <c r="E45" s="147">
        <f>SUMIFS(REPORT_FR2052a!$N:$N,REPORT_FR2052a!$AR:$AR,$B45,REPORT_FR2052a!$AQ:$AQ,1)</f>
        <v>0</v>
      </c>
      <c r="F45" s="147">
        <f>SUMIFS(REPORT_FR2052a!$N:$N,REPORT_FR2052a!$AR:$AR,$B45)</f>
        <v>0</v>
      </c>
      <c r="G45" s="148" t="s">
        <v>755</v>
      </c>
      <c r="H45" s="144"/>
      <c r="J45" s="181"/>
      <c r="L45" s="144">
        <f t="shared" si="1"/>
        <v>0</v>
      </c>
    </row>
  </sheetData>
  <sortState ref="B1:B36">
    <sortCondition ref="B4"/>
  </sortState>
  <conditionalFormatting sqref="B2:B5 B33:B45 B7:B31">
    <cfRule type="expression" dxfId="1199" priority="6">
      <formula>AND(L2=1)</formula>
    </cfRule>
  </conditionalFormatting>
  <conditionalFormatting sqref="B32">
    <cfRule type="expression" dxfId="1198" priority="4">
      <formula>AND(L32=1)</formula>
    </cfRule>
  </conditionalFormatting>
  <conditionalFormatting sqref="B6">
    <cfRule type="expression" dxfId="1197" priority="2">
      <formula>AND(L6=1)</formula>
    </cfRule>
  </conditionalFormatting>
  <pageMargins left="0.7" right="0.7" top="0.75" bottom="0.75" header="0.3" footer="0.3"/>
  <pageSetup scale="82" orientation="landscape" r:id="rId1"/>
  <legacyDrawing r:id="rId2"/>
  <extLst>
    <ext xmlns:x14="http://schemas.microsoft.com/office/spreadsheetml/2009/9/main" uri="{78C0D931-6437-407d-A8EE-F0AAD7539E65}">
      <x14:conditionalFormattings>
        <x14:conditionalFormatting xmlns:xm="http://schemas.microsoft.com/office/excel/2006/main">
          <x14:cfRule type="iconSet" priority="5" id="{68A5E7DC-608E-4E1D-9950-B738FA2AA0C9}">
            <x14:iconSet custom="1">
              <x14:cfvo type="percent">
                <xm:f>0</xm:f>
              </x14:cfvo>
              <x14:cfvo type="num" gte="0">
                <xm:f>0.5</xm:f>
              </x14:cfvo>
              <x14:cfvo type="num">
                <xm:f>1</xm:f>
              </x14:cfvo>
              <x14:cfIcon iconSet="3TrafficLights1" iconId="2"/>
              <x14:cfIcon iconSet="3TrafficLights1" iconId="2"/>
              <x14:cfIcon iconSet="3TrafficLights1" iconId="0"/>
            </x14:iconSet>
          </x14:cfRule>
          <xm:sqref>L1:L5 L33:L45 L7:L31</xm:sqref>
        </x14:conditionalFormatting>
        <x14:conditionalFormatting xmlns:xm="http://schemas.microsoft.com/office/excel/2006/main">
          <x14:cfRule type="iconSet" priority="3" id="{257B8351-761E-4CC3-B25C-81A4FA124B7D}">
            <x14:iconSet custom="1">
              <x14:cfvo type="percent">
                <xm:f>0</xm:f>
              </x14:cfvo>
              <x14:cfvo type="num" gte="0">
                <xm:f>0.5</xm:f>
              </x14:cfvo>
              <x14:cfvo type="num">
                <xm:f>1</xm:f>
              </x14:cfvo>
              <x14:cfIcon iconSet="3TrafficLights1" iconId="2"/>
              <x14:cfIcon iconSet="3TrafficLights1" iconId="2"/>
              <x14:cfIcon iconSet="3TrafficLights1" iconId="0"/>
            </x14:iconSet>
          </x14:cfRule>
          <xm:sqref>L32</xm:sqref>
        </x14:conditionalFormatting>
        <x14:conditionalFormatting xmlns:xm="http://schemas.microsoft.com/office/excel/2006/main">
          <x14:cfRule type="iconSet" priority="1" id="{1DC72A3D-62B6-49F3-BBCA-3A0426116411}">
            <x14:iconSet custom="1">
              <x14:cfvo type="percent">
                <xm:f>0</xm:f>
              </x14:cfvo>
              <x14:cfvo type="num" gte="0">
                <xm:f>0.5</xm:f>
              </x14:cfvo>
              <x14:cfvo type="num">
                <xm:f>1</xm:f>
              </x14:cfvo>
              <x14:cfIcon iconSet="3TrafficLights1" iconId="2"/>
              <x14:cfIcon iconSet="3TrafficLights1" iconId="2"/>
              <x14:cfIcon iconSet="3TrafficLights1" iconId="0"/>
            </x14:iconSet>
          </x14:cfRule>
          <xm:sqref>L6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202"/>
  <sheetViews>
    <sheetView workbookViewId="0">
      <selection activeCell="H1" sqref="H1:J1048576"/>
    </sheetView>
  </sheetViews>
  <sheetFormatPr defaultRowHeight="12.75"/>
  <cols>
    <col min="1" max="1" width="9.140625" style="24"/>
    <col min="2" max="2" width="14.28515625" style="80" customWidth="1"/>
    <col min="3" max="3" width="93.85546875" style="24" bestFit="1" customWidth="1"/>
    <col min="4" max="4" width="17.7109375" style="180" customWidth="1"/>
    <col min="5" max="5" width="27.140625" style="180" bestFit="1" customWidth="1"/>
    <col min="6" max="6" width="31.7109375" style="180" bestFit="1" customWidth="1"/>
    <col min="7" max="7" width="19" style="24" bestFit="1" customWidth="1"/>
    <col min="8" max="10" width="29.140625" style="180" customWidth="1"/>
    <col min="11" max="16384" width="9.140625" style="24"/>
  </cols>
  <sheetData>
    <row r="1" spans="2:10" s="4" customFormat="1" ht="26.25">
      <c r="B1" s="69" t="s">
        <v>443</v>
      </c>
      <c r="C1" s="67"/>
      <c r="D1" s="165" t="s">
        <v>884</v>
      </c>
      <c r="E1" s="165" t="s">
        <v>47</v>
      </c>
      <c r="F1" s="165" t="s">
        <v>163</v>
      </c>
      <c r="G1" s="4" t="s">
        <v>911</v>
      </c>
      <c r="H1" s="165" t="s">
        <v>884</v>
      </c>
      <c r="I1" s="165" t="s">
        <v>47</v>
      </c>
      <c r="J1" s="165" t="s">
        <v>163</v>
      </c>
    </row>
    <row r="2" spans="2:10" s="4" customFormat="1" ht="18" customHeight="1">
      <c r="B2" s="70" t="s">
        <v>181</v>
      </c>
      <c r="C2" s="65" t="s">
        <v>182</v>
      </c>
      <c r="D2" s="166" t="s">
        <v>183</v>
      </c>
      <c r="E2" s="166" t="s">
        <v>183</v>
      </c>
      <c r="F2" s="166" t="s">
        <v>183</v>
      </c>
      <c r="H2" s="166" t="s">
        <v>183</v>
      </c>
      <c r="I2" s="166" t="s">
        <v>183</v>
      </c>
      <c r="J2" s="166" t="s">
        <v>183</v>
      </c>
    </row>
    <row r="3" spans="2:10" s="4" customFormat="1" ht="15">
      <c r="B3" s="71"/>
      <c r="C3" s="63"/>
      <c r="D3" s="167"/>
      <c r="E3" s="167"/>
      <c r="F3" s="167"/>
      <c r="H3" s="167"/>
      <c r="I3" s="167"/>
      <c r="J3" s="167"/>
    </row>
    <row r="4" spans="2:10" s="4" customFormat="1">
      <c r="B4" s="72"/>
      <c r="D4" s="168"/>
      <c r="E4" s="168"/>
      <c r="F4" s="168"/>
      <c r="H4" s="168"/>
      <c r="I4" s="168"/>
      <c r="J4" s="168"/>
    </row>
    <row r="5" spans="2:10" s="4" customFormat="1" ht="21">
      <c r="B5" s="73" t="s">
        <v>187</v>
      </c>
      <c r="C5" s="33"/>
      <c r="D5" s="169"/>
      <c r="E5" s="169"/>
      <c r="F5" s="169"/>
      <c r="H5" s="169"/>
      <c r="I5" s="169"/>
      <c r="J5" s="169"/>
    </row>
    <row r="6" spans="2:10" s="4" customFormat="1">
      <c r="B6" s="74"/>
      <c r="C6" s="60"/>
      <c r="D6" s="170"/>
      <c r="E6" s="170"/>
      <c r="F6" s="170"/>
      <c r="H6" s="170"/>
      <c r="I6" s="170"/>
      <c r="J6" s="170"/>
    </row>
    <row r="7" spans="2:10" s="4" customFormat="1">
      <c r="B7" s="55" t="s">
        <v>199</v>
      </c>
      <c r="C7" s="54"/>
      <c r="D7" s="171"/>
      <c r="E7" s="171"/>
      <c r="F7" s="171"/>
      <c r="H7" s="171"/>
      <c r="I7" s="171"/>
      <c r="J7" s="171"/>
    </row>
    <row r="8" spans="2:10" s="4" customFormat="1" ht="15.75" customHeight="1">
      <c r="B8" s="58">
        <v>1</v>
      </c>
      <c r="C8" s="57" t="s">
        <v>200</v>
      </c>
      <c r="D8" s="172"/>
      <c r="E8" s="172"/>
      <c r="F8" s="172"/>
      <c r="H8" s="172"/>
      <c r="I8" s="172"/>
      <c r="J8" s="172"/>
    </row>
    <row r="9" spans="2:10" s="4" customFormat="1" ht="15.75" customHeight="1">
      <c r="B9" s="56" t="s">
        <v>442</v>
      </c>
      <c r="C9" s="45" t="s">
        <v>201</v>
      </c>
      <c r="D9" s="173">
        <f>SUMIFS(FORMULAGE!$BD:$BD,FORMULAGE!$A:$A,$B9)</f>
        <v>33058.6</v>
      </c>
      <c r="E9" s="173">
        <f>SUMIFS(FORMULAGE!$BJ:$BJ,FORMULAGE!$A:$A,$B9)</f>
        <v>33058.6</v>
      </c>
      <c r="F9" s="173">
        <f>SUMIFS(FORMULAGE!$BK:$BK,FORMULAGE!$A:$A,$B9)</f>
        <v>0</v>
      </c>
      <c r="H9" s="173">
        <v>30654.9</v>
      </c>
      <c r="I9" s="173">
        <v>30654.9</v>
      </c>
      <c r="J9" s="173">
        <v>0</v>
      </c>
    </row>
    <row r="10" spans="2:10" s="4" customFormat="1" ht="12" customHeight="1">
      <c r="B10" s="56" t="s">
        <v>441</v>
      </c>
      <c r="C10" s="45" t="s">
        <v>202</v>
      </c>
      <c r="D10" s="173">
        <f>SUMIFS(FORMULAGE!$BD:$BD,FORMULAGE!$A:$A,$B10)</f>
        <v>0</v>
      </c>
      <c r="E10" s="173">
        <f>SUMIFS(FORMULAGE!$BJ:$BJ,FORMULAGE!$A:$A,$B10)</f>
        <v>0</v>
      </c>
      <c r="F10" s="173">
        <f>SUMIFS(FORMULAGE!$BK:$BK,FORMULAGE!$A:$A,$B10)</f>
        <v>0</v>
      </c>
      <c r="H10" s="173">
        <v>0</v>
      </c>
      <c r="I10" s="173">
        <v>0</v>
      </c>
      <c r="J10" s="173">
        <v>0</v>
      </c>
    </row>
    <row r="11" spans="2:10" s="4" customFormat="1" ht="12" customHeight="1">
      <c r="B11" s="56" t="s">
        <v>440</v>
      </c>
      <c r="C11" s="45" t="s">
        <v>203</v>
      </c>
      <c r="D11" s="173">
        <f>SUMIFS(FORMULAGE!$BD:$BD,FORMULAGE!$A:$A,$B11)</f>
        <v>0</v>
      </c>
      <c r="E11" s="173">
        <f>SUMIFS(FORMULAGE!$BJ:$BJ,FORMULAGE!$A:$A,$B11)</f>
        <v>0</v>
      </c>
      <c r="F11" s="173">
        <f>SUMIFS(FORMULAGE!$BK:$BK,FORMULAGE!$A:$A,$B11)</f>
        <v>0</v>
      </c>
      <c r="H11" s="173">
        <v>0</v>
      </c>
      <c r="I11" s="173">
        <v>0</v>
      </c>
      <c r="J11" s="173">
        <v>0</v>
      </c>
    </row>
    <row r="12" spans="2:10" s="4" customFormat="1" ht="15.75" customHeight="1">
      <c r="B12" s="58">
        <v>2</v>
      </c>
      <c r="C12" s="57" t="s">
        <v>204</v>
      </c>
      <c r="D12" s="172"/>
      <c r="E12" s="172"/>
      <c r="F12" s="172"/>
      <c r="H12" s="172"/>
      <c r="I12" s="172"/>
      <c r="J12" s="172"/>
    </row>
    <row r="13" spans="2:10" s="4" customFormat="1" ht="15.75" customHeight="1">
      <c r="B13" s="56" t="s">
        <v>439</v>
      </c>
      <c r="C13" s="45" t="s">
        <v>201</v>
      </c>
      <c r="D13" s="173">
        <f>SUMIFS(FORMULAGE!$BD:$BD,FORMULAGE!$A:$A,$B13)</f>
        <v>0</v>
      </c>
      <c r="E13" s="173">
        <f>SUMIFS(FORMULAGE!$BJ:$BJ,FORMULAGE!$A:$A,$B13)</f>
        <v>0</v>
      </c>
      <c r="F13" s="173">
        <f>SUMIFS(FORMULAGE!$BK:$BK,FORMULAGE!$A:$A,$B13)</f>
        <v>0</v>
      </c>
      <c r="H13" s="173">
        <v>0</v>
      </c>
      <c r="I13" s="173">
        <v>0</v>
      </c>
      <c r="J13" s="173">
        <v>0</v>
      </c>
    </row>
    <row r="14" spans="2:10" s="4" customFormat="1" ht="12" customHeight="1">
      <c r="B14" s="56" t="s">
        <v>438</v>
      </c>
      <c r="C14" s="45" t="s">
        <v>202</v>
      </c>
      <c r="D14" s="173">
        <f>SUMIFS(FORMULAGE!$BD:$BD,FORMULAGE!$A:$A,$B14)</f>
        <v>0</v>
      </c>
      <c r="E14" s="173">
        <f>SUMIFS(FORMULAGE!$BJ:$BJ,FORMULAGE!$A:$A,$B14)</f>
        <v>0</v>
      </c>
      <c r="F14" s="173">
        <f>SUMIFS(FORMULAGE!$BK:$BK,FORMULAGE!$A:$A,$B14)</f>
        <v>0</v>
      </c>
      <c r="H14" s="173">
        <v>0</v>
      </c>
      <c r="I14" s="173">
        <v>0</v>
      </c>
      <c r="J14" s="173">
        <v>0</v>
      </c>
    </row>
    <row r="15" spans="2:10" s="4" customFormat="1" ht="12" customHeight="1">
      <c r="B15" s="56" t="s">
        <v>437</v>
      </c>
      <c r="C15" s="45" t="s">
        <v>203</v>
      </c>
      <c r="D15" s="173">
        <f>SUMIFS(FORMULAGE!$BD:$BD,FORMULAGE!$A:$A,$B15)</f>
        <v>0</v>
      </c>
      <c r="E15" s="173">
        <f>SUMIFS(FORMULAGE!$BJ:$BJ,FORMULAGE!$A:$A,$B15)</f>
        <v>0</v>
      </c>
      <c r="F15" s="173">
        <f>SUMIFS(FORMULAGE!$BK:$BK,FORMULAGE!$A:$A,$B15)</f>
        <v>0</v>
      </c>
      <c r="H15" s="173">
        <v>0</v>
      </c>
      <c r="I15" s="173">
        <v>0</v>
      </c>
      <c r="J15" s="173">
        <v>0</v>
      </c>
    </row>
    <row r="16" spans="2:10" s="4" customFormat="1" ht="15.75" customHeight="1">
      <c r="B16" s="58">
        <v>3</v>
      </c>
      <c r="C16" s="57" t="s">
        <v>204</v>
      </c>
      <c r="D16" s="172"/>
      <c r="E16" s="172"/>
      <c r="F16" s="172"/>
      <c r="H16" s="172"/>
      <c r="I16" s="172"/>
      <c r="J16" s="172"/>
    </row>
    <row r="17" spans="2:10" s="4" customFormat="1" ht="15.75" customHeight="1">
      <c r="B17" s="56" t="s">
        <v>436</v>
      </c>
      <c r="C17" s="45" t="s">
        <v>201</v>
      </c>
      <c r="D17" s="173"/>
      <c r="E17" s="173"/>
      <c r="F17" s="173"/>
      <c r="H17" s="173"/>
      <c r="I17" s="173"/>
      <c r="J17" s="173"/>
    </row>
    <row r="18" spans="2:10" s="4" customFormat="1" ht="12" customHeight="1">
      <c r="B18" s="56" t="s">
        <v>435</v>
      </c>
      <c r="C18" s="45" t="s">
        <v>202</v>
      </c>
      <c r="D18" s="173"/>
      <c r="E18" s="173"/>
      <c r="F18" s="173"/>
      <c r="H18" s="173"/>
      <c r="I18" s="173"/>
      <c r="J18" s="173"/>
    </row>
    <row r="19" spans="2:10" s="4" customFormat="1" ht="12" customHeight="1">
      <c r="B19" s="56" t="s">
        <v>434</v>
      </c>
      <c r="C19" s="45" t="s">
        <v>203</v>
      </c>
      <c r="D19" s="173"/>
      <c r="E19" s="173"/>
      <c r="F19" s="173"/>
      <c r="H19" s="173"/>
      <c r="I19" s="173"/>
      <c r="J19" s="173"/>
    </row>
    <row r="20" spans="2:10" s="4" customFormat="1">
      <c r="B20" s="55" t="s">
        <v>205</v>
      </c>
      <c r="C20" s="54"/>
      <c r="D20" s="171"/>
      <c r="E20" s="171"/>
      <c r="F20" s="171"/>
      <c r="H20" s="171"/>
      <c r="I20" s="171"/>
      <c r="J20" s="171"/>
    </row>
    <row r="21" spans="2:10" s="4" customFormat="1" ht="15.75" customHeight="1">
      <c r="B21" s="58">
        <v>4</v>
      </c>
      <c r="C21" s="57" t="s">
        <v>206</v>
      </c>
      <c r="D21" s="172"/>
      <c r="E21" s="172"/>
      <c r="F21" s="172"/>
      <c r="H21" s="172"/>
      <c r="I21" s="172"/>
      <c r="J21" s="172"/>
    </row>
    <row r="22" spans="2:10" s="4" customFormat="1" ht="15.75" customHeight="1">
      <c r="B22" s="56" t="s">
        <v>433</v>
      </c>
      <c r="C22" s="45" t="s">
        <v>201</v>
      </c>
      <c r="D22" s="173"/>
      <c r="E22" s="173"/>
      <c r="F22" s="173"/>
      <c r="H22" s="173"/>
      <c r="I22" s="173"/>
      <c r="J22" s="173"/>
    </row>
    <row r="23" spans="2:10" s="4" customFormat="1" ht="12" customHeight="1">
      <c r="B23" s="56" t="s">
        <v>432</v>
      </c>
      <c r="C23" s="45" t="s">
        <v>202</v>
      </c>
      <c r="D23" s="173"/>
      <c r="E23" s="173"/>
      <c r="F23" s="173"/>
      <c r="H23" s="173"/>
      <c r="I23" s="173"/>
      <c r="J23" s="173"/>
    </row>
    <row r="24" spans="2:10" s="4" customFormat="1" ht="12" customHeight="1">
      <c r="B24" s="56" t="s">
        <v>431</v>
      </c>
      <c r="C24" s="45" t="s">
        <v>203</v>
      </c>
      <c r="D24" s="173"/>
      <c r="E24" s="173"/>
      <c r="F24" s="173"/>
      <c r="H24" s="173"/>
      <c r="I24" s="173"/>
      <c r="J24" s="173"/>
    </row>
    <row r="25" spans="2:10" s="4" customFormat="1" ht="15.75" customHeight="1">
      <c r="B25" s="58">
        <v>5</v>
      </c>
      <c r="C25" s="57" t="s">
        <v>207</v>
      </c>
      <c r="D25" s="172"/>
      <c r="E25" s="172"/>
      <c r="F25" s="172"/>
      <c r="H25" s="172"/>
      <c r="I25" s="172"/>
      <c r="J25" s="172"/>
    </row>
    <row r="26" spans="2:10" s="4" customFormat="1" ht="15.75" customHeight="1">
      <c r="B26" s="56" t="s">
        <v>430</v>
      </c>
      <c r="C26" s="45" t="s">
        <v>201</v>
      </c>
      <c r="D26" s="173"/>
      <c r="E26" s="173"/>
      <c r="F26" s="173"/>
      <c r="H26" s="173"/>
      <c r="I26" s="173"/>
      <c r="J26" s="173"/>
    </row>
    <row r="27" spans="2:10" s="4" customFormat="1" ht="12" customHeight="1">
      <c r="B27" s="56" t="s">
        <v>429</v>
      </c>
      <c r="C27" s="45" t="s">
        <v>202</v>
      </c>
      <c r="D27" s="173"/>
      <c r="E27" s="173"/>
      <c r="F27" s="173"/>
      <c r="H27" s="173"/>
      <c r="I27" s="173"/>
      <c r="J27" s="173"/>
    </row>
    <row r="28" spans="2:10" s="4" customFormat="1" ht="12" customHeight="1">
      <c r="B28" s="56" t="s">
        <v>428</v>
      </c>
      <c r="C28" s="45" t="s">
        <v>203</v>
      </c>
      <c r="D28" s="173"/>
      <c r="E28" s="173"/>
      <c r="F28" s="173"/>
      <c r="H28" s="173"/>
      <c r="I28" s="173"/>
      <c r="J28" s="173"/>
    </row>
    <row r="29" spans="2:10" s="4" customFormat="1" ht="15.75" customHeight="1">
      <c r="B29" s="58">
        <v>6</v>
      </c>
      <c r="C29" s="57" t="s">
        <v>208</v>
      </c>
      <c r="D29" s="172"/>
      <c r="E29" s="172"/>
      <c r="F29" s="172"/>
      <c r="H29" s="172"/>
      <c r="I29" s="172"/>
      <c r="J29" s="172"/>
    </row>
    <row r="30" spans="2:10" s="4" customFormat="1" ht="15.75" customHeight="1">
      <c r="B30" s="56" t="s">
        <v>427</v>
      </c>
      <c r="C30" s="45" t="s">
        <v>201</v>
      </c>
      <c r="D30" s="173"/>
      <c r="E30" s="173"/>
      <c r="F30" s="173"/>
      <c r="H30" s="173"/>
      <c r="I30" s="173"/>
      <c r="J30" s="173"/>
    </row>
    <row r="31" spans="2:10" s="4" customFormat="1" ht="12" customHeight="1">
      <c r="B31" s="56" t="s">
        <v>426</v>
      </c>
      <c r="C31" s="45" t="s">
        <v>202</v>
      </c>
      <c r="D31" s="173"/>
      <c r="E31" s="173"/>
      <c r="F31" s="173"/>
      <c r="H31" s="173"/>
      <c r="I31" s="173"/>
      <c r="J31" s="173"/>
    </row>
    <row r="32" spans="2:10" s="4" customFormat="1" ht="12" customHeight="1">
      <c r="B32" s="56" t="s">
        <v>425</v>
      </c>
      <c r="C32" s="45" t="s">
        <v>203</v>
      </c>
      <c r="D32" s="173"/>
      <c r="E32" s="173"/>
      <c r="F32" s="173"/>
      <c r="H32" s="173"/>
      <c r="I32" s="173"/>
      <c r="J32" s="173"/>
    </row>
    <row r="33" spans="2:10" s="4" customFormat="1">
      <c r="B33" s="77"/>
      <c r="C33" s="38" t="s">
        <v>193</v>
      </c>
      <c r="D33" s="174">
        <f>SUM(D9:D11,D13:D15)</f>
        <v>33058.6</v>
      </c>
      <c r="E33" s="174">
        <f>SUM(E9:E11,E13:E15)</f>
        <v>33058.6</v>
      </c>
      <c r="F33" s="174">
        <f>SUM(F9:F11,F13:F15)</f>
        <v>0</v>
      </c>
      <c r="G33" s="24"/>
      <c r="H33" s="174">
        <v>30654.9</v>
      </c>
      <c r="I33" s="174">
        <v>30654.9</v>
      </c>
      <c r="J33" s="174">
        <v>0</v>
      </c>
    </row>
    <row r="34" spans="2:10" s="4" customFormat="1" hidden="1">
      <c r="B34" s="55" t="s">
        <v>209</v>
      </c>
      <c r="C34" s="54"/>
      <c r="D34" s="171"/>
      <c r="E34" s="171"/>
      <c r="F34" s="171"/>
      <c r="H34" s="171"/>
      <c r="I34" s="171"/>
      <c r="J34" s="171"/>
    </row>
    <row r="35" spans="2:10" s="4" customFormat="1" ht="15" hidden="1">
      <c r="B35" s="51">
        <v>7</v>
      </c>
      <c r="C35" s="48" t="s">
        <v>210</v>
      </c>
      <c r="D35" s="175"/>
      <c r="E35" s="175"/>
      <c r="F35" s="175"/>
      <c r="H35" s="175"/>
      <c r="I35" s="175"/>
      <c r="J35" s="175"/>
    </row>
    <row r="36" spans="2:10" s="4" customFormat="1" ht="15" hidden="1">
      <c r="B36" s="49" t="s">
        <v>482</v>
      </c>
      <c r="C36" s="48" t="s">
        <v>211</v>
      </c>
      <c r="D36" s="173"/>
      <c r="E36" s="173"/>
      <c r="F36" s="173"/>
      <c r="H36" s="173"/>
      <c r="I36" s="173"/>
      <c r="J36" s="173"/>
    </row>
    <row r="37" spans="2:10" s="4" customFormat="1" ht="15" hidden="1">
      <c r="B37" s="49" t="s">
        <v>483</v>
      </c>
      <c r="C37" s="48" t="s">
        <v>212</v>
      </c>
      <c r="D37" s="173"/>
      <c r="E37" s="173"/>
      <c r="F37" s="173"/>
      <c r="H37" s="173"/>
      <c r="I37" s="173"/>
      <c r="J37" s="173"/>
    </row>
    <row r="38" spans="2:10" s="4" customFormat="1" ht="15" hidden="1">
      <c r="B38" s="49" t="s">
        <v>484</v>
      </c>
      <c r="C38" s="48" t="s">
        <v>213</v>
      </c>
      <c r="D38" s="173"/>
      <c r="E38" s="173"/>
      <c r="F38" s="173"/>
      <c r="H38" s="173"/>
      <c r="I38" s="173"/>
      <c r="J38" s="173"/>
    </row>
    <row r="39" spans="2:10" s="4" customFormat="1" hidden="1">
      <c r="B39" s="51"/>
      <c r="C39" s="48"/>
      <c r="D39" s="172"/>
      <c r="E39" s="172"/>
      <c r="F39" s="172"/>
      <c r="H39" s="172"/>
      <c r="I39" s="172"/>
      <c r="J39" s="172"/>
    </row>
    <row r="40" spans="2:10" s="4" customFormat="1" ht="15" hidden="1">
      <c r="B40" s="49" t="s">
        <v>479</v>
      </c>
      <c r="C40" s="48" t="s">
        <v>214</v>
      </c>
      <c r="D40" s="173"/>
      <c r="E40" s="173"/>
      <c r="F40" s="173"/>
      <c r="H40" s="173"/>
      <c r="I40" s="173"/>
      <c r="J40" s="173"/>
    </row>
    <row r="41" spans="2:10" s="4" customFormat="1" ht="15" hidden="1">
      <c r="B41" s="49" t="s">
        <v>480</v>
      </c>
      <c r="C41" s="48" t="s">
        <v>215</v>
      </c>
      <c r="D41" s="173"/>
      <c r="E41" s="173"/>
      <c r="F41" s="173"/>
      <c r="H41" s="173"/>
      <c r="I41" s="173"/>
      <c r="J41" s="173"/>
    </row>
    <row r="42" spans="2:10" s="4" customFormat="1" ht="15" hidden="1">
      <c r="B42" s="49" t="s">
        <v>481</v>
      </c>
      <c r="C42" s="48" t="s">
        <v>216</v>
      </c>
      <c r="D42" s="173"/>
      <c r="E42" s="173"/>
      <c r="F42" s="173"/>
      <c r="H42" s="173"/>
      <c r="I42" s="173"/>
      <c r="J42" s="173"/>
    </row>
    <row r="43" spans="2:10" s="4" customFormat="1" hidden="1">
      <c r="B43" s="51">
        <v>8</v>
      </c>
      <c r="C43" s="48" t="s">
        <v>217</v>
      </c>
      <c r="D43" s="172"/>
      <c r="E43" s="172"/>
      <c r="F43" s="172"/>
      <c r="H43" s="172"/>
      <c r="I43" s="172"/>
      <c r="J43" s="172"/>
    </row>
    <row r="44" spans="2:10" s="4" customFormat="1" ht="15" hidden="1">
      <c r="B44" s="49" t="s">
        <v>424</v>
      </c>
      <c r="C44" s="48" t="s">
        <v>211</v>
      </c>
      <c r="D44" s="173"/>
      <c r="E44" s="173"/>
      <c r="F44" s="173"/>
      <c r="H44" s="173"/>
      <c r="I44" s="173"/>
      <c r="J44" s="173"/>
    </row>
    <row r="45" spans="2:10" s="4" customFormat="1" ht="15" hidden="1">
      <c r="B45" s="49" t="s">
        <v>423</v>
      </c>
      <c r="C45" s="48" t="s">
        <v>212</v>
      </c>
      <c r="D45" s="173"/>
      <c r="E45" s="173"/>
      <c r="F45" s="173"/>
      <c r="H45" s="173"/>
      <c r="I45" s="173"/>
      <c r="J45" s="173"/>
    </row>
    <row r="46" spans="2:10" s="4" customFormat="1" ht="15" hidden="1">
      <c r="B46" s="49" t="s">
        <v>422</v>
      </c>
      <c r="C46" s="48" t="s">
        <v>213</v>
      </c>
      <c r="D46" s="173"/>
      <c r="E46" s="173"/>
      <c r="F46" s="173"/>
      <c r="H46" s="173"/>
      <c r="I46" s="173"/>
      <c r="J46" s="173"/>
    </row>
    <row r="47" spans="2:10" s="4" customFormat="1" ht="15" hidden="1">
      <c r="B47" s="51">
        <v>8</v>
      </c>
      <c r="C47" s="48"/>
      <c r="D47" s="175"/>
      <c r="E47" s="175"/>
      <c r="F47" s="175"/>
      <c r="H47" s="175"/>
      <c r="I47" s="175"/>
      <c r="J47" s="175"/>
    </row>
    <row r="48" spans="2:10" s="4" customFormat="1" ht="15" hidden="1">
      <c r="B48" s="49" t="s">
        <v>421</v>
      </c>
      <c r="C48" s="48" t="s">
        <v>214</v>
      </c>
      <c r="D48" s="173"/>
      <c r="E48" s="173"/>
      <c r="F48" s="173"/>
      <c r="H48" s="173"/>
      <c r="I48" s="173"/>
      <c r="J48" s="173"/>
    </row>
    <row r="49" spans="2:14" s="4" customFormat="1" ht="15" hidden="1">
      <c r="B49" s="49" t="s">
        <v>420</v>
      </c>
      <c r="C49" s="48" t="s">
        <v>215</v>
      </c>
      <c r="D49" s="173"/>
      <c r="E49" s="173"/>
      <c r="F49" s="173"/>
      <c r="H49" s="173"/>
      <c r="I49" s="173"/>
      <c r="J49" s="173"/>
    </row>
    <row r="50" spans="2:14" s="4" customFormat="1" ht="15" hidden="1">
      <c r="B50" s="49" t="s">
        <v>419</v>
      </c>
      <c r="C50" s="48" t="s">
        <v>216</v>
      </c>
      <c r="D50" s="173"/>
      <c r="E50" s="173"/>
      <c r="F50" s="173"/>
      <c r="H50" s="173"/>
      <c r="I50" s="173"/>
      <c r="J50" s="173"/>
    </row>
    <row r="51" spans="2:14" s="4" customFormat="1" hidden="1">
      <c r="B51" s="51">
        <v>9</v>
      </c>
      <c r="C51" s="48" t="s">
        <v>218</v>
      </c>
      <c r="D51" s="172"/>
      <c r="E51" s="172"/>
      <c r="F51" s="172"/>
      <c r="H51" s="172"/>
      <c r="I51" s="172"/>
      <c r="J51" s="172"/>
    </row>
    <row r="52" spans="2:14" s="4" customFormat="1" ht="15" hidden="1">
      <c r="B52" s="49" t="s">
        <v>418</v>
      </c>
      <c r="C52" s="48" t="s">
        <v>219</v>
      </c>
      <c r="D52" s="173"/>
      <c r="E52" s="173"/>
      <c r="F52" s="173"/>
      <c r="H52" s="173"/>
      <c r="I52" s="173"/>
      <c r="J52" s="173"/>
    </row>
    <row r="53" spans="2:14" s="4" customFormat="1" ht="15" hidden="1">
      <c r="B53" s="49" t="s">
        <v>417</v>
      </c>
      <c r="C53" s="48" t="s">
        <v>220</v>
      </c>
      <c r="D53" s="173"/>
      <c r="E53" s="173"/>
      <c r="F53" s="173"/>
      <c r="H53" s="173"/>
      <c r="I53" s="173"/>
      <c r="J53" s="173"/>
    </row>
    <row r="54" spans="2:14" s="4" customFormat="1" ht="15" hidden="1">
      <c r="B54" s="49" t="s">
        <v>416</v>
      </c>
      <c r="C54" s="48" t="s">
        <v>221</v>
      </c>
      <c r="D54" s="173"/>
      <c r="E54" s="173"/>
      <c r="F54" s="173"/>
      <c r="H54" s="173"/>
      <c r="I54" s="173"/>
      <c r="J54" s="173"/>
    </row>
    <row r="55" spans="2:14" s="4" customFormat="1" hidden="1">
      <c r="B55" s="51">
        <v>9</v>
      </c>
      <c r="C55" s="48"/>
      <c r="D55" s="172"/>
      <c r="E55" s="172"/>
      <c r="F55" s="172"/>
      <c r="H55" s="172"/>
      <c r="I55" s="172"/>
      <c r="J55" s="172"/>
    </row>
    <row r="56" spans="2:14" s="4" customFormat="1" ht="15" hidden="1">
      <c r="B56" s="49" t="s">
        <v>415</v>
      </c>
      <c r="C56" s="48" t="s">
        <v>222</v>
      </c>
      <c r="D56" s="173"/>
      <c r="E56" s="173"/>
      <c r="F56" s="173"/>
      <c r="H56" s="173"/>
      <c r="I56" s="173"/>
      <c r="J56" s="173"/>
    </row>
    <row r="57" spans="2:14" s="4" customFormat="1" ht="15" hidden="1">
      <c r="B57" s="49" t="s">
        <v>414</v>
      </c>
      <c r="C57" s="48" t="s">
        <v>223</v>
      </c>
      <c r="D57" s="173"/>
      <c r="E57" s="173"/>
      <c r="F57" s="173"/>
      <c r="H57" s="173"/>
      <c r="I57" s="173"/>
      <c r="J57" s="173"/>
    </row>
    <row r="58" spans="2:14" s="4" customFormat="1" ht="15" hidden="1">
      <c r="B58" s="49" t="s">
        <v>413</v>
      </c>
      <c r="C58" s="48" t="s">
        <v>224</v>
      </c>
      <c r="D58" s="173"/>
      <c r="E58" s="173"/>
      <c r="F58" s="173"/>
      <c r="H58" s="173"/>
      <c r="I58" s="173"/>
      <c r="J58" s="173"/>
    </row>
    <row r="59" spans="2:14">
      <c r="B59" s="75"/>
      <c r="C59" s="47"/>
      <c r="D59" s="176"/>
      <c r="E59" s="176"/>
      <c r="F59" s="176"/>
      <c r="H59" s="176"/>
      <c r="I59" s="176"/>
      <c r="J59" s="176"/>
      <c r="L59" s="4"/>
      <c r="M59" s="4"/>
      <c r="N59" s="4"/>
    </row>
    <row r="60" spans="2:14" s="4" customFormat="1" ht="21">
      <c r="B60" s="73" t="s">
        <v>225</v>
      </c>
      <c r="C60" s="33"/>
      <c r="D60" s="169"/>
      <c r="E60" s="169"/>
      <c r="F60" s="169"/>
      <c r="H60" s="169"/>
      <c r="I60" s="169"/>
      <c r="J60" s="169"/>
    </row>
    <row r="61" spans="2:14">
      <c r="B61" s="76"/>
      <c r="D61" s="177"/>
      <c r="E61" s="177"/>
      <c r="F61" s="177"/>
      <c r="H61" s="177"/>
      <c r="I61" s="177"/>
      <c r="J61" s="177"/>
      <c r="L61" s="4"/>
      <c r="M61" s="4"/>
      <c r="N61" s="4"/>
    </row>
    <row r="62" spans="2:14" s="4" customFormat="1" ht="15">
      <c r="B62" s="56">
        <v>10</v>
      </c>
      <c r="C62" s="45" t="s">
        <v>226</v>
      </c>
      <c r="D62" s="173">
        <f>SUMIFS(FORMULAGE!$BD:$BD,FORMULAGE!$A:$A,$B62)</f>
        <v>160.57999999999998</v>
      </c>
      <c r="E62" s="173">
        <f>SUMIFS(FORMULAGE!$BJ:$BJ,FORMULAGE!$A:$A,$B62)</f>
        <v>160.57999999999998</v>
      </c>
      <c r="F62" s="173">
        <f>SUMIFS(FORMULAGE!$BK:$BK,FORMULAGE!$A:$A,$B62)</f>
        <v>0</v>
      </c>
      <c r="G62" s="24"/>
      <c r="H62" s="173">
        <v>160.31</v>
      </c>
      <c r="I62" s="173">
        <v>160.31</v>
      </c>
      <c r="J62" s="173">
        <v>0</v>
      </c>
    </row>
    <row r="63" spans="2:14" s="4" customFormat="1" ht="15">
      <c r="B63" s="56">
        <f t="shared" ref="B63:B94" si="0">B62+1</f>
        <v>11</v>
      </c>
      <c r="C63" s="45" t="s">
        <v>227</v>
      </c>
      <c r="D63" s="173">
        <f>SUMIFS(FORMULAGE!$BD:$BD,FORMULAGE!$A:$A,$B63)</f>
        <v>134.15</v>
      </c>
      <c r="E63" s="173">
        <f>SUMIFS(FORMULAGE!$BJ:$BJ,FORMULAGE!$A:$A,$B63)</f>
        <v>134.15</v>
      </c>
      <c r="F63" s="173">
        <f>SUMIFS(FORMULAGE!$BK:$BK,FORMULAGE!$A:$A,$B63)</f>
        <v>0</v>
      </c>
      <c r="G63" s="24"/>
      <c r="H63" s="173">
        <v>133.6</v>
      </c>
      <c r="I63" s="173">
        <v>133.6</v>
      </c>
      <c r="J63" s="173">
        <v>0</v>
      </c>
    </row>
    <row r="64" spans="2:14" s="4" customFormat="1" ht="15">
      <c r="B64" s="56">
        <f t="shared" si="0"/>
        <v>12</v>
      </c>
      <c r="C64" s="45" t="s">
        <v>228</v>
      </c>
      <c r="D64" s="173">
        <f>SUMIFS(FORMULAGE!$BD:$BD,FORMULAGE!$A:$A,$B64)</f>
        <v>0</v>
      </c>
      <c r="E64" s="173">
        <f>SUMIFS(FORMULAGE!$BJ:$BJ,FORMULAGE!$A:$A,$B64)</f>
        <v>0</v>
      </c>
      <c r="F64" s="173">
        <f>SUMIFS(FORMULAGE!$BK:$BK,FORMULAGE!$A:$A,$B64)</f>
        <v>0</v>
      </c>
      <c r="G64" s="24"/>
      <c r="H64" s="173">
        <v>0</v>
      </c>
      <c r="I64" s="173">
        <v>0</v>
      </c>
      <c r="J64" s="173">
        <v>0</v>
      </c>
    </row>
    <row r="65" spans="2:10" s="4" customFormat="1" ht="15">
      <c r="B65" s="56">
        <f t="shared" si="0"/>
        <v>13</v>
      </c>
      <c r="C65" s="45" t="s">
        <v>229</v>
      </c>
      <c r="D65" s="173">
        <f>SUMIFS(FORMULAGE!$BD:$BD,FORMULAGE!$A:$A,$B65)</f>
        <v>0</v>
      </c>
      <c r="E65" s="173">
        <f>SUMIFS(FORMULAGE!$BJ:$BJ,FORMULAGE!$A:$A,$B65)</f>
        <v>0</v>
      </c>
      <c r="F65" s="173">
        <f>SUMIFS(FORMULAGE!$BK:$BK,FORMULAGE!$A:$A,$B65)</f>
        <v>0</v>
      </c>
      <c r="G65" s="24"/>
      <c r="H65" s="173">
        <v>0</v>
      </c>
      <c r="I65" s="173">
        <v>0</v>
      </c>
      <c r="J65" s="173">
        <v>0</v>
      </c>
    </row>
    <row r="66" spans="2:10" s="4" customFormat="1" ht="15">
      <c r="B66" s="56">
        <f t="shared" si="0"/>
        <v>14</v>
      </c>
      <c r="C66" s="45" t="s">
        <v>230</v>
      </c>
      <c r="D66" s="173">
        <f>SUMIFS(FORMULAGE!$BD:$BD,FORMULAGE!$A:$A,$B66)</f>
        <v>0</v>
      </c>
      <c r="E66" s="173">
        <f>SUMIFS(FORMULAGE!$BJ:$BJ,FORMULAGE!$A:$A,$B66)</f>
        <v>0</v>
      </c>
      <c r="F66" s="173">
        <f>SUMIFS(FORMULAGE!$BK:$BK,FORMULAGE!$A:$A,$B66)</f>
        <v>0</v>
      </c>
      <c r="G66" s="24"/>
      <c r="H66" s="173">
        <v>0</v>
      </c>
      <c r="I66" s="173">
        <v>0</v>
      </c>
      <c r="J66" s="173">
        <v>0</v>
      </c>
    </row>
    <row r="67" spans="2:10" s="4" customFormat="1" ht="15">
      <c r="B67" s="56">
        <f t="shared" si="0"/>
        <v>15</v>
      </c>
      <c r="C67" s="45" t="s">
        <v>230</v>
      </c>
      <c r="D67" s="173">
        <f>SUMIFS(FORMULAGE!$BD:$BD,FORMULAGE!$A:$A,$B67)</f>
        <v>0</v>
      </c>
      <c r="E67" s="173">
        <f>SUMIFS(FORMULAGE!$BJ:$BJ,FORMULAGE!$A:$A,$B67)</f>
        <v>0</v>
      </c>
      <c r="F67" s="173">
        <f>SUMIFS(FORMULAGE!$BK:$BK,FORMULAGE!$A:$A,$B67)</f>
        <v>0</v>
      </c>
      <c r="G67" s="24"/>
      <c r="H67" s="173">
        <v>0</v>
      </c>
      <c r="I67" s="173">
        <v>0</v>
      </c>
      <c r="J67" s="173">
        <v>0</v>
      </c>
    </row>
    <row r="68" spans="2:10" s="4" customFormat="1" ht="15">
      <c r="B68" s="56">
        <f t="shared" si="0"/>
        <v>16</v>
      </c>
      <c r="C68" s="45" t="s">
        <v>230</v>
      </c>
      <c r="D68" s="173">
        <f>SUMIFS(FORMULAGE!$BD:$BD,FORMULAGE!$A:$A,$B68)</f>
        <v>0</v>
      </c>
      <c r="E68" s="173">
        <f>SUMIFS(FORMULAGE!$BJ:$BJ,FORMULAGE!$A:$A,$B68)</f>
        <v>0</v>
      </c>
      <c r="F68" s="173">
        <f>SUMIFS(FORMULAGE!$BK:$BK,FORMULAGE!$A:$A,$B68)</f>
        <v>0</v>
      </c>
      <c r="G68" s="24"/>
      <c r="H68" s="173">
        <v>0</v>
      </c>
      <c r="I68" s="173">
        <v>0</v>
      </c>
      <c r="J68" s="173">
        <v>0</v>
      </c>
    </row>
    <row r="69" spans="2:10" s="4" customFormat="1" ht="15">
      <c r="B69" s="56">
        <f t="shared" si="0"/>
        <v>17</v>
      </c>
      <c r="C69" s="45" t="s">
        <v>230</v>
      </c>
      <c r="D69" s="173">
        <f>SUMIFS(FORMULAGE!$BD:$BD,FORMULAGE!$A:$A,$B69)</f>
        <v>0</v>
      </c>
      <c r="E69" s="173">
        <f>SUMIFS(FORMULAGE!$BJ:$BJ,FORMULAGE!$A:$A,$B69)</f>
        <v>0</v>
      </c>
      <c r="F69" s="173">
        <f>SUMIFS(FORMULAGE!$BK:$BK,FORMULAGE!$A:$A,$B69)</f>
        <v>0</v>
      </c>
      <c r="G69" s="24"/>
      <c r="H69" s="173">
        <v>0</v>
      </c>
      <c r="I69" s="173">
        <v>0</v>
      </c>
      <c r="J69" s="173">
        <v>0</v>
      </c>
    </row>
    <row r="70" spans="2:10" s="4" customFormat="1" ht="15">
      <c r="B70" s="56">
        <f t="shared" si="0"/>
        <v>18</v>
      </c>
      <c r="C70" s="45" t="s">
        <v>231</v>
      </c>
      <c r="D70" s="173">
        <f>SUMIFS(FORMULAGE!$BD:$BD,FORMULAGE!$A:$A,$B70)</f>
        <v>0</v>
      </c>
      <c r="E70" s="173">
        <f>SUMIFS(FORMULAGE!$BJ:$BJ,FORMULAGE!$A:$A,$B70)</f>
        <v>0</v>
      </c>
      <c r="F70" s="173">
        <f>SUMIFS(FORMULAGE!$BK:$BK,FORMULAGE!$A:$A,$B70)</f>
        <v>0</v>
      </c>
      <c r="G70" s="24"/>
      <c r="H70" s="173">
        <v>0</v>
      </c>
      <c r="I70" s="173">
        <v>0</v>
      </c>
      <c r="J70" s="173">
        <v>0</v>
      </c>
    </row>
    <row r="71" spans="2:10" s="4" customFormat="1" ht="15">
      <c r="B71" s="56">
        <f t="shared" si="0"/>
        <v>19</v>
      </c>
      <c r="C71" s="45" t="s">
        <v>232</v>
      </c>
      <c r="D71" s="173">
        <f>SUMIFS(FORMULAGE!$BD:$BD,FORMULAGE!$A:$A,$B71)</f>
        <v>108.94999999999999</v>
      </c>
      <c r="E71" s="173">
        <f>SUMIFS(FORMULAGE!$BJ:$BJ,FORMULAGE!$A:$A,$B71)</f>
        <v>108.94999999999999</v>
      </c>
      <c r="F71" s="173">
        <f>SUMIFS(FORMULAGE!$BK:$BK,FORMULAGE!$A:$A,$B71)</f>
        <v>0</v>
      </c>
      <c r="G71" s="24"/>
      <c r="H71" s="173">
        <v>210.18</v>
      </c>
      <c r="I71" s="173">
        <v>210.18</v>
      </c>
      <c r="J71" s="173">
        <v>0</v>
      </c>
    </row>
    <row r="72" spans="2:10" s="4" customFormat="1" ht="15">
      <c r="B72" s="56">
        <f t="shared" si="0"/>
        <v>20</v>
      </c>
      <c r="C72" s="45" t="s">
        <v>233</v>
      </c>
      <c r="D72" s="173">
        <f>SUMIFS(FORMULAGE!$BD:$BD,FORMULAGE!$A:$A,$B72)</f>
        <v>0</v>
      </c>
      <c r="E72" s="173">
        <f>SUMIFS(FORMULAGE!$BJ:$BJ,FORMULAGE!$A:$A,$B72)</f>
        <v>0</v>
      </c>
      <c r="F72" s="173">
        <f>SUMIFS(FORMULAGE!$BK:$BK,FORMULAGE!$A:$A,$B72)</f>
        <v>0</v>
      </c>
      <c r="G72" s="24"/>
      <c r="H72" s="173">
        <v>0</v>
      </c>
      <c r="I72" s="173">
        <v>0</v>
      </c>
      <c r="J72" s="173">
        <v>0</v>
      </c>
    </row>
    <row r="73" spans="2:10" s="4" customFormat="1" ht="15">
      <c r="B73" s="56">
        <f t="shared" si="0"/>
        <v>21</v>
      </c>
      <c r="C73" s="45" t="s">
        <v>234</v>
      </c>
      <c r="D73" s="173">
        <f>SUMIFS(FORMULAGE!$BD:$BD,FORMULAGE!$A:$A,$B73)</f>
        <v>0</v>
      </c>
      <c r="E73" s="173">
        <f>SUMIFS(FORMULAGE!$BJ:$BJ,FORMULAGE!$A:$A,$B73)</f>
        <v>0</v>
      </c>
      <c r="F73" s="173">
        <f>SUMIFS(FORMULAGE!$BK:$BK,FORMULAGE!$A:$A,$B73)</f>
        <v>0</v>
      </c>
      <c r="G73" s="24"/>
      <c r="H73" s="173">
        <v>0</v>
      </c>
      <c r="I73" s="173">
        <v>0</v>
      </c>
      <c r="J73" s="173">
        <v>0</v>
      </c>
    </row>
    <row r="74" spans="2:10" s="4" customFormat="1" ht="15">
      <c r="B74" s="56">
        <f t="shared" si="0"/>
        <v>22</v>
      </c>
      <c r="C74" s="45" t="s">
        <v>235</v>
      </c>
      <c r="D74" s="173">
        <f>SUMIFS(FORMULAGE!$BD:$BD,FORMULAGE!$A:$A,$B74)</f>
        <v>51.41</v>
      </c>
      <c r="E74" s="173">
        <f>SUMIFS(FORMULAGE!$BJ:$BJ,FORMULAGE!$A:$A,$B74)</f>
        <v>51.41</v>
      </c>
      <c r="F74" s="173">
        <f>SUMIFS(FORMULAGE!$BK:$BK,FORMULAGE!$A:$A,$B74)</f>
        <v>0</v>
      </c>
      <c r="G74" s="24"/>
      <c r="H74" s="173">
        <v>51.41</v>
      </c>
      <c r="I74" s="173">
        <v>51.41</v>
      </c>
      <c r="J74" s="173">
        <v>0</v>
      </c>
    </row>
    <row r="75" spans="2:10" s="4" customFormat="1" ht="15">
      <c r="B75" s="56">
        <f t="shared" si="0"/>
        <v>23</v>
      </c>
      <c r="C75" s="45" t="s">
        <v>236</v>
      </c>
      <c r="D75" s="173">
        <f>SUMIFS(FORMULAGE!$BD:$BD,FORMULAGE!$A:$A,$B75)</f>
        <v>16564.249999999996</v>
      </c>
      <c r="E75" s="173">
        <f>SUMIFS(FORMULAGE!$BJ:$BJ,FORMULAGE!$A:$A,$B75)</f>
        <v>16564.249999999996</v>
      </c>
      <c r="F75" s="173">
        <f>SUMIFS(FORMULAGE!$BK:$BK,FORMULAGE!$A:$A,$B75)</f>
        <v>0</v>
      </c>
      <c r="G75" s="24"/>
      <c r="H75" s="173">
        <v>16639.550000000003</v>
      </c>
      <c r="I75" s="173">
        <v>16639.550000000003</v>
      </c>
      <c r="J75" s="173">
        <v>0</v>
      </c>
    </row>
    <row r="76" spans="2:10" s="4" customFormat="1" ht="15">
      <c r="B76" s="56">
        <f t="shared" si="0"/>
        <v>24</v>
      </c>
      <c r="C76" s="45" t="s">
        <v>237</v>
      </c>
      <c r="D76" s="173">
        <f>SUMIFS(FORMULAGE!$BD:$BD,FORMULAGE!$A:$A,$B76)</f>
        <v>560</v>
      </c>
      <c r="E76" s="173">
        <f>SUMIFS(FORMULAGE!$BJ:$BJ,FORMULAGE!$A:$A,$B76)</f>
        <v>560</v>
      </c>
      <c r="F76" s="173">
        <f>SUMIFS(FORMULAGE!$BK:$BK,FORMULAGE!$A:$A,$B76)</f>
        <v>0</v>
      </c>
      <c r="G76" s="24"/>
      <c r="H76" s="173">
        <v>760</v>
      </c>
      <c r="I76" s="173">
        <v>760</v>
      </c>
      <c r="J76" s="173">
        <v>0</v>
      </c>
    </row>
    <row r="77" spans="2:10" s="4" customFormat="1" ht="15">
      <c r="B77" s="56">
        <f t="shared" si="0"/>
        <v>25</v>
      </c>
      <c r="C77" s="45" t="s">
        <v>238</v>
      </c>
      <c r="D77" s="173">
        <f>SUMIFS(FORMULAGE!$BD:$BD,FORMULAGE!$A:$A,$B77)</f>
        <v>0</v>
      </c>
      <c r="E77" s="173">
        <f>SUMIFS(FORMULAGE!$BJ:$BJ,FORMULAGE!$A:$A,$B77)</f>
        <v>0</v>
      </c>
      <c r="F77" s="173">
        <f>SUMIFS(FORMULAGE!$BK:$BK,FORMULAGE!$A:$A,$B77)</f>
        <v>0</v>
      </c>
      <c r="G77" s="24"/>
      <c r="H77" s="173">
        <v>0</v>
      </c>
      <c r="I77" s="173">
        <v>0</v>
      </c>
      <c r="J77" s="173">
        <v>0</v>
      </c>
    </row>
    <row r="78" spans="2:10" s="4" customFormat="1" ht="15">
      <c r="B78" s="56">
        <f t="shared" si="0"/>
        <v>26</v>
      </c>
      <c r="C78" s="45" t="s">
        <v>238</v>
      </c>
      <c r="D78" s="173">
        <f>SUMIFS(FORMULAGE!$BD:$BD,FORMULAGE!$A:$A,$B78)</f>
        <v>0</v>
      </c>
      <c r="E78" s="173">
        <f>SUMIFS(FORMULAGE!$BJ:$BJ,FORMULAGE!$A:$A,$B78)</f>
        <v>0</v>
      </c>
      <c r="F78" s="173">
        <f>SUMIFS(FORMULAGE!$BK:$BK,FORMULAGE!$A:$A,$B78)</f>
        <v>0</v>
      </c>
      <c r="G78" s="24"/>
      <c r="H78" s="173">
        <v>0</v>
      </c>
      <c r="I78" s="173">
        <v>0</v>
      </c>
      <c r="J78" s="173">
        <v>0</v>
      </c>
    </row>
    <row r="79" spans="2:10" s="4" customFormat="1" ht="15">
      <c r="B79" s="56">
        <f t="shared" si="0"/>
        <v>27</v>
      </c>
      <c r="C79" s="45" t="s">
        <v>239</v>
      </c>
      <c r="D79" s="173">
        <f>SUMIFS(FORMULAGE!$BD:$BD,FORMULAGE!$A:$A,$B79)</f>
        <v>667.2</v>
      </c>
      <c r="E79" s="173">
        <f>SUMIFS(FORMULAGE!$BJ:$BJ,FORMULAGE!$A:$A,$B79)</f>
        <v>667.2</v>
      </c>
      <c r="F79" s="173">
        <f>SUMIFS(FORMULAGE!$BK:$BK,FORMULAGE!$A:$A,$B79)</f>
        <v>0</v>
      </c>
      <c r="G79" s="24"/>
      <c r="H79" s="173">
        <v>658.96</v>
      </c>
      <c r="I79" s="173">
        <v>658.96</v>
      </c>
      <c r="J79" s="173">
        <v>0</v>
      </c>
    </row>
    <row r="80" spans="2:10" s="4" customFormat="1" ht="15">
      <c r="B80" s="56">
        <f t="shared" si="0"/>
        <v>28</v>
      </c>
      <c r="C80" s="45" t="s">
        <v>240</v>
      </c>
      <c r="D80" s="173">
        <f>SUMIFS(FORMULAGE!$BD:$BD,FORMULAGE!$A:$A,$B80)</f>
        <v>0</v>
      </c>
      <c r="E80" s="173">
        <f>SUMIFS(FORMULAGE!$BJ:$BJ,FORMULAGE!$A:$A,$B80)</f>
        <v>0</v>
      </c>
      <c r="F80" s="173">
        <f>SUMIFS(FORMULAGE!$BK:$BK,FORMULAGE!$A:$A,$B80)</f>
        <v>0</v>
      </c>
      <c r="G80" s="24"/>
      <c r="H80" s="173">
        <v>0</v>
      </c>
      <c r="I80" s="173">
        <v>0</v>
      </c>
      <c r="J80" s="173">
        <v>0</v>
      </c>
    </row>
    <row r="81" spans="2:10" s="4" customFormat="1" ht="15">
      <c r="B81" s="56">
        <f t="shared" si="0"/>
        <v>29</v>
      </c>
      <c r="C81" s="45" t="s">
        <v>241</v>
      </c>
      <c r="D81" s="173">
        <f>SUMIFS(FORMULAGE!$BD:$BD,FORMULAGE!$A:$A,$B81)</f>
        <v>0</v>
      </c>
      <c r="E81" s="173">
        <f>SUMIFS(FORMULAGE!$BJ:$BJ,FORMULAGE!$A:$A,$B81)</f>
        <v>0</v>
      </c>
      <c r="F81" s="173">
        <f>SUMIFS(FORMULAGE!$BK:$BK,FORMULAGE!$A:$A,$B81)</f>
        <v>0</v>
      </c>
      <c r="G81" s="24"/>
      <c r="H81" s="173">
        <v>0</v>
      </c>
      <c r="I81" s="173">
        <v>0</v>
      </c>
      <c r="J81" s="173">
        <v>0</v>
      </c>
    </row>
    <row r="82" spans="2:10" s="4" customFormat="1" ht="15">
      <c r="B82" s="56">
        <f t="shared" si="0"/>
        <v>30</v>
      </c>
      <c r="C82" s="45" t="s">
        <v>242</v>
      </c>
      <c r="D82" s="173">
        <f>SUMIFS(FORMULAGE!$BD:$BD,FORMULAGE!$A:$A,$B82)</f>
        <v>0</v>
      </c>
      <c r="E82" s="173">
        <f>SUMIFS(FORMULAGE!$BJ:$BJ,FORMULAGE!$A:$A,$B82)</f>
        <v>0</v>
      </c>
      <c r="F82" s="173">
        <f>SUMIFS(FORMULAGE!$BK:$BK,FORMULAGE!$A:$A,$B82)</f>
        <v>0</v>
      </c>
      <c r="G82" s="24"/>
      <c r="H82" s="173">
        <v>0</v>
      </c>
      <c r="I82" s="173">
        <v>0</v>
      </c>
      <c r="J82" s="173">
        <v>0</v>
      </c>
    </row>
    <row r="83" spans="2:10" s="4" customFormat="1" ht="15">
      <c r="B83" s="56">
        <f t="shared" si="0"/>
        <v>31</v>
      </c>
      <c r="C83" s="45" t="s">
        <v>243</v>
      </c>
      <c r="D83" s="173">
        <f>SUMIFS(FORMULAGE!$BD:$BD,FORMULAGE!$A:$A,$B83)</f>
        <v>0</v>
      </c>
      <c r="E83" s="173">
        <f>SUMIFS(FORMULAGE!$BJ:$BJ,FORMULAGE!$A:$A,$B83)</f>
        <v>0</v>
      </c>
      <c r="F83" s="173">
        <f>SUMIFS(FORMULAGE!$BK:$BK,FORMULAGE!$A:$A,$B83)</f>
        <v>0</v>
      </c>
      <c r="G83" s="24"/>
      <c r="H83" s="173">
        <v>0</v>
      </c>
      <c r="I83" s="173">
        <v>0</v>
      </c>
      <c r="J83" s="173">
        <v>0</v>
      </c>
    </row>
    <row r="84" spans="2:10" s="4" customFormat="1" ht="15">
      <c r="B84" s="56">
        <f t="shared" si="0"/>
        <v>32</v>
      </c>
      <c r="C84" s="45" t="s">
        <v>243</v>
      </c>
      <c r="D84" s="173">
        <f>SUMIFS(FORMULAGE!$BD:$BD,FORMULAGE!$A:$A,$B84)</f>
        <v>0</v>
      </c>
      <c r="E84" s="173">
        <f>SUMIFS(FORMULAGE!$BJ:$BJ,FORMULAGE!$A:$A,$B84)</f>
        <v>0</v>
      </c>
      <c r="F84" s="173">
        <f>SUMIFS(FORMULAGE!$BK:$BK,FORMULAGE!$A:$A,$B84)</f>
        <v>0</v>
      </c>
      <c r="G84" s="24"/>
      <c r="H84" s="173">
        <v>0</v>
      </c>
      <c r="I84" s="173">
        <v>0</v>
      </c>
      <c r="J84" s="173">
        <v>0</v>
      </c>
    </row>
    <row r="85" spans="2:10" s="4" customFormat="1" ht="15">
      <c r="B85" s="56">
        <f t="shared" si="0"/>
        <v>33</v>
      </c>
      <c r="C85" s="45" t="s">
        <v>244</v>
      </c>
      <c r="D85" s="173">
        <f>SUMIFS(FORMULAGE!$BD:$BD,FORMULAGE!$A:$A,$B85)</f>
        <v>0</v>
      </c>
      <c r="E85" s="173">
        <f>SUMIFS(FORMULAGE!$BJ:$BJ,FORMULAGE!$A:$A,$B85)</f>
        <v>0</v>
      </c>
      <c r="F85" s="173">
        <f>SUMIFS(FORMULAGE!$BK:$BK,FORMULAGE!$A:$A,$B85)</f>
        <v>0</v>
      </c>
      <c r="G85" s="24"/>
      <c r="H85" s="173">
        <v>0</v>
      </c>
      <c r="I85" s="173">
        <v>0</v>
      </c>
      <c r="J85" s="173">
        <v>0</v>
      </c>
    </row>
    <row r="86" spans="2:10" s="4" customFormat="1" ht="15">
      <c r="B86" s="56">
        <f t="shared" si="0"/>
        <v>34</v>
      </c>
      <c r="C86" s="45" t="s">
        <v>245</v>
      </c>
      <c r="D86" s="173">
        <f>SUMIFS(FORMULAGE!$BD:$BD,FORMULAGE!$A:$A,$B86)</f>
        <v>0</v>
      </c>
      <c r="E86" s="173">
        <f>SUMIFS(FORMULAGE!$BJ:$BJ,FORMULAGE!$A:$A,$B86)</f>
        <v>0</v>
      </c>
      <c r="F86" s="173">
        <f>SUMIFS(FORMULAGE!$BK:$BK,FORMULAGE!$A:$A,$B86)</f>
        <v>0</v>
      </c>
      <c r="G86" s="24"/>
      <c r="H86" s="173">
        <v>0</v>
      </c>
      <c r="I86" s="173">
        <v>0</v>
      </c>
      <c r="J86" s="173">
        <v>0</v>
      </c>
    </row>
    <row r="87" spans="2:10" s="4" customFormat="1" ht="15">
      <c r="B87" s="56">
        <f t="shared" si="0"/>
        <v>35</v>
      </c>
      <c r="C87" s="45" t="s">
        <v>246</v>
      </c>
      <c r="D87" s="173">
        <f>SUMIFS(FORMULAGE!$BD:$BD,FORMULAGE!$A:$A,$B87)</f>
        <v>0</v>
      </c>
      <c r="E87" s="173">
        <f>SUMIFS(FORMULAGE!$BJ:$BJ,FORMULAGE!$A:$A,$B87)</f>
        <v>0</v>
      </c>
      <c r="F87" s="173">
        <f>SUMIFS(FORMULAGE!$BK:$BK,FORMULAGE!$A:$A,$B87)</f>
        <v>0</v>
      </c>
      <c r="G87" s="24"/>
      <c r="H87" s="173">
        <v>0</v>
      </c>
      <c r="I87" s="173">
        <v>0</v>
      </c>
      <c r="J87" s="173">
        <v>0</v>
      </c>
    </row>
    <row r="88" spans="2:10" s="4" customFormat="1" ht="15">
      <c r="B88" s="56">
        <f t="shared" si="0"/>
        <v>36</v>
      </c>
      <c r="C88" s="45" t="s">
        <v>247</v>
      </c>
      <c r="D88" s="173">
        <f>SUMIFS(FORMULAGE!$BD:$BD,FORMULAGE!$A:$A,$B88)</f>
        <v>0</v>
      </c>
      <c r="E88" s="173">
        <f>SUMIFS(FORMULAGE!$BJ:$BJ,FORMULAGE!$A:$A,$B88)</f>
        <v>0</v>
      </c>
      <c r="F88" s="173">
        <f>SUMIFS(FORMULAGE!$BK:$BK,FORMULAGE!$A:$A,$B88)</f>
        <v>0</v>
      </c>
      <c r="G88" s="24"/>
      <c r="H88" s="173">
        <v>0</v>
      </c>
      <c r="I88" s="173">
        <v>0</v>
      </c>
      <c r="J88" s="173">
        <v>0</v>
      </c>
    </row>
    <row r="89" spans="2:10" s="4" customFormat="1" ht="15">
      <c r="B89" s="56">
        <f t="shared" si="0"/>
        <v>37</v>
      </c>
      <c r="C89" s="45" t="s">
        <v>248</v>
      </c>
      <c r="D89" s="173">
        <f>SUMIFS(FORMULAGE!$BD:$BD,FORMULAGE!$A:$A,$B89)</f>
        <v>0</v>
      </c>
      <c r="E89" s="173">
        <f>SUMIFS(FORMULAGE!$BJ:$BJ,FORMULAGE!$A:$A,$B89)</f>
        <v>0</v>
      </c>
      <c r="F89" s="173">
        <f>SUMIFS(FORMULAGE!$BK:$BK,FORMULAGE!$A:$A,$B89)</f>
        <v>0</v>
      </c>
      <c r="G89" s="24"/>
      <c r="H89" s="173">
        <v>0</v>
      </c>
      <c r="I89" s="173">
        <v>0</v>
      </c>
      <c r="J89" s="173">
        <v>0</v>
      </c>
    </row>
    <row r="90" spans="2:10" s="4" customFormat="1" ht="15">
      <c r="B90" s="56">
        <f t="shared" si="0"/>
        <v>38</v>
      </c>
      <c r="C90" s="45" t="s">
        <v>249</v>
      </c>
      <c r="D90" s="173">
        <f>SUMIFS(FORMULAGE!$BD:$BD,FORMULAGE!$A:$A,$B90)</f>
        <v>0</v>
      </c>
      <c r="E90" s="173">
        <f>SUMIFS(FORMULAGE!$BJ:$BJ,FORMULAGE!$A:$A,$B90)</f>
        <v>0</v>
      </c>
      <c r="F90" s="173">
        <f>SUMIFS(FORMULAGE!$BK:$BK,FORMULAGE!$A:$A,$B90)</f>
        <v>0</v>
      </c>
      <c r="G90" s="24"/>
      <c r="H90" s="173">
        <v>0</v>
      </c>
      <c r="I90" s="173">
        <v>0</v>
      </c>
      <c r="J90" s="173">
        <v>0</v>
      </c>
    </row>
    <row r="91" spans="2:10" s="4" customFormat="1" ht="15">
      <c r="B91" s="56">
        <f t="shared" si="0"/>
        <v>39</v>
      </c>
      <c r="C91" s="45" t="s">
        <v>250</v>
      </c>
      <c r="D91" s="173">
        <f>SUMIFS(FORMULAGE!$BD:$BD,FORMULAGE!$A:$A,$B91)</f>
        <v>70.7</v>
      </c>
      <c r="E91" s="173">
        <f>SUMIFS(FORMULAGE!$BJ:$BJ,FORMULAGE!$A:$A,$B91)</f>
        <v>70.7</v>
      </c>
      <c r="F91" s="173">
        <f>SUMIFS(FORMULAGE!$BK:$BK,FORMULAGE!$A:$A,$B91)</f>
        <v>0</v>
      </c>
      <c r="G91" s="24"/>
      <c r="H91" s="173">
        <v>70.67</v>
      </c>
      <c r="I91" s="173">
        <v>70.67</v>
      </c>
      <c r="J91" s="173">
        <v>0</v>
      </c>
    </row>
    <row r="92" spans="2:10" s="4" customFormat="1" ht="15">
      <c r="B92" s="56">
        <f t="shared" si="0"/>
        <v>40</v>
      </c>
      <c r="C92" s="45" t="s">
        <v>251</v>
      </c>
      <c r="D92" s="173">
        <f>SUMIFS(FORMULAGE!$BD:$BD,FORMULAGE!$A:$A,$B92)</f>
        <v>0</v>
      </c>
      <c r="E92" s="173">
        <f>SUMIFS(FORMULAGE!$BJ:$BJ,FORMULAGE!$A:$A,$B92)</f>
        <v>0</v>
      </c>
      <c r="F92" s="173">
        <f>SUMIFS(FORMULAGE!$BK:$BK,FORMULAGE!$A:$A,$B92)</f>
        <v>0</v>
      </c>
      <c r="G92" s="24"/>
      <c r="H92" s="173">
        <v>0</v>
      </c>
      <c r="I92" s="173">
        <v>0</v>
      </c>
      <c r="J92" s="173">
        <v>0</v>
      </c>
    </row>
    <row r="93" spans="2:10" s="4" customFormat="1" ht="15">
      <c r="B93" s="56">
        <f t="shared" si="0"/>
        <v>41</v>
      </c>
      <c r="C93" s="45" t="s">
        <v>252</v>
      </c>
      <c r="D93" s="173">
        <f>SUMIFS(FORMULAGE!$BD:$BD,FORMULAGE!$A:$A,$B93)</f>
        <v>0</v>
      </c>
      <c r="E93" s="173">
        <f>SUMIFS(FORMULAGE!$BJ:$BJ,FORMULAGE!$A:$A,$B93)</f>
        <v>0</v>
      </c>
      <c r="F93" s="173">
        <f>SUMIFS(FORMULAGE!$BK:$BK,FORMULAGE!$A:$A,$B93)</f>
        <v>0</v>
      </c>
      <c r="G93" s="24"/>
      <c r="H93" s="173">
        <v>0</v>
      </c>
      <c r="I93" s="173">
        <v>0</v>
      </c>
      <c r="J93" s="173">
        <v>0</v>
      </c>
    </row>
    <row r="94" spans="2:10" s="4" customFormat="1" ht="15">
      <c r="B94" s="56">
        <f t="shared" si="0"/>
        <v>42</v>
      </c>
      <c r="C94" s="45" t="s">
        <v>253</v>
      </c>
      <c r="D94" s="173">
        <f>SUMIFS(FORMULAGE!$BD:$BD,FORMULAGE!$A:$A,$B94)</f>
        <v>0</v>
      </c>
      <c r="E94" s="173">
        <f>SUMIFS(FORMULAGE!$BJ:$BJ,FORMULAGE!$A:$A,$B94)</f>
        <v>0</v>
      </c>
      <c r="F94" s="173">
        <f>SUMIFS(FORMULAGE!$BK:$BK,FORMULAGE!$A:$A,$B94)</f>
        <v>0</v>
      </c>
      <c r="G94" s="24"/>
      <c r="H94" s="173">
        <v>0</v>
      </c>
      <c r="I94" s="173">
        <v>0</v>
      </c>
      <c r="J94" s="173">
        <v>0</v>
      </c>
    </row>
    <row r="95" spans="2:10" s="4" customFormat="1" ht="15">
      <c r="B95" s="56">
        <f t="shared" ref="B95:B126" si="1">B94+1</f>
        <v>43</v>
      </c>
      <c r="C95" s="45" t="s">
        <v>254</v>
      </c>
      <c r="D95" s="173">
        <f>SUMIFS(FORMULAGE!$BD:$BD,FORMULAGE!$A:$A,$B95)</f>
        <v>0</v>
      </c>
      <c r="E95" s="173">
        <f>SUMIFS(FORMULAGE!$BJ:$BJ,FORMULAGE!$A:$A,$B95)</f>
        <v>0</v>
      </c>
      <c r="F95" s="173">
        <f>SUMIFS(FORMULAGE!$BK:$BK,FORMULAGE!$A:$A,$B95)</f>
        <v>0</v>
      </c>
      <c r="G95" s="24"/>
      <c r="H95" s="173">
        <v>0</v>
      </c>
      <c r="I95" s="173">
        <v>0</v>
      </c>
      <c r="J95" s="173">
        <v>0</v>
      </c>
    </row>
    <row r="96" spans="2:10" s="4" customFormat="1" ht="15">
      <c r="B96" s="56">
        <f t="shared" si="1"/>
        <v>44</v>
      </c>
      <c r="C96" s="45" t="s">
        <v>255</v>
      </c>
      <c r="D96" s="173">
        <f>SUMIFS(FORMULAGE!$BD:$BD,FORMULAGE!$A:$A,$B96)</f>
        <v>2989.07</v>
      </c>
      <c r="E96" s="173">
        <f>SUMIFS(FORMULAGE!$BJ:$BJ,FORMULAGE!$A:$A,$B96)</f>
        <v>2989.07</v>
      </c>
      <c r="F96" s="173">
        <f>SUMIFS(FORMULAGE!$BK:$BK,FORMULAGE!$A:$A,$B96)</f>
        <v>0</v>
      </c>
      <c r="G96" s="24"/>
      <c r="H96" s="173">
        <v>2320.34</v>
      </c>
      <c r="I96" s="173">
        <v>2320.34</v>
      </c>
      <c r="J96" s="173">
        <v>0</v>
      </c>
    </row>
    <row r="97" spans="2:10" s="4" customFormat="1" ht="15">
      <c r="B97" s="56">
        <f t="shared" si="1"/>
        <v>45</v>
      </c>
      <c r="C97" s="45" t="s">
        <v>256</v>
      </c>
      <c r="D97" s="173">
        <f>SUMIFS(FORMULAGE!$BD:$BD,FORMULAGE!$A:$A,$B97)</f>
        <v>0</v>
      </c>
      <c r="E97" s="173">
        <f>SUMIFS(FORMULAGE!$BJ:$BJ,FORMULAGE!$A:$A,$B97)</f>
        <v>0</v>
      </c>
      <c r="F97" s="173">
        <f>SUMIFS(FORMULAGE!$BK:$BK,FORMULAGE!$A:$A,$B97)</f>
        <v>0</v>
      </c>
      <c r="G97" s="24"/>
      <c r="H97" s="173">
        <v>0</v>
      </c>
      <c r="I97" s="173">
        <v>0</v>
      </c>
      <c r="J97" s="173">
        <v>0</v>
      </c>
    </row>
    <row r="98" spans="2:10" s="4" customFormat="1" ht="15">
      <c r="B98" s="56">
        <f t="shared" si="1"/>
        <v>46</v>
      </c>
      <c r="C98" s="46" t="s">
        <v>257</v>
      </c>
      <c r="D98" s="173">
        <f>SUMIFS(FORMULAGE!$BD:$BD,FORMULAGE!$A:$A,$B98)</f>
        <v>15.079999999999998</v>
      </c>
      <c r="E98" s="173">
        <f>SUMIFS(FORMULAGE!$BJ:$BJ,FORMULAGE!$A:$A,$B98)</f>
        <v>15.079999999999998</v>
      </c>
      <c r="F98" s="173">
        <f>SUMIFS(FORMULAGE!$BK:$BK,FORMULAGE!$A:$A,$B98)</f>
        <v>0</v>
      </c>
      <c r="G98" s="24"/>
      <c r="H98" s="173">
        <v>29.050000000000004</v>
      </c>
      <c r="I98" s="173">
        <v>29.050000000000004</v>
      </c>
      <c r="J98" s="173">
        <v>0</v>
      </c>
    </row>
    <row r="99" spans="2:10" s="4" customFormat="1" ht="15">
      <c r="B99" s="56">
        <f t="shared" si="1"/>
        <v>47</v>
      </c>
      <c r="C99" s="46" t="s">
        <v>258</v>
      </c>
      <c r="D99" s="173">
        <f>SUMIFS(FORMULAGE!$BD:$BD,FORMULAGE!$A:$A,$B99)</f>
        <v>3047.11</v>
      </c>
      <c r="E99" s="173">
        <f>SUMIFS(FORMULAGE!$BJ:$BJ,FORMULAGE!$A:$A,$B99)</f>
        <v>3047.11</v>
      </c>
      <c r="F99" s="173">
        <f>SUMIFS(FORMULAGE!$BK:$BK,FORMULAGE!$A:$A,$B99)</f>
        <v>0</v>
      </c>
      <c r="G99" s="34"/>
      <c r="H99" s="173">
        <v>2796.9399999999991</v>
      </c>
      <c r="I99" s="173">
        <v>2796.9399999999991</v>
      </c>
      <c r="J99" s="173">
        <v>0</v>
      </c>
    </row>
    <row r="100" spans="2:10" s="4" customFormat="1" ht="15">
      <c r="B100" s="56">
        <f t="shared" si="1"/>
        <v>48</v>
      </c>
      <c r="C100" s="46" t="s">
        <v>258</v>
      </c>
      <c r="D100" s="173">
        <f>SUMIFS(FORMULAGE!$BD:$BD,FORMULAGE!$A:$A,$B100)</f>
        <v>0</v>
      </c>
      <c r="E100" s="173">
        <f>SUMIFS(FORMULAGE!$BJ:$BJ,FORMULAGE!$A:$A,$B100)</f>
        <v>0</v>
      </c>
      <c r="F100" s="173">
        <f>SUMIFS(FORMULAGE!$BK:$BK,FORMULAGE!$A:$A,$B100)</f>
        <v>0</v>
      </c>
      <c r="G100" s="24"/>
      <c r="H100" s="173">
        <v>0</v>
      </c>
      <c r="I100" s="173">
        <v>0</v>
      </c>
      <c r="J100" s="173">
        <v>0</v>
      </c>
    </row>
    <row r="101" spans="2:10" s="4" customFormat="1" ht="15">
      <c r="B101" s="56">
        <f t="shared" si="1"/>
        <v>49</v>
      </c>
      <c r="C101" s="46" t="s">
        <v>259</v>
      </c>
      <c r="D101" s="173">
        <f>SUMIFS(FORMULAGE!$BD:$BD,FORMULAGE!$A:$A,$B101)</f>
        <v>1086.78</v>
      </c>
      <c r="E101" s="173">
        <f>SUMIFS(FORMULAGE!$BJ:$BJ,FORMULAGE!$A:$A,$B101)</f>
        <v>1086.78</v>
      </c>
      <c r="F101" s="173">
        <f>SUMIFS(FORMULAGE!$BK:$BK,FORMULAGE!$A:$A,$B101)</f>
        <v>0</v>
      </c>
      <c r="G101" s="24"/>
      <c r="H101" s="173">
        <v>1077.8599999999999</v>
      </c>
      <c r="I101" s="173">
        <v>1077.8599999999999</v>
      </c>
      <c r="J101" s="173">
        <v>0</v>
      </c>
    </row>
    <row r="102" spans="2:10" s="4" customFormat="1" ht="15">
      <c r="B102" s="56">
        <f t="shared" si="1"/>
        <v>50</v>
      </c>
      <c r="C102" s="46" t="s">
        <v>260</v>
      </c>
      <c r="D102" s="173">
        <f>SUMIFS(FORMULAGE!$BD:$BD,FORMULAGE!$A:$A,$B102)</f>
        <v>2431.14</v>
      </c>
      <c r="E102" s="173">
        <f>SUMIFS(FORMULAGE!$BJ:$BJ,FORMULAGE!$A:$A,$B102)</f>
        <v>2431.14</v>
      </c>
      <c r="F102" s="173">
        <f>SUMIFS(FORMULAGE!$BK:$BK,FORMULAGE!$A:$A,$B102)</f>
        <v>0</v>
      </c>
      <c r="G102" s="24"/>
      <c r="H102" s="173">
        <v>2381.1200000000003</v>
      </c>
      <c r="I102" s="173">
        <v>2381.1200000000003</v>
      </c>
      <c r="J102" s="173">
        <v>0</v>
      </c>
    </row>
    <row r="103" spans="2:10" s="4" customFormat="1" ht="15">
      <c r="B103" s="56">
        <f t="shared" si="1"/>
        <v>51</v>
      </c>
      <c r="C103" s="46" t="s">
        <v>260</v>
      </c>
      <c r="D103" s="173">
        <f>SUMIFS(FORMULAGE!$BD:$BD,FORMULAGE!$A:$A,$B103)</f>
        <v>14240.84</v>
      </c>
      <c r="E103" s="173">
        <f>SUMIFS(FORMULAGE!$BJ:$BJ,FORMULAGE!$A:$A,$B103)</f>
        <v>14240.84</v>
      </c>
      <c r="F103" s="173">
        <f>SUMIFS(FORMULAGE!$BK:$BK,FORMULAGE!$A:$A,$B103)</f>
        <v>0</v>
      </c>
      <c r="G103" s="24"/>
      <c r="H103" s="173">
        <v>12560.84</v>
      </c>
      <c r="I103" s="173">
        <v>12560.84</v>
      </c>
      <c r="J103" s="173">
        <v>0</v>
      </c>
    </row>
    <row r="104" spans="2:10" s="4" customFormat="1" ht="15">
      <c r="B104" s="56">
        <f t="shared" si="1"/>
        <v>52</v>
      </c>
      <c r="C104" s="46" t="s">
        <v>261</v>
      </c>
      <c r="D104" s="173">
        <f>SUMIFS(FORMULAGE!$BD:$BD,FORMULAGE!$A:$A,$B104)</f>
        <v>0</v>
      </c>
      <c r="E104" s="173">
        <f>SUMIFS(FORMULAGE!$BJ:$BJ,FORMULAGE!$A:$A,$B104)</f>
        <v>0</v>
      </c>
      <c r="F104" s="173">
        <f>SUMIFS(FORMULAGE!$BK:$BK,FORMULAGE!$A:$A,$B104)</f>
        <v>0</v>
      </c>
      <c r="G104" s="24"/>
      <c r="H104" s="173">
        <v>0</v>
      </c>
      <c r="I104" s="173">
        <v>0</v>
      </c>
      <c r="J104" s="173">
        <v>0</v>
      </c>
    </row>
    <row r="105" spans="2:10" s="4" customFormat="1" ht="15">
      <c r="B105" s="56">
        <f t="shared" si="1"/>
        <v>53</v>
      </c>
      <c r="C105" s="46" t="s">
        <v>262</v>
      </c>
      <c r="D105" s="173">
        <f>SUMIFS(FORMULAGE!$BD:$BD,FORMULAGE!$A:$A,$B105)</f>
        <v>30.75</v>
      </c>
      <c r="E105" s="173">
        <f>SUMIFS(FORMULAGE!$BJ:$BJ,FORMULAGE!$A:$A,$B105)</f>
        <v>30.75</v>
      </c>
      <c r="F105" s="173">
        <f>SUMIFS(FORMULAGE!$BK:$BK,FORMULAGE!$A:$A,$B105)</f>
        <v>0</v>
      </c>
      <c r="G105" s="24"/>
      <c r="H105" s="173">
        <v>29.130000000000003</v>
      </c>
      <c r="I105" s="173">
        <v>29.130000000000003</v>
      </c>
      <c r="J105" s="173">
        <v>0</v>
      </c>
    </row>
    <row r="106" spans="2:10" s="4" customFormat="1" ht="15">
      <c r="B106" s="56">
        <f t="shared" si="1"/>
        <v>54</v>
      </c>
      <c r="C106" s="46" t="s">
        <v>263</v>
      </c>
      <c r="D106" s="173">
        <f>SUMIFS(FORMULAGE!$BD:$BD,FORMULAGE!$A:$A,$B106)</f>
        <v>21475.4</v>
      </c>
      <c r="E106" s="173">
        <f>SUMIFS(FORMULAGE!$BJ:$BJ,FORMULAGE!$A:$A,$B106)</f>
        <v>21475.4</v>
      </c>
      <c r="F106" s="173">
        <f>SUMIFS(FORMULAGE!$BK:$BK,FORMULAGE!$A:$A,$B106)</f>
        <v>0</v>
      </c>
      <c r="G106" s="24"/>
      <c r="H106" s="173">
        <v>20561.010000000002</v>
      </c>
      <c r="I106" s="173">
        <v>20561.010000000002</v>
      </c>
      <c r="J106" s="173">
        <v>0</v>
      </c>
    </row>
    <row r="107" spans="2:10" s="4" customFormat="1" ht="15">
      <c r="B107" s="56">
        <f t="shared" si="1"/>
        <v>55</v>
      </c>
      <c r="C107" s="46" t="s">
        <v>263</v>
      </c>
      <c r="D107" s="173">
        <f>SUMIFS(FORMULAGE!$BD:$BD,FORMULAGE!$A:$A,$B107)</f>
        <v>147.19999999999999</v>
      </c>
      <c r="E107" s="173">
        <f>SUMIFS(FORMULAGE!$BJ:$BJ,FORMULAGE!$A:$A,$B107)</f>
        <v>147.19999999999999</v>
      </c>
      <c r="F107" s="173">
        <f>SUMIFS(FORMULAGE!$BK:$BK,FORMULAGE!$A:$A,$B107)</f>
        <v>0</v>
      </c>
      <c r="G107" s="24"/>
      <c r="H107" s="173">
        <v>183.95</v>
      </c>
      <c r="I107" s="173">
        <v>183.95</v>
      </c>
      <c r="J107" s="173">
        <v>0</v>
      </c>
    </row>
    <row r="108" spans="2:10" s="4" customFormat="1" ht="15">
      <c r="B108" s="56">
        <f t="shared" si="1"/>
        <v>56</v>
      </c>
      <c r="C108" s="46" t="s">
        <v>264</v>
      </c>
      <c r="D108" s="173">
        <f>SUMIFS(FORMULAGE!$BD:$BD,FORMULAGE!$A:$A,$B108)</f>
        <v>0</v>
      </c>
      <c r="E108" s="173">
        <f>SUMIFS(FORMULAGE!$BJ:$BJ,FORMULAGE!$A:$A,$B108)</f>
        <v>0</v>
      </c>
      <c r="F108" s="173">
        <f>SUMIFS(FORMULAGE!$BK:$BK,FORMULAGE!$A:$A,$B108)</f>
        <v>0</v>
      </c>
      <c r="G108" s="24"/>
      <c r="H108" s="173">
        <v>0</v>
      </c>
      <c r="I108" s="173">
        <v>0</v>
      </c>
      <c r="J108" s="173">
        <v>0</v>
      </c>
    </row>
    <row r="109" spans="2:10" s="4" customFormat="1" ht="15">
      <c r="B109" s="56">
        <f t="shared" si="1"/>
        <v>57</v>
      </c>
      <c r="C109" s="46" t="s">
        <v>264</v>
      </c>
      <c r="D109" s="173">
        <f>SUMIFS(FORMULAGE!$BD:$BD,FORMULAGE!$A:$A,$B109)</f>
        <v>0.95</v>
      </c>
      <c r="E109" s="173">
        <f>SUMIFS(FORMULAGE!$BJ:$BJ,FORMULAGE!$A:$A,$B109)</f>
        <v>0</v>
      </c>
      <c r="F109" s="173">
        <f>SUMIFS(FORMULAGE!$BK:$BK,FORMULAGE!$A:$A,$B109)</f>
        <v>0.95</v>
      </c>
      <c r="G109" s="24"/>
      <c r="H109" s="173">
        <v>0</v>
      </c>
      <c r="I109" s="173">
        <v>0</v>
      </c>
      <c r="J109" s="173">
        <v>0</v>
      </c>
    </row>
    <row r="110" spans="2:10" s="4" customFormat="1" ht="15">
      <c r="B110" s="56">
        <f t="shared" si="1"/>
        <v>58</v>
      </c>
      <c r="C110" s="45" t="s">
        <v>265</v>
      </c>
      <c r="D110" s="173">
        <f>SUMIFS(FORMULAGE!$BD:$BD,FORMULAGE!$A:$A,$B110)</f>
        <v>0</v>
      </c>
      <c r="E110" s="173">
        <f>SUMIFS(FORMULAGE!$BJ:$BJ,FORMULAGE!$A:$A,$B110)</f>
        <v>0</v>
      </c>
      <c r="F110" s="173">
        <f>SUMIFS(FORMULAGE!$BK:$BK,FORMULAGE!$A:$A,$B110)</f>
        <v>0</v>
      </c>
      <c r="G110" s="24"/>
      <c r="H110" s="173">
        <v>0</v>
      </c>
      <c r="I110" s="173">
        <v>0</v>
      </c>
      <c r="J110" s="173">
        <v>0</v>
      </c>
    </row>
    <row r="111" spans="2:10" s="4" customFormat="1" ht="15">
      <c r="B111" s="56">
        <f t="shared" si="1"/>
        <v>59</v>
      </c>
      <c r="C111" s="45" t="s">
        <v>266</v>
      </c>
      <c r="D111" s="173">
        <f>SUMIFS(FORMULAGE!$BD:$BD,FORMULAGE!$A:$A,$B111)</f>
        <v>0</v>
      </c>
      <c r="E111" s="173">
        <f>SUMIFS(FORMULAGE!$BJ:$BJ,FORMULAGE!$A:$A,$B111)</f>
        <v>0</v>
      </c>
      <c r="F111" s="173">
        <f>SUMIFS(FORMULAGE!$BK:$BK,FORMULAGE!$A:$A,$B111)</f>
        <v>0</v>
      </c>
      <c r="G111" s="24"/>
      <c r="H111" s="173">
        <v>0</v>
      </c>
      <c r="I111" s="173">
        <v>0</v>
      </c>
      <c r="J111" s="173">
        <v>0</v>
      </c>
    </row>
    <row r="112" spans="2:10" s="4" customFormat="1" ht="15">
      <c r="B112" s="56">
        <f t="shared" si="1"/>
        <v>60</v>
      </c>
      <c r="C112" s="45" t="s">
        <v>267</v>
      </c>
      <c r="D112" s="173">
        <f>SUMIFS(FORMULAGE!$BD:$BD,FORMULAGE!$A:$A,$B112)</f>
        <v>0</v>
      </c>
      <c r="E112" s="173">
        <f>SUMIFS(FORMULAGE!$BJ:$BJ,FORMULAGE!$A:$A,$B112)</f>
        <v>0</v>
      </c>
      <c r="F112" s="173">
        <f>SUMIFS(FORMULAGE!$BK:$BK,FORMULAGE!$A:$A,$B112)</f>
        <v>0</v>
      </c>
      <c r="G112" s="24"/>
      <c r="H112" s="173">
        <v>0</v>
      </c>
      <c r="I112" s="173">
        <v>0</v>
      </c>
      <c r="J112" s="173">
        <v>0</v>
      </c>
    </row>
    <row r="113" spans="2:10" s="4" customFormat="1" ht="15">
      <c r="B113" s="56">
        <f t="shared" si="1"/>
        <v>61</v>
      </c>
      <c r="C113" s="45" t="s">
        <v>267</v>
      </c>
      <c r="D113" s="173">
        <f>SUMIFS(FORMULAGE!$BD:$BD,FORMULAGE!$A:$A,$B113)</f>
        <v>0</v>
      </c>
      <c r="E113" s="173">
        <f>SUMIFS(FORMULAGE!$BJ:$BJ,FORMULAGE!$A:$A,$B113)</f>
        <v>0</v>
      </c>
      <c r="F113" s="173">
        <f>SUMIFS(FORMULAGE!$BK:$BK,FORMULAGE!$A:$A,$B113)</f>
        <v>0</v>
      </c>
      <c r="G113" s="24"/>
      <c r="H113" s="173">
        <v>0</v>
      </c>
      <c r="I113" s="173">
        <v>0</v>
      </c>
      <c r="J113" s="173">
        <v>0</v>
      </c>
    </row>
    <row r="114" spans="2:10" s="4" customFormat="1" ht="15">
      <c r="B114" s="56">
        <f t="shared" si="1"/>
        <v>62</v>
      </c>
      <c r="C114" s="45" t="s">
        <v>267</v>
      </c>
      <c r="D114" s="173">
        <f>SUMIFS(FORMULAGE!$BD:$BD,FORMULAGE!$A:$A,$B114)</f>
        <v>0</v>
      </c>
      <c r="E114" s="173">
        <f>SUMIFS(FORMULAGE!$BJ:$BJ,FORMULAGE!$A:$A,$B114)</f>
        <v>0</v>
      </c>
      <c r="F114" s="173">
        <f>SUMIFS(FORMULAGE!$BK:$BK,FORMULAGE!$A:$A,$B114)</f>
        <v>0</v>
      </c>
      <c r="G114" s="24"/>
      <c r="H114" s="173">
        <v>0</v>
      </c>
      <c r="I114" s="173">
        <v>0</v>
      </c>
      <c r="J114" s="173">
        <v>0</v>
      </c>
    </row>
    <row r="115" spans="2:10" s="4" customFormat="1" ht="15">
      <c r="B115" s="56">
        <f t="shared" si="1"/>
        <v>63</v>
      </c>
      <c r="C115" s="45" t="s">
        <v>268</v>
      </c>
      <c r="D115" s="173">
        <f>SUMIFS(FORMULAGE!$BD:$BD,FORMULAGE!$A:$A,$B115)</f>
        <v>0</v>
      </c>
      <c r="E115" s="173">
        <f>SUMIFS(FORMULAGE!$BJ:$BJ,FORMULAGE!$A:$A,$B115)</f>
        <v>0</v>
      </c>
      <c r="F115" s="173">
        <f>SUMIFS(FORMULAGE!$BK:$BK,FORMULAGE!$A:$A,$B115)</f>
        <v>0</v>
      </c>
      <c r="G115" s="24"/>
      <c r="H115" s="173">
        <v>0</v>
      </c>
      <c r="I115" s="173">
        <v>0</v>
      </c>
      <c r="J115" s="173">
        <v>0</v>
      </c>
    </row>
    <row r="116" spans="2:10" s="4" customFormat="1" ht="15">
      <c r="B116" s="56">
        <f t="shared" si="1"/>
        <v>64</v>
      </c>
      <c r="C116" s="45" t="s">
        <v>268</v>
      </c>
      <c r="D116" s="173">
        <f>SUMIFS(FORMULAGE!$BD:$BD,FORMULAGE!$A:$A,$B116)</f>
        <v>0</v>
      </c>
      <c r="E116" s="173">
        <f>SUMIFS(FORMULAGE!$BJ:$BJ,FORMULAGE!$A:$A,$B116)</f>
        <v>0</v>
      </c>
      <c r="F116" s="173">
        <f>SUMIFS(FORMULAGE!$BK:$BK,FORMULAGE!$A:$A,$B116)</f>
        <v>0</v>
      </c>
      <c r="G116" s="24"/>
      <c r="H116" s="173">
        <v>0</v>
      </c>
      <c r="I116" s="173">
        <v>0</v>
      </c>
      <c r="J116" s="173">
        <v>0</v>
      </c>
    </row>
    <row r="117" spans="2:10" s="4" customFormat="1" ht="15">
      <c r="B117" s="56">
        <f t="shared" si="1"/>
        <v>65</v>
      </c>
      <c r="C117" s="45" t="s">
        <v>268</v>
      </c>
      <c r="D117" s="173">
        <f>SUMIFS(FORMULAGE!$BD:$BD,FORMULAGE!$A:$A,$B117)</f>
        <v>0</v>
      </c>
      <c r="E117" s="173">
        <f>SUMIFS(FORMULAGE!$BJ:$BJ,FORMULAGE!$A:$A,$B117)</f>
        <v>0</v>
      </c>
      <c r="F117" s="173">
        <f>SUMIFS(FORMULAGE!$BK:$BK,FORMULAGE!$A:$A,$B117)</f>
        <v>0</v>
      </c>
      <c r="G117" s="24"/>
      <c r="H117" s="173">
        <v>0</v>
      </c>
      <c r="I117" s="173">
        <v>0</v>
      </c>
      <c r="J117" s="173">
        <v>0</v>
      </c>
    </row>
    <row r="118" spans="2:10" s="4" customFormat="1" ht="15">
      <c r="B118" s="56">
        <f t="shared" si="1"/>
        <v>66</v>
      </c>
      <c r="C118" s="45" t="s">
        <v>269</v>
      </c>
      <c r="D118" s="173">
        <f>SUMIFS(FORMULAGE!$BD:$BD,FORMULAGE!$A:$A,$B118)</f>
        <v>0</v>
      </c>
      <c r="E118" s="173">
        <f>SUMIFS(FORMULAGE!$BJ:$BJ,FORMULAGE!$A:$A,$B118)</f>
        <v>0</v>
      </c>
      <c r="F118" s="173">
        <f>SUMIFS(FORMULAGE!$BK:$BK,FORMULAGE!$A:$A,$B118)</f>
        <v>0</v>
      </c>
      <c r="G118" s="24"/>
      <c r="H118" s="173">
        <v>0</v>
      </c>
      <c r="I118" s="173">
        <v>0</v>
      </c>
      <c r="J118" s="173">
        <v>0</v>
      </c>
    </row>
    <row r="119" spans="2:10" s="4" customFormat="1" ht="15">
      <c r="B119" s="56">
        <f t="shared" si="1"/>
        <v>67</v>
      </c>
      <c r="C119" s="45" t="s">
        <v>269</v>
      </c>
      <c r="D119" s="173">
        <f>SUMIFS(FORMULAGE!$BD:$BD,FORMULAGE!$A:$A,$B119)</f>
        <v>0</v>
      </c>
      <c r="E119" s="173">
        <f>SUMIFS(FORMULAGE!$BJ:$BJ,FORMULAGE!$A:$A,$B119)</f>
        <v>0</v>
      </c>
      <c r="F119" s="173">
        <f>SUMIFS(FORMULAGE!$BK:$BK,FORMULAGE!$A:$A,$B119)</f>
        <v>0</v>
      </c>
      <c r="G119" s="24"/>
      <c r="H119" s="173">
        <v>0</v>
      </c>
      <c r="I119" s="173">
        <v>0</v>
      </c>
      <c r="J119" s="173">
        <v>0</v>
      </c>
    </row>
    <row r="120" spans="2:10" s="4" customFormat="1" ht="15">
      <c r="B120" s="56">
        <f t="shared" si="1"/>
        <v>68</v>
      </c>
      <c r="C120" s="45" t="s">
        <v>270</v>
      </c>
      <c r="D120" s="173">
        <f>SUMIFS(FORMULAGE!$BD:$BD,FORMULAGE!$A:$A,$B120)</f>
        <v>0</v>
      </c>
      <c r="E120" s="173">
        <f>SUMIFS(FORMULAGE!$BJ:$BJ,FORMULAGE!$A:$A,$B120)</f>
        <v>0</v>
      </c>
      <c r="F120" s="173">
        <f>SUMIFS(FORMULAGE!$BK:$BK,FORMULAGE!$A:$A,$B120)</f>
        <v>0</v>
      </c>
      <c r="G120" s="24"/>
      <c r="H120" s="173">
        <v>0</v>
      </c>
      <c r="I120" s="173">
        <v>0</v>
      </c>
      <c r="J120" s="173">
        <v>0</v>
      </c>
    </row>
    <row r="121" spans="2:10" s="4" customFormat="1" ht="15">
      <c r="B121" s="56">
        <f t="shared" si="1"/>
        <v>69</v>
      </c>
      <c r="C121" s="45" t="s">
        <v>270</v>
      </c>
      <c r="D121" s="173">
        <f>SUMIFS(FORMULAGE!$BD:$BD,FORMULAGE!$A:$A,$B121)</f>
        <v>0</v>
      </c>
      <c r="E121" s="173">
        <f>SUMIFS(FORMULAGE!$BJ:$BJ,FORMULAGE!$A:$A,$B121)</f>
        <v>0</v>
      </c>
      <c r="F121" s="173">
        <f>SUMIFS(FORMULAGE!$BK:$BK,FORMULAGE!$A:$A,$B121)</f>
        <v>0</v>
      </c>
      <c r="G121" s="24"/>
      <c r="H121" s="173">
        <v>0</v>
      </c>
      <c r="I121" s="173">
        <v>0</v>
      </c>
      <c r="J121" s="173">
        <v>0</v>
      </c>
    </row>
    <row r="122" spans="2:10" s="4" customFormat="1" ht="15">
      <c r="B122" s="56">
        <f t="shared" si="1"/>
        <v>70</v>
      </c>
      <c r="C122" s="45" t="s">
        <v>270</v>
      </c>
      <c r="D122" s="173">
        <f>SUMIFS(FORMULAGE!$BD:$BD,FORMULAGE!$A:$A,$B122)</f>
        <v>0</v>
      </c>
      <c r="E122" s="173">
        <f>SUMIFS(FORMULAGE!$BJ:$BJ,FORMULAGE!$A:$A,$B122)</f>
        <v>0</v>
      </c>
      <c r="F122" s="173">
        <f>SUMIFS(FORMULAGE!$BK:$BK,FORMULAGE!$A:$A,$B122)</f>
        <v>0</v>
      </c>
      <c r="G122" s="24"/>
      <c r="H122" s="173">
        <v>0</v>
      </c>
      <c r="I122" s="173">
        <v>0</v>
      </c>
      <c r="J122" s="173">
        <v>0</v>
      </c>
    </row>
    <row r="123" spans="2:10" s="4" customFormat="1" ht="15">
      <c r="B123" s="56">
        <f t="shared" si="1"/>
        <v>71</v>
      </c>
      <c r="C123" s="45" t="s">
        <v>270</v>
      </c>
      <c r="D123" s="173">
        <f>SUMIFS(FORMULAGE!$BD:$BD,FORMULAGE!$A:$A,$B123)</f>
        <v>0</v>
      </c>
      <c r="E123" s="173">
        <f>SUMIFS(FORMULAGE!$BJ:$BJ,FORMULAGE!$A:$A,$B123)</f>
        <v>0</v>
      </c>
      <c r="F123" s="173">
        <f>SUMIFS(FORMULAGE!$BK:$BK,FORMULAGE!$A:$A,$B123)</f>
        <v>0</v>
      </c>
      <c r="G123" s="24"/>
      <c r="H123" s="173">
        <v>0</v>
      </c>
      <c r="I123" s="173">
        <v>0</v>
      </c>
      <c r="J123" s="173">
        <v>0</v>
      </c>
    </row>
    <row r="124" spans="2:10" s="4" customFormat="1" ht="15">
      <c r="B124" s="56">
        <f t="shared" si="1"/>
        <v>72</v>
      </c>
      <c r="C124" s="45" t="s">
        <v>271</v>
      </c>
      <c r="D124" s="173">
        <f>SUMIFS(FORMULAGE!$BD:$BD,FORMULAGE!$A:$A,$B124)</f>
        <v>0</v>
      </c>
      <c r="E124" s="173">
        <f>SUMIFS(FORMULAGE!$BJ:$BJ,FORMULAGE!$A:$A,$B124)</f>
        <v>0</v>
      </c>
      <c r="F124" s="173">
        <f>SUMIFS(FORMULAGE!$BK:$BK,FORMULAGE!$A:$A,$B124)</f>
        <v>0</v>
      </c>
      <c r="G124" s="24"/>
      <c r="H124" s="173">
        <v>0</v>
      </c>
      <c r="I124" s="173">
        <v>0</v>
      </c>
      <c r="J124" s="173">
        <v>0</v>
      </c>
    </row>
    <row r="125" spans="2:10" s="4" customFormat="1" ht="15">
      <c r="B125" s="56">
        <f t="shared" si="1"/>
        <v>73</v>
      </c>
      <c r="C125" s="45" t="s">
        <v>272</v>
      </c>
      <c r="D125" s="173">
        <f>SUMIFS(FORMULAGE!$BD:$BD,FORMULAGE!$A:$A,$B125)</f>
        <v>0</v>
      </c>
      <c r="E125" s="173">
        <f>SUMIFS(FORMULAGE!$BJ:$BJ,FORMULAGE!$A:$A,$B125)</f>
        <v>0</v>
      </c>
      <c r="F125" s="173">
        <f>SUMIFS(FORMULAGE!$BK:$BK,FORMULAGE!$A:$A,$B125)</f>
        <v>0</v>
      </c>
      <c r="G125" s="24"/>
      <c r="H125" s="173">
        <v>0</v>
      </c>
      <c r="I125" s="173">
        <v>0</v>
      </c>
      <c r="J125" s="173">
        <v>0</v>
      </c>
    </row>
    <row r="126" spans="2:10" s="4" customFormat="1" ht="15">
      <c r="B126" s="56">
        <f t="shared" si="1"/>
        <v>74</v>
      </c>
      <c r="C126" s="45" t="s">
        <v>272</v>
      </c>
      <c r="D126" s="173">
        <f>SUMIFS(FORMULAGE!$BD:$BD,FORMULAGE!$A:$A,$B126)</f>
        <v>0</v>
      </c>
      <c r="E126" s="173">
        <f>SUMIFS(FORMULAGE!$BJ:$BJ,FORMULAGE!$A:$A,$B126)</f>
        <v>0</v>
      </c>
      <c r="F126" s="173">
        <f>SUMIFS(FORMULAGE!$BK:$BK,FORMULAGE!$A:$A,$B126)</f>
        <v>0</v>
      </c>
      <c r="G126" s="24"/>
      <c r="H126" s="173">
        <v>0</v>
      </c>
      <c r="I126" s="173">
        <v>0</v>
      </c>
      <c r="J126" s="173">
        <v>0</v>
      </c>
    </row>
    <row r="127" spans="2:10" s="4" customFormat="1" ht="15">
      <c r="B127" s="56">
        <f t="shared" ref="B127:B150" si="2">B126+1</f>
        <v>75</v>
      </c>
      <c r="C127" s="45" t="s">
        <v>272</v>
      </c>
      <c r="D127" s="173">
        <f>SUMIFS(FORMULAGE!$BD:$BD,FORMULAGE!$A:$A,$B127)</f>
        <v>2.1399999999999997</v>
      </c>
      <c r="E127" s="173">
        <f>SUMIFS(FORMULAGE!$BJ:$BJ,FORMULAGE!$A:$A,$B127)</f>
        <v>0</v>
      </c>
      <c r="F127" s="173">
        <f>SUMIFS(FORMULAGE!$BK:$BK,FORMULAGE!$A:$A,$B127)</f>
        <v>2.1399999999999997</v>
      </c>
      <c r="G127" s="24"/>
      <c r="H127" s="173">
        <v>0.72</v>
      </c>
      <c r="I127" s="173">
        <v>0</v>
      </c>
      <c r="J127" s="173">
        <v>0.72</v>
      </c>
    </row>
    <row r="128" spans="2:10" s="4" customFormat="1" ht="15">
      <c r="B128" s="56">
        <f t="shared" si="2"/>
        <v>76</v>
      </c>
      <c r="C128" s="45" t="s">
        <v>272</v>
      </c>
      <c r="D128" s="173">
        <f>SUMIFS(FORMULAGE!$BD:$BD,FORMULAGE!$A:$A,$B128)</f>
        <v>0</v>
      </c>
      <c r="E128" s="173">
        <f>SUMIFS(FORMULAGE!$BJ:$BJ,FORMULAGE!$A:$A,$B128)</f>
        <v>0</v>
      </c>
      <c r="F128" s="173">
        <f>SUMIFS(FORMULAGE!$BK:$BK,FORMULAGE!$A:$A,$B128)</f>
        <v>0</v>
      </c>
      <c r="G128" s="24"/>
      <c r="H128" s="173">
        <v>0</v>
      </c>
      <c r="I128" s="173">
        <v>0</v>
      </c>
      <c r="J128" s="173">
        <v>0</v>
      </c>
    </row>
    <row r="129" spans="2:10" s="4" customFormat="1" ht="15">
      <c r="B129" s="56">
        <f t="shared" si="2"/>
        <v>77</v>
      </c>
      <c r="C129" s="45" t="s">
        <v>412</v>
      </c>
      <c r="D129" s="173">
        <f>SUMIFS(FORMULAGE!$BD:$BD,FORMULAGE!$A:$A,$B129)</f>
        <v>0</v>
      </c>
      <c r="E129" s="173">
        <f>SUMIFS(FORMULAGE!$BJ:$BJ,FORMULAGE!$A:$A,$B129)</f>
        <v>0</v>
      </c>
      <c r="F129" s="173">
        <f>SUMIFS(FORMULAGE!$BK:$BK,FORMULAGE!$A:$A,$B129)</f>
        <v>0</v>
      </c>
      <c r="G129" s="24"/>
      <c r="H129" s="173">
        <v>0</v>
      </c>
      <c r="I129" s="173">
        <v>0</v>
      </c>
      <c r="J129" s="173">
        <v>0</v>
      </c>
    </row>
    <row r="130" spans="2:10" s="4" customFormat="1" ht="15">
      <c r="B130" s="56">
        <f t="shared" si="2"/>
        <v>78</v>
      </c>
      <c r="C130" s="45" t="s">
        <v>275</v>
      </c>
      <c r="D130" s="173">
        <f>SUMIFS(FORMULAGE!$BD:$BD,FORMULAGE!$A:$A,$B130)</f>
        <v>1.53</v>
      </c>
      <c r="E130" s="173">
        <f>SUMIFS(FORMULAGE!$BJ:$BJ,FORMULAGE!$A:$A,$B130)</f>
        <v>0</v>
      </c>
      <c r="F130" s="173">
        <f>SUMIFS(FORMULAGE!$BK:$BK,FORMULAGE!$A:$A,$B130)</f>
        <v>1.53</v>
      </c>
      <c r="G130" s="24"/>
      <c r="H130" s="173">
        <v>1.63</v>
      </c>
      <c r="I130" s="173">
        <v>0</v>
      </c>
      <c r="J130" s="173">
        <v>1.63</v>
      </c>
    </row>
    <row r="131" spans="2:10" s="4" customFormat="1" ht="15">
      <c r="B131" s="56">
        <f t="shared" si="2"/>
        <v>79</v>
      </c>
      <c r="C131" s="45" t="s">
        <v>412</v>
      </c>
      <c r="D131" s="173">
        <f>SUMIFS(FORMULAGE!$BD:$BD,FORMULAGE!$A:$A,$B131)</f>
        <v>0</v>
      </c>
      <c r="E131" s="173">
        <f>SUMIFS(FORMULAGE!$BJ:$BJ,FORMULAGE!$A:$A,$B131)</f>
        <v>0</v>
      </c>
      <c r="F131" s="173">
        <f>SUMIFS(FORMULAGE!$BK:$BK,FORMULAGE!$A:$A,$B131)</f>
        <v>0</v>
      </c>
      <c r="G131" s="24"/>
      <c r="H131" s="173">
        <v>0</v>
      </c>
      <c r="I131" s="173">
        <v>0</v>
      </c>
      <c r="J131" s="173">
        <v>0</v>
      </c>
    </row>
    <row r="132" spans="2:10" s="4" customFormat="1" ht="15">
      <c r="B132" s="56">
        <f t="shared" si="2"/>
        <v>80</v>
      </c>
      <c r="C132" s="45" t="s">
        <v>275</v>
      </c>
      <c r="D132" s="173">
        <f>SUMIFS(FORMULAGE!$BD:$BD,FORMULAGE!$A:$A,$B132)</f>
        <v>0</v>
      </c>
      <c r="E132" s="173">
        <f>SUMIFS(FORMULAGE!$BJ:$BJ,FORMULAGE!$A:$A,$B132)</f>
        <v>0</v>
      </c>
      <c r="F132" s="173">
        <f>SUMIFS(FORMULAGE!$BK:$BK,FORMULAGE!$A:$A,$B132)</f>
        <v>0</v>
      </c>
      <c r="G132" s="24"/>
      <c r="H132" s="173">
        <v>0</v>
      </c>
      <c r="I132" s="173">
        <v>0</v>
      </c>
      <c r="J132" s="173">
        <v>0</v>
      </c>
    </row>
    <row r="133" spans="2:10" s="4" customFormat="1" ht="15">
      <c r="B133" s="56">
        <f t="shared" si="2"/>
        <v>81</v>
      </c>
      <c r="C133" s="45" t="s">
        <v>277</v>
      </c>
      <c r="D133" s="173">
        <f>SUMIFS(FORMULAGE!$BD:$BD,FORMULAGE!$A:$A,$B133)</f>
        <v>0</v>
      </c>
      <c r="E133" s="173">
        <f>SUMIFS(FORMULAGE!$BJ:$BJ,FORMULAGE!$A:$A,$B133)</f>
        <v>0</v>
      </c>
      <c r="F133" s="173">
        <f>SUMIFS(FORMULAGE!$BK:$BK,FORMULAGE!$A:$A,$B133)</f>
        <v>0</v>
      </c>
      <c r="G133" s="24"/>
      <c r="H133" s="173">
        <v>0</v>
      </c>
      <c r="I133" s="173">
        <v>0</v>
      </c>
      <c r="J133" s="173">
        <v>0</v>
      </c>
    </row>
    <row r="134" spans="2:10" s="4" customFormat="1" ht="15">
      <c r="B134" s="56">
        <f t="shared" si="2"/>
        <v>82</v>
      </c>
      <c r="C134" s="45" t="s">
        <v>278</v>
      </c>
      <c r="D134" s="173">
        <f>SUMIFS(FORMULAGE!$BD:$BD,FORMULAGE!$A:$A,$B134)</f>
        <v>0</v>
      </c>
      <c r="E134" s="173">
        <f>SUMIFS(FORMULAGE!$BJ:$BJ,FORMULAGE!$A:$A,$B134)</f>
        <v>0</v>
      </c>
      <c r="F134" s="173">
        <f>SUMIFS(FORMULAGE!$BK:$BK,FORMULAGE!$A:$A,$B134)</f>
        <v>0</v>
      </c>
      <c r="G134" s="24"/>
      <c r="H134" s="173">
        <v>0</v>
      </c>
      <c r="I134" s="173">
        <v>0</v>
      </c>
      <c r="J134" s="173">
        <v>0</v>
      </c>
    </row>
    <row r="135" spans="2:10" s="4" customFormat="1" ht="15">
      <c r="B135" s="56">
        <f t="shared" si="2"/>
        <v>83</v>
      </c>
      <c r="C135" s="45" t="s">
        <v>279</v>
      </c>
      <c r="D135" s="173">
        <f>SUMIFS(FORMULAGE!$BD:$BD,FORMULAGE!$A:$A,$B135)</f>
        <v>0</v>
      </c>
      <c r="E135" s="173">
        <f>SUMIFS(FORMULAGE!$BJ:$BJ,FORMULAGE!$A:$A,$B135)</f>
        <v>0</v>
      </c>
      <c r="F135" s="173">
        <f>SUMIFS(FORMULAGE!$BK:$BK,FORMULAGE!$A:$A,$B135)</f>
        <v>0</v>
      </c>
      <c r="G135" s="24"/>
      <c r="H135" s="173">
        <v>0</v>
      </c>
      <c r="I135" s="173">
        <v>0</v>
      </c>
      <c r="J135" s="173">
        <v>0</v>
      </c>
    </row>
    <row r="136" spans="2:10" s="4" customFormat="1" ht="15">
      <c r="B136" s="56">
        <f t="shared" si="2"/>
        <v>84</v>
      </c>
      <c r="C136" s="45" t="s">
        <v>280</v>
      </c>
      <c r="D136" s="173">
        <f>SUMIFS(FORMULAGE!$BD:$BD,FORMULAGE!$A:$A,$B136)</f>
        <v>0</v>
      </c>
      <c r="E136" s="173">
        <f>SUMIFS(FORMULAGE!$BJ:$BJ,FORMULAGE!$A:$A,$B136)</f>
        <v>0</v>
      </c>
      <c r="F136" s="173">
        <f>SUMIFS(FORMULAGE!$BK:$BK,FORMULAGE!$A:$A,$B136)</f>
        <v>0</v>
      </c>
      <c r="G136" s="24"/>
      <c r="H136" s="173">
        <v>0</v>
      </c>
      <c r="I136" s="173">
        <v>0</v>
      </c>
      <c r="J136" s="173">
        <v>0</v>
      </c>
    </row>
    <row r="137" spans="2:10" s="4" customFormat="1" ht="15">
      <c r="B137" s="56">
        <f t="shared" si="2"/>
        <v>85</v>
      </c>
      <c r="C137" s="45" t="s">
        <v>281</v>
      </c>
      <c r="D137" s="173">
        <f>SUMIFS(FORMULAGE!$BD:$BD,FORMULAGE!$A:$A,$B137)</f>
        <v>0</v>
      </c>
      <c r="E137" s="173">
        <f>SUMIFS(FORMULAGE!$BJ:$BJ,FORMULAGE!$A:$A,$B137)</f>
        <v>0</v>
      </c>
      <c r="F137" s="173">
        <f>SUMIFS(FORMULAGE!$BK:$BK,FORMULAGE!$A:$A,$B137)</f>
        <v>0</v>
      </c>
      <c r="G137" s="24"/>
      <c r="H137" s="173">
        <v>0</v>
      </c>
      <c r="I137" s="173">
        <v>0</v>
      </c>
      <c r="J137" s="173">
        <v>0</v>
      </c>
    </row>
    <row r="138" spans="2:10" s="4" customFormat="1" ht="15">
      <c r="B138" s="56">
        <f t="shared" si="2"/>
        <v>86</v>
      </c>
      <c r="C138" s="45" t="s">
        <v>282</v>
      </c>
      <c r="D138" s="173">
        <f>SUMIFS(FORMULAGE!$BD:$BD,FORMULAGE!$A:$A,$B138)</f>
        <v>0</v>
      </c>
      <c r="E138" s="173">
        <f>SUMIFS(FORMULAGE!$BJ:$BJ,FORMULAGE!$A:$A,$B138)</f>
        <v>0</v>
      </c>
      <c r="F138" s="173">
        <f>SUMIFS(FORMULAGE!$BK:$BK,FORMULAGE!$A:$A,$B138)</f>
        <v>0</v>
      </c>
      <c r="G138" s="24"/>
      <c r="H138" s="173">
        <v>0</v>
      </c>
      <c r="I138" s="173">
        <v>0</v>
      </c>
      <c r="J138" s="173">
        <v>0</v>
      </c>
    </row>
    <row r="139" spans="2:10" s="4" customFormat="1" ht="15">
      <c r="B139" s="56">
        <f t="shared" si="2"/>
        <v>87</v>
      </c>
      <c r="C139" s="45" t="s">
        <v>283</v>
      </c>
      <c r="D139" s="173">
        <f>SUMIFS(FORMULAGE!$BD:$BD,FORMULAGE!$A:$A,$B139)</f>
        <v>0</v>
      </c>
      <c r="E139" s="173">
        <f>SUMIFS(FORMULAGE!$BJ:$BJ,FORMULAGE!$A:$A,$B139)</f>
        <v>0</v>
      </c>
      <c r="F139" s="173">
        <f>SUMIFS(FORMULAGE!$BK:$BK,FORMULAGE!$A:$A,$B139)</f>
        <v>0</v>
      </c>
      <c r="G139" s="24"/>
      <c r="H139" s="173">
        <v>0</v>
      </c>
      <c r="I139" s="173">
        <v>0</v>
      </c>
      <c r="J139" s="173">
        <v>0</v>
      </c>
    </row>
    <row r="140" spans="2:10" s="4" customFormat="1" ht="15">
      <c r="B140" s="56">
        <f t="shared" si="2"/>
        <v>88</v>
      </c>
      <c r="C140" s="45" t="s">
        <v>284</v>
      </c>
      <c r="D140" s="173">
        <f>SUMIFS(FORMULAGE!$BD:$BD,FORMULAGE!$A:$A,$B140)</f>
        <v>0</v>
      </c>
      <c r="E140" s="173">
        <f>SUMIFS(FORMULAGE!$BJ:$BJ,FORMULAGE!$A:$A,$B140)</f>
        <v>0</v>
      </c>
      <c r="F140" s="173">
        <f>SUMIFS(FORMULAGE!$BK:$BK,FORMULAGE!$A:$A,$B140)</f>
        <v>0</v>
      </c>
      <c r="G140" s="24"/>
      <c r="H140" s="173">
        <v>0</v>
      </c>
      <c r="I140" s="173">
        <v>0</v>
      </c>
      <c r="J140" s="173">
        <v>0</v>
      </c>
    </row>
    <row r="141" spans="2:10" s="4" customFormat="1" ht="15">
      <c r="B141" s="56">
        <f t="shared" si="2"/>
        <v>89</v>
      </c>
      <c r="C141" s="45" t="s">
        <v>285</v>
      </c>
      <c r="D141" s="173">
        <f>SUMIFS(FORMULAGE!$BD:$BD,FORMULAGE!$A:$A,$B141)</f>
        <v>0</v>
      </c>
      <c r="E141" s="173">
        <f>SUMIFS(FORMULAGE!$BJ:$BJ,FORMULAGE!$A:$A,$B141)</f>
        <v>0</v>
      </c>
      <c r="F141" s="173">
        <f>SUMIFS(FORMULAGE!$BK:$BK,FORMULAGE!$A:$A,$B141)</f>
        <v>0</v>
      </c>
      <c r="G141" s="24"/>
      <c r="H141" s="173">
        <v>0</v>
      </c>
      <c r="I141" s="173">
        <v>0</v>
      </c>
      <c r="J141" s="173">
        <v>0</v>
      </c>
    </row>
    <row r="142" spans="2:10" s="4" customFormat="1" ht="15">
      <c r="B142" s="56">
        <f t="shared" si="2"/>
        <v>90</v>
      </c>
      <c r="C142" s="45" t="s">
        <v>286</v>
      </c>
      <c r="D142" s="173">
        <f>SUMIFS(FORMULAGE!$BD:$BD,FORMULAGE!$A:$A,$B142)</f>
        <v>0</v>
      </c>
      <c r="E142" s="173">
        <f>SUMIFS(FORMULAGE!$BJ:$BJ,FORMULAGE!$A:$A,$B142)</f>
        <v>0</v>
      </c>
      <c r="F142" s="173">
        <f>SUMIFS(FORMULAGE!$BK:$BK,FORMULAGE!$A:$A,$B142)</f>
        <v>0</v>
      </c>
      <c r="G142" s="24"/>
      <c r="H142" s="173">
        <v>0</v>
      </c>
      <c r="I142" s="173">
        <v>0</v>
      </c>
      <c r="J142" s="173">
        <v>0</v>
      </c>
    </row>
    <row r="143" spans="2:10" s="4" customFormat="1" ht="15">
      <c r="B143" s="56">
        <f t="shared" si="2"/>
        <v>91</v>
      </c>
      <c r="C143" s="45" t="s">
        <v>287</v>
      </c>
      <c r="D143" s="173">
        <f>SUMIFS(FORMULAGE!$BD:$BD,FORMULAGE!$A:$A,$B143)</f>
        <v>0</v>
      </c>
      <c r="E143" s="173">
        <f>SUMIFS(FORMULAGE!$BJ:$BJ,FORMULAGE!$A:$A,$B143)</f>
        <v>0</v>
      </c>
      <c r="F143" s="173">
        <f>SUMIFS(FORMULAGE!$BK:$BK,FORMULAGE!$A:$A,$B143)</f>
        <v>0</v>
      </c>
      <c r="G143" s="24"/>
      <c r="H143" s="173">
        <v>0</v>
      </c>
      <c r="I143" s="173">
        <v>0</v>
      </c>
      <c r="J143" s="173">
        <v>0</v>
      </c>
    </row>
    <row r="144" spans="2:10" s="4" customFormat="1" ht="15">
      <c r="B144" s="56">
        <f t="shared" si="2"/>
        <v>92</v>
      </c>
      <c r="C144" s="45" t="s">
        <v>288</v>
      </c>
      <c r="D144" s="173">
        <f>SUMIFS(FORMULAGE!$BD:$BD,FORMULAGE!$A:$A,$B144)</f>
        <v>0</v>
      </c>
      <c r="E144" s="173">
        <f>SUMIFS(FORMULAGE!$BJ:$BJ,FORMULAGE!$A:$A,$B144)</f>
        <v>0</v>
      </c>
      <c r="F144" s="173">
        <f>SUMIFS(FORMULAGE!$BK:$BK,FORMULAGE!$A:$A,$B144)</f>
        <v>0</v>
      </c>
      <c r="G144" s="24"/>
      <c r="H144" s="173">
        <v>0</v>
      </c>
      <c r="I144" s="173">
        <v>0</v>
      </c>
      <c r="J144" s="173">
        <v>0</v>
      </c>
    </row>
    <row r="145" spans="2:14" s="4" customFormat="1" ht="15">
      <c r="B145" s="56">
        <f t="shared" si="2"/>
        <v>93</v>
      </c>
      <c r="C145" s="45" t="s">
        <v>289</v>
      </c>
      <c r="D145" s="173">
        <f>SUMIFS(FORMULAGE!$BD:$BD,FORMULAGE!$A:$A,$B145)</f>
        <v>0</v>
      </c>
      <c r="E145" s="173">
        <f>SUMIFS(FORMULAGE!$BJ:$BJ,FORMULAGE!$A:$A,$B145)</f>
        <v>0</v>
      </c>
      <c r="F145" s="173">
        <f>SUMIFS(FORMULAGE!$BK:$BK,FORMULAGE!$A:$A,$B145)</f>
        <v>0</v>
      </c>
      <c r="G145" s="24"/>
      <c r="H145" s="173">
        <v>0</v>
      </c>
      <c r="I145" s="173">
        <v>0</v>
      </c>
      <c r="J145" s="173">
        <v>0</v>
      </c>
    </row>
    <row r="146" spans="2:14" s="4" customFormat="1" ht="15">
      <c r="B146" s="56">
        <f t="shared" si="2"/>
        <v>94</v>
      </c>
      <c r="C146" s="45" t="s">
        <v>290</v>
      </c>
      <c r="D146" s="173">
        <f>SUMIFS(FORMULAGE!$BD:$BD,FORMULAGE!$A:$A,$B146)</f>
        <v>0</v>
      </c>
      <c r="E146" s="173">
        <f>SUMIFS(FORMULAGE!$BJ:$BJ,FORMULAGE!$A:$A,$B146)</f>
        <v>0</v>
      </c>
      <c r="F146" s="173">
        <f>SUMIFS(FORMULAGE!$BK:$BK,FORMULAGE!$A:$A,$B146)</f>
        <v>0</v>
      </c>
      <c r="G146" s="24"/>
      <c r="H146" s="173">
        <v>0</v>
      </c>
      <c r="I146" s="173">
        <v>0</v>
      </c>
      <c r="J146" s="173">
        <v>0</v>
      </c>
    </row>
    <row r="147" spans="2:14" s="4" customFormat="1" ht="15">
      <c r="B147" s="56">
        <f t="shared" si="2"/>
        <v>95</v>
      </c>
      <c r="C147" s="45" t="s">
        <v>290</v>
      </c>
      <c r="D147" s="173">
        <f>SUMIFS(FORMULAGE!$BD:$BD,FORMULAGE!$A:$A,$B147)</f>
        <v>0</v>
      </c>
      <c r="E147" s="173">
        <f>SUMIFS(FORMULAGE!$BJ:$BJ,FORMULAGE!$A:$A,$B147)</f>
        <v>0</v>
      </c>
      <c r="F147" s="173">
        <f>SUMIFS(FORMULAGE!$BK:$BK,FORMULAGE!$A:$A,$B147)</f>
        <v>0</v>
      </c>
      <c r="G147" s="24"/>
      <c r="H147" s="173">
        <v>0</v>
      </c>
      <c r="I147" s="173">
        <v>0</v>
      </c>
      <c r="J147" s="173">
        <v>0</v>
      </c>
    </row>
    <row r="148" spans="2:14" s="4" customFormat="1" ht="15">
      <c r="B148" s="56">
        <f t="shared" si="2"/>
        <v>96</v>
      </c>
      <c r="C148" s="45" t="s">
        <v>290</v>
      </c>
      <c r="D148" s="173">
        <f>SUMIFS(FORMULAGE!$BD:$BD,FORMULAGE!$A:$A,$B148)</f>
        <v>0</v>
      </c>
      <c r="E148" s="173">
        <f>SUMIFS(FORMULAGE!$BJ:$BJ,FORMULAGE!$A:$A,$B148)</f>
        <v>0</v>
      </c>
      <c r="F148" s="173">
        <f>SUMIFS(FORMULAGE!$BK:$BK,FORMULAGE!$A:$A,$B148)</f>
        <v>0</v>
      </c>
      <c r="G148" s="24"/>
      <c r="H148" s="173">
        <v>0</v>
      </c>
      <c r="I148" s="173">
        <v>0</v>
      </c>
      <c r="J148" s="173">
        <v>0</v>
      </c>
    </row>
    <row r="149" spans="2:14" s="4" customFormat="1" ht="15">
      <c r="B149" s="56">
        <f t="shared" si="2"/>
        <v>97</v>
      </c>
      <c r="C149" s="45" t="s">
        <v>291</v>
      </c>
      <c r="D149" s="173">
        <f>SUMIFS(FORMULAGE!$BD:$BD,FORMULAGE!$A:$A,$B149)</f>
        <v>42.16</v>
      </c>
      <c r="E149" s="173">
        <f>SUMIFS(FORMULAGE!$BJ:$BJ,FORMULAGE!$A:$A,$B149)</f>
        <v>42.16</v>
      </c>
      <c r="F149" s="173">
        <f>SUMIFS(FORMULAGE!$BK:$BK,FORMULAGE!$A:$A,$B149)</f>
        <v>0</v>
      </c>
      <c r="G149" s="24"/>
      <c r="H149" s="173">
        <v>19.100000000000001</v>
      </c>
      <c r="I149" s="173">
        <v>19.100000000000001</v>
      </c>
      <c r="J149" s="173">
        <v>0</v>
      </c>
    </row>
    <row r="150" spans="2:14" s="4" customFormat="1" ht="15">
      <c r="B150" s="56">
        <f t="shared" si="2"/>
        <v>98</v>
      </c>
      <c r="C150" s="45" t="s">
        <v>291</v>
      </c>
      <c r="D150" s="173">
        <f>SUMIFS(FORMULAGE!$BD:$BD,FORMULAGE!$A:$A,$B150)</f>
        <v>0</v>
      </c>
      <c r="E150" s="173">
        <f>SUMIFS(FORMULAGE!$BJ:$BJ,FORMULAGE!$A:$A,$B150)</f>
        <v>0</v>
      </c>
      <c r="F150" s="173">
        <f>SUMIFS(FORMULAGE!$BK:$BK,FORMULAGE!$A:$A,$B150)</f>
        <v>0</v>
      </c>
      <c r="G150" s="24"/>
      <c r="H150" s="173">
        <v>0</v>
      </c>
      <c r="I150" s="173">
        <v>0</v>
      </c>
      <c r="J150" s="173">
        <v>0</v>
      </c>
    </row>
    <row r="151" spans="2:14" s="4" customFormat="1">
      <c r="B151" s="77"/>
      <c r="C151" s="38" t="s">
        <v>194</v>
      </c>
      <c r="D151" s="174">
        <f>SUM(D62:D150)</f>
        <v>63827.389999999992</v>
      </c>
      <c r="E151" s="174">
        <f t="shared" ref="E151:F151" si="3">SUM(E62:E150)</f>
        <v>63822.77</v>
      </c>
      <c r="F151" s="174">
        <f t="shared" si="3"/>
        <v>4.62</v>
      </c>
      <c r="G151" s="24"/>
      <c r="H151" s="174">
        <v>60646.369999999995</v>
      </c>
      <c r="I151" s="174">
        <v>60644.02</v>
      </c>
      <c r="J151" s="174">
        <v>2.3499999999999996</v>
      </c>
    </row>
    <row r="152" spans="2:14" s="4" customFormat="1" ht="15">
      <c r="B152" s="78"/>
      <c r="C152" s="44"/>
      <c r="D152" s="178"/>
      <c r="E152" s="178"/>
      <c r="F152" s="178"/>
      <c r="G152" s="35"/>
      <c r="H152" s="178"/>
      <c r="I152" s="178"/>
      <c r="J152" s="178"/>
    </row>
    <row r="153" spans="2:14" s="4" customFormat="1" ht="21">
      <c r="B153" s="73" t="s">
        <v>292</v>
      </c>
      <c r="C153" s="33"/>
      <c r="D153" s="169"/>
      <c r="E153" s="169"/>
      <c r="F153" s="169"/>
      <c r="H153" s="169"/>
      <c r="I153" s="169"/>
      <c r="J153" s="169"/>
    </row>
    <row r="154" spans="2:14">
      <c r="B154" s="76"/>
      <c r="D154" s="177"/>
      <c r="E154" s="177"/>
      <c r="F154" s="177"/>
      <c r="H154" s="177"/>
      <c r="I154" s="177"/>
      <c r="J154" s="177"/>
      <c r="L154" s="4"/>
      <c r="M154" s="4"/>
      <c r="N154" s="4"/>
    </row>
    <row r="155" spans="2:14" s="4" customFormat="1" ht="15">
      <c r="B155" s="74">
        <f>B150+1</f>
        <v>99</v>
      </c>
      <c r="C155" s="39" t="s">
        <v>293</v>
      </c>
      <c r="D155" s="173">
        <f>SUMIFS(FORMULAGE!$BD:$BD,FORMULAGE!$A:$A,$B155)</f>
        <v>108.99000000000001</v>
      </c>
      <c r="E155" s="173">
        <f>SUMIFS(FORMULAGE!$BJ:$BJ,FORMULAGE!$A:$A,$B155)</f>
        <v>108.99000000000001</v>
      </c>
      <c r="F155" s="173">
        <f>SUMIFS(FORMULAGE!$BK:$BK,FORMULAGE!$A:$A,$B155)</f>
        <v>0</v>
      </c>
      <c r="H155" s="173">
        <v>210.15</v>
      </c>
      <c r="I155" s="173">
        <v>210.15</v>
      </c>
      <c r="J155" s="173">
        <v>0</v>
      </c>
    </row>
    <row r="156" spans="2:14" s="4" customFormat="1" ht="15">
      <c r="B156" s="74">
        <f t="shared" ref="B156:B188" si="4">B155+1</f>
        <v>100</v>
      </c>
      <c r="C156" s="39" t="s">
        <v>294</v>
      </c>
      <c r="D156" s="173">
        <f>SUMIFS(FORMULAGE!$BD:$BD,FORMULAGE!$A:$A,$B156)</f>
        <v>0</v>
      </c>
      <c r="E156" s="173">
        <f>SUMIFS(FORMULAGE!$BJ:$BJ,FORMULAGE!$A:$A,$B156)</f>
        <v>0</v>
      </c>
      <c r="F156" s="173">
        <f>SUMIFS(FORMULAGE!$BK:$BK,FORMULAGE!$A:$A,$B156)</f>
        <v>0</v>
      </c>
      <c r="H156" s="173">
        <v>0</v>
      </c>
      <c r="I156" s="173">
        <v>0</v>
      </c>
      <c r="J156" s="173">
        <v>0</v>
      </c>
    </row>
    <row r="157" spans="2:14" s="4" customFormat="1" ht="15">
      <c r="B157" s="74">
        <f t="shared" si="4"/>
        <v>101</v>
      </c>
      <c r="C157" s="39" t="s">
        <v>294</v>
      </c>
      <c r="D157" s="173">
        <f>SUMIFS(FORMULAGE!$BD:$BD,FORMULAGE!$A:$A,$B157)</f>
        <v>0.35</v>
      </c>
      <c r="E157" s="173">
        <f>SUMIFS(FORMULAGE!$BJ:$BJ,FORMULAGE!$A:$A,$B157)</f>
        <v>0.35</v>
      </c>
      <c r="F157" s="173">
        <f>SUMIFS(FORMULAGE!$BK:$BK,FORMULAGE!$A:$A,$B157)</f>
        <v>0</v>
      </c>
      <c r="H157" s="173">
        <v>0.35</v>
      </c>
      <c r="I157" s="173">
        <v>0.35</v>
      </c>
      <c r="J157" s="173">
        <v>0</v>
      </c>
    </row>
    <row r="158" spans="2:14" s="4" customFormat="1" ht="15">
      <c r="B158" s="74">
        <f t="shared" si="4"/>
        <v>102</v>
      </c>
      <c r="C158" s="39" t="s">
        <v>295</v>
      </c>
      <c r="D158" s="173">
        <f>SUMIFS(FORMULAGE!$BD:$BD,FORMULAGE!$A:$A,$B158)</f>
        <v>382.07</v>
      </c>
      <c r="E158" s="173">
        <f>SUMIFS(FORMULAGE!$BJ:$BJ,FORMULAGE!$A:$A,$B158)</f>
        <v>382.07</v>
      </c>
      <c r="F158" s="173">
        <f>SUMIFS(FORMULAGE!$BK:$BK,FORMULAGE!$A:$A,$B158)</f>
        <v>0</v>
      </c>
      <c r="H158" s="173">
        <v>397.28999999999996</v>
      </c>
      <c r="I158" s="173">
        <v>397.28999999999996</v>
      </c>
      <c r="J158" s="173">
        <v>0</v>
      </c>
    </row>
    <row r="159" spans="2:14" s="4" customFormat="1" ht="15">
      <c r="B159" s="74">
        <f t="shared" si="4"/>
        <v>103</v>
      </c>
      <c r="C159" s="39" t="s">
        <v>295</v>
      </c>
      <c r="D159" s="173">
        <f>SUMIFS(FORMULAGE!$BD:$BD,FORMULAGE!$A:$A,$B159)</f>
        <v>0</v>
      </c>
      <c r="E159" s="173">
        <f>SUMIFS(FORMULAGE!$BJ:$BJ,FORMULAGE!$A:$A,$B159)</f>
        <v>0</v>
      </c>
      <c r="F159" s="173">
        <f>SUMIFS(FORMULAGE!$BK:$BK,FORMULAGE!$A:$A,$B159)</f>
        <v>0</v>
      </c>
      <c r="H159" s="173">
        <v>0</v>
      </c>
      <c r="I159" s="173">
        <v>0</v>
      </c>
      <c r="J159" s="173">
        <v>0</v>
      </c>
    </row>
    <row r="160" spans="2:14" s="4" customFormat="1" ht="15">
      <c r="B160" s="74">
        <f t="shared" si="4"/>
        <v>104</v>
      </c>
      <c r="C160" s="39" t="s">
        <v>295</v>
      </c>
      <c r="D160" s="173">
        <f>SUMIFS(FORMULAGE!$BD:$BD,FORMULAGE!$A:$A,$B160)</f>
        <v>302.27</v>
      </c>
      <c r="E160" s="173">
        <f>SUMIFS(FORMULAGE!$BJ:$BJ,FORMULAGE!$A:$A,$B160)</f>
        <v>302.27</v>
      </c>
      <c r="F160" s="173">
        <f>SUMIFS(FORMULAGE!$BK:$BK,FORMULAGE!$A:$A,$B160)</f>
        <v>0</v>
      </c>
      <c r="H160" s="173">
        <v>63.309999999999995</v>
      </c>
      <c r="I160" s="173">
        <v>63.309999999999995</v>
      </c>
      <c r="J160" s="173">
        <v>0</v>
      </c>
    </row>
    <row r="161" spans="2:10" s="4" customFormat="1" ht="15">
      <c r="B161" s="74">
        <f t="shared" si="4"/>
        <v>105</v>
      </c>
      <c r="C161" s="39" t="s">
        <v>296</v>
      </c>
      <c r="D161" s="173">
        <f>SUMIFS(FORMULAGE!$BD:$BD,FORMULAGE!$A:$A,$B161)</f>
        <v>94.259999999999991</v>
      </c>
      <c r="E161" s="173">
        <f>SUMIFS(FORMULAGE!$BJ:$BJ,FORMULAGE!$A:$A,$B161)</f>
        <v>85.41</v>
      </c>
      <c r="F161" s="173">
        <f>SUMIFS(FORMULAGE!$BK:$BK,FORMULAGE!$A:$A,$B161)</f>
        <v>8.8499999999999943</v>
      </c>
      <c r="H161" s="173">
        <v>122.53</v>
      </c>
      <c r="I161" s="173">
        <v>122.24</v>
      </c>
      <c r="J161" s="173">
        <v>0.29000000000000625</v>
      </c>
    </row>
    <row r="162" spans="2:10" s="4" customFormat="1" ht="15">
      <c r="B162" s="74">
        <f t="shared" si="4"/>
        <v>106</v>
      </c>
      <c r="C162" s="39" t="s">
        <v>296</v>
      </c>
      <c r="D162" s="173">
        <f>SUMIFS(FORMULAGE!$BD:$BD,FORMULAGE!$A:$A,$B162)</f>
        <v>257.36</v>
      </c>
      <c r="E162" s="173">
        <f>SUMIFS(FORMULAGE!$BJ:$BJ,FORMULAGE!$A:$A,$B162)</f>
        <v>257.36</v>
      </c>
      <c r="F162" s="173">
        <f>SUMIFS(FORMULAGE!$BK:$BK,FORMULAGE!$A:$A,$B162)</f>
        <v>0</v>
      </c>
      <c r="H162" s="173">
        <v>245.62</v>
      </c>
      <c r="I162" s="173">
        <v>245.62</v>
      </c>
      <c r="J162" s="173">
        <v>0</v>
      </c>
    </row>
    <row r="163" spans="2:10" s="4" customFormat="1" ht="15">
      <c r="B163" s="74">
        <f t="shared" si="4"/>
        <v>107</v>
      </c>
      <c r="C163" s="39" t="s">
        <v>297</v>
      </c>
      <c r="D163" s="173">
        <f>SUMIFS(FORMULAGE!$BD:$BD,FORMULAGE!$A:$A,$B163)</f>
        <v>0</v>
      </c>
      <c r="E163" s="173">
        <f>SUMIFS(FORMULAGE!$BJ:$BJ,FORMULAGE!$A:$A,$B163)</f>
        <v>0</v>
      </c>
      <c r="F163" s="173">
        <f>SUMIFS(FORMULAGE!$BK:$BK,FORMULAGE!$A:$A,$B163)</f>
        <v>0</v>
      </c>
      <c r="H163" s="173">
        <v>0</v>
      </c>
      <c r="I163" s="173">
        <v>0</v>
      </c>
      <c r="J163" s="173">
        <v>0</v>
      </c>
    </row>
    <row r="164" spans="2:10" s="4" customFormat="1" ht="15">
      <c r="B164" s="74">
        <f t="shared" si="4"/>
        <v>108</v>
      </c>
      <c r="C164" s="39" t="s">
        <v>297</v>
      </c>
      <c r="D164" s="173">
        <f>SUMIFS(FORMULAGE!$BD:$BD,FORMULAGE!$A:$A,$B164)</f>
        <v>0</v>
      </c>
      <c r="E164" s="173">
        <f>SUMIFS(FORMULAGE!$BJ:$BJ,FORMULAGE!$A:$A,$B164)</f>
        <v>0</v>
      </c>
      <c r="F164" s="173">
        <f>SUMIFS(FORMULAGE!$BK:$BK,FORMULAGE!$A:$A,$B164)</f>
        <v>0</v>
      </c>
      <c r="H164" s="173">
        <v>0</v>
      </c>
      <c r="I164" s="173">
        <v>0</v>
      </c>
      <c r="J164" s="173">
        <v>0</v>
      </c>
    </row>
    <row r="165" spans="2:10" s="4" customFormat="1" ht="15">
      <c r="B165" s="74">
        <f t="shared" si="4"/>
        <v>109</v>
      </c>
      <c r="C165" s="39" t="s">
        <v>298</v>
      </c>
      <c r="D165" s="173">
        <f>SUMIFS(FORMULAGE!$BD:$BD,FORMULAGE!$A:$A,$B165)</f>
        <v>0</v>
      </c>
      <c r="E165" s="173">
        <f>SUMIFS(FORMULAGE!$BJ:$BJ,FORMULAGE!$A:$A,$B165)</f>
        <v>0</v>
      </c>
      <c r="F165" s="173">
        <f>SUMIFS(FORMULAGE!$BK:$BK,FORMULAGE!$A:$A,$B165)</f>
        <v>0</v>
      </c>
      <c r="H165" s="173">
        <v>0</v>
      </c>
      <c r="I165" s="173">
        <v>0</v>
      </c>
      <c r="J165" s="173">
        <v>0</v>
      </c>
    </row>
    <row r="166" spans="2:10" s="4" customFormat="1" ht="15">
      <c r="B166" s="74">
        <f t="shared" si="4"/>
        <v>110</v>
      </c>
      <c r="C166" s="39" t="s">
        <v>299</v>
      </c>
      <c r="D166" s="173">
        <f>SUMIFS(FORMULAGE!$BD:$BD,FORMULAGE!$A:$A,$B166)</f>
        <v>0</v>
      </c>
      <c r="E166" s="173">
        <f>SUMIFS(FORMULAGE!$BJ:$BJ,FORMULAGE!$A:$A,$B166)</f>
        <v>0</v>
      </c>
      <c r="F166" s="173">
        <f>SUMIFS(FORMULAGE!$BK:$BK,FORMULAGE!$A:$A,$B166)</f>
        <v>0</v>
      </c>
      <c r="H166" s="173">
        <v>0</v>
      </c>
      <c r="I166" s="173">
        <v>0</v>
      </c>
      <c r="J166" s="173">
        <v>0</v>
      </c>
    </row>
    <row r="167" spans="2:10" s="4" customFormat="1" ht="15">
      <c r="B167" s="74">
        <f t="shared" si="4"/>
        <v>111</v>
      </c>
      <c r="C167" s="39" t="s">
        <v>299</v>
      </c>
      <c r="D167" s="173">
        <f>SUMIFS(FORMULAGE!$BD:$BD,FORMULAGE!$A:$A,$B167)</f>
        <v>0</v>
      </c>
      <c r="E167" s="173">
        <f>SUMIFS(FORMULAGE!$BJ:$BJ,FORMULAGE!$A:$A,$B167)</f>
        <v>0</v>
      </c>
      <c r="F167" s="173">
        <f>SUMIFS(FORMULAGE!$BK:$BK,FORMULAGE!$A:$A,$B167)</f>
        <v>0</v>
      </c>
      <c r="H167" s="173">
        <v>0</v>
      </c>
      <c r="I167" s="173">
        <v>0</v>
      </c>
      <c r="J167" s="173">
        <v>0</v>
      </c>
    </row>
    <row r="168" spans="2:10" s="4" customFormat="1" ht="15">
      <c r="B168" s="74">
        <f t="shared" si="4"/>
        <v>112</v>
      </c>
      <c r="C168" s="39" t="s">
        <v>299</v>
      </c>
      <c r="D168" s="173">
        <f>SUMIFS(FORMULAGE!$BD:$BD,FORMULAGE!$A:$A,$B168)</f>
        <v>0</v>
      </c>
      <c r="E168" s="173">
        <f>SUMIFS(FORMULAGE!$BJ:$BJ,FORMULAGE!$A:$A,$B168)</f>
        <v>0</v>
      </c>
      <c r="F168" s="173">
        <f>SUMIFS(FORMULAGE!$BK:$BK,FORMULAGE!$A:$A,$B168)</f>
        <v>0</v>
      </c>
      <c r="H168" s="173">
        <v>0</v>
      </c>
      <c r="I168" s="173">
        <v>0</v>
      </c>
      <c r="J168" s="173">
        <v>0</v>
      </c>
    </row>
    <row r="169" spans="2:10" s="4" customFormat="1" ht="15">
      <c r="B169" s="74">
        <f t="shared" si="4"/>
        <v>113</v>
      </c>
      <c r="C169" s="39" t="s">
        <v>300</v>
      </c>
      <c r="D169" s="173">
        <f>SUMIFS(FORMULAGE!$BD:$BD,FORMULAGE!$A:$A,$B169)</f>
        <v>0</v>
      </c>
      <c r="E169" s="173">
        <f>SUMIFS(FORMULAGE!$BJ:$BJ,FORMULAGE!$A:$A,$B169)</f>
        <v>0</v>
      </c>
      <c r="F169" s="173">
        <f>SUMIFS(FORMULAGE!$BK:$BK,FORMULAGE!$A:$A,$B169)</f>
        <v>0</v>
      </c>
      <c r="H169" s="173">
        <v>0</v>
      </c>
      <c r="I169" s="173">
        <v>0</v>
      </c>
      <c r="J169" s="173">
        <v>0</v>
      </c>
    </row>
    <row r="170" spans="2:10" s="4" customFormat="1" ht="15">
      <c r="B170" s="74">
        <f t="shared" si="4"/>
        <v>114</v>
      </c>
      <c r="C170" s="39" t="s">
        <v>300</v>
      </c>
      <c r="D170" s="173">
        <f>SUMIFS(FORMULAGE!$BD:$BD,FORMULAGE!$A:$A,$B170)</f>
        <v>0</v>
      </c>
      <c r="E170" s="173">
        <f>SUMIFS(FORMULAGE!$BJ:$BJ,FORMULAGE!$A:$A,$B170)</f>
        <v>0</v>
      </c>
      <c r="F170" s="173">
        <f>SUMIFS(FORMULAGE!$BK:$BK,FORMULAGE!$A:$A,$B170)</f>
        <v>0</v>
      </c>
      <c r="H170" s="173">
        <v>0</v>
      </c>
      <c r="I170" s="173">
        <v>0</v>
      </c>
      <c r="J170" s="173">
        <v>0</v>
      </c>
    </row>
    <row r="171" spans="2:10" s="4" customFormat="1" ht="15">
      <c r="B171" s="74">
        <f t="shared" si="4"/>
        <v>115</v>
      </c>
      <c r="C171" s="39" t="s">
        <v>301</v>
      </c>
      <c r="D171" s="173">
        <f>SUMIFS(FORMULAGE!$BD:$BD,FORMULAGE!$A:$A,$B171)</f>
        <v>0</v>
      </c>
      <c r="E171" s="173">
        <f>SUMIFS(FORMULAGE!$BJ:$BJ,FORMULAGE!$A:$A,$B171)</f>
        <v>0</v>
      </c>
      <c r="F171" s="173">
        <f>SUMIFS(FORMULAGE!$BK:$BK,FORMULAGE!$A:$A,$B171)</f>
        <v>0</v>
      </c>
      <c r="H171" s="173">
        <v>0</v>
      </c>
      <c r="I171" s="173">
        <v>0</v>
      </c>
      <c r="J171" s="173">
        <v>0</v>
      </c>
    </row>
    <row r="172" spans="2:10" s="4" customFormat="1" ht="15">
      <c r="B172" s="74">
        <f t="shared" si="4"/>
        <v>116</v>
      </c>
      <c r="C172" s="39" t="s">
        <v>301</v>
      </c>
      <c r="D172" s="173">
        <f>SUMIFS(FORMULAGE!$BD:$BD,FORMULAGE!$A:$A,$B172)</f>
        <v>0</v>
      </c>
      <c r="E172" s="173">
        <f>SUMIFS(FORMULAGE!$BJ:$BJ,FORMULAGE!$A:$A,$B172)</f>
        <v>0</v>
      </c>
      <c r="F172" s="173">
        <f>SUMIFS(FORMULAGE!$BK:$BK,FORMULAGE!$A:$A,$B172)</f>
        <v>0</v>
      </c>
      <c r="H172" s="173">
        <v>0</v>
      </c>
      <c r="I172" s="173">
        <v>0</v>
      </c>
      <c r="J172" s="173">
        <v>0</v>
      </c>
    </row>
    <row r="173" spans="2:10" s="4" customFormat="1" ht="15">
      <c r="B173" s="74">
        <f t="shared" si="4"/>
        <v>117</v>
      </c>
      <c r="C173" s="39" t="s">
        <v>302</v>
      </c>
      <c r="D173" s="173">
        <f>SUMIFS(FORMULAGE!$BD:$BD,FORMULAGE!$A:$A,$B173)</f>
        <v>0</v>
      </c>
      <c r="E173" s="173">
        <f>SUMIFS(FORMULAGE!$BJ:$BJ,FORMULAGE!$A:$A,$B173)</f>
        <v>0</v>
      </c>
      <c r="F173" s="173">
        <f>SUMIFS(FORMULAGE!$BK:$BK,FORMULAGE!$A:$A,$B173)</f>
        <v>0</v>
      </c>
      <c r="H173" s="173">
        <v>0</v>
      </c>
      <c r="I173" s="173">
        <v>0</v>
      </c>
      <c r="J173" s="173">
        <v>0</v>
      </c>
    </row>
    <row r="174" spans="2:10" s="4" customFormat="1" ht="15">
      <c r="B174" s="74">
        <f t="shared" si="4"/>
        <v>118</v>
      </c>
      <c r="C174" s="39" t="s">
        <v>302</v>
      </c>
      <c r="D174" s="173">
        <f>SUMIFS(FORMULAGE!$BD:$BD,FORMULAGE!$A:$A,$B174)</f>
        <v>0</v>
      </c>
      <c r="E174" s="173">
        <f>SUMIFS(FORMULAGE!$BJ:$BJ,FORMULAGE!$A:$A,$B174)</f>
        <v>0</v>
      </c>
      <c r="F174" s="173">
        <f>SUMIFS(FORMULAGE!$BK:$BK,FORMULAGE!$A:$A,$B174)</f>
        <v>0</v>
      </c>
      <c r="H174" s="173">
        <v>0</v>
      </c>
      <c r="I174" s="173">
        <v>0</v>
      </c>
      <c r="J174" s="173">
        <v>0</v>
      </c>
    </row>
    <row r="175" spans="2:10" s="4" customFormat="1" ht="15">
      <c r="B175" s="74">
        <f t="shared" si="4"/>
        <v>119</v>
      </c>
      <c r="C175" s="39" t="s">
        <v>303</v>
      </c>
      <c r="D175" s="173">
        <f>SUMIFS(FORMULAGE!$BD:$BD,FORMULAGE!$A:$A,$B175)</f>
        <v>0</v>
      </c>
      <c r="E175" s="173">
        <f>SUMIFS(FORMULAGE!$BJ:$BJ,FORMULAGE!$A:$A,$B175)</f>
        <v>0</v>
      </c>
      <c r="F175" s="173">
        <f>SUMIFS(FORMULAGE!$BK:$BK,FORMULAGE!$A:$A,$B175)</f>
        <v>0</v>
      </c>
      <c r="H175" s="173">
        <v>0</v>
      </c>
      <c r="I175" s="173">
        <v>0</v>
      </c>
      <c r="J175" s="173">
        <v>0</v>
      </c>
    </row>
    <row r="176" spans="2:10" s="4" customFormat="1" ht="15">
      <c r="B176" s="74">
        <f t="shared" si="4"/>
        <v>120</v>
      </c>
      <c r="C176" s="39" t="s">
        <v>304</v>
      </c>
      <c r="D176" s="173">
        <f>SUMIFS(FORMULAGE!$BD:$BD,FORMULAGE!$A:$A,$B176)</f>
        <v>0</v>
      </c>
      <c r="E176" s="173">
        <f>SUMIFS(FORMULAGE!$BJ:$BJ,FORMULAGE!$A:$A,$B176)</f>
        <v>0</v>
      </c>
      <c r="F176" s="173">
        <f>SUMIFS(FORMULAGE!$BK:$BK,FORMULAGE!$A:$A,$B176)</f>
        <v>0</v>
      </c>
      <c r="H176" s="173">
        <v>0</v>
      </c>
      <c r="I176" s="173">
        <v>0</v>
      </c>
      <c r="J176" s="173">
        <v>0</v>
      </c>
    </row>
    <row r="177" spans="2:14" s="4" customFormat="1" ht="15">
      <c r="B177" s="74">
        <f t="shared" si="4"/>
        <v>121</v>
      </c>
      <c r="C177" s="39" t="s">
        <v>305</v>
      </c>
      <c r="D177" s="173">
        <f>SUMIFS(FORMULAGE!$BD:$BD,FORMULAGE!$A:$A,$B177)</f>
        <v>0</v>
      </c>
      <c r="E177" s="173">
        <f>SUMIFS(FORMULAGE!$BJ:$BJ,FORMULAGE!$A:$A,$B177)</f>
        <v>0</v>
      </c>
      <c r="F177" s="173">
        <f>SUMIFS(FORMULAGE!$BK:$BK,FORMULAGE!$A:$A,$B177)</f>
        <v>0</v>
      </c>
      <c r="H177" s="173">
        <v>0</v>
      </c>
      <c r="I177" s="173">
        <v>0</v>
      </c>
      <c r="J177" s="173">
        <v>0</v>
      </c>
    </row>
    <row r="178" spans="2:14" s="4" customFormat="1" ht="15">
      <c r="B178" s="74">
        <f t="shared" si="4"/>
        <v>122</v>
      </c>
      <c r="C178" s="39" t="s">
        <v>306</v>
      </c>
      <c r="D178" s="173">
        <f>SUMIFS(FORMULAGE!$BD:$BD,FORMULAGE!$A:$A,$B178)</f>
        <v>0</v>
      </c>
      <c r="E178" s="173">
        <f>SUMIFS(FORMULAGE!$BJ:$BJ,FORMULAGE!$A:$A,$B178)</f>
        <v>0</v>
      </c>
      <c r="F178" s="173">
        <f>SUMIFS(FORMULAGE!$BK:$BK,FORMULAGE!$A:$A,$B178)</f>
        <v>0</v>
      </c>
      <c r="H178" s="173">
        <v>0</v>
      </c>
      <c r="I178" s="173">
        <v>0</v>
      </c>
      <c r="J178" s="173">
        <v>0</v>
      </c>
    </row>
    <row r="179" spans="2:14" s="4" customFormat="1" ht="15">
      <c r="B179" s="74">
        <f t="shared" si="4"/>
        <v>123</v>
      </c>
      <c r="C179" s="39" t="s">
        <v>307</v>
      </c>
      <c r="D179" s="173">
        <f>SUMIFS(FORMULAGE!$BD:$BD,FORMULAGE!$A:$A,$B179)</f>
        <v>0</v>
      </c>
      <c r="E179" s="173">
        <f>SUMIFS(FORMULAGE!$BJ:$BJ,FORMULAGE!$A:$A,$B179)</f>
        <v>0</v>
      </c>
      <c r="F179" s="173">
        <f>SUMIFS(FORMULAGE!$BK:$BK,FORMULAGE!$A:$A,$B179)</f>
        <v>0</v>
      </c>
      <c r="H179" s="173">
        <v>0</v>
      </c>
      <c r="I179" s="173">
        <v>0</v>
      </c>
      <c r="J179" s="173">
        <v>0</v>
      </c>
    </row>
    <row r="180" spans="2:14" s="4" customFormat="1" ht="15">
      <c r="B180" s="74">
        <f t="shared" si="4"/>
        <v>124</v>
      </c>
      <c r="C180" s="39" t="s">
        <v>308</v>
      </c>
      <c r="D180" s="173">
        <f>SUMIFS(FORMULAGE!$BD:$BD,FORMULAGE!$A:$A,$B180)</f>
        <v>0</v>
      </c>
      <c r="E180" s="173">
        <f>SUMIFS(FORMULAGE!$BJ:$BJ,FORMULAGE!$A:$A,$B180)</f>
        <v>0</v>
      </c>
      <c r="F180" s="173">
        <f>SUMIFS(FORMULAGE!$BK:$BK,FORMULAGE!$A:$A,$B180)</f>
        <v>0</v>
      </c>
      <c r="H180" s="173">
        <v>0</v>
      </c>
      <c r="I180" s="173">
        <v>0</v>
      </c>
      <c r="J180" s="173">
        <v>0</v>
      </c>
    </row>
    <row r="181" spans="2:14" s="4" customFormat="1" ht="15">
      <c r="B181" s="74">
        <f t="shared" si="4"/>
        <v>125</v>
      </c>
      <c r="C181" s="39" t="s">
        <v>309</v>
      </c>
      <c r="D181" s="173">
        <f>SUMIFS(FORMULAGE!$BD:$BD,FORMULAGE!$A:$A,$B181)</f>
        <v>0</v>
      </c>
      <c r="E181" s="173">
        <f>SUMIFS(FORMULAGE!$BJ:$BJ,FORMULAGE!$A:$A,$B181)</f>
        <v>0</v>
      </c>
      <c r="F181" s="173">
        <f>SUMIFS(FORMULAGE!$BK:$BK,FORMULAGE!$A:$A,$B181)</f>
        <v>0</v>
      </c>
      <c r="H181" s="173">
        <v>0</v>
      </c>
      <c r="I181" s="173">
        <v>0</v>
      </c>
      <c r="J181" s="173">
        <v>0</v>
      </c>
    </row>
    <row r="182" spans="2:14" s="4" customFormat="1" ht="15">
      <c r="B182" s="74">
        <f t="shared" si="4"/>
        <v>126</v>
      </c>
      <c r="C182" s="39" t="s">
        <v>310</v>
      </c>
      <c r="D182" s="173">
        <f>SUMIFS(FORMULAGE!$BD:$BD,FORMULAGE!$A:$A,$B182)</f>
        <v>0</v>
      </c>
      <c r="E182" s="173">
        <f>SUMIFS(FORMULAGE!$BJ:$BJ,FORMULAGE!$A:$A,$B182)</f>
        <v>0</v>
      </c>
      <c r="F182" s="173">
        <f>SUMIFS(FORMULAGE!$BK:$BK,FORMULAGE!$A:$A,$B182)</f>
        <v>0</v>
      </c>
      <c r="H182" s="173">
        <v>0</v>
      </c>
      <c r="I182" s="173">
        <v>0</v>
      </c>
      <c r="J182" s="173">
        <v>0</v>
      </c>
    </row>
    <row r="183" spans="2:14" s="4" customFormat="1" ht="15">
      <c r="B183" s="74">
        <f t="shared" si="4"/>
        <v>127</v>
      </c>
      <c r="C183" s="39" t="s">
        <v>311</v>
      </c>
      <c r="D183" s="173">
        <f>SUMIFS(FORMULAGE!$BD:$BD,FORMULAGE!$A:$A,$B183)</f>
        <v>0</v>
      </c>
      <c r="E183" s="173">
        <f>SUMIFS(FORMULAGE!$BJ:$BJ,FORMULAGE!$A:$A,$B183)</f>
        <v>0</v>
      </c>
      <c r="F183" s="173">
        <f>SUMIFS(FORMULAGE!$BK:$BK,FORMULAGE!$A:$A,$B183)</f>
        <v>0</v>
      </c>
      <c r="H183" s="173">
        <v>0</v>
      </c>
      <c r="I183" s="173">
        <v>0</v>
      </c>
      <c r="J183" s="173">
        <v>0</v>
      </c>
    </row>
    <row r="184" spans="2:14" s="4" customFormat="1" ht="15">
      <c r="B184" s="74">
        <f t="shared" si="4"/>
        <v>128</v>
      </c>
      <c r="C184" s="39" t="s">
        <v>312</v>
      </c>
      <c r="D184" s="173">
        <f>SUMIFS(FORMULAGE!$BD:$BD,FORMULAGE!$A:$A,$B184)</f>
        <v>0</v>
      </c>
      <c r="E184" s="173">
        <f>SUMIFS(FORMULAGE!$BJ:$BJ,FORMULAGE!$A:$A,$B184)</f>
        <v>0</v>
      </c>
      <c r="F184" s="173">
        <f>SUMIFS(FORMULAGE!$BK:$BK,FORMULAGE!$A:$A,$B184)</f>
        <v>0</v>
      </c>
      <c r="H184" s="173">
        <v>0</v>
      </c>
      <c r="I184" s="173">
        <v>0</v>
      </c>
      <c r="J184" s="173">
        <v>0</v>
      </c>
    </row>
    <row r="185" spans="2:14" s="4" customFormat="1" ht="15">
      <c r="B185" s="74">
        <f t="shared" si="4"/>
        <v>129</v>
      </c>
      <c r="C185" s="39" t="s">
        <v>313</v>
      </c>
      <c r="D185" s="173">
        <f>SUMIFS(FORMULAGE!$BD:$BD,FORMULAGE!$A:$A,$B185)</f>
        <v>0</v>
      </c>
      <c r="E185" s="173">
        <f>SUMIFS(FORMULAGE!$BJ:$BJ,FORMULAGE!$A:$A,$B185)</f>
        <v>0</v>
      </c>
      <c r="F185" s="173">
        <f>SUMIFS(FORMULAGE!$BK:$BK,FORMULAGE!$A:$A,$B185)</f>
        <v>0</v>
      </c>
      <c r="H185" s="173">
        <v>0</v>
      </c>
      <c r="I185" s="173">
        <v>0</v>
      </c>
      <c r="J185" s="173">
        <v>0</v>
      </c>
    </row>
    <row r="186" spans="2:14" s="4" customFormat="1" ht="15">
      <c r="B186" s="74">
        <f t="shared" si="4"/>
        <v>130</v>
      </c>
      <c r="C186" s="39" t="s">
        <v>314</v>
      </c>
      <c r="D186" s="173">
        <f>SUMIFS(FORMULAGE!$BD:$BD,FORMULAGE!$A:$A,$B186)</f>
        <v>0</v>
      </c>
      <c r="E186" s="173">
        <f>SUMIFS(FORMULAGE!$BJ:$BJ,FORMULAGE!$A:$A,$B186)</f>
        <v>0</v>
      </c>
      <c r="F186" s="173">
        <f>SUMIFS(FORMULAGE!$BK:$BK,FORMULAGE!$A:$A,$B186)</f>
        <v>0</v>
      </c>
      <c r="H186" s="173">
        <v>0</v>
      </c>
      <c r="I186" s="173">
        <v>0</v>
      </c>
      <c r="J186" s="173">
        <v>0</v>
      </c>
    </row>
    <row r="187" spans="2:14" s="4" customFormat="1" ht="15">
      <c r="B187" s="74">
        <f t="shared" si="4"/>
        <v>131</v>
      </c>
      <c r="C187" s="39" t="s">
        <v>315</v>
      </c>
      <c r="D187" s="173">
        <f>SUMIFS(FORMULAGE!$BD:$BD,FORMULAGE!$A:$A,$B187)</f>
        <v>0</v>
      </c>
      <c r="E187" s="173">
        <f>SUMIFS(FORMULAGE!$BJ:$BJ,FORMULAGE!$A:$A,$B187)</f>
        <v>0</v>
      </c>
      <c r="F187" s="173">
        <f>SUMIFS(FORMULAGE!$BK:$BK,FORMULAGE!$A:$A,$B187)</f>
        <v>0</v>
      </c>
      <c r="H187" s="173">
        <v>0</v>
      </c>
      <c r="I187" s="173">
        <v>0</v>
      </c>
      <c r="J187" s="173">
        <v>0</v>
      </c>
    </row>
    <row r="188" spans="2:14" s="4" customFormat="1" ht="15">
      <c r="B188" s="74">
        <f t="shared" si="4"/>
        <v>132</v>
      </c>
      <c r="C188" s="39" t="s">
        <v>316</v>
      </c>
      <c r="D188" s="173">
        <f>SUMIFS(FORMULAGE!$BD:$BD,FORMULAGE!$A:$A,$B188)</f>
        <v>0.27</v>
      </c>
      <c r="E188" s="173">
        <f>SUMIFS(FORMULAGE!$BJ:$BJ,FORMULAGE!$A:$A,$B188)</f>
        <v>0.27</v>
      </c>
      <c r="F188" s="173">
        <f>SUMIFS(FORMULAGE!$BK:$BK,FORMULAGE!$A:$A,$B188)</f>
        <v>0</v>
      </c>
      <c r="H188" s="173">
        <v>0.48</v>
      </c>
      <c r="I188" s="173">
        <v>0.48</v>
      </c>
      <c r="J188" s="173">
        <v>0</v>
      </c>
    </row>
    <row r="189" spans="2:14" ht="15">
      <c r="B189" s="79"/>
      <c r="C189" s="38" t="s">
        <v>195</v>
      </c>
      <c r="D189" s="174">
        <f>SUM(D155:D188)</f>
        <v>1145.57</v>
      </c>
      <c r="E189" s="174">
        <f t="shared" ref="E189:F189" si="5">SUM(E155:E188)</f>
        <v>1136.7199999999998</v>
      </c>
      <c r="F189" s="174">
        <f t="shared" si="5"/>
        <v>8.8499999999999943</v>
      </c>
      <c r="G189" s="35"/>
      <c r="H189" s="174">
        <v>1039.73</v>
      </c>
      <c r="I189" s="174">
        <v>1039.44</v>
      </c>
      <c r="J189" s="174">
        <v>0.29000000000000625</v>
      </c>
      <c r="L189" s="4"/>
      <c r="M189" s="4"/>
      <c r="N189" s="4"/>
    </row>
    <row r="190" spans="2:14">
      <c r="L190" s="4"/>
      <c r="M190" s="4"/>
      <c r="N190" s="4"/>
    </row>
    <row r="191" spans="2:14" ht="23.25">
      <c r="B191" s="73" t="s">
        <v>411</v>
      </c>
      <c r="C191" s="33"/>
      <c r="D191" s="169"/>
      <c r="E191" s="169"/>
      <c r="F191" s="169"/>
      <c r="H191" s="169"/>
      <c r="I191" s="169"/>
      <c r="J191" s="169"/>
      <c r="L191" s="4"/>
      <c r="M191" s="4"/>
      <c r="N191" s="4"/>
    </row>
    <row r="192" spans="2:14">
      <c r="C192" s="29"/>
      <c r="D192" s="177"/>
      <c r="E192" s="177"/>
      <c r="F192" s="177"/>
      <c r="H192" s="177"/>
      <c r="I192" s="177"/>
      <c r="J192" s="177"/>
      <c r="L192" s="4"/>
      <c r="M192" s="4"/>
      <c r="N192" s="4"/>
    </row>
    <row r="193" spans="1:14" ht="15">
      <c r="A193" s="24" t="s">
        <v>225</v>
      </c>
      <c r="B193" s="133">
        <v>133</v>
      </c>
      <c r="C193" s="30" t="s">
        <v>317</v>
      </c>
      <c r="D193" s="173">
        <f>SUMIFS(FORMULAGE!$BK:$BK,FORMULAGE!$A:$A,$B193)</f>
        <v>0</v>
      </c>
      <c r="E193" s="173">
        <f>SUMIFS(FORMULAGE!$BJ:$BJ,FORMULAGE!$A:$A,$B193)</f>
        <v>0</v>
      </c>
      <c r="F193" s="173">
        <f>SUMIFS(FORMULAGE!$BK:$BK,FORMULAGE!$A:$A,$B193)</f>
        <v>0</v>
      </c>
      <c r="H193" s="173">
        <v>0</v>
      </c>
      <c r="I193" s="173">
        <v>0</v>
      </c>
      <c r="J193" s="173">
        <v>0</v>
      </c>
      <c r="L193" s="4"/>
      <c r="M193" s="4"/>
      <c r="N193" s="4"/>
    </row>
    <row r="194" spans="1:14" ht="15">
      <c r="B194" s="134">
        <v>134</v>
      </c>
      <c r="C194" s="30" t="s">
        <v>318</v>
      </c>
      <c r="D194" s="173">
        <f>SUMIFS(FORMULAGE!$BK:$BK,FORMULAGE!$A:$A,$B194)</f>
        <v>0</v>
      </c>
      <c r="E194" s="173">
        <f>SUMIFS(FORMULAGE!$BJ:$BJ,FORMULAGE!$A:$A,$B194)</f>
        <v>0</v>
      </c>
      <c r="F194" s="173">
        <f>SUMIFS(FORMULAGE!$BK:$BK,FORMULAGE!$A:$A,$B194)</f>
        <v>0</v>
      </c>
      <c r="H194" s="173">
        <v>0</v>
      </c>
      <c r="I194" s="173">
        <v>0</v>
      </c>
      <c r="J194" s="173">
        <v>0</v>
      </c>
      <c r="L194" s="4"/>
      <c r="M194" s="4"/>
      <c r="N194" s="4"/>
    </row>
    <row r="195" spans="1:14" ht="15">
      <c r="B195" s="135">
        <v>135</v>
      </c>
      <c r="C195" s="28" t="s">
        <v>319</v>
      </c>
      <c r="D195" s="173">
        <f>SUMIFS(FORMULAGE!$BK:$BK,FORMULAGE!$A:$A,$B195)</f>
        <v>0</v>
      </c>
      <c r="E195" s="173">
        <f>SUMIFS(FORMULAGE!$BJ:$BJ,FORMULAGE!$A:$A,$B195)</f>
        <v>0</v>
      </c>
      <c r="F195" s="173">
        <f>SUMIFS(FORMULAGE!$BK:$BK,FORMULAGE!$A:$A,$B195)</f>
        <v>0</v>
      </c>
      <c r="H195" s="173">
        <v>0</v>
      </c>
      <c r="I195" s="173">
        <v>0</v>
      </c>
      <c r="J195" s="173">
        <v>0</v>
      </c>
      <c r="L195" s="4"/>
      <c r="M195" s="4"/>
      <c r="N195" s="4"/>
    </row>
    <row r="196" spans="1:14">
      <c r="B196" s="81"/>
      <c r="D196" s="179"/>
      <c r="E196" s="179"/>
      <c r="F196" s="179"/>
      <c r="H196" s="179"/>
      <c r="I196" s="179"/>
      <c r="J196" s="179"/>
      <c r="L196" s="4"/>
      <c r="M196" s="4"/>
      <c r="N196" s="4"/>
    </row>
    <row r="197" spans="1:14" ht="15">
      <c r="A197" s="24" t="s">
        <v>292</v>
      </c>
      <c r="B197" s="133">
        <v>136</v>
      </c>
      <c r="C197" s="28" t="s">
        <v>320</v>
      </c>
      <c r="D197" s="173">
        <f>SUMIFS(FORMULAGE!$BK:$BK,FORMULAGE!$A:$A,$B197)</f>
        <v>0</v>
      </c>
      <c r="E197" s="173">
        <f>SUMIFS(FORMULAGE!$BJ:$BJ,FORMULAGE!$A:$A,$B197)</f>
        <v>0</v>
      </c>
      <c r="F197" s="173">
        <f>SUMIFS(FORMULAGE!$BK:$BK,FORMULAGE!$A:$A,$B197)</f>
        <v>0</v>
      </c>
      <c r="H197" s="173">
        <v>0</v>
      </c>
      <c r="I197" s="173">
        <v>0</v>
      </c>
      <c r="J197" s="173">
        <v>0</v>
      </c>
      <c r="L197" s="4"/>
      <c r="M197" s="4"/>
      <c r="N197" s="4"/>
    </row>
    <row r="198" spans="1:14" ht="15">
      <c r="B198" s="135">
        <v>137</v>
      </c>
      <c r="C198" s="28" t="s">
        <v>321</v>
      </c>
      <c r="D198" s="173">
        <f>SUMIFS(FORMULAGE!$BK:$BK,FORMULAGE!$A:$A,$B198)</f>
        <v>0</v>
      </c>
      <c r="E198" s="173">
        <f>SUMIFS(FORMULAGE!$BJ:$BJ,FORMULAGE!$A:$A,$B198)</f>
        <v>0</v>
      </c>
      <c r="F198" s="173">
        <f>SUMIFS(FORMULAGE!$BK:$BK,FORMULAGE!$A:$A,$B198)</f>
        <v>0</v>
      </c>
      <c r="H198" s="173">
        <v>0</v>
      </c>
      <c r="I198" s="173">
        <v>0</v>
      </c>
      <c r="J198" s="173">
        <v>0</v>
      </c>
      <c r="L198" s="4"/>
      <c r="M198" s="4"/>
      <c r="N198" s="4"/>
    </row>
    <row r="200" spans="1:14" ht="15.75">
      <c r="B200" s="26" t="s">
        <v>322</v>
      </c>
    </row>
    <row r="201" spans="1:14">
      <c r="B201" s="82" t="s">
        <v>323</v>
      </c>
    </row>
    <row r="202" spans="1:14">
      <c r="B202" s="25" t="s">
        <v>324</v>
      </c>
    </row>
  </sheetData>
  <conditionalFormatting sqref="D189 D7:D11">
    <cfRule type="expression" dxfId="1196" priority="973">
      <formula>#REF!="Weight chg"</formula>
    </cfRule>
    <cfRule type="expression" dxfId="1195" priority="974">
      <formula>#REF!="BCBS only"</formula>
    </cfRule>
    <cfRule type="expression" dxfId="1194" priority="975">
      <formula>#REF!="US NPR"</formula>
    </cfRule>
  </conditionalFormatting>
  <conditionalFormatting sqref="C152 C163:C189 G189 G152 C4:C11 C59 G107:G109 C98:C109 C155:C161 E203 E207 D2:D3 D151 G192:G195">
    <cfRule type="expression" dxfId="1193" priority="976">
      <formula>#REF!="Weight chg"</formula>
    </cfRule>
    <cfRule type="expression" dxfId="1192" priority="977">
      <formula>#REF!="BCBS only"</formula>
    </cfRule>
    <cfRule type="expression" dxfId="1191" priority="978">
      <formula>#REF!="US NPR"</formula>
    </cfRule>
  </conditionalFormatting>
  <conditionalFormatting sqref="D190 D199:D1048576 C35 C61 C43 C51">
    <cfRule type="expression" dxfId="1190" priority="970">
      <formula>#REF!="Weight chg"</formula>
    </cfRule>
    <cfRule type="expression" dxfId="1189" priority="971">
      <formula>#REF!="BCBS only"</formula>
    </cfRule>
    <cfRule type="expression" dxfId="1188" priority="972">
      <formula>#REF!="US NPR"</formula>
    </cfRule>
  </conditionalFormatting>
  <conditionalFormatting sqref="D152">
    <cfRule type="expression" dxfId="1187" priority="967">
      <formula>#REF!="Weight chg"</formula>
    </cfRule>
    <cfRule type="expression" dxfId="1186" priority="968">
      <formula>#REF!="BCBS only"</formula>
    </cfRule>
    <cfRule type="expression" dxfId="1185" priority="969">
      <formula>#REF!="US NPR"</formula>
    </cfRule>
  </conditionalFormatting>
  <conditionalFormatting sqref="D61">
    <cfRule type="expression" dxfId="1184" priority="946">
      <formula>#REF!="Weight chg"</formula>
    </cfRule>
    <cfRule type="expression" dxfId="1183" priority="947">
      <formula>#REF!="BCBS only"</formula>
    </cfRule>
    <cfRule type="expression" dxfId="1182" priority="948">
      <formula>#REF!="US NPR"</formula>
    </cfRule>
  </conditionalFormatting>
  <conditionalFormatting sqref="G103">
    <cfRule type="expression" dxfId="1181" priority="952">
      <formula>#REF!="Weight chg"</formula>
    </cfRule>
    <cfRule type="expression" dxfId="1180" priority="953">
      <formula>#REF!="BCBS only"</formula>
    </cfRule>
    <cfRule type="expression" dxfId="1179" priority="954">
      <formula>#REF!="US NPR"</formula>
    </cfRule>
  </conditionalFormatting>
  <conditionalFormatting sqref="G104:G106">
    <cfRule type="expression" dxfId="1178" priority="958">
      <formula>#REF!="Weight chg"</formula>
    </cfRule>
    <cfRule type="expression" dxfId="1177" priority="959">
      <formula>#REF!="BCBS only"</formula>
    </cfRule>
    <cfRule type="expression" dxfId="1176" priority="960">
      <formula>#REF!="US NPR"</formula>
    </cfRule>
  </conditionalFormatting>
  <conditionalFormatting sqref="G101:G102">
    <cfRule type="expression" dxfId="1175" priority="955">
      <formula>#REF!="Weight chg"</formula>
    </cfRule>
    <cfRule type="expression" dxfId="1174" priority="956">
      <formula>#REF!="BCBS only"</formula>
    </cfRule>
    <cfRule type="expression" dxfId="1173" priority="957">
      <formula>#REF!="US NPR"</formula>
    </cfRule>
  </conditionalFormatting>
  <conditionalFormatting sqref="D59">
    <cfRule type="expression" dxfId="1172" priority="940">
      <formula>#REF!="Weight chg"</formula>
    </cfRule>
    <cfRule type="expression" dxfId="1171" priority="941">
      <formula>#REF!="BCBS only"</formula>
    </cfRule>
    <cfRule type="expression" dxfId="1170" priority="942">
      <formula>#REF!="US NPR"</formula>
    </cfRule>
  </conditionalFormatting>
  <conditionalFormatting sqref="E205">
    <cfRule type="expression" dxfId="1169" priority="934">
      <formula>#REF!="Weight chg"</formula>
    </cfRule>
    <cfRule type="expression" dxfId="1168" priority="935">
      <formula>#REF!="BCBS only"</formula>
    </cfRule>
    <cfRule type="expression" dxfId="1167" priority="936">
      <formula>#REF!="US NPR"</formula>
    </cfRule>
  </conditionalFormatting>
  <conditionalFormatting sqref="E202">
    <cfRule type="expression" dxfId="1166" priority="937">
      <formula>#REF!="Weight chg"</formula>
    </cfRule>
    <cfRule type="expression" dxfId="1165" priority="938">
      <formula>#REF!="BCBS only"</formula>
    </cfRule>
    <cfRule type="expression" dxfId="1164" priority="939">
      <formula>#REF!="US NPR"</formula>
    </cfRule>
  </conditionalFormatting>
  <conditionalFormatting sqref="C16:C19">
    <cfRule type="expression" dxfId="1163" priority="925">
      <formula>#REF!="Weight chg"</formula>
    </cfRule>
    <cfRule type="expression" dxfId="1162" priority="926">
      <formula>#REF!="BCBS only"</formula>
    </cfRule>
    <cfRule type="expression" dxfId="1161" priority="927">
      <formula>#REF!="US NPR"</formula>
    </cfRule>
  </conditionalFormatting>
  <conditionalFormatting sqref="C20">
    <cfRule type="expression" dxfId="1160" priority="919">
      <formula>#REF!="Weight chg"</formula>
    </cfRule>
    <cfRule type="expression" dxfId="1159" priority="920">
      <formula>#REF!="BCBS only"</formula>
    </cfRule>
    <cfRule type="expression" dxfId="1158" priority="921">
      <formula>#REF!="US NPR"</formula>
    </cfRule>
  </conditionalFormatting>
  <conditionalFormatting sqref="C21:C24">
    <cfRule type="expression" dxfId="1157" priority="913">
      <formula>#REF!="Weight chg"</formula>
    </cfRule>
    <cfRule type="expression" dxfId="1156" priority="914">
      <formula>#REF!="BCBS only"</formula>
    </cfRule>
    <cfRule type="expression" dxfId="1155" priority="915">
      <formula>#REF!="US NPR"</formula>
    </cfRule>
  </conditionalFormatting>
  <conditionalFormatting sqref="D34">
    <cfRule type="expression" dxfId="1154" priority="895">
      <formula>#REF!="Weight chg"</formula>
    </cfRule>
    <cfRule type="expression" dxfId="1153" priority="896">
      <formula>#REF!="BCBS only"</formula>
    </cfRule>
    <cfRule type="expression" dxfId="1152" priority="897">
      <formula>#REF!="US NPR"</formula>
    </cfRule>
  </conditionalFormatting>
  <conditionalFormatting sqref="D12">
    <cfRule type="expression" dxfId="1151" priority="928">
      <formula>#REF!="Weight chg"</formula>
    </cfRule>
    <cfRule type="expression" dxfId="1150" priority="929">
      <formula>#REF!="BCBS only"</formula>
    </cfRule>
    <cfRule type="expression" dxfId="1149" priority="930">
      <formula>#REF!="US NPR"</formula>
    </cfRule>
  </conditionalFormatting>
  <conditionalFormatting sqref="C12:C15">
    <cfRule type="expression" dxfId="1148" priority="931">
      <formula>#REF!="Weight chg"</formula>
    </cfRule>
    <cfRule type="expression" dxfId="1147" priority="932">
      <formula>#REF!="BCBS only"</formula>
    </cfRule>
    <cfRule type="expression" dxfId="1146" priority="933">
      <formula>#REF!="US NPR"</formula>
    </cfRule>
  </conditionalFormatting>
  <conditionalFormatting sqref="D16">
    <cfRule type="expression" dxfId="1145" priority="922">
      <formula>#REF!="Weight chg"</formula>
    </cfRule>
    <cfRule type="expression" dxfId="1144" priority="923">
      <formula>#REF!="BCBS only"</formula>
    </cfRule>
    <cfRule type="expression" dxfId="1143" priority="924">
      <formula>#REF!="US NPR"</formula>
    </cfRule>
  </conditionalFormatting>
  <conditionalFormatting sqref="D20">
    <cfRule type="expression" dxfId="1142" priority="916">
      <formula>#REF!="Weight chg"</formula>
    </cfRule>
    <cfRule type="expression" dxfId="1141" priority="917">
      <formula>#REF!="BCBS only"</formula>
    </cfRule>
    <cfRule type="expression" dxfId="1140" priority="918">
      <formula>#REF!="US NPR"</formula>
    </cfRule>
  </conditionalFormatting>
  <conditionalFormatting sqref="D21">
    <cfRule type="expression" dxfId="1139" priority="910">
      <formula>#REF!="Weight chg"</formula>
    </cfRule>
    <cfRule type="expression" dxfId="1138" priority="911">
      <formula>#REF!="BCBS only"</formula>
    </cfRule>
    <cfRule type="expression" dxfId="1137" priority="912">
      <formula>#REF!="US NPR"</formula>
    </cfRule>
  </conditionalFormatting>
  <conditionalFormatting sqref="D25">
    <cfRule type="expression" dxfId="1136" priority="904">
      <formula>#REF!="Weight chg"</formula>
    </cfRule>
    <cfRule type="expression" dxfId="1135" priority="905">
      <formula>#REF!="BCBS only"</formula>
    </cfRule>
    <cfRule type="expression" dxfId="1134" priority="906">
      <formula>#REF!="US NPR"</formula>
    </cfRule>
  </conditionalFormatting>
  <conditionalFormatting sqref="C25:C28">
    <cfRule type="expression" dxfId="1133" priority="907">
      <formula>#REF!="Weight chg"</formula>
    </cfRule>
    <cfRule type="expression" dxfId="1132" priority="908">
      <formula>#REF!="BCBS only"</formula>
    </cfRule>
    <cfRule type="expression" dxfId="1131" priority="909">
      <formula>#REF!="US NPR"</formula>
    </cfRule>
  </conditionalFormatting>
  <conditionalFormatting sqref="D29">
    <cfRule type="expression" dxfId="1130" priority="898">
      <formula>#REF!="Weight chg"</formula>
    </cfRule>
    <cfRule type="expression" dxfId="1129" priority="899">
      <formula>#REF!="BCBS only"</formula>
    </cfRule>
    <cfRule type="expression" dxfId="1128" priority="900">
      <formula>#REF!="US NPR"</formula>
    </cfRule>
  </conditionalFormatting>
  <conditionalFormatting sqref="C29:C32">
    <cfRule type="expression" dxfId="1127" priority="901">
      <formula>#REF!="Weight chg"</formula>
    </cfRule>
    <cfRule type="expression" dxfId="1126" priority="902">
      <formula>#REF!="BCBS only"</formula>
    </cfRule>
    <cfRule type="expression" dxfId="1125" priority="903">
      <formula>#REF!="US NPR"</formula>
    </cfRule>
  </conditionalFormatting>
  <conditionalFormatting sqref="C62:C97">
    <cfRule type="expression" dxfId="1124" priority="889">
      <formula>#REF!="Weight chg"</formula>
    </cfRule>
    <cfRule type="expression" dxfId="1123" priority="890">
      <formula>#REF!="BCBS only"</formula>
    </cfRule>
    <cfRule type="expression" dxfId="1122" priority="891">
      <formula>#REF!="US NPR"</formula>
    </cfRule>
  </conditionalFormatting>
  <conditionalFormatting sqref="C60">
    <cfRule type="expression" dxfId="1121" priority="892">
      <formula>#REF!="Weight chg"</formula>
    </cfRule>
    <cfRule type="expression" dxfId="1120" priority="893">
      <formula>#REF!="BCBS only"</formula>
    </cfRule>
    <cfRule type="expression" dxfId="1119" priority="894">
      <formula>#REF!="US NPR"</formula>
    </cfRule>
  </conditionalFormatting>
  <conditionalFormatting sqref="C110:C149">
    <cfRule type="expression" dxfId="1118" priority="886">
      <formula>#REF!="Weight chg"</formula>
    </cfRule>
    <cfRule type="expression" dxfId="1117" priority="887">
      <formula>#REF!="BCBS only"</formula>
    </cfRule>
    <cfRule type="expression" dxfId="1116" priority="888">
      <formula>#REF!="US NPR"</formula>
    </cfRule>
  </conditionalFormatting>
  <conditionalFormatting sqref="C154">
    <cfRule type="expression" dxfId="1115" priority="883">
      <formula>#REF!="Weight chg"</formula>
    </cfRule>
    <cfRule type="expression" dxfId="1114" priority="884">
      <formula>#REF!="BCBS only"</formula>
    </cfRule>
    <cfRule type="expression" dxfId="1113" priority="885">
      <formula>#REF!="US NPR"</formula>
    </cfRule>
  </conditionalFormatting>
  <conditionalFormatting sqref="C153">
    <cfRule type="expression" dxfId="1112" priority="880">
      <formula>#REF!="Weight chg"</formula>
    </cfRule>
    <cfRule type="expression" dxfId="1111" priority="881">
      <formula>#REF!="BCBS only"</formula>
    </cfRule>
    <cfRule type="expression" dxfId="1110" priority="882">
      <formula>#REF!="US NPR"</formula>
    </cfRule>
  </conditionalFormatting>
  <conditionalFormatting sqref="C162">
    <cfRule type="expression" dxfId="1109" priority="871">
      <formula>#REF!="Weight chg"</formula>
    </cfRule>
    <cfRule type="expression" dxfId="1108" priority="872">
      <formula>#REF!="BCBS only"</formula>
    </cfRule>
    <cfRule type="expression" dxfId="1107" priority="873">
      <formula>#REF!="US NPR"</formula>
    </cfRule>
  </conditionalFormatting>
  <conditionalFormatting sqref="C36:C38">
    <cfRule type="expression" dxfId="1106" priority="865">
      <formula>#REF!="Weight chg"</formula>
    </cfRule>
    <cfRule type="expression" dxfId="1105" priority="866">
      <formula>#REF!="BCBS only"</formula>
    </cfRule>
    <cfRule type="expression" dxfId="1104" priority="867">
      <formula>#REF!="US NPR"</formula>
    </cfRule>
  </conditionalFormatting>
  <conditionalFormatting sqref="C34">
    <cfRule type="expression" dxfId="1103" priority="862">
      <formula>#REF!="Weight chg"</formula>
    </cfRule>
    <cfRule type="expression" dxfId="1102" priority="863">
      <formula>#REF!="BCBS only"</formula>
    </cfRule>
    <cfRule type="expression" dxfId="1101" priority="864">
      <formula>#REF!="US NPR"</formula>
    </cfRule>
  </conditionalFormatting>
  <conditionalFormatting sqref="D35">
    <cfRule type="expression" dxfId="1100" priority="877">
      <formula>#REF!="Weight chg"</formula>
    </cfRule>
    <cfRule type="expression" dxfId="1099" priority="878">
      <formula>#REF!="BCBS only"</formula>
    </cfRule>
    <cfRule type="expression" dxfId="1098" priority="879">
      <formula>#REF!="US NPR"</formula>
    </cfRule>
  </conditionalFormatting>
  <conditionalFormatting sqref="C39">
    <cfRule type="expression" dxfId="1097" priority="859">
      <formula>#REF!="Weight chg"</formula>
    </cfRule>
    <cfRule type="expression" dxfId="1096" priority="860">
      <formula>#REF!="BCBS only"</formula>
    </cfRule>
    <cfRule type="expression" dxfId="1095" priority="861">
      <formula>#REF!="US NPR"</formula>
    </cfRule>
  </conditionalFormatting>
  <conditionalFormatting sqref="C40:C42">
    <cfRule type="expression" dxfId="1094" priority="856">
      <formula>#REF!="Weight chg"</formula>
    </cfRule>
    <cfRule type="expression" dxfId="1093" priority="857">
      <formula>#REF!="BCBS only"</formula>
    </cfRule>
    <cfRule type="expression" dxfId="1092" priority="858">
      <formula>#REF!="US NPR"</formula>
    </cfRule>
  </conditionalFormatting>
  <conditionalFormatting sqref="D47">
    <cfRule type="expression" dxfId="1091" priority="853">
      <formula>#REF!="Weight chg"</formula>
    </cfRule>
    <cfRule type="expression" dxfId="1090" priority="854">
      <formula>#REF!="BCBS only"</formula>
    </cfRule>
    <cfRule type="expression" dxfId="1089" priority="855">
      <formula>#REF!="US NPR"</formula>
    </cfRule>
  </conditionalFormatting>
  <conditionalFormatting sqref="C55">
    <cfRule type="expression" dxfId="1088" priority="850">
      <formula>#REF!="Weight chg"</formula>
    </cfRule>
    <cfRule type="expression" dxfId="1087" priority="851">
      <formula>#REF!="BCBS only"</formula>
    </cfRule>
    <cfRule type="expression" dxfId="1086" priority="852">
      <formula>#REF!="US NPR"</formula>
    </cfRule>
  </conditionalFormatting>
  <conditionalFormatting sqref="F1">
    <cfRule type="expression" dxfId="1085" priority="847">
      <formula>#REF!="Weight chg"</formula>
    </cfRule>
    <cfRule type="expression" dxfId="1084" priority="848">
      <formula>#REF!="BCBS only"</formula>
    </cfRule>
    <cfRule type="expression" dxfId="1083" priority="849">
      <formula>#REF!="US NPR"</formula>
    </cfRule>
  </conditionalFormatting>
  <conditionalFormatting sqref="C151">
    <cfRule type="expression" dxfId="1082" priority="844">
      <formula>#REF!="Weight chg"</formula>
    </cfRule>
    <cfRule type="expression" dxfId="1081" priority="845">
      <formula>#REF!="BCBS only"</formula>
    </cfRule>
    <cfRule type="expression" dxfId="1080" priority="846">
      <formula>#REF!="US NPR"</formula>
    </cfRule>
  </conditionalFormatting>
  <conditionalFormatting sqref="D13:D15">
    <cfRule type="expression" dxfId="1079" priority="841">
      <formula>#REF!="Weight chg"</formula>
    </cfRule>
    <cfRule type="expression" dxfId="1078" priority="842">
      <formula>#REF!="BCBS only"</formula>
    </cfRule>
    <cfRule type="expression" dxfId="1077" priority="843">
      <formula>#REF!="US NPR"</formula>
    </cfRule>
  </conditionalFormatting>
  <conditionalFormatting sqref="D55">
    <cfRule type="expression" dxfId="1076" priority="805">
      <formula>#REF!="Weight chg"</formula>
    </cfRule>
    <cfRule type="expression" dxfId="1075" priority="806">
      <formula>#REF!="BCBS only"</formula>
    </cfRule>
    <cfRule type="expression" dxfId="1074" priority="807">
      <formula>#REF!="US NPR"</formula>
    </cfRule>
  </conditionalFormatting>
  <conditionalFormatting sqref="D17:D19">
    <cfRule type="expression" dxfId="1073" priority="838">
      <formula>#REF!="Weight chg"</formula>
    </cfRule>
    <cfRule type="expression" dxfId="1072" priority="839">
      <formula>#REF!="BCBS only"</formula>
    </cfRule>
    <cfRule type="expression" dxfId="1071" priority="840">
      <formula>#REF!="US NPR"</formula>
    </cfRule>
  </conditionalFormatting>
  <conditionalFormatting sqref="D22:D24">
    <cfRule type="expression" dxfId="1070" priority="835">
      <formula>#REF!="Weight chg"</formula>
    </cfRule>
    <cfRule type="expression" dxfId="1069" priority="836">
      <formula>#REF!="BCBS only"</formula>
    </cfRule>
    <cfRule type="expression" dxfId="1068" priority="837">
      <formula>#REF!="US NPR"</formula>
    </cfRule>
  </conditionalFormatting>
  <conditionalFormatting sqref="D51">
    <cfRule type="expression" dxfId="1067" priority="811">
      <formula>#REF!="Weight chg"</formula>
    </cfRule>
    <cfRule type="expression" dxfId="1066" priority="812">
      <formula>#REF!="BCBS only"</formula>
    </cfRule>
    <cfRule type="expression" dxfId="1065" priority="813">
      <formula>#REF!="US NPR"</formula>
    </cfRule>
  </conditionalFormatting>
  <conditionalFormatting sqref="D26:D28">
    <cfRule type="expression" dxfId="1064" priority="832">
      <formula>#REF!="Weight chg"</formula>
    </cfRule>
    <cfRule type="expression" dxfId="1063" priority="833">
      <formula>#REF!="BCBS only"</formula>
    </cfRule>
    <cfRule type="expression" dxfId="1062" priority="834">
      <formula>#REF!="US NPR"</formula>
    </cfRule>
  </conditionalFormatting>
  <conditionalFormatting sqref="D30:D32">
    <cfRule type="expression" dxfId="1061" priority="829">
      <formula>#REF!="Weight chg"</formula>
    </cfRule>
    <cfRule type="expression" dxfId="1060" priority="830">
      <formula>#REF!="BCBS only"</formula>
    </cfRule>
    <cfRule type="expression" dxfId="1059" priority="831">
      <formula>#REF!="US NPR"</formula>
    </cfRule>
  </conditionalFormatting>
  <conditionalFormatting sqref="C48:C50">
    <cfRule type="expression" dxfId="1058" priority="781">
      <formula>#REF!="Weight chg"</formula>
    </cfRule>
    <cfRule type="expression" dxfId="1057" priority="782">
      <formula>#REF!="BCBS only"</formula>
    </cfRule>
    <cfRule type="expression" dxfId="1056" priority="783">
      <formula>#REF!="US NPR"</formula>
    </cfRule>
  </conditionalFormatting>
  <conditionalFormatting sqref="D39">
    <cfRule type="expression" dxfId="1055" priority="826">
      <formula>#REF!="Weight chg"</formula>
    </cfRule>
    <cfRule type="expression" dxfId="1054" priority="827">
      <formula>#REF!="BCBS only"</formula>
    </cfRule>
    <cfRule type="expression" dxfId="1053" priority="828">
      <formula>#REF!="US NPR"</formula>
    </cfRule>
  </conditionalFormatting>
  <conditionalFormatting sqref="D43">
    <cfRule type="expression" dxfId="1052" priority="823">
      <formula>#REF!="Weight chg"</formula>
    </cfRule>
    <cfRule type="expression" dxfId="1051" priority="824">
      <formula>#REF!="BCBS only"</formula>
    </cfRule>
    <cfRule type="expression" dxfId="1050" priority="825">
      <formula>#REF!="US NPR"</formula>
    </cfRule>
  </conditionalFormatting>
  <conditionalFormatting sqref="D36:D38">
    <cfRule type="expression" dxfId="1049" priority="820">
      <formula>#REF!="Weight chg"</formula>
    </cfRule>
    <cfRule type="expression" dxfId="1048" priority="821">
      <formula>#REF!="BCBS only"</formula>
    </cfRule>
    <cfRule type="expression" dxfId="1047" priority="822">
      <formula>#REF!="US NPR"</formula>
    </cfRule>
  </conditionalFormatting>
  <conditionalFormatting sqref="D40:D42">
    <cfRule type="expression" dxfId="1046" priority="817">
      <formula>#REF!="Weight chg"</formula>
    </cfRule>
    <cfRule type="expression" dxfId="1045" priority="818">
      <formula>#REF!="BCBS only"</formula>
    </cfRule>
    <cfRule type="expression" dxfId="1044" priority="819">
      <formula>#REF!="US NPR"</formula>
    </cfRule>
  </conditionalFormatting>
  <conditionalFormatting sqref="D44:D46">
    <cfRule type="expression" dxfId="1043" priority="814">
      <formula>#REF!="Weight chg"</formula>
    </cfRule>
    <cfRule type="expression" dxfId="1042" priority="815">
      <formula>#REF!="BCBS only"</formula>
    </cfRule>
    <cfRule type="expression" dxfId="1041" priority="816">
      <formula>#REF!="US NPR"</formula>
    </cfRule>
  </conditionalFormatting>
  <conditionalFormatting sqref="D48:D50">
    <cfRule type="expression" dxfId="1040" priority="808">
      <formula>#REF!="Weight chg"</formula>
    </cfRule>
    <cfRule type="expression" dxfId="1039" priority="809">
      <formula>#REF!="BCBS only"</formula>
    </cfRule>
    <cfRule type="expression" dxfId="1038" priority="810">
      <formula>#REF!="US NPR"</formula>
    </cfRule>
  </conditionalFormatting>
  <conditionalFormatting sqref="D52:D54">
    <cfRule type="expression" dxfId="1037" priority="802">
      <formula>#REF!="Weight chg"</formula>
    </cfRule>
    <cfRule type="expression" dxfId="1036" priority="803">
      <formula>#REF!="BCBS only"</formula>
    </cfRule>
    <cfRule type="expression" dxfId="1035" priority="804">
      <formula>#REF!="US NPR"</formula>
    </cfRule>
  </conditionalFormatting>
  <conditionalFormatting sqref="D56:D58">
    <cfRule type="expression" dxfId="1034" priority="799">
      <formula>#REF!="Weight chg"</formula>
    </cfRule>
    <cfRule type="expression" dxfId="1033" priority="800">
      <formula>#REF!="BCBS only"</formula>
    </cfRule>
    <cfRule type="expression" dxfId="1032" priority="801">
      <formula>#REF!="US NPR"</formula>
    </cfRule>
  </conditionalFormatting>
  <conditionalFormatting sqref="C150">
    <cfRule type="expression" dxfId="1031" priority="793">
      <formula>#REF!="Weight chg"</formula>
    </cfRule>
    <cfRule type="expression" dxfId="1030" priority="794">
      <formula>#REF!="BCBS only"</formula>
    </cfRule>
    <cfRule type="expression" dxfId="1029" priority="795">
      <formula>#REF!="US NPR"</formula>
    </cfRule>
  </conditionalFormatting>
  <conditionalFormatting sqref="C44:C46">
    <cfRule type="expression" dxfId="1028" priority="787">
      <formula>#REF!="Weight chg"</formula>
    </cfRule>
    <cfRule type="expression" dxfId="1027" priority="788">
      <formula>#REF!="BCBS only"</formula>
    </cfRule>
    <cfRule type="expression" dxfId="1026" priority="789">
      <formula>#REF!="US NPR"</formula>
    </cfRule>
  </conditionalFormatting>
  <conditionalFormatting sqref="C47">
    <cfRule type="expression" dxfId="1025" priority="784">
      <formula>#REF!="Weight chg"</formula>
    </cfRule>
    <cfRule type="expression" dxfId="1024" priority="785">
      <formula>#REF!="BCBS only"</formula>
    </cfRule>
    <cfRule type="expression" dxfId="1023" priority="786">
      <formula>#REF!="US NPR"</formula>
    </cfRule>
  </conditionalFormatting>
  <conditionalFormatting sqref="C52:C54">
    <cfRule type="expression" dxfId="1022" priority="778">
      <formula>#REF!="Weight chg"</formula>
    </cfRule>
    <cfRule type="expression" dxfId="1021" priority="779">
      <formula>#REF!="BCBS only"</formula>
    </cfRule>
    <cfRule type="expression" dxfId="1020" priority="780">
      <formula>#REF!="US NPR"</formula>
    </cfRule>
  </conditionalFormatting>
  <conditionalFormatting sqref="C56:C58">
    <cfRule type="expression" dxfId="1019" priority="775">
      <formula>#REF!="Weight chg"</formula>
    </cfRule>
    <cfRule type="expression" dxfId="1018" priority="776">
      <formula>#REF!="BCBS only"</formula>
    </cfRule>
    <cfRule type="expression" dxfId="1017" priority="777">
      <formula>#REF!="US NPR"</formula>
    </cfRule>
  </conditionalFormatting>
  <conditionalFormatting sqref="B7">
    <cfRule type="expression" dxfId="1016" priority="772">
      <formula>#REF!="Weight chg"</formula>
    </cfRule>
    <cfRule type="expression" dxfId="1015" priority="773">
      <formula>#REF!="BCBS only"</formula>
    </cfRule>
    <cfRule type="expression" dxfId="1014" priority="774">
      <formula>#REF!="US NPR"</formula>
    </cfRule>
  </conditionalFormatting>
  <conditionalFormatting sqref="B34">
    <cfRule type="expression" dxfId="1013" priority="769">
      <formula>#REF!="Weight chg"</formula>
    </cfRule>
    <cfRule type="expression" dxfId="1012" priority="770">
      <formula>#REF!="BCBS only"</formula>
    </cfRule>
    <cfRule type="expression" dxfId="1011" priority="771">
      <formula>#REF!="US NPR"</formula>
    </cfRule>
  </conditionalFormatting>
  <conditionalFormatting sqref="B20">
    <cfRule type="expression" dxfId="1010" priority="766">
      <formula>#REF!="Weight chg"</formula>
    </cfRule>
    <cfRule type="expression" dxfId="1009" priority="767">
      <formula>#REF!="BCBS only"</formula>
    </cfRule>
    <cfRule type="expression" dxfId="1008" priority="768">
      <formula>#REF!="US NPR"</formula>
    </cfRule>
  </conditionalFormatting>
  <conditionalFormatting sqref="C191">
    <cfRule type="expression" dxfId="1007" priority="763">
      <formula>#REF!="Weight chg"</formula>
    </cfRule>
    <cfRule type="expression" dxfId="1006" priority="764">
      <formula>#REF!="BCBS only"</formula>
    </cfRule>
    <cfRule type="expression" dxfId="1005" priority="765">
      <formula>#REF!="US NPR"</formula>
    </cfRule>
  </conditionalFormatting>
  <conditionalFormatting sqref="C193:D195">
    <cfRule type="expression" dxfId="1004" priority="760">
      <formula>#REF!="Weight chg"</formula>
    </cfRule>
    <cfRule type="expression" dxfId="1003" priority="761">
      <formula>#REF!="BCBS only"</formula>
    </cfRule>
    <cfRule type="expression" dxfId="1002" priority="762">
      <formula>#REF!="US NPR"</formula>
    </cfRule>
  </conditionalFormatting>
  <conditionalFormatting sqref="C197:D197">
    <cfRule type="expression" dxfId="1001" priority="754">
      <formula>#REF!="Weight chg"</formula>
    </cfRule>
    <cfRule type="expression" dxfId="1000" priority="755">
      <formula>#REF!="BCBS only"</formula>
    </cfRule>
    <cfRule type="expression" dxfId="999" priority="756">
      <formula>#REF!="US NPR"</formula>
    </cfRule>
  </conditionalFormatting>
  <conditionalFormatting sqref="C198:D198">
    <cfRule type="expression" dxfId="998" priority="748">
      <formula>#REF!="Weight chg"</formula>
    </cfRule>
    <cfRule type="expression" dxfId="997" priority="749">
      <formula>#REF!="BCBS only"</formula>
    </cfRule>
    <cfRule type="expression" dxfId="996" priority="750">
      <formula>#REF!="US NPR"</formula>
    </cfRule>
  </conditionalFormatting>
  <conditionalFormatting sqref="F154">
    <cfRule type="expression" dxfId="995" priority="511">
      <formula>#REF!="Weight chg"</formula>
    </cfRule>
    <cfRule type="expression" dxfId="994" priority="512">
      <formula>#REF!="BCBS only"</formula>
    </cfRule>
    <cfRule type="expression" dxfId="993" priority="513">
      <formula>#REF!="US NPR"</formula>
    </cfRule>
  </conditionalFormatting>
  <conditionalFormatting sqref="D154">
    <cfRule type="expression" dxfId="992" priority="742">
      <formula>#REF!="Weight chg"</formula>
    </cfRule>
    <cfRule type="expression" dxfId="991" priority="743">
      <formula>#REF!="BCBS only"</formula>
    </cfRule>
    <cfRule type="expression" dxfId="990" priority="744">
      <formula>#REF!="US NPR"</formula>
    </cfRule>
  </conditionalFormatting>
  <conditionalFormatting sqref="D192">
    <cfRule type="expression" dxfId="989" priority="736">
      <formula>#REF!="Weight chg"</formula>
    </cfRule>
    <cfRule type="expression" dxfId="988" priority="737">
      <formula>#REF!="BCBS only"</formula>
    </cfRule>
    <cfRule type="expression" dxfId="987" priority="738">
      <formula>#REF!="US NPR"</formula>
    </cfRule>
  </conditionalFormatting>
  <conditionalFormatting sqref="G197:G198">
    <cfRule type="expression" dxfId="986" priority="730">
      <formula>#REF!="Weight chg"</formula>
    </cfRule>
    <cfRule type="expression" dxfId="985" priority="731">
      <formula>#REF!="BCBS only"</formula>
    </cfRule>
    <cfRule type="expression" dxfId="984" priority="732">
      <formula>#REF!="US NPR"</formula>
    </cfRule>
  </conditionalFormatting>
  <conditionalFormatting sqref="D62:D150">
    <cfRule type="expression" dxfId="983" priority="727">
      <formula>#REF!="Weight chg"</formula>
    </cfRule>
    <cfRule type="expression" dxfId="982" priority="728">
      <formula>#REF!="BCBS only"</formula>
    </cfRule>
    <cfRule type="expression" dxfId="981" priority="729">
      <formula>#REF!="US NPR"</formula>
    </cfRule>
  </conditionalFormatting>
  <conditionalFormatting sqref="D155:D188">
    <cfRule type="expression" dxfId="980" priority="724">
      <formula>#REF!="Weight chg"</formula>
    </cfRule>
    <cfRule type="expression" dxfId="979" priority="725">
      <formula>#REF!="BCBS only"</formula>
    </cfRule>
    <cfRule type="expression" dxfId="978" priority="726">
      <formula>#REF!="US NPR"</formula>
    </cfRule>
  </conditionalFormatting>
  <conditionalFormatting sqref="E189 E7:E10">
    <cfRule type="expression" dxfId="977" priority="718">
      <formula>#REF!="Weight chg"</formula>
    </cfRule>
    <cfRule type="expression" dxfId="976" priority="719">
      <formula>#REF!="BCBS only"</formula>
    </cfRule>
    <cfRule type="expression" dxfId="975" priority="720">
      <formula>#REF!="US NPR"</formula>
    </cfRule>
  </conditionalFormatting>
  <conditionalFormatting sqref="E2:E3 E151">
    <cfRule type="expression" dxfId="974" priority="721">
      <formula>#REF!="Weight chg"</formula>
    </cfRule>
    <cfRule type="expression" dxfId="973" priority="722">
      <formula>#REF!="BCBS only"</formula>
    </cfRule>
    <cfRule type="expression" dxfId="972" priority="723">
      <formula>#REF!="US NPR"</formula>
    </cfRule>
  </conditionalFormatting>
  <conditionalFormatting sqref="E190">
    <cfRule type="expression" dxfId="971" priority="715">
      <formula>#REF!="Weight chg"</formula>
    </cfRule>
    <cfRule type="expression" dxfId="970" priority="716">
      <formula>#REF!="BCBS only"</formula>
    </cfRule>
    <cfRule type="expression" dxfId="969" priority="717">
      <formula>#REF!="US NPR"</formula>
    </cfRule>
  </conditionalFormatting>
  <conditionalFormatting sqref="E152">
    <cfRule type="expression" dxfId="968" priority="712">
      <formula>#REF!="Weight chg"</formula>
    </cfRule>
    <cfRule type="expression" dxfId="967" priority="713">
      <formula>#REF!="BCBS only"</formula>
    </cfRule>
    <cfRule type="expression" dxfId="966" priority="714">
      <formula>#REF!="US NPR"</formula>
    </cfRule>
  </conditionalFormatting>
  <conditionalFormatting sqref="E61">
    <cfRule type="expression" dxfId="965" priority="709">
      <formula>#REF!="Weight chg"</formula>
    </cfRule>
    <cfRule type="expression" dxfId="964" priority="710">
      <formula>#REF!="BCBS only"</formula>
    </cfRule>
    <cfRule type="expression" dxfId="963" priority="711">
      <formula>#REF!="US NPR"</formula>
    </cfRule>
  </conditionalFormatting>
  <conditionalFormatting sqref="E59">
    <cfRule type="expression" dxfId="962" priority="706">
      <formula>#REF!="Weight chg"</formula>
    </cfRule>
    <cfRule type="expression" dxfId="961" priority="707">
      <formula>#REF!="BCBS only"</formula>
    </cfRule>
    <cfRule type="expression" dxfId="960" priority="708">
      <formula>#REF!="US NPR"</formula>
    </cfRule>
  </conditionalFormatting>
  <conditionalFormatting sqref="E34">
    <cfRule type="expression" dxfId="959" priority="685">
      <formula>#REF!="Weight chg"</formula>
    </cfRule>
    <cfRule type="expression" dxfId="958" priority="686">
      <formula>#REF!="BCBS only"</formula>
    </cfRule>
    <cfRule type="expression" dxfId="957" priority="687">
      <formula>#REF!="US NPR"</formula>
    </cfRule>
  </conditionalFormatting>
  <conditionalFormatting sqref="E12">
    <cfRule type="expression" dxfId="956" priority="703">
      <formula>#REF!="Weight chg"</formula>
    </cfRule>
    <cfRule type="expression" dxfId="955" priority="704">
      <formula>#REF!="BCBS only"</formula>
    </cfRule>
    <cfRule type="expression" dxfId="954" priority="705">
      <formula>#REF!="US NPR"</formula>
    </cfRule>
  </conditionalFormatting>
  <conditionalFormatting sqref="E16">
    <cfRule type="expression" dxfId="953" priority="700">
      <formula>#REF!="Weight chg"</formula>
    </cfRule>
    <cfRule type="expression" dxfId="952" priority="701">
      <formula>#REF!="BCBS only"</formula>
    </cfRule>
    <cfRule type="expression" dxfId="951" priority="702">
      <formula>#REF!="US NPR"</formula>
    </cfRule>
  </conditionalFormatting>
  <conditionalFormatting sqref="E20">
    <cfRule type="expression" dxfId="950" priority="697">
      <formula>#REF!="Weight chg"</formula>
    </cfRule>
    <cfRule type="expression" dxfId="949" priority="698">
      <formula>#REF!="BCBS only"</formula>
    </cfRule>
    <cfRule type="expression" dxfId="948" priority="699">
      <formula>#REF!="US NPR"</formula>
    </cfRule>
  </conditionalFormatting>
  <conditionalFormatting sqref="E21">
    <cfRule type="expression" dxfId="947" priority="694">
      <formula>#REF!="Weight chg"</formula>
    </cfRule>
    <cfRule type="expression" dxfId="946" priority="695">
      <formula>#REF!="BCBS only"</formula>
    </cfRule>
    <cfRule type="expression" dxfId="945" priority="696">
      <formula>#REF!="US NPR"</formula>
    </cfRule>
  </conditionalFormatting>
  <conditionalFormatting sqref="E25">
    <cfRule type="expression" dxfId="944" priority="691">
      <formula>#REF!="Weight chg"</formula>
    </cfRule>
    <cfRule type="expression" dxfId="943" priority="692">
      <formula>#REF!="BCBS only"</formula>
    </cfRule>
    <cfRule type="expression" dxfId="942" priority="693">
      <formula>#REF!="US NPR"</formula>
    </cfRule>
  </conditionalFormatting>
  <conditionalFormatting sqref="E29">
    <cfRule type="expression" dxfId="941" priority="688">
      <formula>#REF!="Weight chg"</formula>
    </cfRule>
    <cfRule type="expression" dxfId="940" priority="689">
      <formula>#REF!="BCBS only"</formula>
    </cfRule>
    <cfRule type="expression" dxfId="939" priority="690">
      <formula>#REF!="US NPR"</formula>
    </cfRule>
  </conditionalFormatting>
  <conditionalFormatting sqref="E35">
    <cfRule type="expression" dxfId="938" priority="682">
      <formula>#REF!="Weight chg"</formula>
    </cfRule>
    <cfRule type="expression" dxfId="937" priority="683">
      <formula>#REF!="BCBS only"</formula>
    </cfRule>
    <cfRule type="expression" dxfId="936" priority="684">
      <formula>#REF!="US NPR"</formula>
    </cfRule>
  </conditionalFormatting>
  <conditionalFormatting sqref="E47">
    <cfRule type="expression" dxfId="935" priority="679">
      <formula>#REF!="Weight chg"</formula>
    </cfRule>
    <cfRule type="expression" dxfId="934" priority="680">
      <formula>#REF!="BCBS only"</formula>
    </cfRule>
    <cfRule type="expression" dxfId="933" priority="681">
      <formula>#REF!="US NPR"</formula>
    </cfRule>
  </conditionalFormatting>
  <conditionalFormatting sqref="E55">
    <cfRule type="expression" dxfId="932" priority="640">
      <formula>#REF!="Weight chg"</formula>
    </cfRule>
    <cfRule type="expression" dxfId="931" priority="641">
      <formula>#REF!="BCBS only"</formula>
    </cfRule>
    <cfRule type="expression" dxfId="930" priority="642">
      <formula>#REF!="US NPR"</formula>
    </cfRule>
  </conditionalFormatting>
  <conditionalFormatting sqref="E17:E19">
    <cfRule type="expression" dxfId="929" priority="673">
      <formula>#REF!="Weight chg"</formula>
    </cfRule>
    <cfRule type="expression" dxfId="928" priority="674">
      <formula>#REF!="BCBS only"</formula>
    </cfRule>
    <cfRule type="expression" dxfId="927" priority="675">
      <formula>#REF!="US NPR"</formula>
    </cfRule>
  </conditionalFormatting>
  <conditionalFormatting sqref="E22:E24">
    <cfRule type="expression" dxfId="926" priority="670">
      <formula>#REF!="Weight chg"</formula>
    </cfRule>
    <cfRule type="expression" dxfId="925" priority="671">
      <formula>#REF!="BCBS only"</formula>
    </cfRule>
    <cfRule type="expression" dxfId="924" priority="672">
      <formula>#REF!="US NPR"</formula>
    </cfRule>
  </conditionalFormatting>
  <conditionalFormatting sqref="E51">
    <cfRule type="expression" dxfId="923" priority="646">
      <formula>#REF!="Weight chg"</formula>
    </cfRule>
    <cfRule type="expression" dxfId="922" priority="647">
      <formula>#REF!="BCBS only"</formula>
    </cfRule>
    <cfRule type="expression" dxfId="921" priority="648">
      <formula>#REF!="US NPR"</formula>
    </cfRule>
  </conditionalFormatting>
  <conditionalFormatting sqref="E26:E28">
    <cfRule type="expression" dxfId="920" priority="667">
      <formula>#REF!="Weight chg"</formula>
    </cfRule>
    <cfRule type="expression" dxfId="919" priority="668">
      <formula>#REF!="BCBS only"</formula>
    </cfRule>
    <cfRule type="expression" dxfId="918" priority="669">
      <formula>#REF!="US NPR"</formula>
    </cfRule>
  </conditionalFormatting>
  <conditionalFormatting sqref="E30:E32">
    <cfRule type="expression" dxfId="917" priority="664">
      <formula>#REF!="Weight chg"</formula>
    </cfRule>
    <cfRule type="expression" dxfId="916" priority="665">
      <formula>#REF!="BCBS only"</formula>
    </cfRule>
    <cfRule type="expression" dxfId="915" priority="666">
      <formula>#REF!="US NPR"</formula>
    </cfRule>
  </conditionalFormatting>
  <conditionalFormatting sqref="E39">
    <cfRule type="expression" dxfId="914" priority="661">
      <formula>#REF!="Weight chg"</formula>
    </cfRule>
    <cfRule type="expression" dxfId="913" priority="662">
      <formula>#REF!="BCBS only"</formula>
    </cfRule>
    <cfRule type="expression" dxfId="912" priority="663">
      <formula>#REF!="US NPR"</formula>
    </cfRule>
  </conditionalFormatting>
  <conditionalFormatting sqref="E43">
    <cfRule type="expression" dxfId="911" priority="658">
      <formula>#REF!="Weight chg"</formula>
    </cfRule>
    <cfRule type="expression" dxfId="910" priority="659">
      <formula>#REF!="BCBS only"</formula>
    </cfRule>
    <cfRule type="expression" dxfId="909" priority="660">
      <formula>#REF!="US NPR"</formula>
    </cfRule>
  </conditionalFormatting>
  <conditionalFormatting sqref="E36:E38">
    <cfRule type="expression" dxfId="908" priority="655">
      <formula>#REF!="Weight chg"</formula>
    </cfRule>
    <cfRule type="expression" dxfId="907" priority="656">
      <formula>#REF!="BCBS only"</formula>
    </cfRule>
    <cfRule type="expression" dxfId="906" priority="657">
      <formula>#REF!="US NPR"</formula>
    </cfRule>
  </conditionalFormatting>
  <conditionalFormatting sqref="E40:E42">
    <cfRule type="expression" dxfId="905" priority="652">
      <formula>#REF!="Weight chg"</formula>
    </cfRule>
    <cfRule type="expression" dxfId="904" priority="653">
      <formula>#REF!="BCBS only"</formula>
    </cfRule>
    <cfRule type="expression" dxfId="903" priority="654">
      <formula>#REF!="US NPR"</formula>
    </cfRule>
  </conditionalFormatting>
  <conditionalFormatting sqref="E44:E46">
    <cfRule type="expression" dxfId="902" priority="649">
      <formula>#REF!="Weight chg"</formula>
    </cfRule>
    <cfRule type="expression" dxfId="901" priority="650">
      <formula>#REF!="BCBS only"</formula>
    </cfRule>
    <cfRule type="expression" dxfId="900" priority="651">
      <formula>#REF!="US NPR"</formula>
    </cfRule>
  </conditionalFormatting>
  <conditionalFormatting sqref="E48:E50">
    <cfRule type="expression" dxfId="899" priority="643">
      <formula>#REF!="Weight chg"</formula>
    </cfRule>
    <cfRule type="expression" dxfId="898" priority="644">
      <formula>#REF!="BCBS only"</formula>
    </cfRule>
    <cfRule type="expression" dxfId="897" priority="645">
      <formula>#REF!="US NPR"</formula>
    </cfRule>
  </conditionalFormatting>
  <conditionalFormatting sqref="E52:E54">
    <cfRule type="expression" dxfId="896" priority="637">
      <formula>#REF!="Weight chg"</formula>
    </cfRule>
    <cfRule type="expression" dxfId="895" priority="638">
      <formula>#REF!="BCBS only"</formula>
    </cfRule>
    <cfRule type="expression" dxfId="894" priority="639">
      <formula>#REF!="US NPR"</formula>
    </cfRule>
  </conditionalFormatting>
  <conditionalFormatting sqref="E56:E58">
    <cfRule type="expression" dxfId="893" priority="634">
      <formula>#REF!="Weight chg"</formula>
    </cfRule>
    <cfRule type="expression" dxfId="892" priority="635">
      <formula>#REF!="BCBS only"</formula>
    </cfRule>
    <cfRule type="expression" dxfId="891" priority="636">
      <formula>#REF!="US NPR"</formula>
    </cfRule>
  </conditionalFormatting>
  <conditionalFormatting sqref="E193:E195">
    <cfRule type="expression" dxfId="890" priority="631">
      <formula>#REF!="Weight chg"</formula>
    </cfRule>
    <cfRule type="expression" dxfId="889" priority="632">
      <formula>#REF!="BCBS only"</formula>
    </cfRule>
    <cfRule type="expression" dxfId="888" priority="633">
      <formula>#REF!="US NPR"</formula>
    </cfRule>
  </conditionalFormatting>
  <conditionalFormatting sqref="E197">
    <cfRule type="expression" dxfId="887" priority="628">
      <formula>#REF!="Weight chg"</formula>
    </cfRule>
    <cfRule type="expression" dxfId="886" priority="629">
      <formula>#REF!="BCBS only"</formula>
    </cfRule>
    <cfRule type="expression" dxfId="885" priority="630">
      <formula>#REF!="US NPR"</formula>
    </cfRule>
  </conditionalFormatting>
  <conditionalFormatting sqref="E198">
    <cfRule type="expression" dxfId="884" priority="625">
      <formula>#REF!="Weight chg"</formula>
    </cfRule>
    <cfRule type="expression" dxfId="883" priority="626">
      <formula>#REF!="BCBS only"</formula>
    </cfRule>
    <cfRule type="expression" dxfId="882" priority="627">
      <formula>#REF!="US NPR"</formula>
    </cfRule>
  </conditionalFormatting>
  <conditionalFormatting sqref="E154">
    <cfRule type="expression" dxfId="881" priority="622">
      <formula>#REF!="Weight chg"</formula>
    </cfRule>
    <cfRule type="expression" dxfId="880" priority="623">
      <formula>#REF!="BCBS only"</formula>
    </cfRule>
    <cfRule type="expression" dxfId="879" priority="624">
      <formula>#REF!="US NPR"</formula>
    </cfRule>
  </conditionalFormatting>
  <conditionalFormatting sqref="E192">
    <cfRule type="expression" dxfId="878" priority="619">
      <formula>#REF!="Weight chg"</formula>
    </cfRule>
    <cfRule type="expression" dxfId="877" priority="620">
      <formula>#REF!="BCBS only"</formula>
    </cfRule>
    <cfRule type="expression" dxfId="876" priority="621">
      <formula>#REF!="US NPR"</formula>
    </cfRule>
  </conditionalFormatting>
  <conditionalFormatting sqref="E62:E150">
    <cfRule type="expression" dxfId="875" priority="616">
      <formula>#REF!="Weight chg"</formula>
    </cfRule>
    <cfRule type="expression" dxfId="874" priority="617">
      <formula>#REF!="BCBS only"</formula>
    </cfRule>
    <cfRule type="expression" dxfId="873" priority="618">
      <formula>#REF!="US NPR"</formula>
    </cfRule>
  </conditionalFormatting>
  <conditionalFormatting sqref="E155:E188">
    <cfRule type="expression" dxfId="872" priority="613">
      <formula>#REF!="Weight chg"</formula>
    </cfRule>
    <cfRule type="expression" dxfId="871" priority="614">
      <formula>#REF!="BCBS only"</formula>
    </cfRule>
    <cfRule type="expression" dxfId="870" priority="615">
      <formula>#REF!="US NPR"</formula>
    </cfRule>
  </conditionalFormatting>
  <conditionalFormatting sqref="F189 F7:F10">
    <cfRule type="expression" dxfId="869" priority="607">
      <formula>#REF!="Weight chg"</formula>
    </cfRule>
    <cfRule type="expression" dxfId="868" priority="608">
      <formula>#REF!="BCBS only"</formula>
    </cfRule>
    <cfRule type="expression" dxfId="867" priority="609">
      <formula>#REF!="US NPR"</formula>
    </cfRule>
  </conditionalFormatting>
  <conditionalFormatting sqref="F2:F3 F151">
    <cfRule type="expression" dxfId="866" priority="610">
      <formula>#REF!="Weight chg"</formula>
    </cfRule>
    <cfRule type="expression" dxfId="865" priority="611">
      <formula>#REF!="BCBS only"</formula>
    </cfRule>
    <cfRule type="expression" dxfId="864" priority="612">
      <formula>#REF!="US NPR"</formula>
    </cfRule>
  </conditionalFormatting>
  <conditionalFormatting sqref="F190">
    <cfRule type="expression" dxfId="863" priority="604">
      <formula>#REF!="Weight chg"</formula>
    </cfRule>
    <cfRule type="expression" dxfId="862" priority="605">
      <formula>#REF!="BCBS only"</formula>
    </cfRule>
    <cfRule type="expression" dxfId="861" priority="606">
      <formula>#REF!="US NPR"</formula>
    </cfRule>
  </conditionalFormatting>
  <conditionalFormatting sqref="F152">
    <cfRule type="expression" dxfId="860" priority="601">
      <formula>#REF!="Weight chg"</formula>
    </cfRule>
    <cfRule type="expression" dxfId="859" priority="602">
      <formula>#REF!="BCBS only"</formula>
    </cfRule>
    <cfRule type="expression" dxfId="858" priority="603">
      <formula>#REF!="US NPR"</formula>
    </cfRule>
  </conditionalFormatting>
  <conditionalFormatting sqref="F61">
    <cfRule type="expression" dxfId="857" priority="598">
      <formula>#REF!="Weight chg"</formula>
    </cfRule>
    <cfRule type="expression" dxfId="856" priority="599">
      <formula>#REF!="BCBS only"</formula>
    </cfRule>
    <cfRule type="expression" dxfId="855" priority="600">
      <formula>#REF!="US NPR"</formula>
    </cfRule>
  </conditionalFormatting>
  <conditionalFormatting sqref="F59">
    <cfRule type="expression" dxfId="854" priority="595">
      <formula>#REF!="Weight chg"</formula>
    </cfRule>
    <cfRule type="expression" dxfId="853" priority="596">
      <formula>#REF!="BCBS only"</formula>
    </cfRule>
    <cfRule type="expression" dxfId="852" priority="597">
      <formula>#REF!="US NPR"</formula>
    </cfRule>
  </conditionalFormatting>
  <conditionalFormatting sqref="F34">
    <cfRule type="expression" dxfId="851" priority="574">
      <formula>#REF!="Weight chg"</formula>
    </cfRule>
    <cfRule type="expression" dxfId="850" priority="575">
      <formula>#REF!="BCBS only"</formula>
    </cfRule>
    <cfRule type="expression" dxfId="849" priority="576">
      <formula>#REF!="US NPR"</formula>
    </cfRule>
  </conditionalFormatting>
  <conditionalFormatting sqref="F12">
    <cfRule type="expression" dxfId="848" priority="592">
      <formula>#REF!="Weight chg"</formula>
    </cfRule>
    <cfRule type="expression" dxfId="847" priority="593">
      <formula>#REF!="BCBS only"</formula>
    </cfRule>
    <cfRule type="expression" dxfId="846" priority="594">
      <formula>#REF!="US NPR"</formula>
    </cfRule>
  </conditionalFormatting>
  <conditionalFormatting sqref="F16">
    <cfRule type="expression" dxfId="845" priority="589">
      <formula>#REF!="Weight chg"</formula>
    </cfRule>
    <cfRule type="expression" dxfId="844" priority="590">
      <formula>#REF!="BCBS only"</formula>
    </cfRule>
    <cfRule type="expression" dxfId="843" priority="591">
      <formula>#REF!="US NPR"</formula>
    </cfRule>
  </conditionalFormatting>
  <conditionalFormatting sqref="F20">
    <cfRule type="expression" dxfId="842" priority="586">
      <formula>#REF!="Weight chg"</formula>
    </cfRule>
    <cfRule type="expression" dxfId="841" priority="587">
      <formula>#REF!="BCBS only"</formula>
    </cfRule>
    <cfRule type="expression" dxfId="840" priority="588">
      <formula>#REF!="US NPR"</formula>
    </cfRule>
  </conditionalFormatting>
  <conditionalFormatting sqref="F21">
    <cfRule type="expression" dxfId="839" priority="583">
      <formula>#REF!="Weight chg"</formula>
    </cfRule>
    <cfRule type="expression" dxfId="838" priority="584">
      <formula>#REF!="BCBS only"</formula>
    </cfRule>
    <cfRule type="expression" dxfId="837" priority="585">
      <formula>#REF!="US NPR"</formula>
    </cfRule>
  </conditionalFormatting>
  <conditionalFormatting sqref="F25">
    <cfRule type="expression" dxfId="836" priority="580">
      <formula>#REF!="Weight chg"</formula>
    </cfRule>
    <cfRule type="expression" dxfId="835" priority="581">
      <formula>#REF!="BCBS only"</formula>
    </cfRule>
    <cfRule type="expression" dxfId="834" priority="582">
      <formula>#REF!="US NPR"</formula>
    </cfRule>
  </conditionalFormatting>
  <conditionalFormatting sqref="F29">
    <cfRule type="expression" dxfId="833" priority="577">
      <formula>#REF!="Weight chg"</formula>
    </cfRule>
    <cfRule type="expression" dxfId="832" priority="578">
      <formula>#REF!="BCBS only"</formula>
    </cfRule>
    <cfRule type="expression" dxfId="831" priority="579">
      <formula>#REF!="US NPR"</formula>
    </cfRule>
  </conditionalFormatting>
  <conditionalFormatting sqref="F35">
    <cfRule type="expression" dxfId="830" priority="571">
      <formula>#REF!="Weight chg"</formula>
    </cfRule>
    <cfRule type="expression" dxfId="829" priority="572">
      <formula>#REF!="BCBS only"</formula>
    </cfRule>
    <cfRule type="expression" dxfId="828" priority="573">
      <formula>#REF!="US NPR"</formula>
    </cfRule>
  </conditionalFormatting>
  <conditionalFormatting sqref="F47">
    <cfRule type="expression" dxfId="827" priority="568">
      <formula>#REF!="Weight chg"</formula>
    </cfRule>
    <cfRule type="expression" dxfId="826" priority="569">
      <formula>#REF!="BCBS only"</formula>
    </cfRule>
    <cfRule type="expression" dxfId="825" priority="570">
      <formula>#REF!="US NPR"</formula>
    </cfRule>
  </conditionalFormatting>
  <conditionalFormatting sqref="F55">
    <cfRule type="expression" dxfId="824" priority="529">
      <formula>#REF!="Weight chg"</formula>
    </cfRule>
    <cfRule type="expression" dxfId="823" priority="530">
      <formula>#REF!="BCBS only"</formula>
    </cfRule>
    <cfRule type="expression" dxfId="822" priority="531">
      <formula>#REF!="US NPR"</formula>
    </cfRule>
  </conditionalFormatting>
  <conditionalFormatting sqref="F17:F19">
    <cfRule type="expression" dxfId="821" priority="562">
      <formula>#REF!="Weight chg"</formula>
    </cfRule>
    <cfRule type="expression" dxfId="820" priority="563">
      <formula>#REF!="BCBS only"</formula>
    </cfRule>
    <cfRule type="expression" dxfId="819" priority="564">
      <formula>#REF!="US NPR"</formula>
    </cfRule>
  </conditionalFormatting>
  <conditionalFormatting sqref="F22:F24">
    <cfRule type="expression" dxfId="818" priority="559">
      <formula>#REF!="Weight chg"</formula>
    </cfRule>
    <cfRule type="expression" dxfId="817" priority="560">
      <formula>#REF!="BCBS only"</formula>
    </cfRule>
    <cfRule type="expression" dxfId="816" priority="561">
      <formula>#REF!="US NPR"</formula>
    </cfRule>
  </conditionalFormatting>
  <conditionalFormatting sqref="F51">
    <cfRule type="expression" dxfId="815" priority="535">
      <formula>#REF!="Weight chg"</formula>
    </cfRule>
    <cfRule type="expression" dxfId="814" priority="536">
      <formula>#REF!="BCBS only"</formula>
    </cfRule>
    <cfRule type="expression" dxfId="813" priority="537">
      <formula>#REF!="US NPR"</formula>
    </cfRule>
  </conditionalFormatting>
  <conditionalFormatting sqref="F26:F28">
    <cfRule type="expression" dxfId="812" priority="556">
      <formula>#REF!="Weight chg"</formula>
    </cfRule>
    <cfRule type="expression" dxfId="811" priority="557">
      <formula>#REF!="BCBS only"</formula>
    </cfRule>
    <cfRule type="expression" dxfId="810" priority="558">
      <formula>#REF!="US NPR"</formula>
    </cfRule>
  </conditionalFormatting>
  <conditionalFormatting sqref="F30:F32">
    <cfRule type="expression" dxfId="809" priority="553">
      <formula>#REF!="Weight chg"</formula>
    </cfRule>
    <cfRule type="expression" dxfId="808" priority="554">
      <formula>#REF!="BCBS only"</formula>
    </cfRule>
    <cfRule type="expression" dxfId="807" priority="555">
      <formula>#REF!="US NPR"</formula>
    </cfRule>
  </conditionalFormatting>
  <conditionalFormatting sqref="F39">
    <cfRule type="expression" dxfId="806" priority="550">
      <formula>#REF!="Weight chg"</formula>
    </cfRule>
    <cfRule type="expression" dxfId="805" priority="551">
      <formula>#REF!="BCBS only"</formula>
    </cfRule>
    <cfRule type="expression" dxfId="804" priority="552">
      <formula>#REF!="US NPR"</formula>
    </cfRule>
  </conditionalFormatting>
  <conditionalFormatting sqref="F43">
    <cfRule type="expression" dxfId="803" priority="547">
      <formula>#REF!="Weight chg"</formula>
    </cfRule>
    <cfRule type="expression" dxfId="802" priority="548">
      <formula>#REF!="BCBS only"</formula>
    </cfRule>
    <cfRule type="expression" dxfId="801" priority="549">
      <formula>#REF!="US NPR"</formula>
    </cfRule>
  </conditionalFormatting>
  <conditionalFormatting sqref="F36:F38">
    <cfRule type="expression" dxfId="800" priority="544">
      <formula>#REF!="Weight chg"</formula>
    </cfRule>
    <cfRule type="expression" dxfId="799" priority="545">
      <formula>#REF!="BCBS only"</formula>
    </cfRule>
    <cfRule type="expression" dxfId="798" priority="546">
      <formula>#REF!="US NPR"</formula>
    </cfRule>
  </conditionalFormatting>
  <conditionalFormatting sqref="F40:F42">
    <cfRule type="expression" dxfId="797" priority="541">
      <formula>#REF!="Weight chg"</formula>
    </cfRule>
    <cfRule type="expression" dxfId="796" priority="542">
      <formula>#REF!="BCBS only"</formula>
    </cfRule>
    <cfRule type="expression" dxfId="795" priority="543">
      <formula>#REF!="US NPR"</formula>
    </cfRule>
  </conditionalFormatting>
  <conditionalFormatting sqref="F44:F46">
    <cfRule type="expression" dxfId="794" priority="538">
      <formula>#REF!="Weight chg"</formula>
    </cfRule>
    <cfRule type="expression" dxfId="793" priority="539">
      <formula>#REF!="BCBS only"</formula>
    </cfRule>
    <cfRule type="expression" dxfId="792" priority="540">
      <formula>#REF!="US NPR"</formula>
    </cfRule>
  </conditionalFormatting>
  <conditionalFormatting sqref="F48:F50">
    <cfRule type="expression" dxfId="791" priority="532">
      <formula>#REF!="Weight chg"</formula>
    </cfRule>
    <cfRule type="expression" dxfId="790" priority="533">
      <formula>#REF!="BCBS only"</formula>
    </cfRule>
    <cfRule type="expression" dxfId="789" priority="534">
      <formula>#REF!="US NPR"</formula>
    </cfRule>
  </conditionalFormatting>
  <conditionalFormatting sqref="F52:F54">
    <cfRule type="expression" dxfId="788" priority="526">
      <formula>#REF!="Weight chg"</formula>
    </cfRule>
    <cfRule type="expression" dxfId="787" priority="527">
      <formula>#REF!="BCBS only"</formula>
    </cfRule>
    <cfRule type="expression" dxfId="786" priority="528">
      <formula>#REF!="US NPR"</formula>
    </cfRule>
  </conditionalFormatting>
  <conditionalFormatting sqref="F56:F58">
    <cfRule type="expression" dxfId="785" priority="523">
      <formula>#REF!="Weight chg"</formula>
    </cfRule>
    <cfRule type="expression" dxfId="784" priority="524">
      <formula>#REF!="BCBS only"</formula>
    </cfRule>
    <cfRule type="expression" dxfId="783" priority="525">
      <formula>#REF!="US NPR"</formula>
    </cfRule>
  </conditionalFormatting>
  <conditionalFormatting sqref="F193:F195">
    <cfRule type="expression" dxfId="782" priority="520">
      <formula>#REF!="Weight chg"</formula>
    </cfRule>
    <cfRule type="expression" dxfId="781" priority="521">
      <formula>#REF!="BCBS only"</formula>
    </cfRule>
    <cfRule type="expression" dxfId="780" priority="522">
      <formula>#REF!="US NPR"</formula>
    </cfRule>
  </conditionalFormatting>
  <conditionalFormatting sqref="F197">
    <cfRule type="expression" dxfId="779" priority="517">
      <formula>#REF!="Weight chg"</formula>
    </cfRule>
    <cfRule type="expression" dxfId="778" priority="518">
      <formula>#REF!="BCBS only"</formula>
    </cfRule>
    <cfRule type="expression" dxfId="777" priority="519">
      <formula>#REF!="US NPR"</formula>
    </cfRule>
  </conditionalFormatting>
  <conditionalFormatting sqref="F198">
    <cfRule type="expression" dxfId="776" priority="514">
      <formula>#REF!="Weight chg"</formula>
    </cfRule>
    <cfRule type="expression" dxfId="775" priority="515">
      <formula>#REF!="BCBS only"</formula>
    </cfRule>
    <cfRule type="expression" dxfId="774" priority="516">
      <formula>#REF!="US NPR"</formula>
    </cfRule>
  </conditionalFormatting>
  <conditionalFormatting sqref="F192">
    <cfRule type="expression" dxfId="773" priority="508">
      <formula>#REF!="Weight chg"</formula>
    </cfRule>
    <cfRule type="expression" dxfId="772" priority="509">
      <formula>#REF!="BCBS only"</formula>
    </cfRule>
    <cfRule type="expression" dxfId="771" priority="510">
      <formula>#REF!="US NPR"</formula>
    </cfRule>
  </conditionalFormatting>
  <conditionalFormatting sqref="F62:F150">
    <cfRule type="expression" dxfId="770" priority="505">
      <formula>#REF!="Weight chg"</formula>
    </cfRule>
    <cfRule type="expression" dxfId="769" priority="506">
      <formula>#REF!="BCBS only"</formula>
    </cfRule>
    <cfRule type="expression" dxfId="768" priority="507">
      <formula>#REF!="US NPR"</formula>
    </cfRule>
  </conditionalFormatting>
  <conditionalFormatting sqref="F155:F188">
    <cfRule type="expression" dxfId="767" priority="502">
      <formula>#REF!="Weight chg"</formula>
    </cfRule>
    <cfRule type="expression" dxfId="766" priority="503">
      <formula>#REF!="BCBS only"</formula>
    </cfRule>
    <cfRule type="expression" dxfId="765" priority="504">
      <formula>#REF!="US NPR"</formula>
    </cfRule>
  </conditionalFormatting>
  <conditionalFormatting sqref="E11">
    <cfRule type="expression" dxfId="764" priority="499">
      <formula>#REF!="Weight chg"</formula>
    </cfRule>
    <cfRule type="expression" dxfId="763" priority="500">
      <formula>#REF!="BCBS only"</formula>
    </cfRule>
    <cfRule type="expression" dxfId="762" priority="501">
      <formula>#REF!="US NPR"</formula>
    </cfRule>
  </conditionalFormatting>
  <conditionalFormatting sqref="F11">
    <cfRule type="expression" dxfId="761" priority="496">
      <formula>#REF!="Weight chg"</formula>
    </cfRule>
    <cfRule type="expression" dxfId="760" priority="497">
      <formula>#REF!="BCBS only"</formula>
    </cfRule>
    <cfRule type="expression" dxfId="759" priority="498">
      <formula>#REF!="US NPR"</formula>
    </cfRule>
  </conditionalFormatting>
  <conditionalFormatting sqref="E13:E15">
    <cfRule type="expression" dxfId="758" priority="493">
      <formula>#REF!="Weight chg"</formula>
    </cfRule>
    <cfRule type="expression" dxfId="757" priority="494">
      <formula>#REF!="BCBS only"</formula>
    </cfRule>
    <cfRule type="expression" dxfId="756" priority="495">
      <formula>#REF!="US NPR"</formula>
    </cfRule>
  </conditionalFormatting>
  <conditionalFormatting sqref="F13:F15">
    <cfRule type="expression" dxfId="755" priority="490">
      <formula>#REF!="Weight chg"</formula>
    </cfRule>
    <cfRule type="expression" dxfId="754" priority="491">
      <formula>#REF!="BCBS only"</formula>
    </cfRule>
    <cfRule type="expression" dxfId="753" priority="492">
      <formula>#REF!="US NPR"</formula>
    </cfRule>
  </conditionalFormatting>
  <conditionalFormatting sqref="D33">
    <cfRule type="expression" dxfId="752" priority="487">
      <formula>#REF!="Weight chg"</formula>
    </cfRule>
    <cfRule type="expression" dxfId="751" priority="488">
      <formula>#REF!="BCBS only"</formula>
    </cfRule>
    <cfRule type="expression" dxfId="750" priority="489">
      <formula>#REF!="US NPR"</formula>
    </cfRule>
  </conditionalFormatting>
  <conditionalFormatting sqref="C33">
    <cfRule type="expression" dxfId="749" priority="484">
      <formula>#REF!="Weight chg"</formula>
    </cfRule>
    <cfRule type="expression" dxfId="748" priority="485">
      <formula>#REF!="BCBS only"</formula>
    </cfRule>
    <cfRule type="expression" dxfId="747" priority="486">
      <formula>#REF!="US NPR"</formula>
    </cfRule>
  </conditionalFormatting>
  <conditionalFormatting sqref="E33">
    <cfRule type="expression" dxfId="746" priority="475">
      <formula>#REF!="Weight chg"</formula>
    </cfRule>
    <cfRule type="expression" dxfId="745" priority="476">
      <formula>#REF!="BCBS only"</formula>
    </cfRule>
    <cfRule type="expression" dxfId="744" priority="477">
      <formula>#REF!="US NPR"</formula>
    </cfRule>
  </conditionalFormatting>
  <conditionalFormatting sqref="F33">
    <cfRule type="expression" dxfId="743" priority="472">
      <formula>#REF!="Weight chg"</formula>
    </cfRule>
    <cfRule type="expression" dxfId="742" priority="473">
      <formula>#REF!="BCBS only"</formula>
    </cfRule>
    <cfRule type="expression" dxfId="741" priority="474">
      <formula>#REF!="US NPR"</formula>
    </cfRule>
  </conditionalFormatting>
  <conditionalFormatting sqref="H189 H7:H11">
    <cfRule type="expression" dxfId="740" priority="352">
      <formula>#REF!="Weight chg"</formula>
    </cfRule>
    <cfRule type="expression" dxfId="739" priority="353">
      <formula>#REF!="BCBS only"</formula>
    </cfRule>
    <cfRule type="expression" dxfId="738" priority="354">
      <formula>#REF!="US NPR"</formula>
    </cfRule>
  </conditionalFormatting>
  <conditionalFormatting sqref="I203 I207 H2:H3 H151">
    <cfRule type="expression" dxfId="737" priority="355">
      <formula>#REF!="Weight chg"</formula>
    </cfRule>
    <cfRule type="expression" dxfId="736" priority="356">
      <formula>#REF!="BCBS only"</formula>
    </cfRule>
    <cfRule type="expression" dxfId="735" priority="357">
      <formula>#REF!="US NPR"</formula>
    </cfRule>
  </conditionalFormatting>
  <conditionalFormatting sqref="H190 H199:H1048576">
    <cfRule type="expression" dxfId="734" priority="349">
      <formula>#REF!="Weight chg"</formula>
    </cfRule>
    <cfRule type="expression" dxfId="733" priority="350">
      <formula>#REF!="BCBS only"</formula>
    </cfRule>
    <cfRule type="expression" dxfId="732" priority="351">
      <formula>#REF!="US NPR"</formula>
    </cfRule>
  </conditionalFormatting>
  <conditionalFormatting sqref="H152">
    <cfRule type="expression" dxfId="731" priority="346">
      <formula>#REF!="Weight chg"</formula>
    </cfRule>
    <cfRule type="expression" dxfId="730" priority="347">
      <formula>#REF!="BCBS only"</formula>
    </cfRule>
    <cfRule type="expression" dxfId="729" priority="348">
      <formula>#REF!="US NPR"</formula>
    </cfRule>
  </conditionalFormatting>
  <conditionalFormatting sqref="H61">
    <cfRule type="expression" dxfId="728" priority="343">
      <formula>#REF!="Weight chg"</formula>
    </cfRule>
    <cfRule type="expression" dxfId="727" priority="344">
      <formula>#REF!="BCBS only"</formula>
    </cfRule>
    <cfRule type="expression" dxfId="726" priority="345">
      <formula>#REF!="US NPR"</formula>
    </cfRule>
  </conditionalFormatting>
  <conditionalFormatting sqref="H59">
    <cfRule type="expression" dxfId="725" priority="340">
      <formula>#REF!="Weight chg"</formula>
    </cfRule>
    <cfRule type="expression" dxfId="724" priority="341">
      <formula>#REF!="BCBS only"</formula>
    </cfRule>
    <cfRule type="expression" dxfId="723" priority="342">
      <formula>#REF!="US NPR"</formula>
    </cfRule>
  </conditionalFormatting>
  <conditionalFormatting sqref="I205">
    <cfRule type="expression" dxfId="722" priority="334">
      <formula>#REF!="Weight chg"</formula>
    </cfRule>
    <cfRule type="expression" dxfId="721" priority="335">
      <formula>#REF!="BCBS only"</formula>
    </cfRule>
    <cfRule type="expression" dxfId="720" priority="336">
      <formula>#REF!="US NPR"</formula>
    </cfRule>
  </conditionalFormatting>
  <conditionalFormatting sqref="I202">
    <cfRule type="expression" dxfId="719" priority="337">
      <formula>#REF!="Weight chg"</formula>
    </cfRule>
    <cfRule type="expression" dxfId="718" priority="338">
      <formula>#REF!="BCBS only"</formula>
    </cfRule>
    <cfRule type="expression" dxfId="717" priority="339">
      <formula>#REF!="US NPR"</formula>
    </cfRule>
  </conditionalFormatting>
  <conditionalFormatting sqref="H34">
    <cfRule type="expression" dxfId="716" priority="313">
      <formula>#REF!="Weight chg"</formula>
    </cfRule>
    <cfRule type="expression" dxfId="715" priority="314">
      <formula>#REF!="BCBS only"</formula>
    </cfRule>
    <cfRule type="expression" dxfId="714" priority="315">
      <formula>#REF!="US NPR"</formula>
    </cfRule>
  </conditionalFormatting>
  <conditionalFormatting sqref="H12">
    <cfRule type="expression" dxfId="713" priority="331">
      <formula>#REF!="Weight chg"</formula>
    </cfRule>
    <cfRule type="expression" dxfId="712" priority="332">
      <formula>#REF!="BCBS only"</formula>
    </cfRule>
    <cfRule type="expression" dxfId="711" priority="333">
      <formula>#REF!="US NPR"</formula>
    </cfRule>
  </conditionalFormatting>
  <conditionalFormatting sqref="H16">
    <cfRule type="expression" dxfId="710" priority="328">
      <formula>#REF!="Weight chg"</formula>
    </cfRule>
    <cfRule type="expression" dxfId="709" priority="329">
      <formula>#REF!="BCBS only"</formula>
    </cfRule>
    <cfRule type="expression" dxfId="708" priority="330">
      <formula>#REF!="US NPR"</formula>
    </cfRule>
  </conditionalFormatting>
  <conditionalFormatting sqref="H20">
    <cfRule type="expression" dxfId="707" priority="325">
      <formula>#REF!="Weight chg"</formula>
    </cfRule>
    <cfRule type="expression" dxfId="706" priority="326">
      <formula>#REF!="BCBS only"</formula>
    </cfRule>
    <cfRule type="expression" dxfId="705" priority="327">
      <formula>#REF!="US NPR"</formula>
    </cfRule>
  </conditionalFormatting>
  <conditionalFormatting sqref="H21">
    <cfRule type="expression" dxfId="704" priority="322">
      <formula>#REF!="Weight chg"</formula>
    </cfRule>
    <cfRule type="expression" dxfId="703" priority="323">
      <formula>#REF!="BCBS only"</formula>
    </cfRule>
    <cfRule type="expression" dxfId="702" priority="324">
      <formula>#REF!="US NPR"</formula>
    </cfRule>
  </conditionalFormatting>
  <conditionalFormatting sqref="H25">
    <cfRule type="expression" dxfId="701" priority="319">
      <formula>#REF!="Weight chg"</formula>
    </cfRule>
    <cfRule type="expression" dxfId="700" priority="320">
      <formula>#REF!="BCBS only"</formula>
    </cfRule>
    <cfRule type="expression" dxfId="699" priority="321">
      <formula>#REF!="US NPR"</formula>
    </cfRule>
  </conditionalFormatting>
  <conditionalFormatting sqref="H29">
    <cfRule type="expression" dxfId="698" priority="316">
      <formula>#REF!="Weight chg"</formula>
    </cfRule>
    <cfRule type="expression" dxfId="697" priority="317">
      <formula>#REF!="BCBS only"</formula>
    </cfRule>
    <cfRule type="expression" dxfId="696" priority="318">
      <formula>#REF!="US NPR"</formula>
    </cfRule>
  </conditionalFormatting>
  <conditionalFormatting sqref="H35">
    <cfRule type="expression" dxfId="695" priority="310">
      <formula>#REF!="Weight chg"</formula>
    </cfRule>
    <cfRule type="expression" dxfId="694" priority="311">
      <formula>#REF!="BCBS only"</formula>
    </cfRule>
    <cfRule type="expression" dxfId="693" priority="312">
      <formula>#REF!="US NPR"</formula>
    </cfRule>
  </conditionalFormatting>
  <conditionalFormatting sqref="H47">
    <cfRule type="expression" dxfId="692" priority="307">
      <formula>#REF!="Weight chg"</formula>
    </cfRule>
    <cfRule type="expression" dxfId="691" priority="308">
      <formula>#REF!="BCBS only"</formula>
    </cfRule>
    <cfRule type="expression" dxfId="690" priority="309">
      <formula>#REF!="US NPR"</formula>
    </cfRule>
  </conditionalFormatting>
  <conditionalFormatting sqref="J1">
    <cfRule type="expression" dxfId="689" priority="304">
      <formula>#REF!="Weight chg"</formula>
    </cfRule>
    <cfRule type="expression" dxfId="688" priority="305">
      <formula>#REF!="BCBS only"</formula>
    </cfRule>
    <cfRule type="expression" dxfId="687" priority="306">
      <formula>#REF!="US NPR"</formula>
    </cfRule>
  </conditionalFormatting>
  <conditionalFormatting sqref="H13:H15">
    <cfRule type="expression" dxfId="686" priority="301">
      <formula>#REF!="Weight chg"</formula>
    </cfRule>
    <cfRule type="expression" dxfId="685" priority="302">
      <formula>#REF!="BCBS only"</formula>
    </cfRule>
    <cfRule type="expression" dxfId="684" priority="303">
      <formula>#REF!="US NPR"</formula>
    </cfRule>
  </conditionalFormatting>
  <conditionalFormatting sqref="H55">
    <cfRule type="expression" dxfId="683" priority="265">
      <formula>#REF!="Weight chg"</formula>
    </cfRule>
    <cfRule type="expression" dxfId="682" priority="266">
      <formula>#REF!="BCBS only"</formula>
    </cfRule>
    <cfRule type="expression" dxfId="681" priority="267">
      <formula>#REF!="US NPR"</formula>
    </cfRule>
  </conditionalFormatting>
  <conditionalFormatting sqref="H17:H19">
    <cfRule type="expression" dxfId="680" priority="298">
      <formula>#REF!="Weight chg"</formula>
    </cfRule>
    <cfRule type="expression" dxfId="679" priority="299">
      <formula>#REF!="BCBS only"</formula>
    </cfRule>
    <cfRule type="expression" dxfId="678" priority="300">
      <formula>#REF!="US NPR"</formula>
    </cfRule>
  </conditionalFormatting>
  <conditionalFormatting sqref="H22:H24">
    <cfRule type="expression" dxfId="677" priority="295">
      <formula>#REF!="Weight chg"</formula>
    </cfRule>
    <cfRule type="expression" dxfId="676" priority="296">
      <formula>#REF!="BCBS only"</formula>
    </cfRule>
    <cfRule type="expression" dxfId="675" priority="297">
      <formula>#REF!="US NPR"</formula>
    </cfRule>
  </conditionalFormatting>
  <conditionalFormatting sqref="H51">
    <cfRule type="expression" dxfId="674" priority="271">
      <formula>#REF!="Weight chg"</formula>
    </cfRule>
    <cfRule type="expression" dxfId="673" priority="272">
      <formula>#REF!="BCBS only"</formula>
    </cfRule>
    <cfRule type="expression" dxfId="672" priority="273">
      <formula>#REF!="US NPR"</formula>
    </cfRule>
  </conditionalFormatting>
  <conditionalFormatting sqref="H26:H28">
    <cfRule type="expression" dxfId="671" priority="292">
      <formula>#REF!="Weight chg"</formula>
    </cfRule>
    <cfRule type="expression" dxfId="670" priority="293">
      <formula>#REF!="BCBS only"</formula>
    </cfRule>
    <cfRule type="expression" dxfId="669" priority="294">
      <formula>#REF!="US NPR"</formula>
    </cfRule>
  </conditionalFormatting>
  <conditionalFormatting sqref="H30:H32">
    <cfRule type="expression" dxfId="668" priority="289">
      <formula>#REF!="Weight chg"</formula>
    </cfRule>
    <cfRule type="expression" dxfId="667" priority="290">
      <formula>#REF!="BCBS only"</formula>
    </cfRule>
    <cfRule type="expression" dxfId="666" priority="291">
      <formula>#REF!="US NPR"</formula>
    </cfRule>
  </conditionalFormatting>
  <conditionalFormatting sqref="H39">
    <cfRule type="expression" dxfId="665" priority="286">
      <formula>#REF!="Weight chg"</formula>
    </cfRule>
    <cfRule type="expression" dxfId="664" priority="287">
      <formula>#REF!="BCBS only"</formula>
    </cfRule>
    <cfRule type="expression" dxfId="663" priority="288">
      <formula>#REF!="US NPR"</formula>
    </cfRule>
  </conditionalFormatting>
  <conditionalFormatting sqref="H43">
    <cfRule type="expression" dxfId="662" priority="283">
      <formula>#REF!="Weight chg"</formula>
    </cfRule>
    <cfRule type="expression" dxfId="661" priority="284">
      <formula>#REF!="BCBS only"</formula>
    </cfRule>
    <cfRule type="expression" dxfId="660" priority="285">
      <formula>#REF!="US NPR"</formula>
    </cfRule>
  </conditionalFormatting>
  <conditionalFormatting sqref="H36:H38">
    <cfRule type="expression" dxfId="659" priority="280">
      <formula>#REF!="Weight chg"</formula>
    </cfRule>
    <cfRule type="expression" dxfId="658" priority="281">
      <formula>#REF!="BCBS only"</formula>
    </cfRule>
    <cfRule type="expression" dxfId="657" priority="282">
      <formula>#REF!="US NPR"</formula>
    </cfRule>
  </conditionalFormatting>
  <conditionalFormatting sqref="H40:H42">
    <cfRule type="expression" dxfId="656" priority="277">
      <formula>#REF!="Weight chg"</formula>
    </cfRule>
    <cfRule type="expression" dxfId="655" priority="278">
      <formula>#REF!="BCBS only"</formula>
    </cfRule>
    <cfRule type="expression" dxfId="654" priority="279">
      <formula>#REF!="US NPR"</formula>
    </cfRule>
  </conditionalFormatting>
  <conditionalFormatting sqref="H44:H46">
    <cfRule type="expression" dxfId="653" priority="274">
      <formula>#REF!="Weight chg"</formula>
    </cfRule>
    <cfRule type="expression" dxfId="652" priority="275">
      <formula>#REF!="BCBS only"</formula>
    </cfRule>
    <cfRule type="expression" dxfId="651" priority="276">
      <formula>#REF!="US NPR"</formula>
    </cfRule>
  </conditionalFormatting>
  <conditionalFormatting sqref="H48:H50">
    <cfRule type="expression" dxfId="650" priority="268">
      <formula>#REF!="Weight chg"</formula>
    </cfRule>
    <cfRule type="expression" dxfId="649" priority="269">
      <formula>#REF!="BCBS only"</formula>
    </cfRule>
    <cfRule type="expression" dxfId="648" priority="270">
      <formula>#REF!="US NPR"</formula>
    </cfRule>
  </conditionalFormatting>
  <conditionalFormatting sqref="H52:H54">
    <cfRule type="expression" dxfId="647" priority="262">
      <formula>#REF!="Weight chg"</formula>
    </cfRule>
    <cfRule type="expression" dxfId="646" priority="263">
      <formula>#REF!="BCBS only"</formula>
    </cfRule>
    <cfRule type="expression" dxfId="645" priority="264">
      <formula>#REF!="US NPR"</formula>
    </cfRule>
  </conditionalFormatting>
  <conditionalFormatting sqref="H56:H58">
    <cfRule type="expression" dxfId="644" priority="259">
      <formula>#REF!="Weight chg"</formula>
    </cfRule>
    <cfRule type="expression" dxfId="643" priority="260">
      <formula>#REF!="BCBS only"</formula>
    </cfRule>
    <cfRule type="expression" dxfId="642" priority="261">
      <formula>#REF!="US NPR"</formula>
    </cfRule>
  </conditionalFormatting>
  <conditionalFormatting sqref="H193:H195">
    <cfRule type="expression" dxfId="641" priority="256">
      <formula>#REF!="Weight chg"</formula>
    </cfRule>
    <cfRule type="expression" dxfId="640" priority="257">
      <formula>#REF!="BCBS only"</formula>
    </cfRule>
    <cfRule type="expression" dxfId="639" priority="258">
      <formula>#REF!="US NPR"</formula>
    </cfRule>
  </conditionalFormatting>
  <conditionalFormatting sqref="H197">
    <cfRule type="expression" dxfId="638" priority="253">
      <formula>#REF!="Weight chg"</formula>
    </cfRule>
    <cfRule type="expression" dxfId="637" priority="254">
      <formula>#REF!="BCBS only"</formula>
    </cfRule>
    <cfRule type="expression" dxfId="636" priority="255">
      <formula>#REF!="US NPR"</formula>
    </cfRule>
  </conditionalFormatting>
  <conditionalFormatting sqref="H198">
    <cfRule type="expression" dxfId="635" priority="250">
      <formula>#REF!="Weight chg"</formula>
    </cfRule>
    <cfRule type="expression" dxfId="634" priority="251">
      <formula>#REF!="BCBS only"</formula>
    </cfRule>
    <cfRule type="expression" dxfId="633" priority="252">
      <formula>#REF!="US NPR"</formula>
    </cfRule>
  </conditionalFormatting>
  <conditionalFormatting sqref="J154">
    <cfRule type="expression" dxfId="632" priority="31">
      <formula>#REF!="Weight chg"</formula>
    </cfRule>
    <cfRule type="expression" dxfId="631" priority="32">
      <formula>#REF!="BCBS only"</formula>
    </cfRule>
    <cfRule type="expression" dxfId="630" priority="33">
      <formula>#REF!="US NPR"</formula>
    </cfRule>
  </conditionalFormatting>
  <conditionalFormatting sqref="H154">
    <cfRule type="expression" dxfId="629" priority="247">
      <formula>#REF!="Weight chg"</formula>
    </cfRule>
    <cfRule type="expression" dxfId="628" priority="248">
      <formula>#REF!="BCBS only"</formula>
    </cfRule>
    <cfRule type="expression" dxfId="627" priority="249">
      <formula>#REF!="US NPR"</formula>
    </cfRule>
  </conditionalFormatting>
  <conditionalFormatting sqref="H192">
    <cfRule type="expression" dxfId="626" priority="244">
      <formula>#REF!="Weight chg"</formula>
    </cfRule>
    <cfRule type="expression" dxfId="625" priority="245">
      <formula>#REF!="BCBS only"</formula>
    </cfRule>
    <cfRule type="expression" dxfId="624" priority="246">
      <formula>#REF!="US NPR"</formula>
    </cfRule>
  </conditionalFormatting>
  <conditionalFormatting sqref="H62:H150">
    <cfRule type="expression" dxfId="623" priority="241">
      <formula>#REF!="Weight chg"</formula>
    </cfRule>
    <cfRule type="expression" dxfId="622" priority="242">
      <formula>#REF!="BCBS only"</formula>
    </cfRule>
    <cfRule type="expression" dxfId="621" priority="243">
      <formula>#REF!="US NPR"</formula>
    </cfRule>
  </conditionalFormatting>
  <conditionalFormatting sqref="H155:H188">
    <cfRule type="expression" dxfId="620" priority="238">
      <formula>#REF!="Weight chg"</formula>
    </cfRule>
    <cfRule type="expression" dxfId="619" priority="239">
      <formula>#REF!="BCBS only"</formula>
    </cfRule>
    <cfRule type="expression" dxfId="618" priority="240">
      <formula>#REF!="US NPR"</formula>
    </cfRule>
  </conditionalFormatting>
  <conditionalFormatting sqref="I189 I7:I10">
    <cfRule type="expression" dxfId="617" priority="232">
      <formula>#REF!="Weight chg"</formula>
    </cfRule>
    <cfRule type="expression" dxfId="616" priority="233">
      <formula>#REF!="BCBS only"</formula>
    </cfRule>
    <cfRule type="expression" dxfId="615" priority="234">
      <formula>#REF!="US NPR"</formula>
    </cfRule>
  </conditionalFormatting>
  <conditionalFormatting sqref="I2:I3 I151">
    <cfRule type="expression" dxfId="614" priority="235">
      <formula>#REF!="Weight chg"</formula>
    </cfRule>
    <cfRule type="expression" dxfId="613" priority="236">
      <formula>#REF!="BCBS only"</formula>
    </cfRule>
    <cfRule type="expression" dxfId="612" priority="237">
      <formula>#REF!="US NPR"</formula>
    </cfRule>
  </conditionalFormatting>
  <conditionalFormatting sqref="I190">
    <cfRule type="expression" dxfId="611" priority="229">
      <formula>#REF!="Weight chg"</formula>
    </cfRule>
    <cfRule type="expression" dxfId="610" priority="230">
      <formula>#REF!="BCBS only"</formula>
    </cfRule>
    <cfRule type="expression" dxfId="609" priority="231">
      <formula>#REF!="US NPR"</formula>
    </cfRule>
  </conditionalFormatting>
  <conditionalFormatting sqref="I152">
    <cfRule type="expression" dxfId="608" priority="226">
      <formula>#REF!="Weight chg"</formula>
    </cfRule>
    <cfRule type="expression" dxfId="607" priority="227">
      <formula>#REF!="BCBS only"</formula>
    </cfRule>
    <cfRule type="expression" dxfId="606" priority="228">
      <formula>#REF!="US NPR"</formula>
    </cfRule>
  </conditionalFormatting>
  <conditionalFormatting sqref="I61">
    <cfRule type="expression" dxfId="605" priority="223">
      <formula>#REF!="Weight chg"</formula>
    </cfRule>
    <cfRule type="expression" dxfId="604" priority="224">
      <formula>#REF!="BCBS only"</formula>
    </cfRule>
    <cfRule type="expression" dxfId="603" priority="225">
      <formula>#REF!="US NPR"</formula>
    </cfRule>
  </conditionalFormatting>
  <conditionalFormatting sqref="I59">
    <cfRule type="expression" dxfId="602" priority="220">
      <formula>#REF!="Weight chg"</formula>
    </cfRule>
    <cfRule type="expression" dxfId="601" priority="221">
      <formula>#REF!="BCBS only"</formula>
    </cfRule>
    <cfRule type="expression" dxfId="600" priority="222">
      <formula>#REF!="US NPR"</formula>
    </cfRule>
  </conditionalFormatting>
  <conditionalFormatting sqref="I34">
    <cfRule type="expression" dxfId="599" priority="199">
      <formula>#REF!="Weight chg"</formula>
    </cfRule>
    <cfRule type="expression" dxfId="598" priority="200">
      <formula>#REF!="BCBS only"</formula>
    </cfRule>
    <cfRule type="expression" dxfId="597" priority="201">
      <formula>#REF!="US NPR"</formula>
    </cfRule>
  </conditionalFormatting>
  <conditionalFormatting sqref="I12">
    <cfRule type="expression" dxfId="596" priority="217">
      <formula>#REF!="Weight chg"</formula>
    </cfRule>
    <cfRule type="expression" dxfId="595" priority="218">
      <formula>#REF!="BCBS only"</formula>
    </cfRule>
    <cfRule type="expression" dxfId="594" priority="219">
      <formula>#REF!="US NPR"</formula>
    </cfRule>
  </conditionalFormatting>
  <conditionalFormatting sqref="I16">
    <cfRule type="expression" dxfId="593" priority="214">
      <formula>#REF!="Weight chg"</formula>
    </cfRule>
    <cfRule type="expression" dxfId="592" priority="215">
      <formula>#REF!="BCBS only"</formula>
    </cfRule>
    <cfRule type="expression" dxfId="591" priority="216">
      <formula>#REF!="US NPR"</formula>
    </cfRule>
  </conditionalFormatting>
  <conditionalFormatting sqref="I20">
    <cfRule type="expression" dxfId="590" priority="211">
      <formula>#REF!="Weight chg"</formula>
    </cfRule>
    <cfRule type="expression" dxfId="589" priority="212">
      <formula>#REF!="BCBS only"</formula>
    </cfRule>
    <cfRule type="expression" dxfId="588" priority="213">
      <formula>#REF!="US NPR"</formula>
    </cfRule>
  </conditionalFormatting>
  <conditionalFormatting sqref="I21">
    <cfRule type="expression" dxfId="587" priority="208">
      <formula>#REF!="Weight chg"</formula>
    </cfRule>
    <cfRule type="expression" dxfId="586" priority="209">
      <formula>#REF!="BCBS only"</formula>
    </cfRule>
    <cfRule type="expression" dxfId="585" priority="210">
      <formula>#REF!="US NPR"</formula>
    </cfRule>
  </conditionalFormatting>
  <conditionalFormatting sqref="I25">
    <cfRule type="expression" dxfId="584" priority="205">
      <formula>#REF!="Weight chg"</formula>
    </cfRule>
    <cfRule type="expression" dxfId="583" priority="206">
      <formula>#REF!="BCBS only"</formula>
    </cfRule>
    <cfRule type="expression" dxfId="582" priority="207">
      <formula>#REF!="US NPR"</formula>
    </cfRule>
  </conditionalFormatting>
  <conditionalFormatting sqref="I29">
    <cfRule type="expression" dxfId="581" priority="202">
      <formula>#REF!="Weight chg"</formula>
    </cfRule>
    <cfRule type="expression" dxfId="580" priority="203">
      <formula>#REF!="BCBS only"</formula>
    </cfRule>
    <cfRule type="expression" dxfId="579" priority="204">
      <formula>#REF!="US NPR"</formula>
    </cfRule>
  </conditionalFormatting>
  <conditionalFormatting sqref="I35">
    <cfRule type="expression" dxfId="578" priority="196">
      <formula>#REF!="Weight chg"</formula>
    </cfRule>
    <cfRule type="expression" dxfId="577" priority="197">
      <formula>#REF!="BCBS only"</formula>
    </cfRule>
    <cfRule type="expression" dxfId="576" priority="198">
      <formula>#REF!="US NPR"</formula>
    </cfRule>
  </conditionalFormatting>
  <conditionalFormatting sqref="I47">
    <cfRule type="expression" dxfId="575" priority="193">
      <formula>#REF!="Weight chg"</formula>
    </cfRule>
    <cfRule type="expression" dxfId="574" priority="194">
      <formula>#REF!="BCBS only"</formula>
    </cfRule>
    <cfRule type="expression" dxfId="573" priority="195">
      <formula>#REF!="US NPR"</formula>
    </cfRule>
  </conditionalFormatting>
  <conditionalFormatting sqref="I55">
    <cfRule type="expression" dxfId="572" priority="157">
      <formula>#REF!="Weight chg"</formula>
    </cfRule>
    <cfRule type="expression" dxfId="571" priority="158">
      <formula>#REF!="BCBS only"</formula>
    </cfRule>
    <cfRule type="expression" dxfId="570" priority="159">
      <formula>#REF!="US NPR"</formula>
    </cfRule>
  </conditionalFormatting>
  <conditionalFormatting sqref="I17:I19">
    <cfRule type="expression" dxfId="569" priority="190">
      <formula>#REF!="Weight chg"</formula>
    </cfRule>
    <cfRule type="expression" dxfId="568" priority="191">
      <formula>#REF!="BCBS only"</formula>
    </cfRule>
    <cfRule type="expression" dxfId="567" priority="192">
      <formula>#REF!="US NPR"</formula>
    </cfRule>
  </conditionalFormatting>
  <conditionalFormatting sqref="I22:I24">
    <cfRule type="expression" dxfId="566" priority="187">
      <formula>#REF!="Weight chg"</formula>
    </cfRule>
    <cfRule type="expression" dxfId="565" priority="188">
      <formula>#REF!="BCBS only"</formula>
    </cfRule>
    <cfRule type="expression" dxfId="564" priority="189">
      <formula>#REF!="US NPR"</formula>
    </cfRule>
  </conditionalFormatting>
  <conditionalFormatting sqref="I51">
    <cfRule type="expression" dxfId="563" priority="163">
      <formula>#REF!="Weight chg"</formula>
    </cfRule>
    <cfRule type="expression" dxfId="562" priority="164">
      <formula>#REF!="BCBS only"</formula>
    </cfRule>
    <cfRule type="expression" dxfId="561" priority="165">
      <formula>#REF!="US NPR"</formula>
    </cfRule>
  </conditionalFormatting>
  <conditionalFormatting sqref="I26:I28">
    <cfRule type="expression" dxfId="560" priority="184">
      <formula>#REF!="Weight chg"</formula>
    </cfRule>
    <cfRule type="expression" dxfId="559" priority="185">
      <formula>#REF!="BCBS only"</formula>
    </cfRule>
    <cfRule type="expression" dxfId="558" priority="186">
      <formula>#REF!="US NPR"</formula>
    </cfRule>
  </conditionalFormatting>
  <conditionalFormatting sqref="I30:I32">
    <cfRule type="expression" dxfId="557" priority="181">
      <formula>#REF!="Weight chg"</formula>
    </cfRule>
    <cfRule type="expression" dxfId="556" priority="182">
      <formula>#REF!="BCBS only"</formula>
    </cfRule>
    <cfRule type="expression" dxfId="555" priority="183">
      <formula>#REF!="US NPR"</formula>
    </cfRule>
  </conditionalFormatting>
  <conditionalFormatting sqref="I39">
    <cfRule type="expression" dxfId="554" priority="178">
      <formula>#REF!="Weight chg"</formula>
    </cfRule>
    <cfRule type="expression" dxfId="553" priority="179">
      <formula>#REF!="BCBS only"</formula>
    </cfRule>
    <cfRule type="expression" dxfId="552" priority="180">
      <formula>#REF!="US NPR"</formula>
    </cfRule>
  </conditionalFormatting>
  <conditionalFormatting sqref="I43">
    <cfRule type="expression" dxfId="551" priority="175">
      <formula>#REF!="Weight chg"</formula>
    </cfRule>
    <cfRule type="expression" dxfId="550" priority="176">
      <formula>#REF!="BCBS only"</formula>
    </cfRule>
    <cfRule type="expression" dxfId="549" priority="177">
      <formula>#REF!="US NPR"</formula>
    </cfRule>
  </conditionalFormatting>
  <conditionalFormatting sqref="I36:I38">
    <cfRule type="expression" dxfId="548" priority="172">
      <formula>#REF!="Weight chg"</formula>
    </cfRule>
    <cfRule type="expression" dxfId="547" priority="173">
      <formula>#REF!="BCBS only"</formula>
    </cfRule>
    <cfRule type="expression" dxfId="546" priority="174">
      <formula>#REF!="US NPR"</formula>
    </cfRule>
  </conditionalFormatting>
  <conditionalFormatting sqref="I40:I42">
    <cfRule type="expression" dxfId="545" priority="169">
      <formula>#REF!="Weight chg"</formula>
    </cfRule>
    <cfRule type="expression" dxfId="544" priority="170">
      <formula>#REF!="BCBS only"</formula>
    </cfRule>
    <cfRule type="expression" dxfId="543" priority="171">
      <formula>#REF!="US NPR"</formula>
    </cfRule>
  </conditionalFormatting>
  <conditionalFormatting sqref="I44:I46">
    <cfRule type="expression" dxfId="542" priority="166">
      <formula>#REF!="Weight chg"</formula>
    </cfRule>
    <cfRule type="expression" dxfId="541" priority="167">
      <formula>#REF!="BCBS only"</formula>
    </cfRule>
    <cfRule type="expression" dxfId="540" priority="168">
      <formula>#REF!="US NPR"</formula>
    </cfRule>
  </conditionalFormatting>
  <conditionalFormatting sqref="I48:I50">
    <cfRule type="expression" dxfId="539" priority="160">
      <formula>#REF!="Weight chg"</formula>
    </cfRule>
    <cfRule type="expression" dxfId="538" priority="161">
      <formula>#REF!="BCBS only"</formula>
    </cfRule>
    <cfRule type="expression" dxfId="537" priority="162">
      <formula>#REF!="US NPR"</formula>
    </cfRule>
  </conditionalFormatting>
  <conditionalFormatting sqref="I52:I54">
    <cfRule type="expression" dxfId="536" priority="154">
      <formula>#REF!="Weight chg"</formula>
    </cfRule>
    <cfRule type="expression" dxfId="535" priority="155">
      <formula>#REF!="BCBS only"</formula>
    </cfRule>
    <cfRule type="expression" dxfId="534" priority="156">
      <formula>#REF!="US NPR"</formula>
    </cfRule>
  </conditionalFormatting>
  <conditionalFormatting sqref="I56:I58">
    <cfRule type="expression" dxfId="533" priority="151">
      <formula>#REF!="Weight chg"</formula>
    </cfRule>
    <cfRule type="expression" dxfId="532" priority="152">
      <formula>#REF!="BCBS only"</formula>
    </cfRule>
    <cfRule type="expression" dxfId="531" priority="153">
      <formula>#REF!="US NPR"</formula>
    </cfRule>
  </conditionalFormatting>
  <conditionalFormatting sqref="I193:I195">
    <cfRule type="expression" dxfId="530" priority="148">
      <formula>#REF!="Weight chg"</formula>
    </cfRule>
    <cfRule type="expression" dxfId="529" priority="149">
      <formula>#REF!="BCBS only"</formula>
    </cfRule>
    <cfRule type="expression" dxfId="528" priority="150">
      <formula>#REF!="US NPR"</formula>
    </cfRule>
  </conditionalFormatting>
  <conditionalFormatting sqref="I197">
    <cfRule type="expression" dxfId="527" priority="145">
      <formula>#REF!="Weight chg"</formula>
    </cfRule>
    <cfRule type="expression" dxfId="526" priority="146">
      <formula>#REF!="BCBS only"</formula>
    </cfRule>
    <cfRule type="expression" dxfId="525" priority="147">
      <formula>#REF!="US NPR"</formula>
    </cfRule>
  </conditionalFormatting>
  <conditionalFormatting sqref="I198">
    <cfRule type="expression" dxfId="524" priority="142">
      <formula>#REF!="Weight chg"</formula>
    </cfRule>
    <cfRule type="expression" dxfId="523" priority="143">
      <formula>#REF!="BCBS only"</formula>
    </cfRule>
    <cfRule type="expression" dxfId="522" priority="144">
      <formula>#REF!="US NPR"</formula>
    </cfRule>
  </conditionalFormatting>
  <conditionalFormatting sqref="I154">
    <cfRule type="expression" dxfId="521" priority="139">
      <formula>#REF!="Weight chg"</formula>
    </cfRule>
    <cfRule type="expression" dxfId="520" priority="140">
      <formula>#REF!="BCBS only"</formula>
    </cfRule>
    <cfRule type="expression" dxfId="519" priority="141">
      <formula>#REF!="US NPR"</formula>
    </cfRule>
  </conditionalFormatting>
  <conditionalFormatting sqref="I192">
    <cfRule type="expression" dxfId="518" priority="136">
      <formula>#REF!="Weight chg"</formula>
    </cfRule>
    <cfRule type="expression" dxfId="517" priority="137">
      <formula>#REF!="BCBS only"</formula>
    </cfRule>
    <cfRule type="expression" dxfId="516" priority="138">
      <formula>#REF!="US NPR"</formula>
    </cfRule>
  </conditionalFormatting>
  <conditionalFormatting sqref="I62:I150">
    <cfRule type="expression" dxfId="515" priority="133">
      <formula>#REF!="Weight chg"</formula>
    </cfRule>
    <cfRule type="expression" dxfId="514" priority="134">
      <formula>#REF!="BCBS only"</formula>
    </cfRule>
    <cfRule type="expression" dxfId="513" priority="135">
      <formula>#REF!="US NPR"</formula>
    </cfRule>
  </conditionalFormatting>
  <conditionalFormatting sqref="I155:I188">
    <cfRule type="expression" dxfId="512" priority="130">
      <formula>#REF!="Weight chg"</formula>
    </cfRule>
    <cfRule type="expression" dxfId="511" priority="131">
      <formula>#REF!="BCBS only"</formula>
    </cfRule>
    <cfRule type="expression" dxfId="510" priority="132">
      <formula>#REF!="US NPR"</formula>
    </cfRule>
  </conditionalFormatting>
  <conditionalFormatting sqref="J189 J7:J10">
    <cfRule type="expression" dxfId="509" priority="124">
      <formula>#REF!="Weight chg"</formula>
    </cfRule>
    <cfRule type="expression" dxfId="508" priority="125">
      <formula>#REF!="BCBS only"</formula>
    </cfRule>
    <cfRule type="expression" dxfId="507" priority="126">
      <formula>#REF!="US NPR"</formula>
    </cfRule>
  </conditionalFormatting>
  <conditionalFormatting sqref="J2:J3 J151">
    <cfRule type="expression" dxfId="506" priority="127">
      <formula>#REF!="Weight chg"</formula>
    </cfRule>
    <cfRule type="expression" dxfId="505" priority="128">
      <formula>#REF!="BCBS only"</formula>
    </cfRule>
    <cfRule type="expression" dxfId="504" priority="129">
      <formula>#REF!="US NPR"</formula>
    </cfRule>
  </conditionalFormatting>
  <conditionalFormatting sqref="J190">
    <cfRule type="expression" dxfId="503" priority="121">
      <formula>#REF!="Weight chg"</formula>
    </cfRule>
    <cfRule type="expression" dxfId="502" priority="122">
      <formula>#REF!="BCBS only"</formula>
    </cfRule>
    <cfRule type="expression" dxfId="501" priority="123">
      <formula>#REF!="US NPR"</formula>
    </cfRule>
  </conditionalFormatting>
  <conditionalFormatting sqref="J152">
    <cfRule type="expression" dxfId="500" priority="118">
      <formula>#REF!="Weight chg"</formula>
    </cfRule>
    <cfRule type="expression" dxfId="499" priority="119">
      <formula>#REF!="BCBS only"</formula>
    </cfRule>
    <cfRule type="expression" dxfId="498" priority="120">
      <formula>#REF!="US NPR"</formula>
    </cfRule>
  </conditionalFormatting>
  <conditionalFormatting sqref="J61">
    <cfRule type="expression" dxfId="497" priority="115">
      <formula>#REF!="Weight chg"</formula>
    </cfRule>
    <cfRule type="expression" dxfId="496" priority="116">
      <formula>#REF!="BCBS only"</formula>
    </cfRule>
    <cfRule type="expression" dxfId="495" priority="117">
      <formula>#REF!="US NPR"</formula>
    </cfRule>
  </conditionalFormatting>
  <conditionalFormatting sqref="J59">
    <cfRule type="expression" dxfId="494" priority="112">
      <formula>#REF!="Weight chg"</formula>
    </cfRule>
    <cfRule type="expression" dxfId="493" priority="113">
      <formula>#REF!="BCBS only"</formula>
    </cfRule>
    <cfRule type="expression" dxfId="492" priority="114">
      <formula>#REF!="US NPR"</formula>
    </cfRule>
  </conditionalFormatting>
  <conditionalFormatting sqref="J34">
    <cfRule type="expression" dxfId="491" priority="91">
      <formula>#REF!="Weight chg"</formula>
    </cfRule>
    <cfRule type="expression" dxfId="490" priority="92">
      <formula>#REF!="BCBS only"</formula>
    </cfRule>
    <cfRule type="expression" dxfId="489" priority="93">
      <formula>#REF!="US NPR"</formula>
    </cfRule>
  </conditionalFormatting>
  <conditionalFormatting sqref="J12">
    <cfRule type="expression" dxfId="488" priority="109">
      <formula>#REF!="Weight chg"</formula>
    </cfRule>
    <cfRule type="expression" dxfId="487" priority="110">
      <formula>#REF!="BCBS only"</formula>
    </cfRule>
    <cfRule type="expression" dxfId="486" priority="111">
      <formula>#REF!="US NPR"</formula>
    </cfRule>
  </conditionalFormatting>
  <conditionalFormatting sqref="J16">
    <cfRule type="expression" dxfId="485" priority="106">
      <formula>#REF!="Weight chg"</formula>
    </cfRule>
    <cfRule type="expression" dxfId="484" priority="107">
      <formula>#REF!="BCBS only"</formula>
    </cfRule>
    <cfRule type="expression" dxfId="483" priority="108">
      <formula>#REF!="US NPR"</formula>
    </cfRule>
  </conditionalFormatting>
  <conditionalFormatting sqref="J20">
    <cfRule type="expression" dxfId="482" priority="103">
      <formula>#REF!="Weight chg"</formula>
    </cfRule>
    <cfRule type="expression" dxfId="481" priority="104">
      <formula>#REF!="BCBS only"</formula>
    </cfRule>
    <cfRule type="expression" dxfId="480" priority="105">
      <formula>#REF!="US NPR"</formula>
    </cfRule>
  </conditionalFormatting>
  <conditionalFormatting sqref="J21">
    <cfRule type="expression" dxfId="479" priority="100">
      <formula>#REF!="Weight chg"</formula>
    </cfRule>
    <cfRule type="expression" dxfId="478" priority="101">
      <formula>#REF!="BCBS only"</formula>
    </cfRule>
    <cfRule type="expression" dxfId="477" priority="102">
      <formula>#REF!="US NPR"</formula>
    </cfRule>
  </conditionalFormatting>
  <conditionalFormatting sqref="J25">
    <cfRule type="expression" dxfId="476" priority="97">
      <formula>#REF!="Weight chg"</formula>
    </cfRule>
    <cfRule type="expression" dxfId="475" priority="98">
      <formula>#REF!="BCBS only"</formula>
    </cfRule>
    <cfRule type="expression" dxfId="474" priority="99">
      <formula>#REF!="US NPR"</formula>
    </cfRule>
  </conditionalFormatting>
  <conditionalFormatting sqref="J29">
    <cfRule type="expression" dxfId="473" priority="94">
      <formula>#REF!="Weight chg"</formula>
    </cfRule>
    <cfRule type="expression" dxfId="472" priority="95">
      <formula>#REF!="BCBS only"</formula>
    </cfRule>
    <cfRule type="expression" dxfId="471" priority="96">
      <formula>#REF!="US NPR"</formula>
    </cfRule>
  </conditionalFormatting>
  <conditionalFormatting sqref="J35">
    <cfRule type="expression" dxfId="470" priority="88">
      <formula>#REF!="Weight chg"</formula>
    </cfRule>
    <cfRule type="expression" dxfId="469" priority="89">
      <formula>#REF!="BCBS only"</formula>
    </cfRule>
    <cfRule type="expression" dxfId="468" priority="90">
      <formula>#REF!="US NPR"</formula>
    </cfRule>
  </conditionalFormatting>
  <conditionalFormatting sqref="J47">
    <cfRule type="expression" dxfId="467" priority="85">
      <formula>#REF!="Weight chg"</formula>
    </cfRule>
    <cfRule type="expression" dxfId="466" priority="86">
      <formula>#REF!="BCBS only"</formula>
    </cfRule>
    <cfRule type="expression" dxfId="465" priority="87">
      <formula>#REF!="US NPR"</formula>
    </cfRule>
  </conditionalFormatting>
  <conditionalFormatting sqref="J55">
    <cfRule type="expression" dxfId="464" priority="49">
      <formula>#REF!="Weight chg"</formula>
    </cfRule>
    <cfRule type="expression" dxfId="463" priority="50">
      <formula>#REF!="BCBS only"</formula>
    </cfRule>
    <cfRule type="expression" dxfId="462" priority="51">
      <formula>#REF!="US NPR"</formula>
    </cfRule>
  </conditionalFormatting>
  <conditionalFormatting sqref="J17:J19">
    <cfRule type="expression" dxfId="461" priority="82">
      <formula>#REF!="Weight chg"</formula>
    </cfRule>
    <cfRule type="expression" dxfId="460" priority="83">
      <formula>#REF!="BCBS only"</formula>
    </cfRule>
    <cfRule type="expression" dxfId="459" priority="84">
      <formula>#REF!="US NPR"</formula>
    </cfRule>
  </conditionalFormatting>
  <conditionalFormatting sqref="J22:J24">
    <cfRule type="expression" dxfId="458" priority="79">
      <formula>#REF!="Weight chg"</formula>
    </cfRule>
    <cfRule type="expression" dxfId="457" priority="80">
      <formula>#REF!="BCBS only"</formula>
    </cfRule>
    <cfRule type="expression" dxfId="456" priority="81">
      <formula>#REF!="US NPR"</formula>
    </cfRule>
  </conditionalFormatting>
  <conditionalFormatting sqref="J51">
    <cfRule type="expression" dxfId="455" priority="55">
      <formula>#REF!="Weight chg"</formula>
    </cfRule>
    <cfRule type="expression" dxfId="454" priority="56">
      <formula>#REF!="BCBS only"</formula>
    </cfRule>
    <cfRule type="expression" dxfId="453" priority="57">
      <formula>#REF!="US NPR"</formula>
    </cfRule>
  </conditionalFormatting>
  <conditionalFormatting sqref="J26:J28">
    <cfRule type="expression" dxfId="452" priority="76">
      <formula>#REF!="Weight chg"</formula>
    </cfRule>
    <cfRule type="expression" dxfId="451" priority="77">
      <formula>#REF!="BCBS only"</formula>
    </cfRule>
    <cfRule type="expression" dxfId="450" priority="78">
      <formula>#REF!="US NPR"</formula>
    </cfRule>
  </conditionalFormatting>
  <conditionalFormatting sqref="J30:J32">
    <cfRule type="expression" dxfId="449" priority="73">
      <formula>#REF!="Weight chg"</formula>
    </cfRule>
    <cfRule type="expression" dxfId="448" priority="74">
      <formula>#REF!="BCBS only"</formula>
    </cfRule>
    <cfRule type="expression" dxfId="447" priority="75">
      <formula>#REF!="US NPR"</formula>
    </cfRule>
  </conditionalFormatting>
  <conditionalFormatting sqref="J39">
    <cfRule type="expression" dxfId="446" priority="70">
      <formula>#REF!="Weight chg"</formula>
    </cfRule>
    <cfRule type="expression" dxfId="445" priority="71">
      <formula>#REF!="BCBS only"</formula>
    </cfRule>
    <cfRule type="expression" dxfId="444" priority="72">
      <formula>#REF!="US NPR"</formula>
    </cfRule>
  </conditionalFormatting>
  <conditionalFormatting sqref="J43">
    <cfRule type="expression" dxfId="443" priority="67">
      <formula>#REF!="Weight chg"</formula>
    </cfRule>
    <cfRule type="expression" dxfId="442" priority="68">
      <formula>#REF!="BCBS only"</formula>
    </cfRule>
    <cfRule type="expression" dxfId="441" priority="69">
      <formula>#REF!="US NPR"</formula>
    </cfRule>
  </conditionalFormatting>
  <conditionalFormatting sqref="J36:J38">
    <cfRule type="expression" dxfId="440" priority="64">
      <formula>#REF!="Weight chg"</formula>
    </cfRule>
    <cfRule type="expression" dxfId="439" priority="65">
      <formula>#REF!="BCBS only"</formula>
    </cfRule>
    <cfRule type="expression" dxfId="438" priority="66">
      <formula>#REF!="US NPR"</formula>
    </cfRule>
  </conditionalFormatting>
  <conditionalFormatting sqref="J40:J42">
    <cfRule type="expression" dxfId="437" priority="61">
      <formula>#REF!="Weight chg"</formula>
    </cfRule>
    <cfRule type="expression" dxfId="436" priority="62">
      <formula>#REF!="BCBS only"</formula>
    </cfRule>
    <cfRule type="expression" dxfId="435" priority="63">
      <formula>#REF!="US NPR"</formula>
    </cfRule>
  </conditionalFormatting>
  <conditionalFormatting sqref="J44:J46">
    <cfRule type="expression" dxfId="434" priority="58">
      <formula>#REF!="Weight chg"</formula>
    </cfRule>
    <cfRule type="expression" dxfId="433" priority="59">
      <formula>#REF!="BCBS only"</formula>
    </cfRule>
    <cfRule type="expression" dxfId="432" priority="60">
      <formula>#REF!="US NPR"</formula>
    </cfRule>
  </conditionalFormatting>
  <conditionalFormatting sqref="J48:J50">
    <cfRule type="expression" dxfId="431" priority="52">
      <formula>#REF!="Weight chg"</formula>
    </cfRule>
    <cfRule type="expression" dxfId="430" priority="53">
      <formula>#REF!="BCBS only"</formula>
    </cfRule>
    <cfRule type="expression" dxfId="429" priority="54">
      <formula>#REF!="US NPR"</formula>
    </cfRule>
  </conditionalFormatting>
  <conditionalFormatting sqref="J52:J54">
    <cfRule type="expression" dxfId="428" priority="46">
      <formula>#REF!="Weight chg"</formula>
    </cfRule>
    <cfRule type="expression" dxfId="427" priority="47">
      <formula>#REF!="BCBS only"</formula>
    </cfRule>
    <cfRule type="expression" dxfId="426" priority="48">
      <formula>#REF!="US NPR"</formula>
    </cfRule>
  </conditionalFormatting>
  <conditionalFormatting sqref="J56:J58">
    <cfRule type="expression" dxfId="425" priority="43">
      <formula>#REF!="Weight chg"</formula>
    </cfRule>
    <cfRule type="expression" dxfId="424" priority="44">
      <formula>#REF!="BCBS only"</formula>
    </cfRule>
    <cfRule type="expression" dxfId="423" priority="45">
      <formula>#REF!="US NPR"</formula>
    </cfRule>
  </conditionalFormatting>
  <conditionalFormatting sqref="J193:J195">
    <cfRule type="expression" dxfId="422" priority="40">
      <formula>#REF!="Weight chg"</formula>
    </cfRule>
    <cfRule type="expression" dxfId="421" priority="41">
      <formula>#REF!="BCBS only"</formula>
    </cfRule>
    <cfRule type="expression" dxfId="420" priority="42">
      <formula>#REF!="US NPR"</formula>
    </cfRule>
  </conditionalFormatting>
  <conditionalFormatting sqref="J197">
    <cfRule type="expression" dxfId="419" priority="37">
      <formula>#REF!="Weight chg"</formula>
    </cfRule>
    <cfRule type="expression" dxfId="418" priority="38">
      <formula>#REF!="BCBS only"</formula>
    </cfRule>
    <cfRule type="expression" dxfId="417" priority="39">
      <formula>#REF!="US NPR"</formula>
    </cfRule>
  </conditionalFormatting>
  <conditionalFormatting sqref="J198">
    <cfRule type="expression" dxfId="416" priority="34">
      <formula>#REF!="Weight chg"</formula>
    </cfRule>
    <cfRule type="expression" dxfId="415" priority="35">
      <formula>#REF!="BCBS only"</formula>
    </cfRule>
    <cfRule type="expression" dxfId="414" priority="36">
      <formula>#REF!="US NPR"</formula>
    </cfRule>
  </conditionalFormatting>
  <conditionalFormatting sqref="J192">
    <cfRule type="expression" dxfId="413" priority="28">
      <formula>#REF!="Weight chg"</formula>
    </cfRule>
    <cfRule type="expression" dxfId="412" priority="29">
      <formula>#REF!="BCBS only"</formula>
    </cfRule>
    <cfRule type="expression" dxfId="411" priority="30">
      <formula>#REF!="US NPR"</formula>
    </cfRule>
  </conditionalFormatting>
  <conditionalFormatting sqref="J62:J150">
    <cfRule type="expression" dxfId="410" priority="25">
      <formula>#REF!="Weight chg"</formula>
    </cfRule>
    <cfRule type="expression" dxfId="409" priority="26">
      <formula>#REF!="BCBS only"</formula>
    </cfRule>
    <cfRule type="expression" dxfId="408" priority="27">
      <formula>#REF!="US NPR"</formula>
    </cfRule>
  </conditionalFormatting>
  <conditionalFormatting sqref="J155:J188">
    <cfRule type="expression" dxfId="407" priority="22">
      <formula>#REF!="Weight chg"</formula>
    </cfRule>
    <cfRule type="expression" dxfId="406" priority="23">
      <formula>#REF!="BCBS only"</formula>
    </cfRule>
    <cfRule type="expression" dxfId="405" priority="24">
      <formula>#REF!="US NPR"</formula>
    </cfRule>
  </conditionalFormatting>
  <conditionalFormatting sqref="I11">
    <cfRule type="expression" dxfId="404" priority="19">
      <formula>#REF!="Weight chg"</formula>
    </cfRule>
    <cfRule type="expression" dxfId="403" priority="20">
      <formula>#REF!="BCBS only"</formula>
    </cfRule>
    <cfRule type="expression" dxfId="402" priority="21">
      <formula>#REF!="US NPR"</formula>
    </cfRule>
  </conditionalFormatting>
  <conditionalFormatting sqref="J11">
    <cfRule type="expression" dxfId="401" priority="16">
      <formula>#REF!="Weight chg"</formula>
    </cfRule>
    <cfRule type="expression" dxfId="400" priority="17">
      <formula>#REF!="BCBS only"</formula>
    </cfRule>
    <cfRule type="expression" dxfId="399" priority="18">
      <formula>#REF!="US NPR"</formula>
    </cfRule>
  </conditionalFormatting>
  <conditionalFormatting sqref="I13:I15">
    <cfRule type="expression" dxfId="398" priority="13">
      <formula>#REF!="Weight chg"</formula>
    </cfRule>
    <cfRule type="expression" dxfId="397" priority="14">
      <formula>#REF!="BCBS only"</formula>
    </cfRule>
    <cfRule type="expression" dxfId="396" priority="15">
      <formula>#REF!="US NPR"</formula>
    </cfRule>
  </conditionalFormatting>
  <conditionalFormatting sqref="J13:J15">
    <cfRule type="expression" dxfId="395" priority="10">
      <formula>#REF!="Weight chg"</formula>
    </cfRule>
    <cfRule type="expression" dxfId="394" priority="11">
      <formula>#REF!="BCBS only"</formula>
    </cfRule>
    <cfRule type="expression" dxfId="393" priority="12">
      <formula>#REF!="US NPR"</formula>
    </cfRule>
  </conditionalFormatting>
  <conditionalFormatting sqref="H33">
    <cfRule type="expression" dxfId="392" priority="7">
      <formula>#REF!="Weight chg"</formula>
    </cfRule>
    <cfRule type="expression" dxfId="391" priority="8">
      <formula>#REF!="BCBS only"</formula>
    </cfRule>
    <cfRule type="expression" dxfId="390" priority="9">
      <formula>#REF!="US NPR"</formula>
    </cfRule>
  </conditionalFormatting>
  <conditionalFormatting sqref="I33">
    <cfRule type="expression" dxfId="389" priority="4">
      <formula>#REF!="Weight chg"</formula>
    </cfRule>
    <cfRule type="expression" dxfId="388" priority="5">
      <formula>#REF!="BCBS only"</formula>
    </cfRule>
    <cfRule type="expression" dxfId="387" priority="6">
      <formula>#REF!="US NPR"</formula>
    </cfRule>
  </conditionalFormatting>
  <conditionalFormatting sqref="J33">
    <cfRule type="expression" dxfId="386" priority="1">
      <formula>#REF!="Weight chg"</formula>
    </cfRule>
    <cfRule type="expression" dxfId="385" priority="2">
      <formula>#REF!="BCBS only"</formula>
    </cfRule>
    <cfRule type="expression" dxfId="384" priority="3">
      <formula>#REF!="US NPR"</formula>
    </cfRule>
  </conditionalFormatting>
  <pageMargins left="0.25" right="0.25" top="0.75" bottom="0.75" header="0.3" footer="0.3"/>
  <pageSetup scale="66"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J242"/>
  <sheetViews>
    <sheetView workbookViewId="0">
      <selection activeCell="A28" sqref="A28"/>
    </sheetView>
  </sheetViews>
  <sheetFormatPr defaultRowHeight="12.75"/>
  <cols>
    <col min="1" max="1" width="33.28515625" style="84" customWidth="1"/>
    <col min="2" max="2" width="93.85546875" style="24" bestFit="1" customWidth="1"/>
    <col min="3" max="3" width="19.85546875" style="24" customWidth="1"/>
    <col min="4" max="4" width="10.7109375" style="83" bestFit="1" customWidth="1"/>
    <col min="5" max="5" width="17.5703125" style="24" customWidth="1"/>
    <col min="6" max="6" width="19.140625" style="24" bestFit="1" customWidth="1"/>
    <col min="7" max="9" width="19" style="24" bestFit="1" customWidth="1"/>
    <col min="10" max="16384" width="9.140625" style="24"/>
  </cols>
  <sheetData>
    <row r="1" spans="1:10" s="4" customFormat="1" ht="26.25">
      <c r="A1" s="67" t="s">
        <v>180</v>
      </c>
      <c r="B1" s="67"/>
      <c r="C1" s="66"/>
      <c r="D1" s="5"/>
      <c r="E1" s="24"/>
      <c r="F1" s="5"/>
    </row>
    <row r="2" spans="1:10" s="4" customFormat="1" ht="18" customHeight="1">
      <c r="A2" s="132" t="s">
        <v>181</v>
      </c>
      <c r="B2" s="65" t="s">
        <v>182</v>
      </c>
      <c r="C2" s="64" t="s">
        <v>183</v>
      </c>
      <c r="D2" s="64" t="s">
        <v>184</v>
      </c>
      <c r="E2" s="131" t="s">
        <v>185</v>
      </c>
    </row>
    <row r="3" spans="1:10" s="4" customFormat="1" ht="15">
      <c r="A3" s="130"/>
      <c r="B3" s="63"/>
      <c r="C3" s="62"/>
      <c r="D3" s="62"/>
      <c r="E3" s="129"/>
    </row>
    <row r="4" spans="1:10" s="4" customFormat="1" ht="21">
      <c r="A4" s="88" t="s">
        <v>186</v>
      </c>
      <c r="B4" s="33"/>
      <c r="C4" s="33"/>
      <c r="D4" s="33"/>
      <c r="E4" s="87"/>
    </row>
    <row r="5" spans="1:10">
      <c r="A5" s="24"/>
      <c r="B5" s="209" t="s">
        <v>187</v>
      </c>
      <c r="C5" s="210"/>
      <c r="D5" s="210"/>
      <c r="E5" s="211"/>
      <c r="F5" s="34"/>
      <c r="G5" s="34"/>
      <c r="H5" s="34"/>
      <c r="I5" s="34"/>
      <c r="J5" s="34"/>
    </row>
    <row r="6" spans="1:10" ht="15">
      <c r="A6" s="24"/>
      <c r="B6" s="126" t="s">
        <v>188</v>
      </c>
      <c r="C6" s="128">
        <f>NonLCRTemplate!D9</f>
        <v>33058.6</v>
      </c>
      <c r="D6" s="6">
        <v>1</v>
      </c>
      <c r="E6" s="125">
        <f>C6*D6</f>
        <v>33058.6</v>
      </c>
      <c r="F6" s="34"/>
      <c r="G6" s="34"/>
      <c r="H6" s="34"/>
      <c r="I6" s="34"/>
      <c r="J6" s="34"/>
    </row>
    <row r="7" spans="1:10" ht="15">
      <c r="A7" s="24"/>
      <c r="B7" s="126" t="s">
        <v>189</v>
      </c>
      <c r="C7" s="127"/>
      <c r="D7" s="6">
        <v>1</v>
      </c>
      <c r="E7" s="125">
        <f>C7*D7</f>
        <v>0</v>
      </c>
      <c r="F7" s="34"/>
      <c r="G7" s="34"/>
      <c r="H7" s="34"/>
      <c r="I7" s="34"/>
      <c r="J7" s="34"/>
    </row>
    <row r="8" spans="1:10" ht="15">
      <c r="A8" s="24"/>
      <c r="B8" s="126" t="s">
        <v>190</v>
      </c>
      <c r="C8" s="127"/>
      <c r="D8" s="6">
        <v>0.85</v>
      </c>
      <c r="E8" s="125">
        <f>C8*D8</f>
        <v>0</v>
      </c>
      <c r="F8" s="34"/>
      <c r="G8" s="34"/>
      <c r="H8" s="34"/>
      <c r="I8" s="34"/>
      <c r="J8" s="34"/>
    </row>
    <row r="9" spans="1:10" ht="15">
      <c r="A9" s="24"/>
      <c r="B9" s="126" t="s">
        <v>191</v>
      </c>
      <c r="C9" s="127"/>
      <c r="D9" s="6">
        <v>0.5</v>
      </c>
      <c r="E9" s="125">
        <f>C9*D9</f>
        <v>0</v>
      </c>
      <c r="F9" s="34"/>
      <c r="G9" s="34"/>
      <c r="H9" s="34"/>
      <c r="I9" s="34"/>
      <c r="J9" s="34"/>
    </row>
    <row r="10" spans="1:10" ht="15.75" thickBot="1">
      <c r="A10" s="24"/>
      <c r="B10" s="126" t="s">
        <v>192</v>
      </c>
      <c r="C10" s="125">
        <f>C35+C36+C37+C39+C40+C41+C43+C44+C45</f>
        <v>0</v>
      </c>
      <c r="D10" s="7"/>
      <c r="E10" s="125">
        <f>E35+E36+E37+E39+E40+E41+E43+E44+E45</f>
        <v>0</v>
      </c>
      <c r="F10" s="34"/>
      <c r="G10" s="34"/>
      <c r="H10" s="34"/>
      <c r="I10" s="34"/>
      <c r="J10" s="34"/>
    </row>
    <row r="11" spans="1:10" ht="15">
      <c r="A11" s="24"/>
      <c r="B11" s="120" t="s">
        <v>193</v>
      </c>
      <c r="C11" s="124"/>
      <c r="D11" s="123"/>
      <c r="E11" s="122">
        <f>SUM(E6:E10)</f>
        <v>33058.6</v>
      </c>
      <c r="F11" s="8"/>
      <c r="G11" s="34"/>
      <c r="H11" s="34"/>
      <c r="I11" s="34"/>
      <c r="J11" s="34"/>
    </row>
    <row r="12" spans="1:10" ht="15">
      <c r="A12" s="24"/>
      <c r="B12" s="120" t="s">
        <v>194</v>
      </c>
      <c r="C12" s="119"/>
      <c r="D12" s="118"/>
      <c r="E12" s="121">
        <f>E163+E205+E206+E207</f>
        <v>26764.066899999994</v>
      </c>
      <c r="F12" s="8"/>
      <c r="G12" s="34"/>
      <c r="H12" s="34"/>
      <c r="I12" s="34"/>
      <c r="J12" s="34"/>
    </row>
    <row r="13" spans="1:10" ht="15">
      <c r="A13" s="24"/>
      <c r="B13" s="120" t="s">
        <v>195</v>
      </c>
      <c r="C13" s="119"/>
      <c r="D13" s="118"/>
      <c r="E13" s="117">
        <f>E201+E209+E210</f>
        <v>667.04500000000007</v>
      </c>
      <c r="F13" s="8"/>
      <c r="G13" s="34"/>
      <c r="H13" s="34"/>
      <c r="I13" s="34"/>
      <c r="J13" s="34"/>
    </row>
    <row r="14" spans="1:10" ht="13.5" thickBot="1">
      <c r="A14" s="24"/>
      <c r="B14" s="115" t="s">
        <v>196</v>
      </c>
      <c r="C14" s="99"/>
      <c r="D14" s="114"/>
      <c r="E14" s="116"/>
      <c r="F14" s="34"/>
      <c r="G14" s="34"/>
      <c r="H14" s="34"/>
      <c r="I14" s="34"/>
      <c r="J14" s="34"/>
    </row>
    <row r="15" spans="1:10" ht="15">
      <c r="A15" s="24"/>
      <c r="B15" s="115" t="s">
        <v>197</v>
      </c>
      <c r="C15" s="99"/>
      <c r="D15" s="114"/>
      <c r="E15" s="113">
        <f>MAX(0.25*E12,E12+E14-E13)</f>
        <v>26097.021899999992</v>
      </c>
      <c r="F15" s="34"/>
      <c r="G15" s="34"/>
      <c r="H15" s="34"/>
    </row>
    <row r="16" spans="1:10" ht="15">
      <c r="A16" s="24"/>
      <c r="B16" s="112" t="s">
        <v>198</v>
      </c>
      <c r="C16" s="111"/>
      <c r="D16" s="111"/>
      <c r="E16" s="9">
        <f>E11/E15</f>
        <v>1.2667575682265879</v>
      </c>
      <c r="F16" s="34"/>
      <c r="G16" s="34"/>
      <c r="H16" s="34"/>
    </row>
    <row r="17" spans="1:6" s="4" customFormat="1">
      <c r="C17" s="61"/>
    </row>
    <row r="18" spans="1:6" s="4" customFormat="1" ht="21">
      <c r="A18" s="88" t="s">
        <v>187</v>
      </c>
      <c r="B18" s="33"/>
      <c r="C18" s="33"/>
      <c r="D18" s="33"/>
      <c r="E18" s="87"/>
    </row>
    <row r="19" spans="1:6" s="4" customFormat="1">
      <c r="A19" s="90"/>
      <c r="B19" s="60"/>
      <c r="C19" s="59"/>
      <c r="D19" s="60"/>
      <c r="E19" s="110"/>
    </row>
    <row r="20" spans="1:6" s="4" customFormat="1">
      <c r="A20" s="104" t="s">
        <v>199</v>
      </c>
      <c r="B20" s="54"/>
      <c r="C20" s="53"/>
      <c r="D20" s="107"/>
      <c r="E20" s="109"/>
    </row>
    <row r="21" spans="1:6" s="4" customFormat="1" ht="15.75" customHeight="1">
      <c r="A21" s="106">
        <v>1</v>
      </c>
      <c r="B21" s="57" t="s">
        <v>200</v>
      </c>
      <c r="C21" s="50"/>
      <c r="D21" s="50"/>
      <c r="E21" s="108"/>
    </row>
    <row r="22" spans="1:6" s="4" customFormat="1" ht="15.75" customHeight="1">
      <c r="A22" s="105"/>
      <c r="B22" s="45" t="s">
        <v>201</v>
      </c>
      <c r="C22" s="27">
        <f>NonLCRTemplate!D9</f>
        <v>33058.6</v>
      </c>
      <c r="D22" s="10">
        <v>1</v>
      </c>
      <c r="E22" s="27">
        <f>C22*D22</f>
        <v>33058.6</v>
      </c>
      <c r="F22" s="41"/>
    </row>
    <row r="23" spans="1:6" s="4" customFormat="1" ht="12" customHeight="1">
      <c r="A23" s="105"/>
      <c r="B23" s="45" t="s">
        <v>202</v>
      </c>
      <c r="C23" s="27">
        <f>NonLCRTemplate!D10</f>
        <v>0</v>
      </c>
      <c r="D23" s="10">
        <v>0.85</v>
      </c>
      <c r="E23" s="27">
        <f>C23*D23</f>
        <v>0</v>
      </c>
    </row>
    <row r="24" spans="1:6" s="4" customFormat="1" ht="12" customHeight="1">
      <c r="A24" s="105"/>
      <c r="B24" s="45" t="s">
        <v>203</v>
      </c>
      <c r="C24" s="27">
        <f>NonLCRTemplate!D11</f>
        <v>0</v>
      </c>
      <c r="D24" s="10">
        <v>0.5</v>
      </c>
      <c r="E24" s="27">
        <f>C24*D24</f>
        <v>0</v>
      </c>
    </row>
    <row r="25" spans="1:6" s="4" customFormat="1" ht="15.75" customHeight="1">
      <c r="A25" s="106">
        <v>2</v>
      </c>
      <c r="B25" s="57" t="s">
        <v>204</v>
      </c>
      <c r="C25" s="50"/>
      <c r="D25" s="50"/>
      <c r="E25" s="50"/>
    </row>
    <row r="26" spans="1:6" s="4" customFormat="1" ht="15.75" customHeight="1">
      <c r="A26" s="105"/>
      <c r="B26" s="45" t="s">
        <v>201</v>
      </c>
      <c r="C26" s="27">
        <f>NonLCRTemplate!D13</f>
        <v>0</v>
      </c>
      <c r="D26" s="10">
        <v>1</v>
      </c>
      <c r="E26" s="27">
        <f>C26*D26</f>
        <v>0</v>
      </c>
    </row>
    <row r="27" spans="1:6" s="4" customFormat="1" ht="12" customHeight="1">
      <c r="A27" s="105"/>
      <c r="B27" s="45" t="s">
        <v>202</v>
      </c>
      <c r="C27" s="27">
        <f>NonLCRTemplate!D14</f>
        <v>0</v>
      </c>
      <c r="D27" s="10">
        <v>0.85</v>
      </c>
      <c r="E27" s="27">
        <f>C27*D27</f>
        <v>0</v>
      </c>
    </row>
    <row r="28" spans="1:6" s="4" customFormat="1" ht="12" customHeight="1">
      <c r="A28" s="105"/>
      <c r="B28" s="45" t="s">
        <v>203</v>
      </c>
      <c r="C28" s="27">
        <f>NonLCRTemplate!D15</f>
        <v>0</v>
      </c>
      <c r="D28" s="10">
        <v>0.5</v>
      </c>
      <c r="E28" s="27">
        <f>C28*D28</f>
        <v>0</v>
      </c>
    </row>
    <row r="29" spans="1:6" s="4" customFormat="1" ht="15.75" customHeight="1">
      <c r="A29" s="106">
        <v>3</v>
      </c>
      <c r="B29" s="57" t="s">
        <v>204</v>
      </c>
      <c r="C29" s="50"/>
      <c r="D29" s="50"/>
      <c r="E29" s="50"/>
    </row>
    <row r="30" spans="1:6" s="4" customFormat="1" ht="15.75" customHeight="1">
      <c r="A30" s="105"/>
      <c r="B30" s="45" t="s">
        <v>201</v>
      </c>
      <c r="C30" s="27">
        <f>NonLCRTemplate!D17</f>
        <v>0</v>
      </c>
      <c r="D30" s="10">
        <v>1</v>
      </c>
      <c r="E30" s="27">
        <f>C30*D30</f>
        <v>0</v>
      </c>
    </row>
    <row r="31" spans="1:6" s="4" customFormat="1" ht="12" customHeight="1">
      <c r="A31" s="105"/>
      <c r="B31" s="45" t="s">
        <v>202</v>
      </c>
      <c r="C31" s="27">
        <f>NonLCRTemplate!D18</f>
        <v>0</v>
      </c>
      <c r="D31" s="10">
        <v>0.85</v>
      </c>
      <c r="E31" s="27">
        <f>C31*D31</f>
        <v>0</v>
      </c>
    </row>
    <row r="32" spans="1:6" s="4" customFormat="1" ht="12" customHeight="1">
      <c r="A32" s="105"/>
      <c r="B32" s="45" t="s">
        <v>203</v>
      </c>
      <c r="C32" s="27">
        <f>NonLCRTemplate!D19</f>
        <v>0</v>
      </c>
      <c r="D32" s="10">
        <v>0.5</v>
      </c>
      <c r="E32" s="27">
        <f>C32*D32</f>
        <v>0</v>
      </c>
    </row>
    <row r="33" spans="1:5" s="4" customFormat="1">
      <c r="A33" s="104" t="s">
        <v>205</v>
      </c>
      <c r="B33" s="54"/>
      <c r="C33" s="53"/>
      <c r="D33" s="107"/>
      <c r="E33" s="53"/>
    </row>
    <row r="34" spans="1:5" s="4" customFormat="1" ht="15.75" customHeight="1">
      <c r="A34" s="106">
        <v>4</v>
      </c>
      <c r="B34" s="57" t="s">
        <v>206</v>
      </c>
      <c r="C34" s="50"/>
      <c r="D34" s="50"/>
      <c r="E34" s="50"/>
    </row>
    <row r="35" spans="1:5" s="4" customFormat="1" ht="15.75" customHeight="1">
      <c r="A35" s="105"/>
      <c r="B35" s="45" t="s">
        <v>201</v>
      </c>
      <c r="C35" s="27">
        <f>NonLCRTemplate!D22</f>
        <v>0</v>
      </c>
      <c r="D35" s="10">
        <v>1</v>
      </c>
      <c r="E35" s="27">
        <f>C35*D35</f>
        <v>0</v>
      </c>
    </row>
    <row r="36" spans="1:5" s="4" customFormat="1" ht="12" customHeight="1">
      <c r="A36" s="105"/>
      <c r="B36" s="45" t="s">
        <v>202</v>
      </c>
      <c r="C36" s="27">
        <f>NonLCRTemplate!D23</f>
        <v>0</v>
      </c>
      <c r="D36" s="10">
        <v>0.85</v>
      </c>
      <c r="E36" s="27">
        <f>C36*D36</f>
        <v>0</v>
      </c>
    </row>
    <row r="37" spans="1:5" s="4" customFormat="1" ht="12" customHeight="1">
      <c r="A37" s="105"/>
      <c r="B37" s="45" t="s">
        <v>203</v>
      </c>
      <c r="C37" s="27">
        <f>NonLCRTemplate!D24</f>
        <v>0</v>
      </c>
      <c r="D37" s="10">
        <v>0.5</v>
      </c>
      <c r="E37" s="27">
        <f>C37*D37</f>
        <v>0</v>
      </c>
    </row>
    <row r="38" spans="1:5" s="4" customFormat="1" ht="15.75" customHeight="1">
      <c r="A38" s="106">
        <v>5</v>
      </c>
      <c r="B38" s="57" t="s">
        <v>207</v>
      </c>
      <c r="C38" s="50"/>
      <c r="D38" s="50"/>
      <c r="E38" s="50"/>
    </row>
    <row r="39" spans="1:5" s="4" customFormat="1" ht="15.75" customHeight="1">
      <c r="A39" s="105"/>
      <c r="B39" s="45" t="s">
        <v>201</v>
      </c>
      <c r="C39" s="27">
        <f>NonLCRTemplate!D26</f>
        <v>0</v>
      </c>
      <c r="D39" s="10">
        <v>1</v>
      </c>
      <c r="E39" s="27">
        <f>C39*D39</f>
        <v>0</v>
      </c>
    </row>
    <row r="40" spans="1:5" s="4" customFormat="1" ht="12" customHeight="1">
      <c r="A40" s="105"/>
      <c r="B40" s="45" t="s">
        <v>202</v>
      </c>
      <c r="C40" s="27">
        <f>NonLCRTemplate!D27</f>
        <v>0</v>
      </c>
      <c r="D40" s="10">
        <v>0.85</v>
      </c>
      <c r="E40" s="27">
        <f>C40*D40</f>
        <v>0</v>
      </c>
    </row>
    <row r="41" spans="1:5" s="4" customFormat="1" ht="12" customHeight="1">
      <c r="A41" s="105"/>
      <c r="B41" s="45" t="s">
        <v>203</v>
      </c>
      <c r="C41" s="27">
        <f>NonLCRTemplate!D28</f>
        <v>0</v>
      </c>
      <c r="D41" s="10">
        <v>0.5</v>
      </c>
      <c r="E41" s="27">
        <f>C41*D41</f>
        <v>0</v>
      </c>
    </row>
    <row r="42" spans="1:5" s="4" customFormat="1" ht="15.75" customHeight="1">
      <c r="A42" s="106">
        <v>6</v>
      </c>
      <c r="B42" s="57" t="s">
        <v>208</v>
      </c>
      <c r="C42" s="50"/>
      <c r="D42" s="50"/>
      <c r="E42" s="50"/>
    </row>
    <row r="43" spans="1:5" s="4" customFormat="1" ht="15.75" customHeight="1">
      <c r="A43" s="105"/>
      <c r="B43" s="45" t="s">
        <v>201</v>
      </c>
      <c r="C43" s="27">
        <f>NonLCRTemplate!D30</f>
        <v>0</v>
      </c>
      <c r="D43" s="10">
        <v>1</v>
      </c>
      <c r="E43" s="27">
        <f>C43*D43</f>
        <v>0</v>
      </c>
    </row>
    <row r="44" spans="1:5" s="4" customFormat="1" ht="12" customHeight="1">
      <c r="A44" s="105"/>
      <c r="B44" s="45" t="s">
        <v>202</v>
      </c>
      <c r="C44" s="27">
        <f>NonLCRTemplate!D31</f>
        <v>0</v>
      </c>
      <c r="D44" s="10">
        <v>0.85</v>
      </c>
      <c r="E44" s="27">
        <f>C44*D44</f>
        <v>0</v>
      </c>
    </row>
    <row r="45" spans="1:5" s="4" customFormat="1" ht="12" customHeight="1">
      <c r="A45" s="105"/>
      <c r="B45" s="45" t="s">
        <v>203</v>
      </c>
      <c r="C45" s="27">
        <f>NonLCRTemplate!D32</f>
        <v>0</v>
      </c>
      <c r="D45" s="11">
        <v>0.5</v>
      </c>
      <c r="E45" s="27">
        <f>C45*D45</f>
        <v>0</v>
      </c>
    </row>
    <row r="46" spans="1:5" s="4" customFormat="1">
      <c r="A46" s="104" t="s">
        <v>209</v>
      </c>
      <c r="B46" s="54"/>
      <c r="C46" s="53"/>
      <c r="D46" s="103"/>
      <c r="E46" s="53"/>
    </row>
    <row r="47" spans="1:5" s="4" customFormat="1" ht="15">
      <c r="A47" s="102">
        <v>7</v>
      </c>
      <c r="B47" s="48" t="s">
        <v>210</v>
      </c>
      <c r="C47" s="52"/>
      <c r="D47" s="11"/>
      <c r="E47" s="52"/>
    </row>
    <row r="48" spans="1:5" s="4" customFormat="1" ht="15">
      <c r="A48" s="101"/>
      <c r="B48" s="48" t="s">
        <v>211</v>
      </c>
      <c r="C48" s="27">
        <f>NonLCRTemplate!D36</f>
        <v>0</v>
      </c>
      <c r="D48" s="11">
        <v>1</v>
      </c>
      <c r="E48" s="27">
        <f>C48*D48</f>
        <v>0</v>
      </c>
    </row>
    <row r="49" spans="1:5" s="4" customFormat="1" ht="15">
      <c r="A49" s="101"/>
      <c r="B49" s="48" t="s">
        <v>212</v>
      </c>
      <c r="C49" s="27">
        <f>NonLCRTemplate!D37</f>
        <v>0</v>
      </c>
      <c r="D49" s="11">
        <v>1</v>
      </c>
      <c r="E49" s="27">
        <f>C49*D49</f>
        <v>0</v>
      </c>
    </row>
    <row r="50" spans="1:5" s="4" customFormat="1" ht="15">
      <c r="A50" s="101"/>
      <c r="B50" s="48" t="s">
        <v>213</v>
      </c>
      <c r="C50" s="27">
        <f>NonLCRTemplate!D38</f>
        <v>0</v>
      </c>
      <c r="D50" s="11">
        <v>1</v>
      </c>
      <c r="E50" s="27">
        <f>C50*D50</f>
        <v>0</v>
      </c>
    </row>
    <row r="51" spans="1:5" s="4" customFormat="1" ht="15">
      <c r="A51" s="102"/>
      <c r="B51" s="48"/>
      <c r="C51" s="50"/>
      <c r="D51" s="11"/>
      <c r="E51" s="50"/>
    </row>
    <row r="52" spans="1:5" s="4" customFormat="1" ht="15">
      <c r="A52" s="101"/>
      <c r="B52" s="48" t="s">
        <v>214</v>
      </c>
      <c r="C52" s="27">
        <f>NonLCRTemplate!D40</f>
        <v>0</v>
      </c>
      <c r="D52" s="11">
        <v>1</v>
      </c>
      <c r="E52" s="27">
        <f>C52*D52</f>
        <v>0</v>
      </c>
    </row>
    <row r="53" spans="1:5" s="4" customFormat="1" ht="15">
      <c r="A53" s="100"/>
      <c r="B53" s="48" t="s">
        <v>215</v>
      </c>
      <c r="C53" s="27">
        <f>NonLCRTemplate!D41</f>
        <v>0</v>
      </c>
      <c r="D53" s="11">
        <v>0.85</v>
      </c>
      <c r="E53" s="27">
        <f>C53*D53</f>
        <v>0</v>
      </c>
    </row>
    <row r="54" spans="1:5" s="4" customFormat="1" ht="15">
      <c r="A54" s="100"/>
      <c r="B54" s="48" t="s">
        <v>216</v>
      </c>
      <c r="C54" s="27">
        <f>NonLCRTemplate!D42</f>
        <v>0</v>
      </c>
      <c r="D54" s="11">
        <v>0.5</v>
      </c>
      <c r="E54" s="27">
        <f>C54*D54</f>
        <v>0</v>
      </c>
    </row>
    <row r="55" spans="1:5" s="4" customFormat="1" ht="15">
      <c r="A55" s="102">
        <v>8</v>
      </c>
      <c r="B55" s="48" t="s">
        <v>217</v>
      </c>
      <c r="C55" s="50"/>
      <c r="D55" s="11"/>
      <c r="E55" s="50"/>
    </row>
    <row r="56" spans="1:5" s="4" customFormat="1" ht="15">
      <c r="A56" s="101"/>
      <c r="B56" s="48" t="s">
        <v>211</v>
      </c>
      <c r="C56" s="27">
        <f>NonLCRTemplate!D44</f>
        <v>0</v>
      </c>
      <c r="D56" s="11">
        <v>1</v>
      </c>
      <c r="E56" s="27">
        <f>C56*D56</f>
        <v>0</v>
      </c>
    </row>
    <row r="57" spans="1:5" s="4" customFormat="1" ht="15">
      <c r="A57" s="100"/>
      <c r="B57" s="48" t="s">
        <v>212</v>
      </c>
      <c r="C57" s="27">
        <f>NonLCRTemplate!D45</f>
        <v>0</v>
      </c>
      <c r="D57" s="11">
        <v>1</v>
      </c>
      <c r="E57" s="27">
        <f>C57*D57</f>
        <v>0</v>
      </c>
    </row>
    <row r="58" spans="1:5" s="4" customFormat="1" ht="15">
      <c r="A58" s="100"/>
      <c r="B58" s="48" t="s">
        <v>213</v>
      </c>
      <c r="C58" s="27">
        <f>NonLCRTemplate!D46</f>
        <v>0</v>
      </c>
      <c r="D58" s="11">
        <v>1</v>
      </c>
      <c r="E58" s="27">
        <f>C58*D58</f>
        <v>0</v>
      </c>
    </row>
    <row r="59" spans="1:5" s="4" customFormat="1" ht="15">
      <c r="A59" s="102"/>
      <c r="B59" s="48"/>
      <c r="C59" s="52"/>
      <c r="D59" s="11"/>
      <c r="E59" s="52"/>
    </row>
    <row r="60" spans="1:5" s="4" customFormat="1" ht="15">
      <c r="A60" s="101"/>
      <c r="B60" s="48" t="s">
        <v>214</v>
      </c>
      <c r="C60" s="27">
        <f>NonLCRTemplate!D48</f>
        <v>0</v>
      </c>
      <c r="D60" s="11">
        <v>1</v>
      </c>
      <c r="E60" s="27">
        <f>C60*D60</f>
        <v>0</v>
      </c>
    </row>
    <row r="61" spans="1:5" s="4" customFormat="1" ht="15">
      <c r="A61" s="100"/>
      <c r="B61" s="48" t="s">
        <v>215</v>
      </c>
      <c r="C61" s="27">
        <f>NonLCRTemplate!D49</f>
        <v>0</v>
      </c>
      <c r="D61" s="11">
        <v>0.85</v>
      </c>
      <c r="E61" s="27">
        <f>C61*D61</f>
        <v>0</v>
      </c>
    </row>
    <row r="62" spans="1:5" s="4" customFormat="1" ht="15">
      <c r="A62" s="100"/>
      <c r="B62" s="48" t="s">
        <v>216</v>
      </c>
      <c r="C62" s="27">
        <f>NonLCRTemplate!D50</f>
        <v>0</v>
      </c>
      <c r="D62" s="11">
        <v>0.5</v>
      </c>
      <c r="E62" s="27">
        <f>C62*D62</f>
        <v>0</v>
      </c>
    </row>
    <row r="63" spans="1:5" s="4" customFormat="1" ht="15">
      <c r="A63" s="102">
        <v>9</v>
      </c>
      <c r="B63" s="48" t="s">
        <v>218</v>
      </c>
      <c r="C63" s="50"/>
      <c r="D63" s="11"/>
      <c r="E63" s="50"/>
    </row>
    <row r="64" spans="1:5" s="4" customFormat="1" ht="15">
      <c r="A64" s="101"/>
      <c r="B64" s="48" t="s">
        <v>219</v>
      </c>
      <c r="C64" s="27">
        <f>NonLCRTemplate!D52</f>
        <v>0</v>
      </c>
      <c r="D64" s="11">
        <v>1</v>
      </c>
      <c r="E64" s="27">
        <f>C64*D64</f>
        <v>0</v>
      </c>
    </row>
    <row r="65" spans="1:8" s="4" customFormat="1" ht="15">
      <c r="A65" s="100"/>
      <c r="B65" s="48" t="s">
        <v>220</v>
      </c>
      <c r="C65" s="27">
        <f>NonLCRTemplate!D53</f>
        <v>0</v>
      </c>
      <c r="D65" s="11">
        <v>0.85</v>
      </c>
      <c r="E65" s="27">
        <f>C65*D65</f>
        <v>0</v>
      </c>
    </row>
    <row r="66" spans="1:8" s="4" customFormat="1" ht="15">
      <c r="A66" s="100"/>
      <c r="B66" s="48" t="s">
        <v>221</v>
      </c>
      <c r="C66" s="27">
        <f>NonLCRTemplate!D54</f>
        <v>0</v>
      </c>
      <c r="D66" s="11">
        <v>0.5</v>
      </c>
      <c r="E66" s="27">
        <f>C66*D66</f>
        <v>0</v>
      </c>
    </row>
    <row r="67" spans="1:8" s="4" customFormat="1" ht="15">
      <c r="A67" s="102"/>
      <c r="B67" s="48"/>
      <c r="C67" s="50"/>
      <c r="D67" s="11"/>
      <c r="E67" s="50"/>
    </row>
    <row r="68" spans="1:8" s="4" customFormat="1" ht="15">
      <c r="A68" s="101"/>
      <c r="B68" s="48" t="s">
        <v>222</v>
      </c>
      <c r="C68" s="27">
        <f>NonLCRTemplate!D56</f>
        <v>0</v>
      </c>
      <c r="D68" s="11">
        <v>1</v>
      </c>
      <c r="E68" s="27">
        <f>C68*D68</f>
        <v>0</v>
      </c>
    </row>
    <row r="69" spans="1:8" s="4" customFormat="1" ht="15">
      <c r="A69" s="100"/>
      <c r="B69" s="48" t="s">
        <v>223</v>
      </c>
      <c r="C69" s="27">
        <f>NonLCRTemplate!D57</f>
        <v>0</v>
      </c>
      <c r="D69" s="11">
        <v>0.85</v>
      </c>
      <c r="E69" s="27">
        <f>C69*D69</f>
        <v>0</v>
      </c>
    </row>
    <row r="70" spans="1:8" s="4" customFormat="1" ht="15">
      <c r="A70" s="100"/>
      <c r="B70" s="48" t="s">
        <v>224</v>
      </c>
      <c r="C70" s="27">
        <f>NonLCRTemplate!D58</f>
        <v>0</v>
      </c>
      <c r="D70" s="11">
        <v>0.5</v>
      </c>
      <c r="E70" s="27">
        <f>C70*D70</f>
        <v>0</v>
      </c>
    </row>
    <row r="71" spans="1:8">
      <c r="A71" s="99"/>
      <c r="B71" s="47"/>
      <c r="C71" s="47"/>
      <c r="D71" s="47"/>
      <c r="E71" s="47"/>
    </row>
    <row r="72" spans="1:8" s="4" customFormat="1" ht="21">
      <c r="A72" s="88" t="s">
        <v>225</v>
      </c>
      <c r="B72" s="33"/>
      <c r="C72" s="33"/>
      <c r="D72" s="33"/>
      <c r="E72" s="87"/>
    </row>
    <row r="73" spans="1:8" ht="15">
      <c r="A73" s="93"/>
      <c r="C73" s="98"/>
      <c r="D73" s="98"/>
      <c r="E73" s="91"/>
    </row>
    <row r="74" spans="1:8" s="4" customFormat="1" ht="15">
      <c r="A74" s="97">
        <v>10</v>
      </c>
      <c r="B74" s="45" t="s">
        <v>226</v>
      </c>
      <c r="C74" s="27">
        <f>NonLCRTemplate!D62</f>
        <v>160.57999999999998</v>
      </c>
      <c r="D74" s="10">
        <v>0.03</v>
      </c>
      <c r="E74" s="27">
        <f t="shared" ref="E74:E105" si="0">C74*D74</f>
        <v>4.8173999999999992</v>
      </c>
      <c r="F74" s="24"/>
      <c r="G74" s="24"/>
      <c r="H74" s="24"/>
    </row>
    <row r="75" spans="1:8" s="4" customFormat="1" ht="15">
      <c r="A75" s="97">
        <f t="shared" ref="A75:A106" si="1">A74+1</f>
        <v>11</v>
      </c>
      <c r="B75" s="45" t="s">
        <v>227</v>
      </c>
      <c r="C75" s="27">
        <f>NonLCRTemplate!D63</f>
        <v>134.15</v>
      </c>
      <c r="D75" s="12">
        <v>0.1</v>
      </c>
      <c r="E75" s="27">
        <f t="shared" si="0"/>
        <v>13.415000000000001</v>
      </c>
      <c r="F75" s="24"/>
      <c r="G75" s="24"/>
      <c r="H75" s="24"/>
    </row>
    <row r="76" spans="1:8" s="4" customFormat="1" ht="15">
      <c r="A76" s="97">
        <f t="shared" si="1"/>
        <v>12</v>
      </c>
      <c r="B76" s="45" t="s">
        <v>228</v>
      </c>
      <c r="C76" s="27">
        <f>NonLCRTemplate!D64</f>
        <v>0</v>
      </c>
      <c r="D76" s="12">
        <v>0.2</v>
      </c>
      <c r="E76" s="27">
        <f t="shared" si="0"/>
        <v>0</v>
      </c>
      <c r="F76" s="24"/>
      <c r="G76" s="24"/>
      <c r="H76" s="24"/>
    </row>
    <row r="77" spans="1:8" s="4" customFormat="1" ht="15">
      <c r="A77" s="97">
        <f t="shared" si="1"/>
        <v>13</v>
      </c>
      <c r="B77" s="45" t="s">
        <v>229</v>
      </c>
      <c r="C77" s="27">
        <f>NonLCRTemplate!D65</f>
        <v>0</v>
      </c>
      <c r="D77" s="12">
        <v>0.4</v>
      </c>
      <c r="E77" s="27">
        <f t="shared" si="0"/>
        <v>0</v>
      </c>
      <c r="F77" s="24"/>
      <c r="G77" s="24"/>
      <c r="H77" s="24"/>
    </row>
    <row r="78" spans="1:8" s="4" customFormat="1" ht="15">
      <c r="A78" s="97">
        <f t="shared" si="1"/>
        <v>14</v>
      </c>
      <c r="B78" s="45" t="s">
        <v>230</v>
      </c>
      <c r="C78" s="27">
        <f>NonLCRTemplate!D66</f>
        <v>0</v>
      </c>
      <c r="D78" s="12">
        <v>0.4</v>
      </c>
      <c r="E78" s="27">
        <f t="shared" si="0"/>
        <v>0</v>
      </c>
      <c r="F78" s="24"/>
      <c r="G78" s="24"/>
      <c r="H78" s="24"/>
    </row>
    <row r="79" spans="1:8" s="4" customFormat="1" ht="15">
      <c r="A79" s="97">
        <f t="shared" si="1"/>
        <v>15</v>
      </c>
      <c r="B79" s="45" t="s">
        <v>230</v>
      </c>
      <c r="C79" s="27">
        <f>NonLCRTemplate!D67</f>
        <v>0</v>
      </c>
      <c r="D79" s="12">
        <v>0.4</v>
      </c>
      <c r="E79" s="27">
        <f t="shared" si="0"/>
        <v>0</v>
      </c>
      <c r="F79" s="24"/>
      <c r="G79" s="24"/>
      <c r="H79" s="24"/>
    </row>
    <row r="80" spans="1:8" s="4" customFormat="1" ht="15">
      <c r="A80" s="97">
        <f t="shared" si="1"/>
        <v>16</v>
      </c>
      <c r="B80" s="45" t="s">
        <v>230</v>
      </c>
      <c r="C80" s="27">
        <f>NonLCRTemplate!D68</f>
        <v>0</v>
      </c>
      <c r="D80" s="12">
        <v>0.4</v>
      </c>
      <c r="E80" s="27">
        <f t="shared" si="0"/>
        <v>0</v>
      </c>
      <c r="F80" s="24"/>
      <c r="G80" s="24"/>
      <c r="H80" s="24"/>
    </row>
    <row r="81" spans="1:8" s="4" customFormat="1" ht="15">
      <c r="A81" s="97">
        <f t="shared" si="1"/>
        <v>17</v>
      </c>
      <c r="B81" s="45" t="s">
        <v>230</v>
      </c>
      <c r="C81" s="27">
        <f>NonLCRTemplate!D69</f>
        <v>0</v>
      </c>
      <c r="D81" s="12">
        <v>0.4</v>
      </c>
      <c r="E81" s="27">
        <f t="shared" si="0"/>
        <v>0</v>
      </c>
      <c r="F81" s="24"/>
      <c r="G81" s="24"/>
      <c r="H81" s="24"/>
    </row>
    <row r="82" spans="1:8" s="4" customFormat="1" ht="15">
      <c r="A82" s="97">
        <f t="shared" si="1"/>
        <v>18</v>
      </c>
      <c r="B82" s="45" t="s">
        <v>231</v>
      </c>
      <c r="C82" s="27">
        <f>NonLCRTemplate!D70</f>
        <v>0</v>
      </c>
      <c r="D82" s="12">
        <v>1</v>
      </c>
      <c r="E82" s="27">
        <f t="shared" si="0"/>
        <v>0</v>
      </c>
      <c r="F82" s="24"/>
      <c r="G82" s="24"/>
      <c r="H82" s="24"/>
    </row>
    <row r="83" spans="1:8" s="4" customFormat="1" ht="15">
      <c r="A83" s="97">
        <f t="shared" si="1"/>
        <v>19</v>
      </c>
      <c r="B83" s="45" t="s">
        <v>232</v>
      </c>
      <c r="C83" s="27">
        <f>NonLCRTemplate!D71</f>
        <v>108.94999999999999</v>
      </c>
      <c r="D83" s="12">
        <v>1</v>
      </c>
      <c r="E83" s="27">
        <f t="shared" si="0"/>
        <v>108.94999999999999</v>
      </c>
      <c r="F83" s="24"/>
      <c r="G83" s="24"/>
      <c r="H83" s="24"/>
    </row>
    <row r="84" spans="1:8" s="4" customFormat="1" ht="15">
      <c r="A84" s="97">
        <f t="shared" si="1"/>
        <v>20</v>
      </c>
      <c r="B84" s="45" t="s">
        <v>233</v>
      </c>
      <c r="C84" s="27">
        <f>NonLCRTemplate!D72</f>
        <v>0</v>
      </c>
      <c r="D84" s="12">
        <v>0.1</v>
      </c>
      <c r="E84" s="27">
        <f t="shared" si="0"/>
        <v>0</v>
      </c>
      <c r="F84" s="24"/>
      <c r="G84" s="24"/>
      <c r="H84" s="24"/>
    </row>
    <row r="85" spans="1:8" s="4" customFormat="1" ht="15">
      <c r="A85" s="97">
        <f t="shared" si="1"/>
        <v>21</v>
      </c>
      <c r="B85" s="45" t="s">
        <v>234</v>
      </c>
      <c r="C85" s="27">
        <f>NonLCRTemplate!D73</f>
        <v>0</v>
      </c>
      <c r="D85" s="12">
        <v>0</v>
      </c>
      <c r="E85" s="27">
        <f t="shared" si="0"/>
        <v>0</v>
      </c>
      <c r="F85" s="24"/>
      <c r="G85" s="24"/>
      <c r="H85" s="24"/>
    </row>
    <row r="86" spans="1:8" s="4" customFormat="1" ht="15">
      <c r="A86" s="97">
        <f t="shared" si="1"/>
        <v>22</v>
      </c>
      <c r="B86" s="45" t="s">
        <v>235</v>
      </c>
      <c r="C86" s="27">
        <f>NonLCRTemplate!D74</f>
        <v>51.41</v>
      </c>
      <c r="D86" s="12">
        <v>0.05</v>
      </c>
      <c r="E86" s="27">
        <f t="shared" si="0"/>
        <v>2.5705</v>
      </c>
      <c r="F86" s="24"/>
      <c r="G86" s="34"/>
      <c r="H86" s="24"/>
    </row>
    <row r="87" spans="1:8" s="4" customFormat="1" ht="15">
      <c r="A87" s="97">
        <f t="shared" si="1"/>
        <v>23</v>
      </c>
      <c r="B87" s="45" t="s">
        <v>236</v>
      </c>
      <c r="C87" s="27">
        <f>NonLCRTemplate!D75</f>
        <v>16564.249999999996</v>
      </c>
      <c r="D87" s="12">
        <v>0.1</v>
      </c>
      <c r="E87" s="27">
        <f t="shared" si="0"/>
        <v>1656.4249999999997</v>
      </c>
      <c r="F87" s="24"/>
      <c r="G87" s="24"/>
      <c r="H87" s="24"/>
    </row>
    <row r="88" spans="1:8" s="4" customFormat="1" ht="15">
      <c r="A88" s="97">
        <f t="shared" si="1"/>
        <v>24</v>
      </c>
      <c r="B88" s="45" t="s">
        <v>237</v>
      </c>
      <c r="C88" s="27">
        <f>NonLCRTemplate!D76</f>
        <v>560</v>
      </c>
      <c r="D88" s="12">
        <v>0.3</v>
      </c>
      <c r="E88" s="27">
        <f t="shared" si="0"/>
        <v>168</v>
      </c>
      <c r="F88" s="24"/>
      <c r="G88" s="24"/>
      <c r="H88" s="24"/>
    </row>
    <row r="89" spans="1:8" s="4" customFormat="1" ht="15">
      <c r="A89" s="97">
        <f t="shared" si="1"/>
        <v>25</v>
      </c>
      <c r="B89" s="45" t="s">
        <v>238</v>
      </c>
      <c r="C89" s="27">
        <f>NonLCRTemplate!D77</f>
        <v>0</v>
      </c>
      <c r="D89" s="12">
        <v>0.5</v>
      </c>
      <c r="E89" s="27">
        <f t="shared" si="0"/>
        <v>0</v>
      </c>
      <c r="F89" s="24"/>
      <c r="G89" s="24"/>
      <c r="H89" s="24"/>
    </row>
    <row r="90" spans="1:8" s="4" customFormat="1" ht="15">
      <c r="A90" s="97">
        <f t="shared" si="1"/>
        <v>26</v>
      </c>
      <c r="B90" s="45" t="s">
        <v>238</v>
      </c>
      <c r="C90" s="27">
        <f>NonLCRTemplate!D78</f>
        <v>0</v>
      </c>
      <c r="D90" s="12">
        <v>0.5</v>
      </c>
      <c r="E90" s="27">
        <f t="shared" si="0"/>
        <v>0</v>
      </c>
      <c r="F90" s="24"/>
      <c r="G90" s="24"/>
      <c r="H90" s="24"/>
    </row>
    <row r="91" spans="1:8" s="4" customFormat="1" ht="15">
      <c r="A91" s="97">
        <f t="shared" si="1"/>
        <v>27</v>
      </c>
      <c r="B91" s="45" t="s">
        <v>239</v>
      </c>
      <c r="C91" s="27">
        <f>NonLCRTemplate!D79</f>
        <v>667.2</v>
      </c>
      <c r="D91" s="12">
        <v>0.4</v>
      </c>
      <c r="E91" s="27">
        <f t="shared" si="0"/>
        <v>266.88000000000005</v>
      </c>
      <c r="F91" s="24"/>
      <c r="G91" s="24"/>
      <c r="H91" s="24"/>
    </row>
    <row r="92" spans="1:8" s="4" customFormat="1" ht="15">
      <c r="A92" s="97">
        <f t="shared" si="1"/>
        <v>28</v>
      </c>
      <c r="B92" s="45" t="s">
        <v>240</v>
      </c>
      <c r="C92" s="27">
        <f>NonLCRTemplate!D80</f>
        <v>0</v>
      </c>
      <c r="D92" s="12">
        <v>1</v>
      </c>
      <c r="E92" s="27">
        <f t="shared" si="0"/>
        <v>0</v>
      </c>
      <c r="F92" s="24"/>
      <c r="G92" s="24"/>
      <c r="H92" s="24"/>
    </row>
    <row r="93" spans="1:8" s="4" customFormat="1" ht="15">
      <c r="A93" s="97">
        <f t="shared" si="1"/>
        <v>29</v>
      </c>
      <c r="B93" s="45" t="s">
        <v>241</v>
      </c>
      <c r="C93" s="27">
        <f>NonLCRTemplate!D81</f>
        <v>0</v>
      </c>
      <c r="D93" s="12">
        <v>1</v>
      </c>
      <c r="E93" s="27">
        <f t="shared" si="0"/>
        <v>0</v>
      </c>
      <c r="F93" s="24"/>
      <c r="G93" s="24"/>
      <c r="H93" s="24"/>
    </row>
    <row r="94" spans="1:8" s="4" customFormat="1" ht="15">
      <c r="A94" s="97">
        <f t="shared" si="1"/>
        <v>30</v>
      </c>
      <c r="B94" s="45" t="s">
        <v>242</v>
      </c>
      <c r="C94" s="27">
        <f>NonLCRTemplate!D82</f>
        <v>0</v>
      </c>
      <c r="D94" s="12">
        <v>1</v>
      </c>
      <c r="E94" s="27">
        <f t="shared" si="0"/>
        <v>0</v>
      </c>
      <c r="F94" s="24"/>
      <c r="G94" s="24"/>
      <c r="H94" s="24"/>
    </row>
    <row r="95" spans="1:8" s="4" customFormat="1" ht="15">
      <c r="A95" s="97">
        <f t="shared" si="1"/>
        <v>31</v>
      </c>
      <c r="B95" s="45" t="s">
        <v>243</v>
      </c>
      <c r="C95" s="27">
        <f>NonLCRTemplate!D83</f>
        <v>0</v>
      </c>
      <c r="D95" s="12">
        <v>1</v>
      </c>
      <c r="E95" s="27">
        <f t="shared" si="0"/>
        <v>0</v>
      </c>
      <c r="F95" s="24"/>
      <c r="G95" s="24"/>
      <c r="H95" s="24"/>
    </row>
    <row r="96" spans="1:8" s="4" customFormat="1" ht="15">
      <c r="A96" s="97">
        <f t="shared" si="1"/>
        <v>32</v>
      </c>
      <c r="B96" s="45" t="s">
        <v>243</v>
      </c>
      <c r="C96" s="27">
        <f>NonLCRTemplate!D84</f>
        <v>0</v>
      </c>
      <c r="D96" s="12">
        <v>1</v>
      </c>
      <c r="E96" s="27">
        <f t="shared" si="0"/>
        <v>0</v>
      </c>
      <c r="F96" s="24"/>
      <c r="G96" s="24"/>
      <c r="H96" s="24"/>
    </row>
    <row r="97" spans="1:8" s="4" customFormat="1" ht="15">
      <c r="A97" s="97">
        <f t="shared" si="1"/>
        <v>33</v>
      </c>
      <c r="B97" s="45" t="s">
        <v>244</v>
      </c>
      <c r="C97" s="27">
        <f>NonLCRTemplate!D85</f>
        <v>0</v>
      </c>
      <c r="D97" s="12">
        <v>0.2</v>
      </c>
      <c r="E97" s="27">
        <f t="shared" si="0"/>
        <v>0</v>
      </c>
      <c r="F97" s="24"/>
      <c r="G97" s="24"/>
      <c r="H97" s="24"/>
    </row>
    <row r="98" spans="1:8" s="4" customFormat="1" ht="15">
      <c r="A98" s="97">
        <f t="shared" si="1"/>
        <v>34</v>
      </c>
      <c r="B98" s="45" t="s">
        <v>245</v>
      </c>
      <c r="C98" s="27">
        <f>NonLCRTemplate!D86</f>
        <v>0</v>
      </c>
      <c r="D98" s="12">
        <v>1</v>
      </c>
      <c r="E98" s="27">
        <f t="shared" si="0"/>
        <v>0</v>
      </c>
      <c r="F98" s="24"/>
      <c r="G98" s="24"/>
      <c r="H98" s="24"/>
    </row>
    <row r="99" spans="1:8" s="4" customFormat="1" ht="15">
      <c r="A99" s="97">
        <f t="shared" si="1"/>
        <v>35</v>
      </c>
      <c r="B99" s="45" t="s">
        <v>246</v>
      </c>
      <c r="C99" s="27">
        <f>NonLCRTemplate!D87</f>
        <v>0</v>
      </c>
      <c r="D99" s="12">
        <v>1</v>
      </c>
      <c r="E99" s="27">
        <f t="shared" si="0"/>
        <v>0</v>
      </c>
      <c r="F99" s="24"/>
      <c r="G99" s="24"/>
      <c r="H99" s="24"/>
    </row>
    <row r="100" spans="1:8" s="4" customFormat="1" ht="15">
      <c r="A100" s="97">
        <f t="shared" si="1"/>
        <v>36</v>
      </c>
      <c r="B100" s="45" t="s">
        <v>247</v>
      </c>
      <c r="C100" s="27">
        <f>NonLCRTemplate!D88</f>
        <v>0</v>
      </c>
      <c r="D100" s="12">
        <v>1</v>
      </c>
      <c r="E100" s="27">
        <f t="shared" si="0"/>
        <v>0</v>
      </c>
      <c r="F100" s="24"/>
      <c r="G100" s="24"/>
      <c r="H100" s="24"/>
    </row>
    <row r="101" spans="1:8" s="4" customFormat="1" ht="15">
      <c r="A101" s="97">
        <f t="shared" si="1"/>
        <v>37</v>
      </c>
      <c r="B101" s="45" t="s">
        <v>248</v>
      </c>
      <c r="C101" s="27">
        <f>NonLCRTemplate!D89</f>
        <v>0</v>
      </c>
      <c r="D101" s="12">
        <v>1</v>
      </c>
      <c r="E101" s="27">
        <f t="shared" si="0"/>
        <v>0</v>
      </c>
      <c r="F101" s="24"/>
      <c r="G101" s="24"/>
      <c r="H101" s="24"/>
    </row>
    <row r="102" spans="1:8" s="4" customFormat="1" ht="15">
      <c r="A102" s="97">
        <f t="shared" si="1"/>
        <v>38</v>
      </c>
      <c r="B102" s="45" t="s">
        <v>249</v>
      </c>
      <c r="C102" s="27">
        <f>NonLCRTemplate!D90</f>
        <v>0</v>
      </c>
      <c r="D102" s="12">
        <v>0.1</v>
      </c>
      <c r="E102" s="27">
        <f t="shared" si="0"/>
        <v>0</v>
      </c>
      <c r="F102" s="24"/>
      <c r="G102" s="24"/>
      <c r="H102" s="24"/>
    </row>
    <row r="103" spans="1:8" s="4" customFormat="1" ht="15">
      <c r="A103" s="97">
        <f t="shared" si="1"/>
        <v>39</v>
      </c>
      <c r="B103" s="45" t="s">
        <v>250</v>
      </c>
      <c r="C103" s="27">
        <f>NonLCRTemplate!D91</f>
        <v>70.7</v>
      </c>
      <c r="D103" s="12">
        <v>0.2</v>
      </c>
      <c r="E103" s="27">
        <f t="shared" si="0"/>
        <v>14.14</v>
      </c>
      <c r="F103" s="24"/>
      <c r="G103" s="24"/>
      <c r="H103" s="24"/>
    </row>
    <row r="104" spans="1:8" s="4" customFormat="1" ht="15">
      <c r="A104" s="97">
        <f t="shared" si="1"/>
        <v>40</v>
      </c>
      <c r="B104" s="45" t="s">
        <v>251</v>
      </c>
      <c r="C104" s="27">
        <f>NonLCRTemplate!D92</f>
        <v>0</v>
      </c>
      <c r="D104" s="12">
        <v>0.4</v>
      </c>
      <c r="E104" s="27">
        <f t="shared" si="0"/>
        <v>0</v>
      </c>
      <c r="F104" s="24"/>
      <c r="G104" s="24"/>
      <c r="H104" s="24"/>
    </row>
    <row r="105" spans="1:8" s="4" customFormat="1" ht="15">
      <c r="A105" s="97">
        <f t="shared" si="1"/>
        <v>41</v>
      </c>
      <c r="B105" s="45" t="s">
        <v>252</v>
      </c>
      <c r="C105" s="27">
        <f>NonLCRTemplate!D93</f>
        <v>0</v>
      </c>
      <c r="D105" s="12">
        <v>0.1</v>
      </c>
      <c r="E105" s="27">
        <f t="shared" si="0"/>
        <v>0</v>
      </c>
      <c r="F105" s="24"/>
      <c r="G105" s="24"/>
      <c r="H105" s="24"/>
    </row>
    <row r="106" spans="1:8" s="4" customFormat="1" ht="15">
      <c r="A106" s="97">
        <f t="shared" si="1"/>
        <v>42</v>
      </c>
      <c r="B106" s="45" t="s">
        <v>253</v>
      </c>
      <c r="C106" s="27">
        <f>NonLCRTemplate!D94</f>
        <v>0</v>
      </c>
      <c r="D106" s="12">
        <v>0.25</v>
      </c>
      <c r="E106" s="27">
        <f t="shared" ref="E106:E133" si="2">C106*D106</f>
        <v>0</v>
      </c>
      <c r="F106" s="24"/>
      <c r="G106" s="24"/>
      <c r="H106" s="24"/>
    </row>
    <row r="107" spans="1:8" s="4" customFormat="1" ht="15">
      <c r="A107" s="97">
        <f t="shared" ref="A107:A138" si="3">A106+1</f>
        <v>43</v>
      </c>
      <c r="B107" s="45" t="s">
        <v>254</v>
      </c>
      <c r="C107" s="27">
        <f>NonLCRTemplate!D95</f>
        <v>0</v>
      </c>
      <c r="D107" s="12">
        <v>0.1</v>
      </c>
      <c r="E107" s="27">
        <f t="shared" si="2"/>
        <v>0</v>
      </c>
      <c r="F107" s="24"/>
      <c r="G107" s="24"/>
      <c r="H107" s="24"/>
    </row>
    <row r="108" spans="1:8" s="4" customFormat="1" ht="15">
      <c r="A108" s="97">
        <f t="shared" si="3"/>
        <v>44</v>
      </c>
      <c r="B108" s="45" t="s">
        <v>255</v>
      </c>
      <c r="C108" s="27">
        <f>NonLCRTemplate!D96</f>
        <v>2989.07</v>
      </c>
      <c r="D108" s="12">
        <v>0.25</v>
      </c>
      <c r="E108" s="27">
        <f t="shared" si="2"/>
        <v>747.26750000000004</v>
      </c>
      <c r="F108" s="24"/>
      <c r="G108" s="24"/>
      <c r="H108" s="24"/>
    </row>
    <row r="109" spans="1:8" s="4" customFormat="1" ht="15">
      <c r="A109" s="97">
        <f t="shared" si="3"/>
        <v>45</v>
      </c>
      <c r="B109" s="45" t="s">
        <v>256</v>
      </c>
      <c r="C109" s="27">
        <f>NonLCRTemplate!D97</f>
        <v>0</v>
      </c>
      <c r="D109" s="12">
        <v>0.4</v>
      </c>
      <c r="E109" s="27">
        <f t="shared" si="2"/>
        <v>0</v>
      </c>
      <c r="F109" s="24"/>
      <c r="G109" s="24"/>
      <c r="H109" s="24"/>
    </row>
    <row r="110" spans="1:8" s="4" customFormat="1" ht="15">
      <c r="A110" s="97">
        <f t="shared" si="3"/>
        <v>46</v>
      </c>
      <c r="B110" s="46" t="s">
        <v>257</v>
      </c>
      <c r="C110" s="27">
        <f>NonLCRTemplate!D98</f>
        <v>15.079999999999998</v>
      </c>
      <c r="D110" s="13">
        <v>0.2</v>
      </c>
      <c r="E110" s="27">
        <f t="shared" si="2"/>
        <v>3.016</v>
      </c>
      <c r="F110" s="24"/>
      <c r="G110" s="24"/>
      <c r="H110" s="24"/>
    </row>
    <row r="111" spans="1:8" s="4" customFormat="1" ht="15">
      <c r="A111" s="97">
        <f t="shared" si="3"/>
        <v>47</v>
      </c>
      <c r="B111" s="46" t="s">
        <v>258</v>
      </c>
      <c r="C111" s="27">
        <f>NonLCRTemplate!D99</f>
        <v>3047.11</v>
      </c>
      <c r="D111" s="13">
        <v>0.4</v>
      </c>
      <c r="E111" s="27">
        <f t="shared" si="2"/>
        <v>1218.8440000000001</v>
      </c>
      <c r="F111" s="24"/>
      <c r="G111" s="24"/>
      <c r="H111" s="24"/>
    </row>
    <row r="112" spans="1:8" s="4" customFormat="1" ht="15">
      <c r="A112" s="97">
        <f t="shared" si="3"/>
        <v>48</v>
      </c>
      <c r="B112" s="46" t="s">
        <v>258</v>
      </c>
      <c r="C112" s="27">
        <f>NonLCRTemplate!D100</f>
        <v>0</v>
      </c>
      <c r="D112" s="13">
        <v>0.4</v>
      </c>
      <c r="E112" s="27">
        <f t="shared" si="2"/>
        <v>0</v>
      </c>
      <c r="F112" s="24"/>
      <c r="G112" s="24"/>
      <c r="H112" s="24"/>
    </row>
    <row r="113" spans="1:8" s="4" customFormat="1" ht="15">
      <c r="A113" s="97">
        <f t="shared" si="3"/>
        <v>49</v>
      </c>
      <c r="B113" s="46" t="s">
        <v>259</v>
      </c>
      <c r="C113" s="27">
        <f>NonLCRTemplate!D101</f>
        <v>1086.78</v>
      </c>
      <c r="D113" s="13">
        <v>0.4</v>
      </c>
      <c r="E113" s="27">
        <f t="shared" si="2"/>
        <v>434.71199999999999</v>
      </c>
      <c r="F113" s="24"/>
      <c r="G113" s="24"/>
      <c r="H113" s="24"/>
    </row>
    <row r="114" spans="1:8" s="4" customFormat="1" ht="15">
      <c r="A114" s="97">
        <f t="shared" si="3"/>
        <v>50</v>
      </c>
      <c r="B114" s="46" t="s">
        <v>260</v>
      </c>
      <c r="C114" s="27">
        <f>NonLCRTemplate!D102</f>
        <v>2431.14</v>
      </c>
      <c r="D114" s="13">
        <v>1</v>
      </c>
      <c r="E114" s="27">
        <f t="shared" si="2"/>
        <v>2431.14</v>
      </c>
      <c r="F114" s="24"/>
      <c r="G114" s="24"/>
      <c r="H114" s="24"/>
    </row>
    <row r="115" spans="1:8" s="4" customFormat="1" ht="15">
      <c r="A115" s="97">
        <f t="shared" si="3"/>
        <v>51</v>
      </c>
      <c r="B115" s="46" t="s">
        <v>260</v>
      </c>
      <c r="C115" s="27">
        <f>NonLCRTemplate!D103</f>
        <v>14240.84</v>
      </c>
      <c r="D115" s="13">
        <v>1</v>
      </c>
      <c r="E115" s="27">
        <f t="shared" si="2"/>
        <v>14240.84</v>
      </c>
      <c r="F115" s="24"/>
      <c r="G115" s="24"/>
      <c r="H115" s="24"/>
    </row>
    <row r="116" spans="1:8" s="4" customFormat="1" ht="15">
      <c r="A116" s="97">
        <f t="shared" si="3"/>
        <v>52</v>
      </c>
      <c r="B116" s="46" t="s">
        <v>261</v>
      </c>
      <c r="C116" s="27">
        <f>NonLCRTemplate!D104</f>
        <v>0</v>
      </c>
      <c r="D116" s="13">
        <v>1</v>
      </c>
      <c r="E116" s="27">
        <f t="shared" si="2"/>
        <v>0</v>
      </c>
      <c r="F116" s="24"/>
      <c r="G116" s="24"/>
      <c r="H116" s="24"/>
    </row>
    <row r="117" spans="1:8" s="4" customFormat="1" ht="15">
      <c r="A117" s="97">
        <f t="shared" si="3"/>
        <v>53</v>
      </c>
      <c r="B117" s="46" t="s">
        <v>262</v>
      </c>
      <c r="C117" s="27">
        <f>NonLCRTemplate!D105</f>
        <v>30.75</v>
      </c>
      <c r="D117" s="13">
        <v>0.05</v>
      </c>
      <c r="E117" s="27">
        <f t="shared" si="2"/>
        <v>1.5375000000000001</v>
      </c>
      <c r="F117" s="24"/>
      <c r="G117" s="24"/>
      <c r="H117" s="24"/>
    </row>
    <row r="118" spans="1:8" s="4" customFormat="1" ht="15">
      <c r="A118" s="97">
        <f t="shared" si="3"/>
        <v>54</v>
      </c>
      <c r="B118" s="46" t="s">
        <v>263</v>
      </c>
      <c r="C118" s="27">
        <f>NonLCRTemplate!D106</f>
        <v>21475.4</v>
      </c>
      <c r="D118" s="13">
        <v>0.25</v>
      </c>
      <c r="E118" s="27">
        <f t="shared" si="2"/>
        <v>5368.85</v>
      </c>
      <c r="F118" s="24"/>
      <c r="G118" s="24"/>
      <c r="H118" s="24"/>
    </row>
    <row r="119" spans="1:8" s="4" customFormat="1" ht="15">
      <c r="A119" s="97">
        <f t="shared" si="3"/>
        <v>55</v>
      </c>
      <c r="B119" s="46" t="s">
        <v>263</v>
      </c>
      <c r="C119" s="27">
        <f>NonLCRTemplate!D107</f>
        <v>147.19999999999999</v>
      </c>
      <c r="D119" s="13">
        <v>0.25</v>
      </c>
      <c r="E119" s="27">
        <f t="shared" si="2"/>
        <v>36.799999999999997</v>
      </c>
      <c r="F119" s="24"/>
      <c r="G119" s="24"/>
      <c r="H119" s="24"/>
    </row>
    <row r="120" spans="1:8" s="4" customFormat="1" ht="15">
      <c r="A120" s="97">
        <f t="shared" si="3"/>
        <v>56</v>
      </c>
      <c r="B120" s="46" t="s">
        <v>264</v>
      </c>
      <c r="C120" s="27">
        <f>NonLCRTemplate!D108</f>
        <v>0</v>
      </c>
      <c r="D120" s="13">
        <v>1</v>
      </c>
      <c r="E120" s="27">
        <f t="shared" si="2"/>
        <v>0</v>
      </c>
      <c r="F120" s="24"/>
      <c r="G120" s="24"/>
      <c r="H120" s="24"/>
    </row>
    <row r="121" spans="1:8" s="4" customFormat="1" ht="15">
      <c r="A121" s="97">
        <f t="shared" si="3"/>
        <v>57</v>
      </c>
      <c r="B121" s="46" t="s">
        <v>264</v>
      </c>
      <c r="C121" s="27">
        <f>NonLCRTemplate!D109</f>
        <v>0.95</v>
      </c>
      <c r="D121" s="13">
        <v>1</v>
      </c>
      <c r="E121" s="27">
        <f t="shared" si="2"/>
        <v>0.95</v>
      </c>
      <c r="F121" s="24"/>
      <c r="G121" s="24"/>
      <c r="H121" s="24"/>
    </row>
    <row r="122" spans="1:8" s="4" customFormat="1" ht="15">
      <c r="A122" s="97">
        <f t="shared" si="3"/>
        <v>58</v>
      </c>
      <c r="B122" s="45" t="s">
        <v>265</v>
      </c>
      <c r="C122" s="27">
        <f>NonLCRTemplate!D110</f>
        <v>0</v>
      </c>
      <c r="D122" s="12">
        <v>0.03</v>
      </c>
      <c r="E122" s="27">
        <f t="shared" si="2"/>
        <v>0</v>
      </c>
      <c r="F122" s="24"/>
      <c r="G122" s="24"/>
      <c r="H122" s="24"/>
    </row>
    <row r="123" spans="1:8" s="4" customFormat="1" ht="15">
      <c r="A123" s="97">
        <f t="shared" si="3"/>
        <v>59</v>
      </c>
      <c r="B123" s="45" t="s">
        <v>266</v>
      </c>
      <c r="C123" s="27">
        <f>NonLCRTemplate!D111</f>
        <v>0</v>
      </c>
      <c r="D123" s="12">
        <v>0.05</v>
      </c>
      <c r="E123" s="27">
        <f t="shared" si="2"/>
        <v>0</v>
      </c>
      <c r="F123" s="24"/>
      <c r="G123" s="24"/>
      <c r="H123" s="24"/>
    </row>
    <row r="124" spans="1:8" s="4" customFormat="1" ht="15">
      <c r="A124" s="97">
        <f t="shared" si="3"/>
        <v>60</v>
      </c>
      <c r="B124" s="45" t="s">
        <v>267</v>
      </c>
      <c r="C124" s="27">
        <f>NonLCRTemplate!D112</f>
        <v>0</v>
      </c>
      <c r="D124" s="12">
        <v>0</v>
      </c>
      <c r="E124" s="27">
        <f t="shared" si="2"/>
        <v>0</v>
      </c>
      <c r="F124" s="24"/>
      <c r="G124" s="24"/>
      <c r="H124" s="24"/>
    </row>
    <row r="125" spans="1:8" s="4" customFormat="1" ht="15">
      <c r="A125" s="97">
        <f t="shared" si="3"/>
        <v>61</v>
      </c>
      <c r="B125" s="45" t="s">
        <v>267</v>
      </c>
      <c r="C125" s="27">
        <f>NonLCRTemplate!D113</f>
        <v>0</v>
      </c>
      <c r="D125" s="12">
        <v>0</v>
      </c>
      <c r="E125" s="27">
        <f t="shared" si="2"/>
        <v>0</v>
      </c>
      <c r="F125" s="24"/>
      <c r="G125" s="24"/>
      <c r="H125" s="24"/>
    </row>
    <row r="126" spans="1:8" s="4" customFormat="1" ht="15">
      <c r="A126" s="97">
        <f t="shared" si="3"/>
        <v>62</v>
      </c>
      <c r="B126" s="45" t="s">
        <v>267</v>
      </c>
      <c r="C126" s="27">
        <f>NonLCRTemplate!D114</f>
        <v>0</v>
      </c>
      <c r="D126" s="12">
        <v>0</v>
      </c>
      <c r="E126" s="27">
        <f t="shared" si="2"/>
        <v>0</v>
      </c>
      <c r="F126" s="24"/>
      <c r="G126" s="24"/>
      <c r="H126" s="24"/>
    </row>
    <row r="127" spans="1:8" s="4" customFormat="1" ht="15">
      <c r="A127" s="97">
        <f t="shared" si="3"/>
        <v>63</v>
      </c>
      <c r="B127" s="45" t="s">
        <v>268</v>
      </c>
      <c r="C127" s="27">
        <f>NonLCRTemplate!D115</f>
        <v>0</v>
      </c>
      <c r="D127" s="12">
        <v>0.15</v>
      </c>
      <c r="E127" s="27">
        <f t="shared" si="2"/>
        <v>0</v>
      </c>
      <c r="F127" s="24"/>
      <c r="G127" s="24"/>
      <c r="H127" s="24"/>
    </row>
    <row r="128" spans="1:8" s="4" customFormat="1" ht="15">
      <c r="A128" s="97">
        <f t="shared" si="3"/>
        <v>64</v>
      </c>
      <c r="B128" s="45" t="s">
        <v>268</v>
      </c>
      <c r="C128" s="27">
        <f>NonLCRTemplate!D116</f>
        <v>0</v>
      </c>
      <c r="D128" s="12">
        <v>0.15</v>
      </c>
      <c r="E128" s="27">
        <f t="shared" si="2"/>
        <v>0</v>
      </c>
      <c r="F128" s="24"/>
      <c r="G128" s="24"/>
      <c r="H128" s="24"/>
    </row>
    <row r="129" spans="1:8" s="4" customFormat="1" ht="15">
      <c r="A129" s="97">
        <f t="shared" si="3"/>
        <v>65</v>
      </c>
      <c r="B129" s="45" t="s">
        <v>268</v>
      </c>
      <c r="C129" s="27">
        <f>NonLCRTemplate!D117</f>
        <v>0</v>
      </c>
      <c r="D129" s="12">
        <v>0.15</v>
      </c>
      <c r="E129" s="27">
        <f t="shared" si="2"/>
        <v>0</v>
      </c>
      <c r="F129" s="24"/>
      <c r="G129" s="24"/>
      <c r="H129" s="24"/>
    </row>
    <row r="130" spans="1:8" s="4" customFormat="1" ht="15">
      <c r="A130" s="97">
        <f t="shared" si="3"/>
        <v>66</v>
      </c>
      <c r="B130" s="45" t="s">
        <v>269</v>
      </c>
      <c r="C130" s="27">
        <f>NonLCRTemplate!D118</f>
        <v>0</v>
      </c>
      <c r="D130" s="12">
        <v>0.25</v>
      </c>
      <c r="E130" s="27">
        <f t="shared" si="2"/>
        <v>0</v>
      </c>
      <c r="F130" s="24"/>
      <c r="G130" s="24"/>
      <c r="H130" s="24"/>
    </row>
    <row r="131" spans="1:8" s="4" customFormat="1" ht="15">
      <c r="A131" s="97">
        <f t="shared" si="3"/>
        <v>67</v>
      </c>
      <c r="B131" s="45" t="s">
        <v>269</v>
      </c>
      <c r="C131" s="27">
        <f>NonLCRTemplate!D119</f>
        <v>0</v>
      </c>
      <c r="D131" s="12">
        <v>0.25</v>
      </c>
      <c r="E131" s="27">
        <f t="shared" si="2"/>
        <v>0</v>
      </c>
      <c r="F131" s="24"/>
      <c r="G131" s="24"/>
      <c r="H131" s="24"/>
    </row>
    <row r="132" spans="1:8" s="4" customFormat="1" ht="15">
      <c r="A132" s="97">
        <f t="shared" si="3"/>
        <v>68</v>
      </c>
      <c r="B132" s="45" t="s">
        <v>270</v>
      </c>
      <c r="C132" s="27">
        <f>NonLCRTemplate!D120</f>
        <v>0</v>
      </c>
      <c r="D132" s="12">
        <v>0.5</v>
      </c>
      <c r="E132" s="27">
        <f t="shared" si="2"/>
        <v>0</v>
      </c>
      <c r="F132" s="24"/>
      <c r="G132" s="24"/>
      <c r="H132" s="24"/>
    </row>
    <row r="133" spans="1:8" s="4" customFormat="1" ht="15">
      <c r="A133" s="97">
        <f t="shared" si="3"/>
        <v>69</v>
      </c>
      <c r="B133" s="45" t="s">
        <v>270</v>
      </c>
      <c r="C133" s="27">
        <f>NonLCRTemplate!D121</f>
        <v>0</v>
      </c>
      <c r="D133" s="12">
        <v>0.5</v>
      </c>
      <c r="E133" s="27">
        <f t="shared" si="2"/>
        <v>0</v>
      </c>
      <c r="F133" s="24"/>
      <c r="G133" s="24"/>
      <c r="H133" s="24"/>
    </row>
    <row r="134" spans="1:8" s="4" customFormat="1" ht="15">
      <c r="A134" s="97">
        <f t="shared" si="3"/>
        <v>70</v>
      </c>
      <c r="B134" s="45" t="s">
        <v>270</v>
      </c>
      <c r="C134" s="27">
        <f>NonLCRTemplate!D122</f>
        <v>0</v>
      </c>
      <c r="D134" s="12">
        <v>0.5</v>
      </c>
      <c r="E134" s="27"/>
      <c r="F134" s="24"/>
      <c r="G134" s="24"/>
      <c r="H134" s="24"/>
    </row>
    <row r="135" spans="1:8" s="4" customFormat="1" ht="15">
      <c r="A135" s="97">
        <f t="shared" si="3"/>
        <v>71</v>
      </c>
      <c r="B135" s="45" t="s">
        <v>270</v>
      </c>
      <c r="C135" s="27">
        <f>NonLCRTemplate!D123</f>
        <v>0</v>
      </c>
      <c r="D135" s="12">
        <v>0.5</v>
      </c>
      <c r="E135" s="27">
        <f>C135*D135</f>
        <v>0</v>
      </c>
      <c r="F135" s="24"/>
      <c r="G135" s="24"/>
      <c r="H135" s="24"/>
    </row>
    <row r="136" spans="1:8" s="4" customFormat="1" ht="15">
      <c r="A136" s="97">
        <f t="shared" si="3"/>
        <v>72</v>
      </c>
      <c r="B136" s="45" t="s">
        <v>271</v>
      </c>
      <c r="C136" s="27">
        <f>NonLCRTemplate!D124</f>
        <v>0</v>
      </c>
      <c r="D136" s="12">
        <v>0.5</v>
      </c>
      <c r="E136" s="27">
        <f>C136*D136</f>
        <v>0</v>
      </c>
      <c r="F136" s="24"/>
      <c r="G136" s="24"/>
      <c r="H136" s="24"/>
    </row>
    <row r="137" spans="1:8" s="4" customFormat="1" ht="15">
      <c r="A137" s="97">
        <f t="shared" si="3"/>
        <v>73</v>
      </c>
      <c r="B137" s="45" t="s">
        <v>272</v>
      </c>
      <c r="C137" s="27">
        <f>NonLCRTemplate!D125</f>
        <v>0</v>
      </c>
      <c r="D137" s="12">
        <v>1</v>
      </c>
      <c r="E137" s="27">
        <f>C137*D137</f>
        <v>0</v>
      </c>
      <c r="F137" s="24"/>
      <c r="G137" s="24"/>
      <c r="H137" s="24"/>
    </row>
    <row r="138" spans="1:8" s="4" customFormat="1" ht="15">
      <c r="A138" s="97">
        <f t="shared" si="3"/>
        <v>74</v>
      </c>
      <c r="B138" s="45" t="s">
        <v>272</v>
      </c>
      <c r="C138" s="27">
        <f>NonLCRTemplate!D126</f>
        <v>0</v>
      </c>
      <c r="D138" s="12">
        <v>1</v>
      </c>
      <c r="E138" s="27"/>
      <c r="F138" s="24"/>
      <c r="G138" s="24"/>
      <c r="H138" s="24"/>
    </row>
    <row r="139" spans="1:8" s="4" customFormat="1" ht="15">
      <c r="A139" s="97">
        <f t="shared" ref="A139:A162" si="4">A138+1</f>
        <v>75</v>
      </c>
      <c r="B139" s="45" t="s">
        <v>272</v>
      </c>
      <c r="C139" s="27">
        <f>NonLCRTemplate!D127</f>
        <v>2.1399999999999997</v>
      </c>
      <c r="D139" s="12">
        <v>1</v>
      </c>
      <c r="E139" s="27">
        <f>C139*D139</f>
        <v>2.1399999999999997</v>
      </c>
      <c r="F139" s="24"/>
      <c r="G139" s="24"/>
      <c r="H139" s="24"/>
    </row>
    <row r="140" spans="1:8" s="4" customFormat="1" ht="15">
      <c r="A140" s="97">
        <f t="shared" si="4"/>
        <v>76</v>
      </c>
      <c r="B140" s="45" t="s">
        <v>272</v>
      </c>
      <c r="C140" s="27">
        <f>NonLCRTemplate!D128</f>
        <v>0</v>
      </c>
      <c r="D140" s="12">
        <v>1</v>
      </c>
      <c r="E140" s="27">
        <f>C140*D140</f>
        <v>0</v>
      </c>
      <c r="F140" s="24"/>
      <c r="G140" s="24"/>
      <c r="H140" s="24"/>
    </row>
    <row r="141" spans="1:8" s="4" customFormat="1" ht="15">
      <c r="A141" s="97">
        <f t="shared" si="4"/>
        <v>77</v>
      </c>
      <c r="B141" s="45" t="s">
        <v>412</v>
      </c>
      <c r="C141" s="27">
        <f>NonLCRTemplate!D129</f>
        <v>0</v>
      </c>
      <c r="D141" s="12" t="s">
        <v>274</v>
      </c>
      <c r="E141" s="27"/>
      <c r="F141" s="24"/>
      <c r="G141" s="24"/>
      <c r="H141" s="24"/>
    </row>
    <row r="142" spans="1:8" s="4" customFormat="1" ht="15">
      <c r="A142" s="97">
        <f t="shared" si="4"/>
        <v>78</v>
      </c>
      <c r="B142" s="45" t="s">
        <v>275</v>
      </c>
      <c r="C142" s="27">
        <f>NonLCRTemplate!D130</f>
        <v>1.53</v>
      </c>
      <c r="D142" s="12">
        <v>0.4</v>
      </c>
      <c r="E142" s="27">
        <f>C142*D142</f>
        <v>0.6120000000000001</v>
      </c>
      <c r="F142" s="24"/>
      <c r="G142" s="24"/>
      <c r="H142" s="24"/>
    </row>
    <row r="143" spans="1:8" s="4" customFormat="1" ht="15">
      <c r="A143" s="97">
        <f t="shared" si="4"/>
        <v>79</v>
      </c>
      <c r="B143" s="45" t="s">
        <v>412</v>
      </c>
      <c r="C143" s="27">
        <f>NonLCRTemplate!D131</f>
        <v>0</v>
      </c>
      <c r="D143" s="12" t="s">
        <v>276</v>
      </c>
      <c r="E143" s="27"/>
      <c r="F143" s="24"/>
      <c r="G143" s="24"/>
      <c r="H143" s="24"/>
    </row>
    <row r="144" spans="1:8" s="4" customFormat="1" ht="15">
      <c r="A144" s="97">
        <f t="shared" si="4"/>
        <v>80</v>
      </c>
      <c r="B144" s="45" t="s">
        <v>275</v>
      </c>
      <c r="C144" s="27">
        <f>NonLCRTemplate!D132</f>
        <v>0</v>
      </c>
      <c r="D144" s="12">
        <v>0.25</v>
      </c>
      <c r="E144" s="27">
        <f t="shared" ref="E144:E162" si="5">C144*D144</f>
        <v>0</v>
      </c>
      <c r="F144" s="24"/>
      <c r="G144" s="24"/>
      <c r="H144" s="24"/>
    </row>
    <row r="145" spans="1:8" s="4" customFormat="1" ht="15">
      <c r="A145" s="97">
        <f t="shared" si="4"/>
        <v>81</v>
      </c>
      <c r="B145" s="45" t="s">
        <v>277</v>
      </c>
      <c r="C145" s="27">
        <f>NonLCRTemplate!D133</f>
        <v>0</v>
      </c>
      <c r="D145" s="12">
        <v>0</v>
      </c>
      <c r="E145" s="27">
        <f t="shared" si="5"/>
        <v>0</v>
      </c>
      <c r="F145" s="24"/>
      <c r="G145" s="24"/>
      <c r="H145" s="24"/>
    </row>
    <row r="146" spans="1:8" s="4" customFormat="1" ht="15">
      <c r="A146" s="97">
        <f t="shared" si="4"/>
        <v>82</v>
      </c>
      <c r="B146" s="45" t="s">
        <v>278</v>
      </c>
      <c r="C146" s="27">
        <f>NonLCRTemplate!D134</f>
        <v>0</v>
      </c>
      <c r="D146" s="12">
        <v>0.15</v>
      </c>
      <c r="E146" s="27">
        <f t="shared" si="5"/>
        <v>0</v>
      </c>
      <c r="F146" s="24"/>
      <c r="G146" s="24"/>
      <c r="H146" s="24"/>
    </row>
    <row r="147" spans="1:8" s="4" customFormat="1" ht="15">
      <c r="A147" s="97">
        <f t="shared" si="4"/>
        <v>83</v>
      </c>
      <c r="B147" s="45" t="s">
        <v>279</v>
      </c>
      <c r="C147" s="27">
        <f>NonLCRTemplate!D135</f>
        <v>0</v>
      </c>
      <c r="D147" s="12">
        <v>0.5</v>
      </c>
      <c r="E147" s="27">
        <f t="shared" si="5"/>
        <v>0</v>
      </c>
      <c r="F147" s="24"/>
      <c r="G147" s="24"/>
      <c r="H147" s="24"/>
    </row>
    <row r="148" spans="1:8" s="4" customFormat="1" ht="15">
      <c r="A148" s="97">
        <f t="shared" si="4"/>
        <v>84</v>
      </c>
      <c r="B148" s="45" t="s">
        <v>280</v>
      </c>
      <c r="C148" s="27">
        <f>NonLCRTemplate!D136</f>
        <v>0</v>
      </c>
      <c r="D148" s="12">
        <v>1</v>
      </c>
      <c r="E148" s="27">
        <f t="shared" si="5"/>
        <v>0</v>
      </c>
      <c r="F148" s="24"/>
      <c r="G148" s="24"/>
      <c r="H148" s="24"/>
    </row>
    <row r="149" spans="1:8" s="4" customFormat="1" ht="15">
      <c r="A149" s="97">
        <f t="shared" si="4"/>
        <v>85</v>
      </c>
      <c r="B149" s="45" t="s">
        <v>281</v>
      </c>
      <c r="C149" s="27">
        <f>NonLCRTemplate!D137</f>
        <v>0</v>
      </c>
      <c r="D149" s="12">
        <v>0</v>
      </c>
      <c r="E149" s="27">
        <f t="shared" si="5"/>
        <v>0</v>
      </c>
      <c r="F149" s="24"/>
      <c r="G149" s="24"/>
      <c r="H149" s="24"/>
    </row>
    <row r="150" spans="1:8" s="4" customFormat="1" ht="15">
      <c r="A150" s="97">
        <f t="shared" si="4"/>
        <v>86</v>
      </c>
      <c r="B150" s="45" t="s">
        <v>282</v>
      </c>
      <c r="C150" s="27">
        <f>NonLCRTemplate!D138</f>
        <v>0</v>
      </c>
      <c r="D150" s="12">
        <v>0.35</v>
      </c>
      <c r="E150" s="27">
        <f t="shared" si="5"/>
        <v>0</v>
      </c>
      <c r="F150" s="24"/>
      <c r="G150" s="24"/>
      <c r="H150" s="24"/>
    </row>
    <row r="151" spans="1:8" s="4" customFormat="1" ht="15">
      <c r="A151" s="97">
        <f t="shared" si="4"/>
        <v>87</v>
      </c>
      <c r="B151" s="45" t="s">
        <v>283</v>
      </c>
      <c r="C151" s="27">
        <f>NonLCRTemplate!D139</f>
        <v>0</v>
      </c>
      <c r="D151" s="12">
        <v>0.85</v>
      </c>
      <c r="E151" s="27">
        <f t="shared" si="5"/>
        <v>0</v>
      </c>
      <c r="F151" s="24"/>
      <c r="G151" s="24"/>
      <c r="H151" s="24"/>
    </row>
    <row r="152" spans="1:8" s="4" customFormat="1" ht="15">
      <c r="A152" s="97">
        <f t="shared" si="4"/>
        <v>88</v>
      </c>
      <c r="B152" s="45" t="s">
        <v>284</v>
      </c>
      <c r="C152" s="27">
        <f>NonLCRTemplate!D140</f>
        <v>0</v>
      </c>
      <c r="D152" s="12">
        <v>0</v>
      </c>
      <c r="E152" s="27">
        <f t="shared" si="5"/>
        <v>0</v>
      </c>
      <c r="F152" s="24"/>
      <c r="G152" s="24"/>
      <c r="H152" s="24"/>
    </row>
    <row r="153" spans="1:8" s="4" customFormat="1" ht="15">
      <c r="A153" s="97">
        <f t="shared" si="4"/>
        <v>89</v>
      </c>
      <c r="B153" s="45" t="s">
        <v>285</v>
      </c>
      <c r="C153" s="27">
        <f>NonLCRTemplate!D141</f>
        <v>0</v>
      </c>
      <c r="D153" s="12">
        <v>0.5</v>
      </c>
      <c r="E153" s="27">
        <f t="shared" si="5"/>
        <v>0</v>
      </c>
      <c r="F153" s="24"/>
      <c r="G153" s="24"/>
      <c r="H153" s="24"/>
    </row>
    <row r="154" spans="1:8" s="4" customFormat="1" ht="15">
      <c r="A154" s="97">
        <f t="shared" si="4"/>
        <v>90</v>
      </c>
      <c r="B154" s="45" t="s">
        <v>286</v>
      </c>
      <c r="C154" s="27">
        <f>NonLCRTemplate!D142</f>
        <v>0</v>
      </c>
      <c r="D154" s="12">
        <v>0</v>
      </c>
      <c r="E154" s="27">
        <f t="shared" si="5"/>
        <v>0</v>
      </c>
      <c r="F154" s="24"/>
      <c r="G154" s="24"/>
      <c r="H154" s="24"/>
    </row>
    <row r="155" spans="1:8" s="4" customFormat="1" ht="15">
      <c r="A155" s="97">
        <f t="shared" si="4"/>
        <v>91</v>
      </c>
      <c r="B155" s="45" t="s">
        <v>287</v>
      </c>
      <c r="C155" s="27">
        <f>NonLCRTemplate!D143</f>
        <v>0</v>
      </c>
      <c r="D155" s="12">
        <v>0.15</v>
      </c>
      <c r="E155" s="27">
        <f t="shared" si="5"/>
        <v>0</v>
      </c>
      <c r="F155" s="24"/>
      <c r="G155" s="24"/>
      <c r="H155" s="24"/>
    </row>
    <row r="156" spans="1:8" s="4" customFormat="1" ht="15">
      <c r="A156" s="97">
        <f t="shared" si="4"/>
        <v>92</v>
      </c>
      <c r="B156" s="45" t="s">
        <v>288</v>
      </c>
      <c r="C156" s="27">
        <f>NonLCRTemplate!D144</f>
        <v>0</v>
      </c>
      <c r="D156" s="12">
        <v>0.5</v>
      </c>
      <c r="E156" s="27">
        <f t="shared" si="5"/>
        <v>0</v>
      </c>
      <c r="F156" s="24"/>
      <c r="G156" s="24"/>
      <c r="H156" s="24"/>
    </row>
    <row r="157" spans="1:8" s="4" customFormat="1" ht="15">
      <c r="A157" s="97">
        <f t="shared" si="4"/>
        <v>93</v>
      </c>
      <c r="B157" s="45" t="s">
        <v>289</v>
      </c>
      <c r="C157" s="27">
        <f>NonLCRTemplate!D145</f>
        <v>0</v>
      </c>
      <c r="D157" s="12">
        <v>1</v>
      </c>
      <c r="E157" s="27">
        <f t="shared" si="5"/>
        <v>0</v>
      </c>
      <c r="F157" s="24"/>
      <c r="G157" s="24"/>
      <c r="H157" s="24"/>
    </row>
    <row r="158" spans="1:8" s="4" customFormat="1" ht="15">
      <c r="A158" s="97">
        <f t="shared" si="4"/>
        <v>94</v>
      </c>
      <c r="B158" s="45" t="s">
        <v>290</v>
      </c>
      <c r="C158" s="27">
        <f>NonLCRTemplate!D146</f>
        <v>0</v>
      </c>
      <c r="D158" s="12">
        <v>0</v>
      </c>
      <c r="E158" s="27">
        <f t="shared" si="5"/>
        <v>0</v>
      </c>
      <c r="F158" s="24"/>
      <c r="G158" s="24"/>
      <c r="H158" s="24"/>
    </row>
    <row r="159" spans="1:8" s="4" customFormat="1" ht="15">
      <c r="A159" s="97">
        <f t="shared" si="4"/>
        <v>95</v>
      </c>
      <c r="B159" s="45" t="s">
        <v>290</v>
      </c>
      <c r="C159" s="27">
        <f>NonLCRTemplate!D147</f>
        <v>0</v>
      </c>
      <c r="D159" s="12">
        <v>0</v>
      </c>
      <c r="E159" s="27">
        <f t="shared" si="5"/>
        <v>0</v>
      </c>
      <c r="F159" s="24"/>
      <c r="G159" s="24"/>
      <c r="H159" s="24"/>
    </row>
    <row r="160" spans="1:8" s="4" customFormat="1" ht="15">
      <c r="A160" s="97">
        <f t="shared" si="4"/>
        <v>96</v>
      </c>
      <c r="B160" s="45" t="s">
        <v>290</v>
      </c>
      <c r="C160" s="27">
        <f>NonLCRTemplate!D148</f>
        <v>0</v>
      </c>
      <c r="D160" s="12">
        <v>0</v>
      </c>
      <c r="E160" s="27">
        <f t="shared" si="5"/>
        <v>0</v>
      </c>
      <c r="F160" s="24"/>
      <c r="G160" s="24"/>
      <c r="H160" s="24"/>
    </row>
    <row r="161" spans="1:9" s="4" customFormat="1" ht="15">
      <c r="A161" s="97">
        <f t="shared" si="4"/>
        <v>97</v>
      </c>
      <c r="B161" s="45" t="s">
        <v>291</v>
      </c>
      <c r="C161" s="27">
        <f>NonLCRTemplate!D149</f>
        <v>42.16</v>
      </c>
      <c r="D161" s="12">
        <v>1</v>
      </c>
      <c r="E161" s="27">
        <f t="shared" si="5"/>
        <v>42.16</v>
      </c>
      <c r="F161" s="24"/>
      <c r="G161" s="24"/>
      <c r="H161" s="24"/>
    </row>
    <row r="162" spans="1:9" s="4" customFormat="1" ht="15">
      <c r="A162" s="97">
        <f t="shared" si="4"/>
        <v>98</v>
      </c>
      <c r="B162" s="45" t="s">
        <v>291</v>
      </c>
      <c r="C162" s="27">
        <f>NonLCRTemplate!D150</f>
        <v>0</v>
      </c>
      <c r="D162" s="12">
        <v>1</v>
      </c>
      <c r="E162" s="27">
        <f t="shared" si="5"/>
        <v>0</v>
      </c>
      <c r="F162" s="24"/>
      <c r="G162" s="24"/>
      <c r="H162" s="24"/>
    </row>
    <row r="163" spans="1:9" s="4" customFormat="1">
      <c r="A163" s="96"/>
      <c r="B163" s="38" t="s">
        <v>194</v>
      </c>
      <c r="C163" s="37">
        <v>0</v>
      </c>
      <c r="D163" s="14"/>
      <c r="E163" s="36">
        <f>SUM(E74:E162)</f>
        <v>26764.066899999994</v>
      </c>
      <c r="F163" s="34"/>
      <c r="G163" s="24"/>
      <c r="H163" s="24"/>
    </row>
    <row r="164" spans="1:9" s="4" customFormat="1" ht="15">
      <c r="A164" s="95"/>
      <c r="B164" s="44"/>
      <c r="C164" s="43">
        <v>0</v>
      </c>
      <c r="D164" s="94"/>
      <c r="E164" s="42"/>
      <c r="F164" s="35"/>
      <c r="G164" s="35"/>
      <c r="H164" s="35"/>
      <c r="I164" s="41"/>
    </row>
    <row r="165" spans="1:9" s="4" customFormat="1" ht="21">
      <c r="A165" s="88" t="s">
        <v>292</v>
      </c>
      <c r="B165" s="33"/>
      <c r="C165" s="33"/>
      <c r="D165" s="33"/>
      <c r="E165" s="87"/>
    </row>
    <row r="166" spans="1:9" ht="15">
      <c r="A166" s="93"/>
      <c r="C166" s="92"/>
      <c r="D166" s="92"/>
      <c r="E166" s="91"/>
    </row>
    <row r="167" spans="1:9" s="4" customFormat="1" ht="15">
      <c r="A167" s="90">
        <f>A162+1</f>
        <v>99</v>
      </c>
      <c r="B167" s="39" t="s">
        <v>293</v>
      </c>
      <c r="C167" s="40">
        <f>NonLCRTemplate!D155</f>
        <v>108.99000000000001</v>
      </c>
      <c r="D167" s="12">
        <v>1</v>
      </c>
      <c r="E167" s="27">
        <f>C167*D167</f>
        <v>108.99000000000001</v>
      </c>
    </row>
    <row r="168" spans="1:9" s="4" customFormat="1" ht="15">
      <c r="A168" s="90">
        <f t="shared" ref="A168:A200" si="6">A167+1</f>
        <v>100</v>
      </c>
      <c r="B168" s="39" t="s">
        <v>294</v>
      </c>
      <c r="C168" s="27">
        <f>NonLCRTemplate!D156</f>
        <v>0</v>
      </c>
      <c r="D168" s="12">
        <v>0.5</v>
      </c>
      <c r="E168" s="27">
        <f>C168*D168</f>
        <v>0</v>
      </c>
    </row>
    <row r="169" spans="1:9" s="4" customFormat="1" ht="15">
      <c r="A169" s="90">
        <f t="shared" si="6"/>
        <v>101</v>
      </c>
      <c r="B169" s="39" t="s">
        <v>294</v>
      </c>
      <c r="C169" s="27">
        <f>NonLCRTemplate!D157</f>
        <v>0.35</v>
      </c>
      <c r="D169" s="12">
        <v>0.5</v>
      </c>
      <c r="E169" s="27">
        <f>C169*D169</f>
        <v>0.17499999999999999</v>
      </c>
    </row>
    <row r="170" spans="1:9" s="4" customFormat="1" ht="15">
      <c r="A170" s="90">
        <f t="shared" si="6"/>
        <v>102</v>
      </c>
      <c r="B170" s="39" t="s">
        <v>295</v>
      </c>
      <c r="C170" s="27">
        <f>NonLCRTemplate!D158</f>
        <v>382.07</v>
      </c>
      <c r="D170" s="12">
        <v>1</v>
      </c>
      <c r="E170" s="27">
        <f>C170*D170</f>
        <v>382.07</v>
      </c>
    </row>
    <row r="171" spans="1:9" s="4" customFormat="1" ht="15">
      <c r="A171" s="90">
        <f t="shared" si="6"/>
        <v>103</v>
      </c>
      <c r="B171" s="39" t="s">
        <v>295</v>
      </c>
      <c r="C171" s="27">
        <f>NonLCRTemplate!D159</f>
        <v>0</v>
      </c>
      <c r="D171" s="12">
        <v>1</v>
      </c>
      <c r="E171" s="27">
        <f>C171*D171</f>
        <v>0</v>
      </c>
    </row>
    <row r="172" spans="1:9" s="4" customFormat="1" ht="15">
      <c r="A172" s="90">
        <f t="shared" si="6"/>
        <v>104</v>
      </c>
      <c r="B172" s="39" t="s">
        <v>295</v>
      </c>
      <c r="C172" s="27">
        <f>NonLCRTemplate!D160</f>
        <v>302.27</v>
      </c>
      <c r="D172" s="12">
        <v>1</v>
      </c>
      <c r="E172" s="27"/>
    </row>
    <row r="173" spans="1:9" s="4" customFormat="1" ht="15">
      <c r="A173" s="90">
        <f t="shared" si="6"/>
        <v>105</v>
      </c>
      <c r="B173" s="39" t="s">
        <v>296</v>
      </c>
      <c r="C173" s="27">
        <f>NonLCRTemplate!D161</f>
        <v>94.259999999999991</v>
      </c>
      <c r="D173" s="12">
        <v>0.5</v>
      </c>
      <c r="E173" s="27">
        <f t="shared" ref="E173:E200" si="7">C173*D173</f>
        <v>47.129999999999995</v>
      </c>
    </row>
    <row r="174" spans="1:9" s="4" customFormat="1" ht="15">
      <c r="A174" s="90">
        <f t="shared" si="6"/>
        <v>106</v>
      </c>
      <c r="B174" s="39" t="s">
        <v>296</v>
      </c>
      <c r="C174" s="27">
        <f>NonLCRTemplate!D162</f>
        <v>257.36</v>
      </c>
      <c r="D174" s="12">
        <v>0.5</v>
      </c>
      <c r="E174" s="27">
        <f t="shared" si="7"/>
        <v>128.68</v>
      </c>
    </row>
    <row r="175" spans="1:9" s="4" customFormat="1" ht="15">
      <c r="A175" s="90">
        <f t="shared" si="6"/>
        <v>107</v>
      </c>
      <c r="B175" s="39" t="s">
        <v>297</v>
      </c>
      <c r="C175" s="27">
        <f>NonLCRTemplate!D163</f>
        <v>0</v>
      </c>
      <c r="D175" s="12">
        <v>1</v>
      </c>
      <c r="E175" s="27">
        <f t="shared" si="7"/>
        <v>0</v>
      </c>
    </row>
    <row r="176" spans="1:9" s="4" customFormat="1" ht="15">
      <c r="A176" s="90">
        <f t="shared" si="6"/>
        <v>108</v>
      </c>
      <c r="B176" s="39" t="s">
        <v>297</v>
      </c>
      <c r="C176" s="27">
        <f>NonLCRTemplate!D164</f>
        <v>0</v>
      </c>
      <c r="D176" s="12">
        <v>1</v>
      </c>
      <c r="E176" s="27">
        <f t="shared" si="7"/>
        <v>0</v>
      </c>
    </row>
    <row r="177" spans="1:5" s="4" customFormat="1" ht="15">
      <c r="A177" s="90">
        <f t="shared" si="6"/>
        <v>109</v>
      </c>
      <c r="B177" s="39" t="s">
        <v>298</v>
      </c>
      <c r="C177" s="27">
        <f>NonLCRTemplate!D165</f>
        <v>0</v>
      </c>
      <c r="D177" s="12">
        <v>0</v>
      </c>
      <c r="E177" s="27">
        <f t="shared" si="7"/>
        <v>0</v>
      </c>
    </row>
    <row r="178" spans="1:5" s="4" customFormat="1" ht="15">
      <c r="A178" s="90">
        <f t="shared" si="6"/>
        <v>110</v>
      </c>
      <c r="B178" s="39" t="s">
        <v>299</v>
      </c>
      <c r="C178" s="27">
        <f>NonLCRTemplate!D166</f>
        <v>0</v>
      </c>
      <c r="D178" s="12">
        <v>1</v>
      </c>
      <c r="E178" s="27">
        <f t="shared" si="7"/>
        <v>0</v>
      </c>
    </row>
    <row r="179" spans="1:5" s="4" customFormat="1" ht="15">
      <c r="A179" s="90">
        <f t="shared" si="6"/>
        <v>111</v>
      </c>
      <c r="B179" s="39" t="s">
        <v>299</v>
      </c>
      <c r="C179" s="27">
        <f>NonLCRTemplate!D167</f>
        <v>0</v>
      </c>
      <c r="D179" s="12">
        <v>1</v>
      </c>
      <c r="E179" s="27">
        <f t="shared" si="7"/>
        <v>0</v>
      </c>
    </row>
    <row r="180" spans="1:5" s="4" customFormat="1" ht="15">
      <c r="A180" s="90">
        <f t="shared" si="6"/>
        <v>112</v>
      </c>
      <c r="B180" s="39" t="s">
        <v>299</v>
      </c>
      <c r="C180" s="27">
        <f>NonLCRTemplate!D168</f>
        <v>0</v>
      </c>
      <c r="D180" s="12">
        <v>1</v>
      </c>
      <c r="E180" s="27">
        <f t="shared" si="7"/>
        <v>0</v>
      </c>
    </row>
    <row r="181" spans="1:5" s="4" customFormat="1" ht="15">
      <c r="A181" s="90">
        <f t="shared" si="6"/>
        <v>113</v>
      </c>
      <c r="B181" s="39" t="s">
        <v>300</v>
      </c>
      <c r="C181" s="27">
        <f>NonLCRTemplate!D169</f>
        <v>0</v>
      </c>
      <c r="D181" s="12">
        <v>0</v>
      </c>
      <c r="E181" s="27">
        <f t="shared" si="7"/>
        <v>0</v>
      </c>
    </row>
    <row r="182" spans="1:5" s="4" customFormat="1" ht="15">
      <c r="A182" s="90">
        <f t="shared" si="6"/>
        <v>114</v>
      </c>
      <c r="B182" s="39" t="s">
        <v>300</v>
      </c>
      <c r="C182" s="27">
        <f>NonLCRTemplate!D170</f>
        <v>0</v>
      </c>
      <c r="D182" s="12">
        <v>0</v>
      </c>
      <c r="E182" s="27">
        <f t="shared" si="7"/>
        <v>0</v>
      </c>
    </row>
    <row r="183" spans="1:5" s="4" customFormat="1" ht="15">
      <c r="A183" s="90">
        <f t="shared" si="6"/>
        <v>115</v>
      </c>
      <c r="B183" s="39" t="s">
        <v>301</v>
      </c>
      <c r="C183" s="27">
        <f>NonLCRTemplate!D171</f>
        <v>0</v>
      </c>
      <c r="D183" s="12">
        <v>0.15</v>
      </c>
      <c r="E183" s="27">
        <f t="shared" si="7"/>
        <v>0</v>
      </c>
    </row>
    <row r="184" spans="1:5" s="4" customFormat="1" ht="15">
      <c r="A184" s="90">
        <f t="shared" si="6"/>
        <v>116</v>
      </c>
      <c r="B184" s="39" t="s">
        <v>301</v>
      </c>
      <c r="C184" s="27">
        <f>NonLCRTemplate!D172</f>
        <v>0</v>
      </c>
      <c r="D184" s="12">
        <v>0.15</v>
      </c>
      <c r="E184" s="27">
        <f t="shared" si="7"/>
        <v>0</v>
      </c>
    </row>
    <row r="185" spans="1:5" s="4" customFormat="1" ht="15">
      <c r="A185" s="90">
        <f t="shared" si="6"/>
        <v>117</v>
      </c>
      <c r="B185" s="39" t="s">
        <v>302</v>
      </c>
      <c r="C185" s="27">
        <f>NonLCRTemplate!D173</f>
        <v>0</v>
      </c>
      <c r="D185" s="12">
        <v>0.5</v>
      </c>
      <c r="E185" s="27">
        <f t="shared" si="7"/>
        <v>0</v>
      </c>
    </row>
    <row r="186" spans="1:5" s="4" customFormat="1" ht="15">
      <c r="A186" s="90">
        <f t="shared" si="6"/>
        <v>118</v>
      </c>
      <c r="B186" s="39" t="s">
        <v>302</v>
      </c>
      <c r="C186" s="27">
        <f>NonLCRTemplate!D174</f>
        <v>0</v>
      </c>
      <c r="D186" s="12">
        <v>0.5</v>
      </c>
      <c r="E186" s="27">
        <f t="shared" si="7"/>
        <v>0</v>
      </c>
    </row>
    <row r="187" spans="1:5" s="4" customFormat="1" ht="15">
      <c r="A187" s="90">
        <f t="shared" si="6"/>
        <v>119</v>
      </c>
      <c r="B187" s="39" t="s">
        <v>303</v>
      </c>
      <c r="C187" s="27">
        <f>NonLCRTemplate!D175</f>
        <v>0</v>
      </c>
      <c r="D187" s="12">
        <v>1</v>
      </c>
      <c r="E187" s="27">
        <f t="shared" si="7"/>
        <v>0</v>
      </c>
    </row>
    <row r="188" spans="1:5" s="4" customFormat="1" ht="15">
      <c r="A188" s="90">
        <f t="shared" si="6"/>
        <v>120</v>
      </c>
      <c r="B188" s="39" t="s">
        <v>304</v>
      </c>
      <c r="C188" s="27">
        <f>NonLCRTemplate!D176</f>
        <v>0</v>
      </c>
      <c r="D188" s="12">
        <v>0.5</v>
      </c>
      <c r="E188" s="27">
        <f t="shared" si="7"/>
        <v>0</v>
      </c>
    </row>
    <row r="189" spans="1:5" s="4" customFormat="1" ht="15">
      <c r="A189" s="90">
        <f t="shared" si="6"/>
        <v>121</v>
      </c>
      <c r="B189" s="39" t="s">
        <v>305</v>
      </c>
      <c r="C189" s="27">
        <f>NonLCRTemplate!D177</f>
        <v>0</v>
      </c>
      <c r="D189" s="12">
        <v>0</v>
      </c>
      <c r="E189" s="27">
        <f t="shared" si="7"/>
        <v>0</v>
      </c>
    </row>
    <row r="190" spans="1:5" s="4" customFormat="1" ht="15">
      <c r="A190" s="90">
        <f t="shared" si="6"/>
        <v>122</v>
      </c>
      <c r="B190" s="39" t="s">
        <v>306</v>
      </c>
      <c r="C190" s="27">
        <f>NonLCRTemplate!D178</f>
        <v>0</v>
      </c>
      <c r="D190" s="12">
        <v>0</v>
      </c>
      <c r="E190" s="27">
        <f t="shared" si="7"/>
        <v>0</v>
      </c>
    </row>
    <row r="191" spans="1:5" s="4" customFormat="1" ht="15">
      <c r="A191" s="90">
        <f t="shared" si="6"/>
        <v>123</v>
      </c>
      <c r="B191" s="39" t="s">
        <v>307</v>
      </c>
      <c r="C191" s="27">
        <f>NonLCRTemplate!D179</f>
        <v>0</v>
      </c>
      <c r="D191" s="12">
        <v>0.15</v>
      </c>
      <c r="E191" s="27">
        <f t="shared" si="7"/>
        <v>0</v>
      </c>
    </row>
    <row r="192" spans="1:5" s="4" customFormat="1" ht="15">
      <c r="A192" s="90">
        <f t="shared" si="6"/>
        <v>124</v>
      </c>
      <c r="B192" s="39" t="s">
        <v>308</v>
      </c>
      <c r="C192" s="27">
        <f>NonLCRTemplate!D180</f>
        <v>0</v>
      </c>
      <c r="D192" s="12">
        <v>0.5</v>
      </c>
      <c r="E192" s="27">
        <f t="shared" si="7"/>
        <v>0</v>
      </c>
    </row>
    <row r="193" spans="1:9" s="4" customFormat="1" ht="15">
      <c r="A193" s="90">
        <f t="shared" si="6"/>
        <v>125</v>
      </c>
      <c r="B193" s="39" t="s">
        <v>309</v>
      </c>
      <c r="C193" s="27">
        <f>NonLCRTemplate!D181</f>
        <v>0</v>
      </c>
      <c r="D193" s="12">
        <v>1</v>
      </c>
      <c r="E193" s="27">
        <f t="shared" si="7"/>
        <v>0</v>
      </c>
    </row>
    <row r="194" spans="1:9" s="4" customFormat="1" ht="15">
      <c r="A194" s="90">
        <f t="shared" si="6"/>
        <v>126</v>
      </c>
      <c r="B194" s="39" t="s">
        <v>310</v>
      </c>
      <c r="C194" s="27">
        <f>NonLCRTemplate!D182</f>
        <v>0</v>
      </c>
      <c r="D194" s="12">
        <v>0</v>
      </c>
      <c r="E194" s="27">
        <f t="shared" si="7"/>
        <v>0</v>
      </c>
    </row>
    <row r="195" spans="1:9" s="4" customFormat="1" ht="15">
      <c r="A195" s="90">
        <f t="shared" si="6"/>
        <v>127</v>
      </c>
      <c r="B195" s="39" t="s">
        <v>311</v>
      </c>
      <c r="C195" s="27">
        <f>NonLCRTemplate!D183</f>
        <v>0</v>
      </c>
      <c r="D195" s="12">
        <v>0.35</v>
      </c>
      <c r="E195" s="27">
        <f t="shared" si="7"/>
        <v>0</v>
      </c>
    </row>
    <row r="196" spans="1:9" s="4" customFormat="1" ht="15">
      <c r="A196" s="90">
        <f t="shared" si="6"/>
        <v>128</v>
      </c>
      <c r="B196" s="39" t="s">
        <v>312</v>
      </c>
      <c r="C196" s="27">
        <f>NonLCRTemplate!D184</f>
        <v>0</v>
      </c>
      <c r="D196" s="12">
        <v>0.85</v>
      </c>
      <c r="E196" s="27">
        <f t="shared" si="7"/>
        <v>0</v>
      </c>
    </row>
    <row r="197" spans="1:9" s="4" customFormat="1" ht="15">
      <c r="A197" s="90">
        <f t="shared" si="6"/>
        <v>129</v>
      </c>
      <c r="B197" s="39" t="s">
        <v>313</v>
      </c>
      <c r="C197" s="27">
        <f>NonLCRTemplate!D185</f>
        <v>0</v>
      </c>
      <c r="D197" s="12">
        <v>0</v>
      </c>
      <c r="E197" s="27">
        <f t="shared" si="7"/>
        <v>0</v>
      </c>
    </row>
    <row r="198" spans="1:9" s="4" customFormat="1" ht="15">
      <c r="A198" s="90">
        <f t="shared" si="6"/>
        <v>130</v>
      </c>
      <c r="B198" s="39" t="s">
        <v>314</v>
      </c>
      <c r="C198" s="27">
        <f>NonLCRTemplate!D186</f>
        <v>0</v>
      </c>
      <c r="D198" s="12">
        <v>0.5</v>
      </c>
      <c r="E198" s="27">
        <f t="shared" si="7"/>
        <v>0</v>
      </c>
    </row>
    <row r="199" spans="1:9" s="4" customFormat="1" ht="15">
      <c r="A199" s="90">
        <f t="shared" si="6"/>
        <v>131</v>
      </c>
      <c r="B199" s="39" t="s">
        <v>315</v>
      </c>
      <c r="C199" s="27">
        <f>NonLCRTemplate!D187</f>
        <v>0</v>
      </c>
      <c r="D199" s="12">
        <v>1</v>
      </c>
      <c r="E199" s="27">
        <f t="shared" si="7"/>
        <v>0</v>
      </c>
    </row>
    <row r="200" spans="1:9" s="4" customFormat="1" ht="15">
      <c r="A200" s="90">
        <f t="shared" si="6"/>
        <v>132</v>
      </c>
      <c r="B200" s="39" t="s">
        <v>316</v>
      </c>
      <c r="C200" s="27">
        <f>NonLCRTemplate!D188</f>
        <v>0.27</v>
      </c>
      <c r="D200" s="12">
        <v>0</v>
      </c>
      <c r="E200" s="27">
        <f t="shared" si="7"/>
        <v>0</v>
      </c>
    </row>
    <row r="201" spans="1:9" ht="15">
      <c r="A201" s="89"/>
      <c r="B201" s="38" t="s">
        <v>195</v>
      </c>
      <c r="C201" s="37"/>
      <c r="D201" s="14"/>
      <c r="E201" s="36">
        <f>SUM(E167:E200)</f>
        <v>667.04500000000007</v>
      </c>
      <c r="F201" s="35"/>
      <c r="G201" s="35"/>
      <c r="H201" s="35"/>
      <c r="I201" s="34"/>
    </row>
    <row r="202" spans="1:9">
      <c r="D202" s="24"/>
    </row>
    <row r="203" spans="1:9" ht="23.25">
      <c r="A203" s="88" t="s">
        <v>411</v>
      </c>
      <c r="B203" s="33"/>
      <c r="C203" s="33"/>
      <c r="D203" s="33"/>
      <c r="E203" s="87"/>
    </row>
    <row r="204" spans="1:9">
      <c r="B204" s="29"/>
      <c r="C204" s="29"/>
      <c r="D204" s="29"/>
      <c r="E204" s="29"/>
    </row>
    <row r="205" spans="1:9" ht="15">
      <c r="A205" s="205" t="s">
        <v>225</v>
      </c>
      <c r="B205" s="30" t="s">
        <v>317</v>
      </c>
      <c r="C205" s="27">
        <f>NonLCRTemplate!D193</f>
        <v>0</v>
      </c>
      <c r="D205" s="15">
        <v>0.4</v>
      </c>
      <c r="E205" s="27">
        <f>C205*D205</f>
        <v>0</v>
      </c>
    </row>
    <row r="206" spans="1:9" ht="15">
      <c r="A206" s="206"/>
      <c r="B206" s="30" t="s">
        <v>318</v>
      </c>
      <c r="C206" s="27">
        <f>NonLCRTemplate!D194</f>
        <v>0</v>
      </c>
      <c r="D206" s="15">
        <v>0.25</v>
      </c>
      <c r="E206" s="27">
        <f>C206*D206</f>
        <v>0</v>
      </c>
    </row>
    <row r="207" spans="1:9" ht="15">
      <c r="A207" s="207"/>
      <c r="B207" s="28" t="s">
        <v>319</v>
      </c>
      <c r="C207" s="27">
        <f>NonLCRTemplate!D195</f>
        <v>0</v>
      </c>
      <c r="D207" s="13">
        <v>1</v>
      </c>
      <c r="E207" s="27">
        <f>C207*D207</f>
        <v>0</v>
      </c>
    </row>
    <row r="208" spans="1:9">
      <c r="A208" s="86"/>
      <c r="C208" s="29"/>
      <c r="D208" s="29"/>
      <c r="E208" s="29"/>
    </row>
    <row r="209" spans="1:5" ht="15">
      <c r="A209" s="205" t="s">
        <v>292</v>
      </c>
      <c r="B209" s="28" t="s">
        <v>320</v>
      </c>
      <c r="C209" s="27">
        <f>NonLCRTemplate!D197</f>
        <v>0</v>
      </c>
      <c r="D209" s="10">
        <v>1</v>
      </c>
      <c r="E209" s="27">
        <f>C209*D209</f>
        <v>0</v>
      </c>
    </row>
    <row r="210" spans="1:5" ht="15">
      <c r="A210" s="208"/>
      <c r="B210" s="28" t="s">
        <v>321</v>
      </c>
      <c r="C210" s="27">
        <f>NonLCRTemplate!D198</f>
        <v>0</v>
      </c>
      <c r="D210" s="12">
        <v>0.5</v>
      </c>
      <c r="E210" s="27">
        <f>C210*D210</f>
        <v>0</v>
      </c>
    </row>
    <row r="211" spans="1:5">
      <c r="D211" s="24"/>
    </row>
    <row r="212" spans="1:5" ht="15.75">
      <c r="A212" s="26" t="s">
        <v>322</v>
      </c>
      <c r="D212" s="24"/>
    </row>
    <row r="213" spans="1:5">
      <c r="A213" s="85" t="s">
        <v>323</v>
      </c>
      <c r="D213" s="24"/>
    </row>
    <row r="214" spans="1:5">
      <c r="A214" s="25" t="s">
        <v>324</v>
      </c>
      <c r="D214" s="24"/>
    </row>
    <row r="215" spans="1:5">
      <c r="D215" s="24"/>
    </row>
    <row r="216" spans="1:5">
      <c r="D216" s="24"/>
    </row>
    <row r="217" spans="1:5">
      <c r="D217" s="24"/>
    </row>
    <row r="218" spans="1:5">
      <c r="D218" s="24"/>
    </row>
    <row r="219" spans="1:5">
      <c r="D219" s="24"/>
    </row>
    <row r="220" spans="1:5">
      <c r="D220" s="24"/>
    </row>
    <row r="221" spans="1:5">
      <c r="D221" s="24"/>
    </row>
    <row r="222" spans="1:5">
      <c r="D222" s="24"/>
    </row>
    <row r="223" spans="1:5">
      <c r="D223" s="24"/>
    </row>
    <row r="224" spans="1:5">
      <c r="D224" s="24"/>
    </row>
    <row r="225" spans="4:4">
      <c r="D225" s="24"/>
    </row>
    <row r="226" spans="4:4">
      <c r="D226" s="24"/>
    </row>
    <row r="227" spans="4:4">
      <c r="D227" s="24"/>
    </row>
    <row r="228" spans="4:4">
      <c r="D228" s="24"/>
    </row>
    <row r="229" spans="4:4">
      <c r="D229" s="24"/>
    </row>
    <row r="242" spans="4:4">
      <c r="D242" s="24"/>
    </row>
  </sheetData>
  <mergeCells count="3">
    <mergeCell ref="A205:A207"/>
    <mergeCell ref="A209:A210"/>
    <mergeCell ref="B5:E5"/>
  </mergeCells>
  <conditionalFormatting sqref="C201:E201 C20:E21 C22:D24 D110:D118">
    <cfRule type="expression" dxfId="383" priority="496">
      <formula>#REF!="Weight chg"</formula>
    </cfRule>
    <cfRule type="expression" dxfId="382" priority="497">
      <formula>#REF!="BCBS only"</formula>
    </cfRule>
    <cfRule type="expression" dxfId="381" priority="498">
      <formula>#REF!="US NPR"</formula>
    </cfRule>
  </conditionalFormatting>
  <conditionalFormatting sqref="B164 B175:B201 D175:D200 G204:H207 B17:B24 E11:E15 B71 E71 D119:D121 B110:B121 E167:E200 C74:C161 E74:E161 B167:D173 F119:G121 F164:H164 F201:H201">
    <cfRule type="expression" dxfId="380" priority="499">
      <formula>#REF!="Weight chg"</formula>
    </cfRule>
    <cfRule type="expression" dxfId="379" priority="500">
      <formula>#REF!="BCBS only"</formula>
    </cfRule>
    <cfRule type="expression" dxfId="378" priority="501">
      <formula>#REF!="US NPR"</formula>
    </cfRule>
  </conditionalFormatting>
  <conditionalFormatting sqref="D217">
    <cfRule type="expression" dxfId="377" priority="478">
      <formula>#REF!="Weight chg"</formula>
    </cfRule>
    <cfRule type="expression" dxfId="376" priority="479">
      <formula>#REF!="BCBS only"</formula>
    </cfRule>
    <cfRule type="expression" dxfId="375" priority="480">
      <formula>#REF!="US NPR"</formula>
    </cfRule>
  </conditionalFormatting>
  <conditionalFormatting sqref="C202 C211:C1048576 B47 B73 B55 B63 C204">
    <cfRule type="expression" dxfId="374" priority="493">
      <formula>#REF!="Weight chg"</formula>
    </cfRule>
    <cfRule type="expression" dxfId="373" priority="494">
      <formula>#REF!="BCBS only"</formula>
    </cfRule>
    <cfRule type="expression" dxfId="372" priority="495">
      <formula>#REF!="US NPR"</formula>
    </cfRule>
  </conditionalFormatting>
  <conditionalFormatting sqref="C164">
    <cfRule type="expression" dxfId="371" priority="487">
      <formula>#REF!="Weight chg"</formula>
    </cfRule>
    <cfRule type="expression" dxfId="370" priority="488">
      <formula>#REF!="BCBS only"</formula>
    </cfRule>
    <cfRule type="expression" dxfId="369" priority="489">
      <formula>#REF!="US NPR"</formula>
    </cfRule>
  </conditionalFormatting>
  <conditionalFormatting sqref="F203 D202">
    <cfRule type="expression" dxfId="368" priority="484">
      <formula>#REF!="Weight chg"</formula>
    </cfRule>
    <cfRule type="expression" dxfId="367" priority="485">
      <formula>#REF!="BCBS only"</formula>
    </cfRule>
    <cfRule type="expression" dxfId="366" priority="486">
      <formula>#REF!="US NPR"</formula>
    </cfRule>
  </conditionalFormatting>
  <conditionalFormatting sqref="D164">
    <cfRule type="expression" dxfId="365" priority="490">
      <formula>#REF!="Weight chg"</formula>
    </cfRule>
    <cfRule type="expression" dxfId="364" priority="491">
      <formula>#REF!="BCBS only"</formula>
    </cfRule>
    <cfRule type="expression" dxfId="363" priority="492">
      <formula>#REF!="US NPR"</formula>
    </cfRule>
  </conditionalFormatting>
  <conditionalFormatting sqref="D215:E215">
    <cfRule type="expression" dxfId="362" priority="475">
      <formula>#REF!="Weight chg"</formula>
    </cfRule>
    <cfRule type="expression" dxfId="361" priority="476">
      <formula>#REF!="BCBS only"</formula>
    </cfRule>
    <cfRule type="expression" dxfId="360" priority="477">
      <formula>#REF!="US NPR"</formula>
    </cfRule>
  </conditionalFormatting>
  <conditionalFormatting sqref="D214">
    <cfRule type="expression" dxfId="359" priority="481">
      <formula>#REF!="Weight chg"</formula>
    </cfRule>
    <cfRule type="expression" dxfId="358" priority="482">
      <formula>#REF!="BCBS only"</formula>
    </cfRule>
    <cfRule type="expression" dxfId="357" priority="483">
      <formula>#REF!="US NPR"</formula>
    </cfRule>
  </conditionalFormatting>
  <conditionalFormatting sqref="D219:E219">
    <cfRule type="expression" dxfId="356" priority="472">
      <formula>#REF!="Weight chg"</formula>
    </cfRule>
    <cfRule type="expression" dxfId="355" priority="473">
      <formula>#REF!="BCBS only"</formula>
    </cfRule>
    <cfRule type="expression" dxfId="354" priority="474">
      <formula>#REF!="US NPR"</formula>
    </cfRule>
  </conditionalFormatting>
  <conditionalFormatting sqref="E164">
    <cfRule type="expression" dxfId="353" priority="469">
      <formula>#REF!="Weight chg"</formula>
    </cfRule>
    <cfRule type="expression" dxfId="352" priority="470">
      <formula>#REF!="BCBS only"</formula>
    </cfRule>
    <cfRule type="expression" dxfId="351" priority="471">
      <formula>#REF!="US NPR"</formula>
    </cfRule>
  </conditionalFormatting>
  <conditionalFormatting sqref="C73">
    <cfRule type="expression" dxfId="350" priority="451">
      <formula>#REF!="Weight chg"</formula>
    </cfRule>
    <cfRule type="expression" dxfId="349" priority="452">
      <formula>#REF!="BCBS only"</formula>
    </cfRule>
    <cfRule type="expression" dxfId="348" priority="453">
      <formula>#REF!="US NPR"</formula>
    </cfRule>
  </conditionalFormatting>
  <conditionalFormatting sqref="F115:G115">
    <cfRule type="expression" dxfId="347" priority="460">
      <formula>#REF!="Weight chg"</formula>
    </cfRule>
    <cfRule type="expression" dxfId="346" priority="461">
      <formula>#REF!="BCBS only"</formula>
    </cfRule>
    <cfRule type="expression" dxfId="345" priority="462">
      <formula>#REF!="US NPR"</formula>
    </cfRule>
  </conditionalFormatting>
  <conditionalFormatting sqref="F116:G118">
    <cfRule type="expression" dxfId="344" priority="466">
      <formula>#REF!="Weight chg"</formula>
    </cfRule>
    <cfRule type="expression" dxfId="343" priority="467">
      <formula>#REF!="BCBS only"</formula>
    </cfRule>
    <cfRule type="expression" dxfId="342" priority="468">
      <formula>#REF!="US NPR"</formula>
    </cfRule>
  </conditionalFormatting>
  <conditionalFormatting sqref="F113:G114">
    <cfRule type="expression" dxfId="341" priority="463">
      <formula>#REF!="Weight chg"</formula>
    </cfRule>
    <cfRule type="expression" dxfId="340" priority="464">
      <formula>#REF!="BCBS only"</formula>
    </cfRule>
    <cfRule type="expression" dxfId="339" priority="465">
      <formula>#REF!="US NPR"</formula>
    </cfRule>
  </conditionalFormatting>
  <conditionalFormatting sqref="E73">
    <cfRule type="expression" dxfId="338" priority="448">
      <formula>#REF!="Weight chg"</formula>
    </cfRule>
    <cfRule type="expression" dxfId="337" priority="449">
      <formula>#REF!="BCBS only"</formula>
    </cfRule>
    <cfRule type="expression" dxfId="336" priority="450">
      <formula>#REF!="US NPR"</formula>
    </cfRule>
  </conditionalFormatting>
  <conditionalFormatting sqref="D204">
    <cfRule type="expression" dxfId="335" priority="457">
      <formula>#REF!="Weight chg"</formula>
    </cfRule>
    <cfRule type="expression" dxfId="334" priority="458">
      <formula>#REF!="BCBS only"</formula>
    </cfRule>
    <cfRule type="expression" dxfId="333" priority="459">
      <formula>#REF!="US NPR"</formula>
    </cfRule>
  </conditionalFormatting>
  <conditionalFormatting sqref="D73">
    <cfRule type="expression" dxfId="332" priority="445">
      <formula>#REF!="Weight chg"</formula>
    </cfRule>
    <cfRule type="expression" dxfId="331" priority="446">
      <formula>#REF!="BCBS only"</formula>
    </cfRule>
    <cfRule type="expression" dxfId="330" priority="447">
      <formula>#REF!="US NPR"</formula>
    </cfRule>
  </conditionalFormatting>
  <conditionalFormatting sqref="C71:D71">
    <cfRule type="expression" dxfId="329" priority="442">
      <formula>#REF!="Weight chg"</formula>
    </cfRule>
    <cfRule type="expression" dxfId="328" priority="443">
      <formula>#REF!="BCBS only"</formula>
    </cfRule>
    <cfRule type="expression" dxfId="327" priority="444">
      <formula>#REF!="US NPR"</formula>
    </cfRule>
  </conditionalFormatting>
  <conditionalFormatting sqref="E202">
    <cfRule type="expression" dxfId="326" priority="454">
      <formula>#REF!="Weight chg"</formula>
    </cfRule>
    <cfRule type="expression" dxfId="325" priority="455">
      <formula>#REF!="BCBS only"</formula>
    </cfRule>
    <cfRule type="expression" dxfId="324" priority="456">
      <formula>#REF!="US NPR"</formula>
    </cfRule>
  </conditionalFormatting>
  <conditionalFormatting sqref="E217">
    <cfRule type="expression" dxfId="323" priority="436">
      <formula>#REF!="Weight chg"</formula>
    </cfRule>
    <cfRule type="expression" dxfId="322" priority="437">
      <formula>#REF!="BCBS only"</formula>
    </cfRule>
    <cfRule type="expression" dxfId="321" priority="438">
      <formula>#REF!="US NPR"</formula>
    </cfRule>
  </conditionalFormatting>
  <conditionalFormatting sqref="E214">
    <cfRule type="expression" dxfId="320" priority="439">
      <formula>#REF!="Weight chg"</formula>
    </cfRule>
    <cfRule type="expression" dxfId="319" priority="440">
      <formula>#REF!="BCBS only"</formula>
    </cfRule>
    <cfRule type="expression" dxfId="318" priority="441">
      <formula>#REF!="US NPR"</formula>
    </cfRule>
  </conditionalFormatting>
  <conditionalFormatting sqref="D47:D50 D55:D58 D63">
    <cfRule type="expression" dxfId="317" priority="433">
      <formula>#REF!="Weight chg"</formula>
    </cfRule>
    <cfRule type="expression" dxfId="316" priority="434">
      <formula>#REF!="BCBS only"</formula>
    </cfRule>
    <cfRule type="expression" dxfId="315" priority="435">
      <formula>#REF!="US NPR"</formula>
    </cfRule>
  </conditionalFormatting>
  <conditionalFormatting sqref="B29:B32">
    <cfRule type="expression" dxfId="314" priority="424">
      <formula>#REF!="Weight chg"</formula>
    </cfRule>
    <cfRule type="expression" dxfId="313" priority="425">
      <formula>#REF!="BCBS only"</formula>
    </cfRule>
    <cfRule type="expression" dxfId="312" priority="426">
      <formula>#REF!="US NPR"</formula>
    </cfRule>
  </conditionalFormatting>
  <conditionalFormatting sqref="B33">
    <cfRule type="expression" dxfId="311" priority="418">
      <formula>#REF!="Weight chg"</formula>
    </cfRule>
    <cfRule type="expression" dxfId="310" priority="419">
      <formula>#REF!="BCBS only"</formula>
    </cfRule>
    <cfRule type="expression" dxfId="309" priority="420">
      <formula>#REF!="US NPR"</formula>
    </cfRule>
  </conditionalFormatting>
  <conditionalFormatting sqref="B34:B37">
    <cfRule type="expression" dxfId="308" priority="412">
      <formula>#REF!="Weight chg"</formula>
    </cfRule>
    <cfRule type="expression" dxfId="307" priority="413">
      <formula>#REF!="BCBS only"</formula>
    </cfRule>
    <cfRule type="expression" dxfId="306" priority="414">
      <formula>#REF!="US NPR"</formula>
    </cfRule>
  </conditionalFormatting>
  <conditionalFormatting sqref="C46:D46">
    <cfRule type="expression" dxfId="305" priority="394">
      <formula>#REF!="Weight chg"</formula>
    </cfRule>
    <cfRule type="expression" dxfId="304" priority="395">
      <formula>#REF!="BCBS only"</formula>
    </cfRule>
    <cfRule type="expression" dxfId="303" priority="396">
      <formula>#REF!="US NPR"</formula>
    </cfRule>
  </conditionalFormatting>
  <conditionalFormatting sqref="C25:D25">
    <cfRule type="expression" dxfId="302" priority="427">
      <formula>#REF!="Weight chg"</formula>
    </cfRule>
    <cfRule type="expression" dxfId="301" priority="428">
      <formula>#REF!="BCBS only"</formula>
    </cfRule>
    <cfRule type="expression" dxfId="300" priority="429">
      <formula>#REF!="US NPR"</formula>
    </cfRule>
  </conditionalFormatting>
  <conditionalFormatting sqref="B25:B28">
    <cfRule type="expression" dxfId="299" priority="430">
      <formula>#REF!="Weight chg"</formula>
    </cfRule>
    <cfRule type="expression" dxfId="298" priority="431">
      <formula>#REF!="BCBS only"</formula>
    </cfRule>
    <cfRule type="expression" dxfId="297" priority="432">
      <formula>#REF!="US NPR"</formula>
    </cfRule>
  </conditionalFormatting>
  <conditionalFormatting sqref="C29:D29">
    <cfRule type="expression" dxfId="296" priority="421">
      <formula>#REF!="Weight chg"</formula>
    </cfRule>
    <cfRule type="expression" dxfId="295" priority="422">
      <formula>#REF!="BCBS only"</formula>
    </cfRule>
    <cfRule type="expression" dxfId="294" priority="423">
      <formula>#REF!="US NPR"</formula>
    </cfRule>
  </conditionalFormatting>
  <conditionalFormatting sqref="C33:D33">
    <cfRule type="expression" dxfId="293" priority="415">
      <formula>#REF!="Weight chg"</formula>
    </cfRule>
    <cfRule type="expression" dxfId="292" priority="416">
      <formula>#REF!="BCBS only"</formula>
    </cfRule>
    <cfRule type="expression" dxfId="291" priority="417">
      <formula>#REF!="US NPR"</formula>
    </cfRule>
  </conditionalFormatting>
  <conditionalFormatting sqref="C34:D34">
    <cfRule type="expression" dxfId="290" priority="409">
      <formula>#REF!="Weight chg"</formula>
    </cfRule>
    <cfRule type="expression" dxfId="289" priority="410">
      <formula>#REF!="BCBS only"</formula>
    </cfRule>
    <cfRule type="expression" dxfId="288" priority="411">
      <formula>#REF!="US NPR"</formula>
    </cfRule>
  </conditionalFormatting>
  <conditionalFormatting sqref="C38:D38">
    <cfRule type="expression" dxfId="287" priority="403">
      <formula>#REF!="Weight chg"</formula>
    </cfRule>
    <cfRule type="expression" dxfId="286" priority="404">
      <formula>#REF!="BCBS only"</formula>
    </cfRule>
    <cfRule type="expression" dxfId="285" priority="405">
      <formula>#REF!="US NPR"</formula>
    </cfRule>
  </conditionalFormatting>
  <conditionalFormatting sqref="B38:B41">
    <cfRule type="expression" dxfId="284" priority="406">
      <formula>#REF!="Weight chg"</formula>
    </cfRule>
    <cfRule type="expression" dxfId="283" priority="407">
      <formula>#REF!="BCBS only"</formula>
    </cfRule>
    <cfRule type="expression" dxfId="282" priority="408">
      <formula>#REF!="US NPR"</formula>
    </cfRule>
  </conditionalFormatting>
  <conditionalFormatting sqref="C42:D42">
    <cfRule type="expression" dxfId="281" priority="397">
      <formula>#REF!="Weight chg"</formula>
    </cfRule>
    <cfRule type="expression" dxfId="280" priority="398">
      <formula>#REF!="BCBS only"</formula>
    </cfRule>
    <cfRule type="expression" dxfId="279" priority="399">
      <formula>#REF!="US NPR"</formula>
    </cfRule>
  </conditionalFormatting>
  <conditionalFormatting sqref="B42:B45">
    <cfRule type="expression" dxfId="278" priority="400">
      <formula>#REF!="Weight chg"</formula>
    </cfRule>
    <cfRule type="expression" dxfId="277" priority="401">
      <formula>#REF!="BCBS only"</formula>
    </cfRule>
    <cfRule type="expression" dxfId="276" priority="402">
      <formula>#REF!="US NPR"</formula>
    </cfRule>
  </conditionalFormatting>
  <conditionalFormatting sqref="B74:B109">
    <cfRule type="expression" dxfId="275" priority="388">
      <formula>#REF!="Weight chg"</formula>
    </cfRule>
    <cfRule type="expression" dxfId="274" priority="389">
      <formula>#REF!="BCBS only"</formula>
    </cfRule>
    <cfRule type="expression" dxfId="273" priority="390">
      <formula>#REF!="US NPR"</formula>
    </cfRule>
  </conditionalFormatting>
  <conditionalFormatting sqref="B72">
    <cfRule type="expression" dxfId="272" priority="391">
      <formula>#REF!="Weight chg"</formula>
    </cfRule>
    <cfRule type="expression" dxfId="271" priority="392">
      <formula>#REF!="BCBS only"</formula>
    </cfRule>
    <cfRule type="expression" dxfId="270" priority="393">
      <formula>#REF!="US NPR"</formula>
    </cfRule>
  </conditionalFormatting>
  <conditionalFormatting sqref="D74:D109">
    <cfRule type="expression" dxfId="269" priority="385">
      <formula>#REF!="Weight chg"</formula>
    </cfRule>
    <cfRule type="expression" dxfId="268" priority="386">
      <formula>#REF!="BCBS only"</formula>
    </cfRule>
    <cfRule type="expression" dxfId="267" priority="387">
      <formula>#REF!="US NPR"</formula>
    </cfRule>
  </conditionalFormatting>
  <conditionalFormatting sqref="B122:B161">
    <cfRule type="expression" dxfId="266" priority="382">
      <formula>#REF!="Weight chg"</formula>
    </cfRule>
    <cfRule type="expression" dxfId="265" priority="383">
      <formula>#REF!="BCBS only"</formula>
    </cfRule>
    <cfRule type="expression" dxfId="264" priority="384">
      <formula>#REF!="US NPR"</formula>
    </cfRule>
  </conditionalFormatting>
  <conditionalFormatting sqref="D122:D160">
    <cfRule type="expression" dxfId="263" priority="379">
      <formula>#REF!="Weight chg"</formula>
    </cfRule>
    <cfRule type="expression" dxfId="262" priority="380">
      <formula>#REF!="BCBS only"</formula>
    </cfRule>
    <cfRule type="expression" dxfId="261" priority="381">
      <formula>#REF!="US NPR"</formula>
    </cfRule>
  </conditionalFormatting>
  <conditionalFormatting sqref="B166">
    <cfRule type="expression" dxfId="260" priority="376">
      <formula>#REF!="Weight chg"</formula>
    </cfRule>
    <cfRule type="expression" dxfId="259" priority="377">
      <formula>#REF!="BCBS only"</formula>
    </cfRule>
    <cfRule type="expression" dxfId="258" priority="378">
      <formula>#REF!="US NPR"</formula>
    </cfRule>
  </conditionalFormatting>
  <conditionalFormatting sqref="C166">
    <cfRule type="expression" dxfId="257" priority="373">
      <formula>#REF!="Weight chg"</formula>
    </cfRule>
    <cfRule type="expression" dxfId="256" priority="374">
      <formula>#REF!="BCBS only"</formula>
    </cfRule>
    <cfRule type="expression" dxfId="255" priority="375">
      <formula>#REF!="US NPR"</formula>
    </cfRule>
  </conditionalFormatting>
  <conditionalFormatting sqref="E166">
    <cfRule type="expression" dxfId="254" priority="370">
      <formula>#REF!="Weight chg"</formula>
    </cfRule>
    <cfRule type="expression" dxfId="253" priority="371">
      <formula>#REF!="BCBS only"</formula>
    </cfRule>
    <cfRule type="expression" dxfId="252" priority="372">
      <formula>#REF!="US NPR"</formula>
    </cfRule>
  </conditionalFormatting>
  <conditionalFormatting sqref="D166">
    <cfRule type="expression" dxfId="251" priority="367">
      <formula>#REF!="Weight chg"</formula>
    </cfRule>
    <cfRule type="expression" dxfId="250" priority="368">
      <formula>#REF!="BCBS only"</formula>
    </cfRule>
    <cfRule type="expression" dxfId="249" priority="369">
      <formula>#REF!="US NPR"</formula>
    </cfRule>
  </conditionalFormatting>
  <conditionalFormatting sqref="B165">
    <cfRule type="expression" dxfId="248" priority="364">
      <formula>#REF!="Weight chg"</formula>
    </cfRule>
    <cfRule type="expression" dxfId="247" priority="365">
      <formula>#REF!="BCBS only"</formula>
    </cfRule>
    <cfRule type="expression" dxfId="246" priority="366">
      <formula>#REF!="US NPR"</formula>
    </cfRule>
  </conditionalFormatting>
  <conditionalFormatting sqref="C2:E3">
    <cfRule type="expression" dxfId="245" priority="361">
      <formula>#REF!="Weight chg"</formula>
    </cfRule>
    <cfRule type="expression" dxfId="244" priority="362">
      <formula>#REF!="BCBS only"</formula>
    </cfRule>
    <cfRule type="expression" dxfId="243" priority="363">
      <formula>#REF!="US NPR"</formula>
    </cfRule>
  </conditionalFormatting>
  <conditionalFormatting sqref="B174 D174">
    <cfRule type="expression" dxfId="242" priority="352">
      <formula>#REF!="Weight chg"</formula>
    </cfRule>
    <cfRule type="expression" dxfId="241" priority="353">
      <formula>#REF!="BCBS only"</formula>
    </cfRule>
    <cfRule type="expression" dxfId="240" priority="354">
      <formula>#REF!="US NPR"</formula>
    </cfRule>
  </conditionalFormatting>
  <conditionalFormatting sqref="C174">
    <cfRule type="expression" dxfId="239" priority="349">
      <formula>#REF!="Weight chg"</formula>
    </cfRule>
    <cfRule type="expression" dxfId="238" priority="350">
      <formula>#REF!="BCBS only"</formula>
    </cfRule>
    <cfRule type="expression" dxfId="237" priority="351">
      <formula>#REF!="US NPR"</formula>
    </cfRule>
  </conditionalFormatting>
  <conditionalFormatting sqref="B48:B50">
    <cfRule type="expression" dxfId="236" priority="346">
      <formula>#REF!="Weight chg"</formula>
    </cfRule>
    <cfRule type="expression" dxfId="235" priority="347">
      <formula>#REF!="BCBS only"</formula>
    </cfRule>
    <cfRule type="expression" dxfId="234" priority="348">
      <formula>#REF!="US NPR"</formula>
    </cfRule>
  </conditionalFormatting>
  <conditionalFormatting sqref="B46">
    <cfRule type="expression" dxfId="233" priority="343">
      <formula>#REF!="Weight chg"</formula>
    </cfRule>
    <cfRule type="expression" dxfId="232" priority="344">
      <formula>#REF!="BCBS only"</formula>
    </cfRule>
    <cfRule type="expression" dxfId="231" priority="345">
      <formula>#REF!="US NPR"</formula>
    </cfRule>
  </conditionalFormatting>
  <conditionalFormatting sqref="C47">
    <cfRule type="expression" dxfId="230" priority="358">
      <formula>#REF!="Weight chg"</formula>
    </cfRule>
    <cfRule type="expression" dxfId="229" priority="359">
      <formula>#REF!="BCBS only"</formula>
    </cfRule>
    <cfRule type="expression" dxfId="228" priority="360">
      <formula>#REF!="US NPR"</formula>
    </cfRule>
  </conditionalFormatting>
  <conditionalFormatting sqref="C175:C200">
    <cfRule type="expression" dxfId="227" priority="355">
      <formula>#REF!="Weight chg"</formula>
    </cfRule>
    <cfRule type="expression" dxfId="226" priority="356">
      <formula>#REF!="BCBS only"</formula>
    </cfRule>
    <cfRule type="expression" dxfId="225" priority="357">
      <formula>#REF!="US NPR"</formula>
    </cfRule>
  </conditionalFormatting>
  <conditionalFormatting sqref="B51">
    <cfRule type="expression" dxfId="224" priority="340">
      <formula>#REF!="Weight chg"</formula>
    </cfRule>
    <cfRule type="expression" dxfId="223" priority="341">
      <formula>#REF!="BCBS only"</formula>
    </cfRule>
    <cfRule type="expression" dxfId="222" priority="342">
      <formula>#REF!="US NPR"</formula>
    </cfRule>
  </conditionalFormatting>
  <conditionalFormatting sqref="D51:D54">
    <cfRule type="expression" dxfId="221" priority="337">
      <formula>#REF!="Weight chg"</formula>
    </cfRule>
    <cfRule type="expression" dxfId="220" priority="338">
      <formula>#REF!="BCBS only"</formula>
    </cfRule>
    <cfRule type="expression" dxfId="219" priority="339">
      <formula>#REF!="US NPR"</formula>
    </cfRule>
  </conditionalFormatting>
  <conditionalFormatting sqref="B52:B54">
    <cfRule type="expression" dxfId="218" priority="334">
      <formula>#REF!="Weight chg"</formula>
    </cfRule>
    <cfRule type="expression" dxfId="217" priority="335">
      <formula>#REF!="BCBS only"</formula>
    </cfRule>
    <cfRule type="expression" dxfId="216" priority="336">
      <formula>#REF!="US NPR"</formula>
    </cfRule>
  </conditionalFormatting>
  <conditionalFormatting sqref="C59">
    <cfRule type="expression" dxfId="215" priority="328">
      <formula>#REF!="Weight chg"</formula>
    </cfRule>
    <cfRule type="expression" dxfId="214" priority="329">
      <formula>#REF!="BCBS only"</formula>
    </cfRule>
    <cfRule type="expression" dxfId="213" priority="330">
      <formula>#REF!="US NPR"</formula>
    </cfRule>
  </conditionalFormatting>
  <conditionalFormatting sqref="D59">
    <cfRule type="expression" dxfId="212" priority="331">
      <formula>#REF!="Weight chg"</formula>
    </cfRule>
    <cfRule type="expression" dxfId="211" priority="332">
      <formula>#REF!="BCBS only"</formula>
    </cfRule>
    <cfRule type="expression" dxfId="210" priority="333">
      <formula>#REF!="US NPR"</formula>
    </cfRule>
  </conditionalFormatting>
  <conditionalFormatting sqref="B67">
    <cfRule type="expression" dxfId="209" priority="325">
      <formula>#REF!="Weight chg"</formula>
    </cfRule>
    <cfRule type="expression" dxfId="208" priority="326">
      <formula>#REF!="BCBS only"</formula>
    </cfRule>
    <cfRule type="expression" dxfId="207" priority="327">
      <formula>#REF!="US NPR"</formula>
    </cfRule>
  </conditionalFormatting>
  <conditionalFormatting sqref="D67">
    <cfRule type="expression" dxfId="206" priority="322">
      <formula>#REF!="Weight chg"</formula>
    </cfRule>
    <cfRule type="expression" dxfId="205" priority="323">
      <formula>#REF!="BCBS only"</formula>
    </cfRule>
    <cfRule type="expression" dxfId="204" priority="324">
      <formula>#REF!="US NPR"</formula>
    </cfRule>
  </conditionalFormatting>
  <conditionalFormatting sqref="D1">
    <cfRule type="expression" dxfId="203" priority="319">
      <formula>#REF!="Weight chg"</formula>
    </cfRule>
    <cfRule type="expression" dxfId="202" priority="320">
      <formula>#REF!="BCBS only"</formula>
    </cfRule>
    <cfRule type="expression" dxfId="201" priority="321">
      <formula>#REF!="US NPR"</formula>
    </cfRule>
  </conditionalFormatting>
  <conditionalFormatting sqref="F1">
    <cfRule type="expression" dxfId="200" priority="316">
      <formula>#REF!="Weight chg"</formula>
    </cfRule>
    <cfRule type="expression" dxfId="199" priority="317">
      <formula>#REF!="BCBS only"</formula>
    </cfRule>
    <cfRule type="expression" dxfId="198" priority="318">
      <formula>#REF!="US NPR"</formula>
    </cfRule>
  </conditionalFormatting>
  <conditionalFormatting sqref="B163">
    <cfRule type="expression" dxfId="197" priority="313">
      <formula>#REF!="Weight chg"</formula>
    </cfRule>
    <cfRule type="expression" dxfId="196" priority="314">
      <formula>#REF!="BCBS only"</formula>
    </cfRule>
    <cfRule type="expression" dxfId="195" priority="315">
      <formula>#REF!="US NPR"</formula>
    </cfRule>
  </conditionalFormatting>
  <conditionalFormatting sqref="C163:E163">
    <cfRule type="expression" dxfId="194" priority="310">
      <formula>#REF!="Weight chg"</formula>
    </cfRule>
    <cfRule type="expression" dxfId="193" priority="311">
      <formula>#REF!="BCBS only"</formula>
    </cfRule>
    <cfRule type="expression" dxfId="192" priority="312">
      <formula>#REF!="US NPR"</formula>
    </cfRule>
  </conditionalFormatting>
  <conditionalFormatting sqref="B4">
    <cfRule type="expression" dxfId="191" priority="307">
      <formula>#REF!="Weight chg"</formula>
    </cfRule>
    <cfRule type="expression" dxfId="190" priority="308">
      <formula>#REF!="BCBS only"</formula>
    </cfRule>
    <cfRule type="expression" dxfId="189" priority="309">
      <formula>#REF!="US NPR"</formula>
    </cfRule>
  </conditionalFormatting>
  <conditionalFormatting sqref="E22:E24">
    <cfRule type="expression" dxfId="188" priority="304">
      <formula>#REF!="Weight chg"</formula>
    </cfRule>
    <cfRule type="expression" dxfId="187" priority="305">
      <formula>#REF!="BCBS only"</formula>
    </cfRule>
    <cfRule type="expression" dxfId="186" priority="306">
      <formula>#REF!="US NPR"</formula>
    </cfRule>
  </conditionalFormatting>
  <conditionalFormatting sqref="E46">
    <cfRule type="expression" dxfId="185" priority="283">
      <formula>#REF!="Weight chg"</formula>
    </cfRule>
    <cfRule type="expression" dxfId="184" priority="284">
      <formula>#REF!="BCBS only"</formula>
    </cfRule>
    <cfRule type="expression" dxfId="183" priority="285">
      <formula>#REF!="US NPR"</formula>
    </cfRule>
  </conditionalFormatting>
  <conditionalFormatting sqref="E25">
    <cfRule type="expression" dxfId="182" priority="301">
      <formula>#REF!="Weight chg"</formula>
    </cfRule>
    <cfRule type="expression" dxfId="181" priority="302">
      <formula>#REF!="BCBS only"</formula>
    </cfRule>
    <cfRule type="expression" dxfId="180" priority="303">
      <formula>#REF!="US NPR"</formula>
    </cfRule>
  </conditionalFormatting>
  <conditionalFormatting sqref="E29">
    <cfRule type="expression" dxfId="179" priority="298">
      <formula>#REF!="Weight chg"</formula>
    </cfRule>
    <cfRule type="expression" dxfId="178" priority="299">
      <formula>#REF!="BCBS only"</formula>
    </cfRule>
    <cfRule type="expression" dxfId="177" priority="300">
      <formula>#REF!="US NPR"</formula>
    </cfRule>
  </conditionalFormatting>
  <conditionalFormatting sqref="E33">
    <cfRule type="expression" dxfId="176" priority="295">
      <formula>#REF!="Weight chg"</formula>
    </cfRule>
    <cfRule type="expression" dxfId="175" priority="296">
      <formula>#REF!="BCBS only"</formula>
    </cfRule>
    <cfRule type="expression" dxfId="174" priority="297">
      <formula>#REF!="US NPR"</formula>
    </cfRule>
  </conditionalFormatting>
  <conditionalFormatting sqref="E34">
    <cfRule type="expression" dxfId="173" priority="292">
      <formula>#REF!="Weight chg"</formula>
    </cfRule>
    <cfRule type="expression" dxfId="172" priority="293">
      <formula>#REF!="BCBS only"</formula>
    </cfRule>
    <cfRule type="expression" dxfId="171" priority="294">
      <formula>#REF!="US NPR"</formula>
    </cfRule>
  </conditionalFormatting>
  <conditionalFormatting sqref="E38">
    <cfRule type="expression" dxfId="170" priority="289">
      <formula>#REF!="Weight chg"</formula>
    </cfRule>
    <cfRule type="expression" dxfId="169" priority="290">
      <formula>#REF!="BCBS only"</formula>
    </cfRule>
    <cfRule type="expression" dxfId="168" priority="291">
      <formula>#REF!="US NPR"</formula>
    </cfRule>
  </conditionalFormatting>
  <conditionalFormatting sqref="E42">
    <cfRule type="expression" dxfId="167" priority="286">
      <formula>#REF!="Weight chg"</formula>
    </cfRule>
    <cfRule type="expression" dxfId="166" priority="287">
      <formula>#REF!="BCBS only"</formula>
    </cfRule>
    <cfRule type="expression" dxfId="165" priority="288">
      <formula>#REF!="US NPR"</formula>
    </cfRule>
  </conditionalFormatting>
  <conditionalFormatting sqref="E35:E37">
    <cfRule type="expression" dxfId="164" priority="211">
      <formula>#REF!="Weight chg"</formula>
    </cfRule>
    <cfRule type="expression" dxfId="163" priority="212">
      <formula>#REF!="BCBS only"</formula>
    </cfRule>
    <cfRule type="expression" dxfId="162" priority="213">
      <formula>#REF!="US NPR"</formula>
    </cfRule>
  </conditionalFormatting>
  <conditionalFormatting sqref="E30:E32">
    <cfRule type="expression" dxfId="161" priority="214">
      <formula>#REF!="Weight chg"</formula>
    </cfRule>
    <cfRule type="expression" dxfId="160" priority="215">
      <formula>#REF!="BCBS only"</formula>
    </cfRule>
    <cfRule type="expression" dxfId="159" priority="216">
      <formula>#REF!="US NPR"</formula>
    </cfRule>
  </conditionalFormatting>
  <conditionalFormatting sqref="E26:E28">
    <cfRule type="expression" dxfId="158" priority="217">
      <formula>#REF!="Weight chg"</formula>
    </cfRule>
    <cfRule type="expression" dxfId="157" priority="218">
      <formula>#REF!="BCBS only"</formula>
    </cfRule>
    <cfRule type="expression" dxfId="156" priority="219">
      <formula>#REF!="US NPR"</formula>
    </cfRule>
  </conditionalFormatting>
  <conditionalFormatting sqref="E52:E54">
    <cfRule type="expression" dxfId="155" priority="199">
      <formula>#REF!="Weight chg"</formula>
    </cfRule>
    <cfRule type="expression" dxfId="154" priority="200">
      <formula>#REF!="BCBS only"</formula>
    </cfRule>
    <cfRule type="expression" dxfId="153" priority="201">
      <formula>#REF!="US NPR"</formula>
    </cfRule>
  </conditionalFormatting>
  <conditionalFormatting sqref="E48:E50">
    <cfRule type="expression" dxfId="152" priority="202">
      <formula>#REF!="Weight chg"</formula>
    </cfRule>
    <cfRule type="expression" dxfId="151" priority="203">
      <formula>#REF!="BCBS only"</formula>
    </cfRule>
    <cfRule type="expression" dxfId="150" priority="204">
      <formula>#REF!="US NPR"</formula>
    </cfRule>
  </conditionalFormatting>
  <conditionalFormatting sqref="E47">
    <cfRule type="expression" dxfId="149" priority="280">
      <formula>#REF!="Weight chg"</formula>
    </cfRule>
    <cfRule type="expression" dxfId="148" priority="281">
      <formula>#REF!="BCBS only"</formula>
    </cfRule>
    <cfRule type="expression" dxfId="147" priority="282">
      <formula>#REF!="US NPR"</formula>
    </cfRule>
  </conditionalFormatting>
  <conditionalFormatting sqref="E63">
    <cfRule type="expression" dxfId="146" priority="223">
      <formula>#REF!="Weight chg"</formula>
    </cfRule>
    <cfRule type="expression" dxfId="145" priority="224">
      <formula>#REF!="BCBS only"</formula>
    </cfRule>
    <cfRule type="expression" dxfId="144" priority="225">
      <formula>#REF!="US NPR"</formula>
    </cfRule>
  </conditionalFormatting>
  <conditionalFormatting sqref="C26:D28">
    <cfRule type="expression" dxfId="143" priority="277">
      <formula>#REF!="Weight chg"</formula>
    </cfRule>
    <cfRule type="expression" dxfId="142" priority="278">
      <formula>#REF!="BCBS only"</formula>
    </cfRule>
    <cfRule type="expression" dxfId="141" priority="279">
      <formula>#REF!="US NPR"</formula>
    </cfRule>
  </conditionalFormatting>
  <conditionalFormatting sqref="C67">
    <cfRule type="expression" dxfId="140" priority="241">
      <formula>#REF!="Weight chg"</formula>
    </cfRule>
    <cfRule type="expression" dxfId="139" priority="242">
      <formula>#REF!="BCBS only"</formula>
    </cfRule>
    <cfRule type="expression" dxfId="138" priority="243">
      <formula>#REF!="US NPR"</formula>
    </cfRule>
  </conditionalFormatting>
  <conditionalFormatting sqref="C30:D32">
    <cfRule type="expression" dxfId="137" priority="274">
      <formula>#REF!="Weight chg"</formula>
    </cfRule>
    <cfRule type="expression" dxfId="136" priority="275">
      <formula>#REF!="BCBS only"</formula>
    </cfRule>
    <cfRule type="expression" dxfId="135" priority="276">
      <formula>#REF!="US NPR"</formula>
    </cfRule>
  </conditionalFormatting>
  <conditionalFormatting sqref="C35:D37">
    <cfRule type="expression" dxfId="134" priority="271">
      <formula>#REF!="Weight chg"</formula>
    </cfRule>
    <cfRule type="expression" dxfId="133" priority="272">
      <formula>#REF!="BCBS only"</formula>
    </cfRule>
    <cfRule type="expression" dxfId="132" priority="273">
      <formula>#REF!="US NPR"</formula>
    </cfRule>
  </conditionalFormatting>
  <conditionalFormatting sqref="C63">
    <cfRule type="expression" dxfId="131" priority="247">
      <formula>#REF!="Weight chg"</formula>
    </cfRule>
    <cfRule type="expression" dxfId="130" priority="248">
      <formula>#REF!="BCBS only"</formula>
    </cfRule>
    <cfRule type="expression" dxfId="129" priority="249">
      <formula>#REF!="US NPR"</formula>
    </cfRule>
  </conditionalFormatting>
  <conditionalFormatting sqref="C39:D41">
    <cfRule type="expression" dxfId="128" priority="268">
      <formula>#REF!="Weight chg"</formula>
    </cfRule>
    <cfRule type="expression" dxfId="127" priority="269">
      <formula>#REF!="BCBS only"</formula>
    </cfRule>
    <cfRule type="expression" dxfId="126" priority="270">
      <formula>#REF!="US NPR"</formula>
    </cfRule>
  </conditionalFormatting>
  <conditionalFormatting sqref="C43:D45">
    <cfRule type="expression" dxfId="125" priority="265">
      <formula>#REF!="Weight chg"</formula>
    </cfRule>
    <cfRule type="expression" dxfId="124" priority="266">
      <formula>#REF!="BCBS only"</formula>
    </cfRule>
    <cfRule type="expression" dxfId="123" priority="267">
      <formula>#REF!="US NPR"</formula>
    </cfRule>
  </conditionalFormatting>
  <conditionalFormatting sqref="B60:B62">
    <cfRule type="expression" dxfId="122" priority="166">
      <formula>#REF!="Weight chg"</formula>
    </cfRule>
    <cfRule type="expression" dxfId="121" priority="167">
      <formula>#REF!="BCBS only"</formula>
    </cfRule>
    <cfRule type="expression" dxfId="120" priority="168">
      <formula>#REF!="US NPR"</formula>
    </cfRule>
  </conditionalFormatting>
  <conditionalFormatting sqref="C51">
    <cfRule type="expression" dxfId="119" priority="262">
      <formula>#REF!="Weight chg"</formula>
    </cfRule>
    <cfRule type="expression" dxfId="118" priority="263">
      <formula>#REF!="BCBS only"</formula>
    </cfRule>
    <cfRule type="expression" dxfId="117" priority="264">
      <formula>#REF!="US NPR"</formula>
    </cfRule>
  </conditionalFormatting>
  <conditionalFormatting sqref="C55">
    <cfRule type="expression" dxfId="116" priority="259">
      <formula>#REF!="Weight chg"</formula>
    </cfRule>
    <cfRule type="expression" dxfId="115" priority="260">
      <formula>#REF!="BCBS only"</formula>
    </cfRule>
    <cfRule type="expression" dxfId="114" priority="261">
      <formula>#REF!="US NPR"</formula>
    </cfRule>
  </conditionalFormatting>
  <conditionalFormatting sqref="C48:C50">
    <cfRule type="expression" dxfId="113" priority="256">
      <formula>#REF!="Weight chg"</formula>
    </cfRule>
    <cfRule type="expression" dxfId="112" priority="257">
      <formula>#REF!="BCBS only"</formula>
    </cfRule>
    <cfRule type="expression" dxfId="111" priority="258">
      <formula>#REF!="US NPR"</formula>
    </cfRule>
  </conditionalFormatting>
  <conditionalFormatting sqref="C52:C54">
    <cfRule type="expression" dxfId="110" priority="253">
      <formula>#REF!="Weight chg"</formula>
    </cfRule>
    <cfRule type="expression" dxfId="109" priority="254">
      <formula>#REF!="BCBS only"</formula>
    </cfRule>
    <cfRule type="expression" dxfId="108" priority="255">
      <formula>#REF!="US NPR"</formula>
    </cfRule>
  </conditionalFormatting>
  <conditionalFormatting sqref="C56:C58">
    <cfRule type="expression" dxfId="107" priority="250">
      <formula>#REF!="Weight chg"</formula>
    </cfRule>
    <cfRule type="expression" dxfId="106" priority="251">
      <formula>#REF!="BCBS only"</formula>
    </cfRule>
    <cfRule type="expression" dxfId="105" priority="252">
      <formula>#REF!="US NPR"</formula>
    </cfRule>
  </conditionalFormatting>
  <conditionalFormatting sqref="E60:E62">
    <cfRule type="expression" dxfId="104" priority="193">
      <formula>#REF!="Weight chg"</formula>
    </cfRule>
    <cfRule type="expression" dxfId="103" priority="194">
      <formula>#REF!="BCBS only"</formula>
    </cfRule>
    <cfRule type="expression" dxfId="102" priority="195">
      <formula>#REF!="US NPR"</formula>
    </cfRule>
  </conditionalFormatting>
  <conditionalFormatting sqref="C60:C62">
    <cfRule type="expression" dxfId="101" priority="244">
      <formula>#REF!="Weight chg"</formula>
    </cfRule>
    <cfRule type="expression" dxfId="100" priority="245">
      <formula>#REF!="BCBS only"</formula>
    </cfRule>
    <cfRule type="expression" dxfId="99" priority="246">
      <formula>#REF!="US NPR"</formula>
    </cfRule>
  </conditionalFormatting>
  <conditionalFormatting sqref="C64:C66">
    <cfRule type="expression" dxfId="98" priority="238">
      <formula>#REF!="Weight chg"</formula>
    </cfRule>
    <cfRule type="expression" dxfId="97" priority="239">
      <formula>#REF!="BCBS only"</formula>
    </cfRule>
    <cfRule type="expression" dxfId="96" priority="240">
      <formula>#REF!="US NPR"</formula>
    </cfRule>
  </conditionalFormatting>
  <conditionalFormatting sqref="C68:C70">
    <cfRule type="expression" dxfId="95" priority="235">
      <formula>#REF!="Weight chg"</formula>
    </cfRule>
    <cfRule type="expression" dxfId="94" priority="236">
      <formula>#REF!="BCBS only"</formula>
    </cfRule>
    <cfRule type="expression" dxfId="93" priority="237">
      <formula>#REF!="US NPR"</formula>
    </cfRule>
  </conditionalFormatting>
  <conditionalFormatting sqref="E59">
    <cfRule type="expression" dxfId="92" priority="232">
      <formula>#REF!="Weight chg"</formula>
    </cfRule>
    <cfRule type="expression" dxfId="91" priority="233">
      <formula>#REF!="BCBS only"</formula>
    </cfRule>
    <cfRule type="expression" dxfId="90" priority="234">
      <formula>#REF!="US NPR"</formula>
    </cfRule>
  </conditionalFormatting>
  <conditionalFormatting sqref="E51">
    <cfRule type="expression" dxfId="89" priority="229">
      <formula>#REF!="Weight chg"</formula>
    </cfRule>
    <cfRule type="expression" dxfId="88" priority="230">
      <formula>#REF!="BCBS only"</formula>
    </cfRule>
    <cfRule type="expression" dxfId="87" priority="231">
      <formula>#REF!="US NPR"</formula>
    </cfRule>
  </conditionalFormatting>
  <conditionalFormatting sqref="E55">
    <cfRule type="expression" dxfId="86" priority="226">
      <formula>#REF!="Weight chg"</formula>
    </cfRule>
    <cfRule type="expression" dxfId="85" priority="227">
      <formula>#REF!="BCBS only"</formula>
    </cfRule>
    <cfRule type="expression" dxfId="84" priority="228">
      <formula>#REF!="US NPR"</formula>
    </cfRule>
  </conditionalFormatting>
  <conditionalFormatting sqref="E67">
    <cfRule type="expression" dxfId="83" priority="220">
      <formula>#REF!="Weight chg"</formula>
    </cfRule>
    <cfRule type="expression" dxfId="82" priority="221">
      <formula>#REF!="BCBS only"</formula>
    </cfRule>
    <cfRule type="expression" dxfId="81" priority="222">
      <formula>#REF!="US NPR"</formula>
    </cfRule>
  </conditionalFormatting>
  <conditionalFormatting sqref="E56:E58">
    <cfRule type="expression" dxfId="80" priority="196">
      <formula>#REF!="Weight chg"</formula>
    </cfRule>
    <cfRule type="expression" dxfId="79" priority="197">
      <formula>#REF!="BCBS only"</formula>
    </cfRule>
    <cfRule type="expression" dxfId="78" priority="198">
      <formula>#REF!="US NPR"</formula>
    </cfRule>
  </conditionalFormatting>
  <conditionalFormatting sqref="E64:E66">
    <cfRule type="expression" dxfId="77" priority="190">
      <formula>#REF!="Weight chg"</formula>
    </cfRule>
    <cfRule type="expression" dxfId="76" priority="191">
      <formula>#REF!="BCBS only"</formula>
    </cfRule>
    <cfRule type="expression" dxfId="75" priority="192">
      <formula>#REF!="US NPR"</formula>
    </cfRule>
  </conditionalFormatting>
  <conditionalFormatting sqref="E39:E41">
    <cfRule type="expression" dxfId="74" priority="208">
      <formula>#REF!="Weight chg"</formula>
    </cfRule>
    <cfRule type="expression" dxfId="73" priority="209">
      <formula>#REF!="BCBS only"</formula>
    </cfRule>
    <cfRule type="expression" dxfId="72" priority="210">
      <formula>#REF!="US NPR"</formula>
    </cfRule>
  </conditionalFormatting>
  <conditionalFormatting sqref="E43:E45">
    <cfRule type="expression" dxfId="71" priority="205">
      <formula>#REF!="Weight chg"</formula>
    </cfRule>
    <cfRule type="expression" dxfId="70" priority="206">
      <formula>#REF!="BCBS only"</formula>
    </cfRule>
    <cfRule type="expression" dxfId="69" priority="207">
      <formula>#REF!="US NPR"</formula>
    </cfRule>
  </conditionalFormatting>
  <conditionalFormatting sqref="E162">
    <cfRule type="expression" dxfId="68" priority="175">
      <formula>#REF!="Weight chg"</formula>
    </cfRule>
    <cfRule type="expression" dxfId="67" priority="176">
      <formula>#REF!="BCBS only"</formula>
    </cfRule>
    <cfRule type="expression" dxfId="66" priority="177">
      <formula>#REF!="US NPR"</formula>
    </cfRule>
  </conditionalFormatting>
  <conditionalFormatting sqref="E68:E70">
    <cfRule type="expression" dxfId="65" priority="187">
      <formula>#REF!="Weight chg"</formula>
    </cfRule>
    <cfRule type="expression" dxfId="64" priority="188">
      <formula>#REF!="BCBS only"</formula>
    </cfRule>
    <cfRule type="expression" dxfId="63" priority="189">
      <formula>#REF!="US NPR"</formula>
    </cfRule>
  </conditionalFormatting>
  <conditionalFormatting sqref="C162">
    <cfRule type="expression" dxfId="62" priority="184">
      <formula>#REF!="Weight chg"</formula>
    </cfRule>
    <cfRule type="expression" dxfId="61" priority="185">
      <formula>#REF!="BCBS only"</formula>
    </cfRule>
    <cfRule type="expression" dxfId="60" priority="186">
      <formula>#REF!="US NPR"</formula>
    </cfRule>
  </conditionalFormatting>
  <conditionalFormatting sqref="B162">
    <cfRule type="expression" dxfId="59" priority="181">
      <formula>#REF!="Weight chg"</formula>
    </cfRule>
    <cfRule type="expression" dxfId="58" priority="182">
      <formula>#REF!="BCBS only"</formula>
    </cfRule>
    <cfRule type="expression" dxfId="57" priority="183">
      <formula>#REF!="US NPR"</formula>
    </cfRule>
  </conditionalFormatting>
  <conditionalFormatting sqref="D162">
    <cfRule type="expression" dxfId="56" priority="178">
      <formula>#REF!="Weight chg"</formula>
    </cfRule>
    <cfRule type="expression" dxfId="55" priority="179">
      <formula>#REF!="BCBS only"</formula>
    </cfRule>
    <cfRule type="expression" dxfId="54" priority="180">
      <formula>#REF!="US NPR"</formula>
    </cfRule>
  </conditionalFormatting>
  <conditionalFormatting sqref="B56:B58">
    <cfRule type="expression" dxfId="53" priority="172">
      <formula>#REF!="Weight chg"</formula>
    </cfRule>
    <cfRule type="expression" dxfId="52" priority="173">
      <formula>#REF!="BCBS only"</formula>
    </cfRule>
    <cfRule type="expression" dxfId="51" priority="174">
      <formula>#REF!="US NPR"</formula>
    </cfRule>
  </conditionalFormatting>
  <conditionalFormatting sqref="B59">
    <cfRule type="expression" dxfId="50" priority="169">
      <formula>#REF!="Weight chg"</formula>
    </cfRule>
    <cfRule type="expression" dxfId="49" priority="170">
      <formula>#REF!="BCBS only"</formula>
    </cfRule>
    <cfRule type="expression" dxfId="48" priority="171">
      <formula>#REF!="US NPR"</formula>
    </cfRule>
  </conditionalFormatting>
  <conditionalFormatting sqref="B64:B66">
    <cfRule type="expression" dxfId="47" priority="163">
      <formula>#REF!="Weight chg"</formula>
    </cfRule>
    <cfRule type="expression" dxfId="46" priority="164">
      <formula>#REF!="BCBS only"</formula>
    </cfRule>
    <cfRule type="expression" dxfId="45" priority="165">
      <formula>#REF!="US NPR"</formula>
    </cfRule>
  </conditionalFormatting>
  <conditionalFormatting sqref="B68:B70">
    <cfRule type="expression" dxfId="44" priority="160">
      <formula>#REF!="Weight chg"</formula>
    </cfRule>
    <cfRule type="expression" dxfId="43" priority="161">
      <formula>#REF!="BCBS only"</formula>
    </cfRule>
    <cfRule type="expression" dxfId="42" priority="162">
      <formula>#REF!="US NPR"</formula>
    </cfRule>
  </conditionalFormatting>
  <conditionalFormatting sqref="A20">
    <cfRule type="expression" dxfId="41" priority="157">
      <formula>#REF!="Weight chg"</formula>
    </cfRule>
    <cfRule type="expression" dxfId="40" priority="158">
      <formula>#REF!="BCBS only"</formula>
    </cfRule>
    <cfRule type="expression" dxfId="39" priority="159">
      <formula>#REF!="US NPR"</formula>
    </cfRule>
  </conditionalFormatting>
  <conditionalFormatting sqref="A46">
    <cfRule type="expression" dxfId="38" priority="154">
      <formula>#REF!="Weight chg"</formula>
    </cfRule>
    <cfRule type="expression" dxfId="37" priority="155">
      <formula>#REF!="BCBS only"</formula>
    </cfRule>
    <cfRule type="expression" dxfId="36" priority="156">
      <formula>#REF!="US NPR"</formula>
    </cfRule>
  </conditionalFormatting>
  <conditionalFormatting sqref="A33">
    <cfRule type="expression" dxfId="35" priority="151">
      <formula>#REF!="Weight chg"</formula>
    </cfRule>
    <cfRule type="expression" dxfId="34" priority="152">
      <formula>#REF!="BCBS only"</formula>
    </cfRule>
    <cfRule type="expression" dxfId="33" priority="153">
      <formula>#REF!="US NPR"</formula>
    </cfRule>
  </conditionalFormatting>
  <conditionalFormatting sqref="D60:D62">
    <cfRule type="expression" dxfId="32" priority="148">
      <formula>#REF!="Weight chg"</formula>
    </cfRule>
    <cfRule type="expression" dxfId="31" priority="149">
      <formula>#REF!="BCBS only"</formula>
    </cfRule>
    <cfRule type="expression" dxfId="30" priority="150">
      <formula>#REF!="US NPR"</formula>
    </cfRule>
  </conditionalFormatting>
  <conditionalFormatting sqref="D64:D66">
    <cfRule type="expression" dxfId="29" priority="145">
      <formula>#REF!="Weight chg"</formula>
    </cfRule>
    <cfRule type="expression" dxfId="28" priority="146">
      <formula>#REF!="BCBS only"</formula>
    </cfRule>
    <cfRule type="expression" dxfId="27" priority="147">
      <formula>#REF!="US NPR"</formula>
    </cfRule>
  </conditionalFormatting>
  <conditionalFormatting sqref="D68:D70">
    <cfRule type="expression" dxfId="26" priority="142">
      <formula>#REF!="Weight chg"</formula>
    </cfRule>
    <cfRule type="expression" dxfId="25" priority="143">
      <formula>#REF!="BCBS only"</formula>
    </cfRule>
    <cfRule type="expression" dxfId="24" priority="144">
      <formula>#REF!="US NPR"</formula>
    </cfRule>
  </conditionalFormatting>
  <conditionalFormatting sqref="B203">
    <cfRule type="expression" dxfId="23" priority="139">
      <formula>#REF!="Weight chg"</formula>
    </cfRule>
    <cfRule type="expression" dxfId="22" priority="140">
      <formula>#REF!="BCBS only"</formula>
    </cfRule>
    <cfRule type="expression" dxfId="21" priority="141">
      <formula>#REF!="US NPR"</formula>
    </cfRule>
  </conditionalFormatting>
  <conditionalFormatting sqref="B205:D207">
    <cfRule type="expression" dxfId="20" priority="136">
      <formula>#REF!="Weight chg"</formula>
    </cfRule>
    <cfRule type="expression" dxfId="19" priority="137">
      <formula>#REF!="BCBS only"</formula>
    </cfRule>
    <cfRule type="expression" dxfId="18" priority="138">
      <formula>#REF!="US NPR"</formula>
    </cfRule>
  </conditionalFormatting>
  <conditionalFormatting sqref="E205:E207">
    <cfRule type="expression" dxfId="17" priority="133">
      <formula>#REF!="Weight chg"</formula>
    </cfRule>
    <cfRule type="expression" dxfId="16" priority="134">
      <formula>#REF!="BCBS only"</formula>
    </cfRule>
    <cfRule type="expression" dxfId="15" priority="135">
      <formula>#REF!="US NPR"</formula>
    </cfRule>
  </conditionalFormatting>
  <conditionalFormatting sqref="B209:D209">
    <cfRule type="expression" dxfId="14" priority="130">
      <formula>#REF!="Weight chg"</formula>
    </cfRule>
    <cfRule type="expression" dxfId="13" priority="131">
      <formula>#REF!="BCBS only"</formula>
    </cfRule>
    <cfRule type="expression" dxfId="12" priority="132">
      <formula>#REF!="US NPR"</formula>
    </cfRule>
  </conditionalFormatting>
  <conditionalFormatting sqref="E209">
    <cfRule type="expression" dxfId="11" priority="127">
      <formula>#REF!="Weight chg"</formula>
    </cfRule>
    <cfRule type="expression" dxfId="10" priority="128">
      <formula>#REF!="BCBS only"</formula>
    </cfRule>
    <cfRule type="expression" dxfId="9" priority="129">
      <formula>#REF!="US NPR"</formula>
    </cfRule>
  </conditionalFormatting>
  <conditionalFormatting sqref="B210:D210">
    <cfRule type="expression" dxfId="8" priority="124">
      <formula>#REF!="Weight chg"</formula>
    </cfRule>
    <cfRule type="expression" dxfId="7" priority="125">
      <formula>#REF!="BCBS only"</formula>
    </cfRule>
    <cfRule type="expression" dxfId="6" priority="126">
      <formula>#REF!="US NPR"</formula>
    </cfRule>
  </conditionalFormatting>
  <conditionalFormatting sqref="E210">
    <cfRule type="expression" dxfId="5" priority="121">
      <formula>#REF!="Weight chg"</formula>
    </cfRule>
    <cfRule type="expression" dxfId="4" priority="122">
      <formula>#REF!="BCBS only"</formula>
    </cfRule>
    <cfRule type="expression" dxfId="3" priority="123">
      <formula>#REF!="US NPR"</formula>
    </cfRule>
  </conditionalFormatting>
  <conditionalFormatting sqref="D161">
    <cfRule type="expression" dxfId="2" priority="118">
      <formula>#REF!="Weight chg"</formula>
    </cfRule>
    <cfRule type="expression" dxfId="1" priority="119">
      <formula>#REF!="BCBS only"</formula>
    </cfRule>
    <cfRule type="expression" dxfId="0" priority="120">
      <formula>#REF!="US NPR"</formula>
    </cfRule>
  </conditionalFormatting>
  <pageMargins left="0.25" right="0.25" top="0.75" bottom="0.75" header="0.3" footer="0.3"/>
  <pageSetup scale="58"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65"/>
  <sheetViews>
    <sheetView workbookViewId="0"/>
  </sheetViews>
  <sheetFormatPr defaultRowHeight="15"/>
  <cols>
    <col min="1" max="1" width="9.140625" style="68"/>
    <col min="2" max="2" width="95" bestFit="1" customWidth="1"/>
  </cols>
  <sheetData>
    <row r="1" spans="1:2">
      <c r="A1" s="68" t="s">
        <v>478</v>
      </c>
      <c r="B1" t="s">
        <v>477</v>
      </c>
    </row>
    <row r="2" spans="1:2">
      <c r="A2" s="68" t="s">
        <v>442</v>
      </c>
      <c r="B2" t="s">
        <v>444</v>
      </c>
    </row>
    <row r="3" spans="1:2">
      <c r="A3" s="68" t="s">
        <v>441</v>
      </c>
      <c r="B3" t="s">
        <v>445</v>
      </c>
    </row>
    <row r="4" spans="1:2">
      <c r="A4" s="68" t="s">
        <v>440</v>
      </c>
      <c r="B4" t="s">
        <v>446</v>
      </c>
    </row>
    <row r="5" spans="1:2">
      <c r="A5" s="68" t="s">
        <v>439</v>
      </c>
      <c r="B5" t="s">
        <v>447</v>
      </c>
    </row>
    <row r="6" spans="1:2">
      <c r="A6" s="68" t="s">
        <v>438</v>
      </c>
      <c r="B6" t="s">
        <v>448</v>
      </c>
    </row>
    <row r="7" spans="1:2">
      <c r="A7" s="68" t="s">
        <v>437</v>
      </c>
      <c r="B7" t="s">
        <v>449</v>
      </c>
    </row>
    <row r="8" spans="1:2">
      <c r="A8" s="68" t="s">
        <v>436</v>
      </c>
      <c r="B8" t="s">
        <v>447</v>
      </c>
    </row>
    <row r="9" spans="1:2">
      <c r="A9" s="68" t="s">
        <v>435</v>
      </c>
      <c r="B9" t="s">
        <v>448</v>
      </c>
    </row>
    <row r="10" spans="1:2">
      <c r="A10" s="68" t="s">
        <v>434</v>
      </c>
      <c r="B10" t="s">
        <v>449</v>
      </c>
    </row>
    <row r="11" spans="1:2">
      <c r="A11" s="68" t="s">
        <v>433</v>
      </c>
      <c r="B11" t="s">
        <v>450</v>
      </c>
    </row>
    <row r="12" spans="1:2">
      <c r="A12" s="68" t="s">
        <v>432</v>
      </c>
      <c r="B12" t="s">
        <v>451</v>
      </c>
    </row>
    <row r="13" spans="1:2">
      <c r="A13" s="68" t="s">
        <v>431</v>
      </c>
      <c r="B13" t="s">
        <v>452</v>
      </c>
    </row>
    <row r="14" spans="1:2">
      <c r="A14" s="68" t="s">
        <v>430</v>
      </c>
      <c r="B14" t="s">
        <v>453</v>
      </c>
    </row>
    <row r="15" spans="1:2">
      <c r="A15" s="68" t="s">
        <v>429</v>
      </c>
      <c r="B15" t="s">
        <v>454</v>
      </c>
    </row>
    <row r="16" spans="1:2">
      <c r="A16" s="68" t="s">
        <v>428</v>
      </c>
      <c r="B16" t="s">
        <v>455</v>
      </c>
    </row>
    <row r="17" spans="1:2">
      <c r="A17" s="68" t="s">
        <v>427</v>
      </c>
      <c r="B17" t="s">
        <v>456</v>
      </c>
    </row>
    <row r="18" spans="1:2">
      <c r="A18" s="68" t="s">
        <v>426</v>
      </c>
      <c r="B18" t="s">
        <v>457</v>
      </c>
    </row>
    <row r="19" spans="1:2">
      <c r="A19" s="68" t="s">
        <v>425</v>
      </c>
      <c r="B19" t="s">
        <v>458</v>
      </c>
    </row>
    <row r="20" spans="1:2">
      <c r="A20" s="68" t="s">
        <v>482</v>
      </c>
      <c r="B20" t="s">
        <v>459</v>
      </c>
    </row>
    <row r="21" spans="1:2">
      <c r="A21" s="68" t="s">
        <v>483</v>
      </c>
      <c r="B21" t="s">
        <v>460</v>
      </c>
    </row>
    <row r="22" spans="1:2">
      <c r="A22" s="68" t="s">
        <v>484</v>
      </c>
      <c r="B22" t="s">
        <v>461</v>
      </c>
    </row>
    <row r="23" spans="1:2">
      <c r="A23" s="68" t="s">
        <v>479</v>
      </c>
      <c r="B23" t="s">
        <v>462</v>
      </c>
    </row>
    <row r="24" spans="1:2">
      <c r="A24" s="68" t="s">
        <v>480</v>
      </c>
      <c r="B24" t="s">
        <v>463</v>
      </c>
    </row>
    <row r="25" spans="1:2">
      <c r="A25" s="68" t="s">
        <v>481</v>
      </c>
      <c r="B25" t="s">
        <v>464</v>
      </c>
    </row>
    <row r="26" spans="1:2">
      <c r="A26" s="68" t="s">
        <v>424</v>
      </c>
      <c r="B26" t="s">
        <v>465</v>
      </c>
    </row>
    <row r="27" spans="1:2">
      <c r="A27" s="68" t="s">
        <v>423</v>
      </c>
      <c r="B27" t="s">
        <v>466</v>
      </c>
    </row>
    <row r="28" spans="1:2">
      <c r="A28" s="68" t="s">
        <v>422</v>
      </c>
      <c r="B28" t="s">
        <v>467</v>
      </c>
    </row>
    <row r="29" spans="1:2">
      <c r="A29" s="68" t="s">
        <v>421</v>
      </c>
      <c r="B29" t="s">
        <v>468</v>
      </c>
    </row>
    <row r="30" spans="1:2">
      <c r="A30" s="68" t="s">
        <v>420</v>
      </c>
      <c r="B30" t="s">
        <v>469</v>
      </c>
    </row>
    <row r="31" spans="1:2">
      <c r="A31" s="68" t="s">
        <v>419</v>
      </c>
      <c r="B31" t="s">
        <v>470</v>
      </c>
    </row>
    <row r="32" spans="1:2">
      <c r="A32" s="68" t="s">
        <v>418</v>
      </c>
      <c r="B32" t="s">
        <v>471</v>
      </c>
    </row>
    <row r="33" spans="1:2">
      <c r="A33" s="68" t="s">
        <v>417</v>
      </c>
      <c r="B33" t="s">
        <v>472</v>
      </c>
    </row>
    <row r="34" spans="1:2">
      <c r="A34" s="68" t="s">
        <v>416</v>
      </c>
      <c r="B34" t="s">
        <v>473</v>
      </c>
    </row>
    <row r="35" spans="1:2">
      <c r="A35" s="68" t="s">
        <v>415</v>
      </c>
      <c r="B35" t="s">
        <v>474</v>
      </c>
    </row>
    <row r="36" spans="1:2">
      <c r="A36" s="68" t="s">
        <v>414</v>
      </c>
      <c r="B36" t="s">
        <v>475</v>
      </c>
    </row>
    <row r="37" spans="1:2">
      <c r="A37" s="68" t="s">
        <v>413</v>
      </c>
      <c r="B37" t="s">
        <v>476</v>
      </c>
    </row>
    <row r="38" spans="1:2">
      <c r="A38" s="68">
        <v>10</v>
      </c>
      <c r="B38" t="s">
        <v>226</v>
      </c>
    </row>
    <row r="39" spans="1:2">
      <c r="A39" s="68">
        <v>11</v>
      </c>
      <c r="B39" t="s">
        <v>227</v>
      </c>
    </row>
    <row r="40" spans="1:2">
      <c r="A40" s="68">
        <v>12</v>
      </c>
      <c r="B40" t="s">
        <v>228</v>
      </c>
    </row>
    <row r="41" spans="1:2">
      <c r="A41" s="68">
        <v>13</v>
      </c>
      <c r="B41" t="s">
        <v>229</v>
      </c>
    </row>
    <row r="42" spans="1:2">
      <c r="A42" s="68">
        <v>14</v>
      </c>
      <c r="B42" t="s">
        <v>230</v>
      </c>
    </row>
    <row r="43" spans="1:2">
      <c r="A43" s="68">
        <v>15</v>
      </c>
      <c r="B43" t="s">
        <v>230</v>
      </c>
    </row>
    <row r="44" spans="1:2">
      <c r="A44" s="68">
        <v>16</v>
      </c>
      <c r="B44" t="s">
        <v>230</v>
      </c>
    </row>
    <row r="45" spans="1:2">
      <c r="A45" s="68">
        <v>17</v>
      </c>
      <c r="B45" t="s">
        <v>230</v>
      </c>
    </row>
    <row r="46" spans="1:2">
      <c r="A46" s="68">
        <v>18</v>
      </c>
      <c r="B46" t="s">
        <v>231</v>
      </c>
    </row>
    <row r="47" spans="1:2">
      <c r="A47" s="68">
        <v>19</v>
      </c>
      <c r="B47" t="s">
        <v>232</v>
      </c>
    </row>
    <row r="48" spans="1:2">
      <c r="A48" s="68">
        <v>20</v>
      </c>
      <c r="B48" t="s">
        <v>233</v>
      </c>
    </row>
    <row r="49" spans="1:2">
      <c r="A49" s="68">
        <v>21</v>
      </c>
      <c r="B49" t="s">
        <v>234</v>
      </c>
    </row>
    <row r="50" spans="1:2">
      <c r="A50" s="68">
        <v>22</v>
      </c>
      <c r="B50" t="s">
        <v>235</v>
      </c>
    </row>
    <row r="51" spans="1:2">
      <c r="A51" s="68">
        <v>23</v>
      </c>
      <c r="B51" t="s">
        <v>236</v>
      </c>
    </row>
    <row r="52" spans="1:2">
      <c r="A52" s="68">
        <v>24</v>
      </c>
      <c r="B52" t="s">
        <v>237</v>
      </c>
    </row>
    <row r="53" spans="1:2">
      <c r="A53" s="68">
        <v>25</v>
      </c>
      <c r="B53" t="s">
        <v>238</v>
      </c>
    </row>
    <row r="54" spans="1:2">
      <c r="A54" s="68">
        <v>26</v>
      </c>
      <c r="B54" t="s">
        <v>238</v>
      </c>
    </row>
    <row r="55" spans="1:2">
      <c r="A55" s="68">
        <v>27</v>
      </c>
      <c r="B55" t="s">
        <v>239</v>
      </c>
    </row>
    <row r="56" spans="1:2">
      <c r="A56" s="68">
        <v>28</v>
      </c>
      <c r="B56" t="s">
        <v>240</v>
      </c>
    </row>
    <row r="57" spans="1:2">
      <c r="A57" s="68">
        <v>29</v>
      </c>
      <c r="B57" t="s">
        <v>241</v>
      </c>
    </row>
    <row r="58" spans="1:2">
      <c r="A58" s="68">
        <v>30</v>
      </c>
      <c r="B58" t="s">
        <v>242</v>
      </c>
    </row>
    <row r="59" spans="1:2">
      <c r="A59" s="68">
        <v>31</v>
      </c>
      <c r="B59" t="s">
        <v>243</v>
      </c>
    </row>
    <row r="60" spans="1:2">
      <c r="A60" s="68">
        <v>32</v>
      </c>
      <c r="B60" t="s">
        <v>243</v>
      </c>
    </row>
    <row r="61" spans="1:2">
      <c r="A61" s="68">
        <v>33</v>
      </c>
      <c r="B61" t="s">
        <v>244</v>
      </c>
    </row>
    <row r="62" spans="1:2">
      <c r="A62" s="68">
        <v>34</v>
      </c>
      <c r="B62" t="s">
        <v>245</v>
      </c>
    </row>
    <row r="63" spans="1:2">
      <c r="A63" s="68">
        <v>35</v>
      </c>
      <c r="B63" t="s">
        <v>246</v>
      </c>
    </row>
    <row r="64" spans="1:2">
      <c r="A64" s="68">
        <v>36</v>
      </c>
      <c r="B64" t="s">
        <v>247</v>
      </c>
    </row>
    <row r="65" spans="1:2">
      <c r="A65" s="68">
        <v>37</v>
      </c>
      <c r="B65" t="s">
        <v>248</v>
      </c>
    </row>
    <row r="66" spans="1:2">
      <c r="A66" s="68">
        <v>38</v>
      </c>
      <c r="B66" t="s">
        <v>249</v>
      </c>
    </row>
    <row r="67" spans="1:2">
      <c r="A67" s="68">
        <v>39</v>
      </c>
      <c r="B67" t="s">
        <v>250</v>
      </c>
    </row>
    <row r="68" spans="1:2">
      <c r="A68" s="68">
        <v>40</v>
      </c>
      <c r="B68" t="s">
        <v>251</v>
      </c>
    </row>
    <row r="69" spans="1:2">
      <c r="A69" s="68">
        <v>41</v>
      </c>
      <c r="B69" t="s">
        <v>252</v>
      </c>
    </row>
    <row r="70" spans="1:2">
      <c r="A70" s="68">
        <v>42</v>
      </c>
      <c r="B70" t="s">
        <v>253</v>
      </c>
    </row>
    <row r="71" spans="1:2">
      <c r="A71" s="68">
        <v>43</v>
      </c>
      <c r="B71" t="s">
        <v>254</v>
      </c>
    </row>
    <row r="72" spans="1:2">
      <c r="A72" s="68">
        <v>44</v>
      </c>
      <c r="B72" t="s">
        <v>255</v>
      </c>
    </row>
    <row r="73" spans="1:2">
      <c r="A73" s="68">
        <v>45</v>
      </c>
      <c r="B73" t="s">
        <v>256</v>
      </c>
    </row>
    <row r="74" spans="1:2">
      <c r="A74" s="68">
        <v>46</v>
      </c>
      <c r="B74" t="s">
        <v>257</v>
      </c>
    </row>
    <row r="75" spans="1:2">
      <c r="A75" s="68">
        <v>47</v>
      </c>
      <c r="B75" t="s">
        <v>258</v>
      </c>
    </row>
    <row r="76" spans="1:2">
      <c r="A76" s="68">
        <v>48</v>
      </c>
      <c r="B76" t="s">
        <v>258</v>
      </c>
    </row>
    <row r="77" spans="1:2">
      <c r="A77" s="68">
        <v>49</v>
      </c>
      <c r="B77" t="s">
        <v>259</v>
      </c>
    </row>
    <row r="78" spans="1:2">
      <c r="A78" s="68">
        <v>50</v>
      </c>
      <c r="B78" t="s">
        <v>260</v>
      </c>
    </row>
    <row r="79" spans="1:2">
      <c r="A79" s="68">
        <v>51</v>
      </c>
      <c r="B79" t="s">
        <v>260</v>
      </c>
    </row>
    <row r="80" spans="1:2">
      <c r="A80" s="68">
        <v>52</v>
      </c>
      <c r="B80" t="s">
        <v>261</v>
      </c>
    </row>
    <row r="81" spans="1:2">
      <c r="A81" s="68">
        <v>53</v>
      </c>
      <c r="B81" t="s">
        <v>262</v>
      </c>
    </row>
    <row r="82" spans="1:2">
      <c r="A82" s="68">
        <v>54</v>
      </c>
      <c r="B82" t="s">
        <v>263</v>
      </c>
    </row>
    <row r="83" spans="1:2">
      <c r="A83" s="68">
        <v>55</v>
      </c>
      <c r="B83" t="s">
        <v>263</v>
      </c>
    </row>
    <row r="84" spans="1:2">
      <c r="A84" s="68">
        <v>56</v>
      </c>
      <c r="B84" t="s">
        <v>264</v>
      </c>
    </row>
    <row r="85" spans="1:2">
      <c r="A85" s="68">
        <v>57</v>
      </c>
      <c r="B85" t="s">
        <v>264</v>
      </c>
    </row>
    <row r="86" spans="1:2">
      <c r="A86" s="68">
        <v>58</v>
      </c>
      <c r="B86" t="s">
        <v>265</v>
      </c>
    </row>
    <row r="87" spans="1:2">
      <c r="A87" s="68">
        <v>59</v>
      </c>
      <c r="B87" t="s">
        <v>266</v>
      </c>
    </row>
    <row r="88" spans="1:2">
      <c r="A88" s="68">
        <v>60</v>
      </c>
      <c r="B88" t="s">
        <v>267</v>
      </c>
    </row>
    <row r="89" spans="1:2">
      <c r="A89" s="68">
        <v>61</v>
      </c>
      <c r="B89" t="s">
        <v>267</v>
      </c>
    </row>
    <row r="90" spans="1:2">
      <c r="A90" s="68">
        <v>62</v>
      </c>
      <c r="B90" t="s">
        <v>267</v>
      </c>
    </row>
    <row r="91" spans="1:2">
      <c r="A91" s="68">
        <v>63</v>
      </c>
      <c r="B91" t="s">
        <v>268</v>
      </c>
    </row>
    <row r="92" spans="1:2">
      <c r="A92" s="68">
        <v>64</v>
      </c>
      <c r="B92" t="s">
        <v>268</v>
      </c>
    </row>
    <row r="93" spans="1:2">
      <c r="A93" s="68">
        <v>65</v>
      </c>
      <c r="B93" t="s">
        <v>268</v>
      </c>
    </row>
    <row r="94" spans="1:2">
      <c r="A94" s="68">
        <v>66</v>
      </c>
      <c r="B94" t="s">
        <v>269</v>
      </c>
    </row>
    <row r="95" spans="1:2">
      <c r="A95" s="68">
        <v>67</v>
      </c>
      <c r="B95" t="s">
        <v>269</v>
      </c>
    </row>
    <row r="96" spans="1:2">
      <c r="A96" s="68">
        <v>68</v>
      </c>
      <c r="B96" t="s">
        <v>270</v>
      </c>
    </row>
    <row r="97" spans="1:2">
      <c r="A97" s="68">
        <v>69</v>
      </c>
      <c r="B97" t="s">
        <v>270</v>
      </c>
    </row>
    <row r="98" spans="1:2">
      <c r="A98" s="68">
        <v>70</v>
      </c>
      <c r="B98" t="s">
        <v>270</v>
      </c>
    </row>
    <row r="99" spans="1:2">
      <c r="A99" s="68">
        <v>71</v>
      </c>
      <c r="B99" t="s">
        <v>270</v>
      </c>
    </row>
    <row r="100" spans="1:2">
      <c r="A100" s="68">
        <v>72</v>
      </c>
      <c r="B100" t="s">
        <v>271</v>
      </c>
    </row>
    <row r="101" spans="1:2">
      <c r="A101" s="68">
        <v>73</v>
      </c>
      <c r="B101" t="s">
        <v>272</v>
      </c>
    </row>
    <row r="102" spans="1:2">
      <c r="A102" s="68">
        <v>74</v>
      </c>
      <c r="B102" t="s">
        <v>272</v>
      </c>
    </row>
    <row r="103" spans="1:2">
      <c r="A103" s="68">
        <v>75</v>
      </c>
      <c r="B103" t="s">
        <v>272</v>
      </c>
    </row>
    <row r="104" spans="1:2">
      <c r="A104" s="68">
        <v>76</v>
      </c>
      <c r="B104" t="s">
        <v>272</v>
      </c>
    </row>
    <row r="105" spans="1:2">
      <c r="A105" s="68">
        <v>77</v>
      </c>
      <c r="B105" t="s">
        <v>273</v>
      </c>
    </row>
    <row r="106" spans="1:2">
      <c r="A106" s="68">
        <v>78</v>
      </c>
      <c r="B106" t="s">
        <v>275</v>
      </c>
    </row>
    <row r="107" spans="1:2">
      <c r="A107" s="68">
        <v>79</v>
      </c>
      <c r="B107" t="s">
        <v>273</v>
      </c>
    </row>
    <row r="108" spans="1:2">
      <c r="A108" s="68">
        <v>80</v>
      </c>
      <c r="B108" t="s">
        <v>275</v>
      </c>
    </row>
    <row r="109" spans="1:2">
      <c r="A109" s="68">
        <v>81</v>
      </c>
      <c r="B109" t="s">
        <v>277</v>
      </c>
    </row>
    <row r="110" spans="1:2">
      <c r="A110" s="68">
        <v>82</v>
      </c>
      <c r="B110" t="s">
        <v>278</v>
      </c>
    </row>
    <row r="111" spans="1:2">
      <c r="A111" s="68">
        <v>83</v>
      </c>
      <c r="B111" t="s">
        <v>279</v>
      </c>
    </row>
    <row r="112" spans="1:2">
      <c r="A112" s="68">
        <v>84</v>
      </c>
      <c r="B112" t="s">
        <v>280</v>
      </c>
    </row>
    <row r="113" spans="1:2">
      <c r="A113" s="68">
        <v>85</v>
      </c>
      <c r="B113" t="s">
        <v>281</v>
      </c>
    </row>
    <row r="114" spans="1:2">
      <c r="A114" s="68">
        <v>86</v>
      </c>
      <c r="B114" t="s">
        <v>282</v>
      </c>
    </row>
    <row r="115" spans="1:2">
      <c r="A115" s="68">
        <v>87</v>
      </c>
      <c r="B115" t="s">
        <v>283</v>
      </c>
    </row>
    <row r="116" spans="1:2">
      <c r="A116" s="68">
        <v>88</v>
      </c>
      <c r="B116" t="s">
        <v>284</v>
      </c>
    </row>
    <row r="117" spans="1:2">
      <c r="A117" s="68">
        <v>89</v>
      </c>
      <c r="B117" t="s">
        <v>285</v>
      </c>
    </row>
    <row r="118" spans="1:2">
      <c r="A118" s="68">
        <v>90</v>
      </c>
      <c r="B118" t="s">
        <v>286</v>
      </c>
    </row>
    <row r="119" spans="1:2">
      <c r="A119" s="68">
        <v>91</v>
      </c>
      <c r="B119" t="s">
        <v>287</v>
      </c>
    </row>
    <row r="120" spans="1:2">
      <c r="A120" s="68">
        <v>92</v>
      </c>
      <c r="B120" t="s">
        <v>288</v>
      </c>
    </row>
    <row r="121" spans="1:2">
      <c r="A121" s="68">
        <v>93</v>
      </c>
      <c r="B121" t="s">
        <v>289</v>
      </c>
    </row>
    <row r="122" spans="1:2">
      <c r="A122" s="68">
        <v>94</v>
      </c>
      <c r="B122" t="s">
        <v>290</v>
      </c>
    </row>
    <row r="123" spans="1:2">
      <c r="A123" s="68">
        <v>95</v>
      </c>
      <c r="B123" t="s">
        <v>290</v>
      </c>
    </row>
    <row r="124" spans="1:2">
      <c r="A124" s="68">
        <v>96</v>
      </c>
      <c r="B124" t="s">
        <v>290</v>
      </c>
    </row>
    <row r="125" spans="1:2">
      <c r="A125" s="68">
        <v>97</v>
      </c>
      <c r="B125" t="s">
        <v>291</v>
      </c>
    </row>
    <row r="126" spans="1:2">
      <c r="A126" s="68">
        <v>98</v>
      </c>
      <c r="B126" t="s">
        <v>291</v>
      </c>
    </row>
    <row r="127" spans="1:2">
      <c r="A127" s="68">
        <v>99</v>
      </c>
      <c r="B127" t="s">
        <v>293</v>
      </c>
    </row>
    <row r="128" spans="1:2">
      <c r="A128" s="68">
        <v>100</v>
      </c>
      <c r="B128" t="s">
        <v>294</v>
      </c>
    </row>
    <row r="129" spans="1:2">
      <c r="A129" s="68">
        <v>101</v>
      </c>
      <c r="B129" t="s">
        <v>294</v>
      </c>
    </row>
    <row r="130" spans="1:2">
      <c r="A130" s="68">
        <v>102</v>
      </c>
      <c r="B130" t="s">
        <v>295</v>
      </c>
    </row>
    <row r="131" spans="1:2">
      <c r="A131" s="68">
        <v>103</v>
      </c>
      <c r="B131" t="s">
        <v>295</v>
      </c>
    </row>
    <row r="132" spans="1:2">
      <c r="A132" s="68">
        <v>104</v>
      </c>
      <c r="B132" t="s">
        <v>295</v>
      </c>
    </row>
    <row r="133" spans="1:2">
      <c r="A133" s="68">
        <v>105</v>
      </c>
      <c r="B133" t="s">
        <v>296</v>
      </c>
    </row>
    <row r="134" spans="1:2">
      <c r="A134" s="68">
        <v>106</v>
      </c>
      <c r="B134" t="s">
        <v>296</v>
      </c>
    </row>
    <row r="135" spans="1:2">
      <c r="A135" s="68">
        <v>107</v>
      </c>
      <c r="B135" t="s">
        <v>297</v>
      </c>
    </row>
    <row r="136" spans="1:2">
      <c r="A136" s="68">
        <v>108</v>
      </c>
      <c r="B136" t="s">
        <v>297</v>
      </c>
    </row>
    <row r="137" spans="1:2">
      <c r="A137" s="68">
        <v>109</v>
      </c>
      <c r="B137" t="s">
        <v>298</v>
      </c>
    </row>
    <row r="138" spans="1:2">
      <c r="A138" s="68">
        <v>110</v>
      </c>
      <c r="B138" t="s">
        <v>299</v>
      </c>
    </row>
    <row r="139" spans="1:2">
      <c r="A139" s="68">
        <v>111</v>
      </c>
      <c r="B139" t="s">
        <v>299</v>
      </c>
    </row>
    <row r="140" spans="1:2">
      <c r="A140" s="68">
        <v>112</v>
      </c>
      <c r="B140" t="s">
        <v>299</v>
      </c>
    </row>
    <row r="141" spans="1:2">
      <c r="A141" s="68">
        <v>113</v>
      </c>
      <c r="B141" t="s">
        <v>300</v>
      </c>
    </row>
    <row r="142" spans="1:2">
      <c r="A142" s="68">
        <v>114</v>
      </c>
      <c r="B142" t="s">
        <v>300</v>
      </c>
    </row>
    <row r="143" spans="1:2">
      <c r="A143" s="68">
        <v>115</v>
      </c>
      <c r="B143" t="s">
        <v>301</v>
      </c>
    </row>
    <row r="144" spans="1:2">
      <c r="A144" s="68">
        <v>116</v>
      </c>
      <c r="B144" t="s">
        <v>301</v>
      </c>
    </row>
    <row r="145" spans="1:2">
      <c r="A145" s="68">
        <v>117</v>
      </c>
      <c r="B145" t="s">
        <v>302</v>
      </c>
    </row>
    <row r="146" spans="1:2">
      <c r="A146" s="68">
        <v>118</v>
      </c>
      <c r="B146" t="s">
        <v>302</v>
      </c>
    </row>
    <row r="147" spans="1:2">
      <c r="A147" s="68">
        <v>119</v>
      </c>
      <c r="B147" t="s">
        <v>303</v>
      </c>
    </row>
    <row r="148" spans="1:2">
      <c r="A148" s="68">
        <v>120</v>
      </c>
      <c r="B148" t="s">
        <v>304</v>
      </c>
    </row>
    <row r="149" spans="1:2">
      <c r="A149" s="68">
        <v>121</v>
      </c>
      <c r="B149" t="s">
        <v>305</v>
      </c>
    </row>
    <row r="150" spans="1:2">
      <c r="A150" s="68">
        <v>122</v>
      </c>
      <c r="B150" t="s">
        <v>306</v>
      </c>
    </row>
    <row r="151" spans="1:2">
      <c r="A151" s="68">
        <v>123</v>
      </c>
      <c r="B151" t="s">
        <v>307</v>
      </c>
    </row>
    <row r="152" spans="1:2">
      <c r="A152" s="68">
        <v>124</v>
      </c>
      <c r="B152" t="s">
        <v>308</v>
      </c>
    </row>
    <row r="153" spans="1:2">
      <c r="A153" s="68">
        <v>125</v>
      </c>
      <c r="B153" t="s">
        <v>309</v>
      </c>
    </row>
    <row r="154" spans="1:2">
      <c r="A154" s="68">
        <v>126</v>
      </c>
      <c r="B154" t="s">
        <v>310</v>
      </c>
    </row>
    <row r="155" spans="1:2">
      <c r="A155" s="68">
        <v>127</v>
      </c>
      <c r="B155" t="s">
        <v>311</v>
      </c>
    </row>
    <row r="156" spans="1:2">
      <c r="A156" s="68">
        <v>128</v>
      </c>
      <c r="B156" t="s">
        <v>312</v>
      </c>
    </row>
    <row r="157" spans="1:2">
      <c r="A157" s="68">
        <v>129</v>
      </c>
      <c r="B157" t="s">
        <v>313</v>
      </c>
    </row>
    <row r="158" spans="1:2">
      <c r="A158" s="68">
        <v>130</v>
      </c>
      <c r="B158" t="s">
        <v>314</v>
      </c>
    </row>
    <row r="159" spans="1:2">
      <c r="A159" s="68">
        <v>131</v>
      </c>
      <c r="B159" t="s">
        <v>315</v>
      </c>
    </row>
    <row r="160" spans="1:2">
      <c r="A160" s="68">
        <v>132</v>
      </c>
      <c r="B160" t="s">
        <v>316</v>
      </c>
    </row>
    <row r="161" spans="1:2">
      <c r="A161" s="68">
        <v>133</v>
      </c>
      <c r="B161" t="s">
        <v>317</v>
      </c>
    </row>
    <row r="162" spans="1:2">
      <c r="A162" s="68">
        <v>134</v>
      </c>
      <c r="B162" t="s">
        <v>318</v>
      </c>
    </row>
    <row r="163" spans="1:2">
      <c r="A163" s="68">
        <v>135</v>
      </c>
      <c r="B163" t="s">
        <v>319</v>
      </c>
    </row>
    <row r="164" spans="1:2">
      <c r="A164" s="68">
        <v>136</v>
      </c>
      <c r="B164" t="s">
        <v>320</v>
      </c>
    </row>
    <row r="165" spans="1:2">
      <c r="A165" s="68">
        <v>137</v>
      </c>
      <c r="B165" t="s">
        <v>321</v>
      </c>
    </row>
  </sheetData>
  <autoFilter ref="A1:B165"/>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9"/>
  <sheetViews>
    <sheetView workbookViewId="0">
      <selection activeCell="G18" sqref="G18"/>
    </sheetView>
  </sheetViews>
  <sheetFormatPr defaultRowHeight="15"/>
  <cols>
    <col min="2" max="2" width="32.28515625" customWidth="1"/>
    <col min="3" max="4" width="9.28515625" customWidth="1"/>
    <col min="5" max="7" width="18" style="23" bestFit="1" customWidth="1"/>
    <col min="8" max="8" width="25.85546875" style="23" bestFit="1" customWidth="1"/>
  </cols>
  <sheetData>
    <row r="1" spans="1:10">
      <c r="A1" t="s">
        <v>1</v>
      </c>
      <c r="B1" t="s">
        <v>746</v>
      </c>
      <c r="C1" t="s">
        <v>747</v>
      </c>
      <c r="D1" t="s">
        <v>980</v>
      </c>
      <c r="E1" s="23" t="s">
        <v>751</v>
      </c>
      <c r="F1" s="23" t="s">
        <v>752</v>
      </c>
      <c r="G1" s="23" t="s">
        <v>753</v>
      </c>
      <c r="H1" s="23" t="s">
        <v>754</v>
      </c>
      <c r="I1" s="23" t="s">
        <v>960</v>
      </c>
    </row>
    <row r="2" spans="1:10">
      <c r="A2" t="s">
        <v>337</v>
      </c>
      <c r="B2" t="s">
        <v>59</v>
      </c>
      <c r="C2" t="s">
        <v>487</v>
      </c>
      <c r="D2" t="s">
        <v>46</v>
      </c>
      <c r="E2" s="23">
        <f>SUMIFS(REPORT_FR2052a!$N:$N,REPORT_FR2052a!$AR:$AR,$A2)</f>
        <v>0</v>
      </c>
      <c r="F2" s="23">
        <f>SUMIFS(REPORT_FR2052a!$M:$M,REPORT_FR2052a!$AR:$AR,$A2)</f>
        <v>2822.5899999999997</v>
      </c>
      <c r="G2" s="23">
        <f>SUMIFS(REPORT_FR2052a!$X:$X,REPORT_FR2052a!$AR:$AR,$A2)</f>
        <v>0</v>
      </c>
      <c r="H2" s="23">
        <f t="shared" ref="H2:H33" si="0">IF(SUM(E2:G2)&lt;&gt;0,1,0)</f>
        <v>1</v>
      </c>
      <c r="I2">
        <v>0</v>
      </c>
      <c r="J2" s="144"/>
    </row>
    <row r="3" spans="1:10">
      <c r="A3" t="s">
        <v>600</v>
      </c>
      <c r="B3" t="s">
        <v>601</v>
      </c>
      <c r="C3" t="s">
        <v>488</v>
      </c>
      <c r="D3" t="s">
        <v>46</v>
      </c>
      <c r="E3" s="23">
        <f>SUMIFS(REPORT_FR2052a!$N:$N,REPORT_FR2052a!$AR:$AR,$A3)</f>
        <v>0</v>
      </c>
      <c r="F3" s="23">
        <f>SUMIFS(REPORT_FR2052a!$M:$M,REPORT_FR2052a!$AR:$AR,$A3)</f>
        <v>0</v>
      </c>
      <c r="G3" s="23">
        <f>SUMIFS(REPORT_FR2052a!$X:$X,REPORT_FR2052a!$AR:$AR,$A3)</f>
        <v>0</v>
      </c>
      <c r="H3" s="23">
        <f t="shared" si="0"/>
        <v>0</v>
      </c>
      <c r="I3">
        <v>0</v>
      </c>
      <c r="J3" s="144"/>
    </row>
    <row r="4" spans="1:10">
      <c r="A4" t="s">
        <v>361</v>
      </c>
      <c r="B4" t="s">
        <v>57</v>
      </c>
      <c r="C4" t="s">
        <v>489</v>
      </c>
      <c r="D4" t="s">
        <v>46</v>
      </c>
      <c r="E4" s="23">
        <f>SUMIFS(REPORT_FR2052a!$N:$N,REPORT_FR2052a!$AR:$AR,$A4)</f>
        <v>0</v>
      </c>
      <c r="F4" s="23">
        <f>SUMIFS(REPORT_FR2052a!$M:$M,REPORT_FR2052a!$AR:$AR,$A4)</f>
        <v>30602.91</v>
      </c>
      <c r="G4" s="23">
        <f>SUMIFS(REPORT_FR2052a!$X:$X,REPORT_FR2052a!$AR:$AR,$A4)</f>
        <v>0</v>
      </c>
      <c r="H4" s="23">
        <f t="shared" si="0"/>
        <v>1</v>
      </c>
      <c r="I4">
        <v>0</v>
      </c>
      <c r="J4" s="144"/>
    </row>
    <row r="5" spans="1:10">
      <c r="A5" t="s">
        <v>394</v>
      </c>
      <c r="B5" t="s">
        <v>45</v>
      </c>
      <c r="C5" t="s">
        <v>490</v>
      </c>
      <c r="D5" t="s">
        <v>46</v>
      </c>
      <c r="E5" s="23">
        <f>SUMIFS(REPORT_FR2052a!$N:$N,REPORT_FR2052a!$AR:$AR,$A5)</f>
        <v>0</v>
      </c>
      <c r="F5" s="23">
        <f>SUMIFS(REPORT_FR2052a!$M:$M,REPORT_FR2052a!$AR:$AR,$A5)</f>
        <v>424.34</v>
      </c>
      <c r="G5" s="23">
        <f>SUMIFS(REPORT_FR2052a!$X:$X,REPORT_FR2052a!$AR:$AR,$A5)</f>
        <v>0</v>
      </c>
      <c r="H5" s="23">
        <f t="shared" si="0"/>
        <v>1</v>
      </c>
      <c r="I5">
        <v>0</v>
      </c>
      <c r="J5" s="144"/>
    </row>
    <row r="6" spans="1:10">
      <c r="A6" t="s">
        <v>602</v>
      </c>
      <c r="B6" t="s">
        <v>603</v>
      </c>
      <c r="C6" t="s">
        <v>491</v>
      </c>
      <c r="D6" t="s">
        <v>46</v>
      </c>
      <c r="E6" s="23">
        <f>SUMIFS(REPORT_FR2052a!$N:$N,REPORT_FR2052a!$AR:$AR,$A6)</f>
        <v>0</v>
      </c>
      <c r="F6" s="23">
        <f>SUMIFS(REPORT_FR2052a!$M:$M,REPORT_FR2052a!$AR:$AR,$A6)</f>
        <v>0</v>
      </c>
      <c r="G6" s="23">
        <f>SUMIFS(REPORT_FR2052a!$X:$X,REPORT_FR2052a!$AR:$AR,$A6)</f>
        <v>0</v>
      </c>
      <c r="H6" s="23">
        <f t="shared" si="0"/>
        <v>0</v>
      </c>
      <c r="I6">
        <v>0</v>
      </c>
      <c r="J6" s="144"/>
    </row>
    <row r="7" spans="1:10">
      <c r="A7" t="s">
        <v>604</v>
      </c>
      <c r="B7" t="s">
        <v>605</v>
      </c>
      <c r="C7" t="s">
        <v>492</v>
      </c>
      <c r="D7" t="s">
        <v>46</v>
      </c>
      <c r="E7" s="23">
        <f>SUMIFS(REPORT_FR2052a!$N:$N,REPORT_FR2052a!$AR:$AR,$A7)</f>
        <v>0</v>
      </c>
      <c r="F7" s="23">
        <f>SUMIFS(REPORT_FR2052a!$M:$M,REPORT_FR2052a!$AR:$AR,$A7)</f>
        <v>0</v>
      </c>
      <c r="G7" s="23">
        <f>SUMIFS(REPORT_FR2052a!$X:$X,REPORT_FR2052a!$AR:$AR,$A7)</f>
        <v>0</v>
      </c>
      <c r="H7" s="23">
        <f t="shared" si="0"/>
        <v>0</v>
      </c>
      <c r="I7">
        <v>0</v>
      </c>
      <c r="J7" s="144"/>
    </row>
    <row r="8" spans="1:10">
      <c r="A8" t="s">
        <v>397</v>
      </c>
      <c r="B8" t="s">
        <v>126</v>
      </c>
      <c r="C8" t="s">
        <v>506</v>
      </c>
      <c r="D8" t="s">
        <v>125</v>
      </c>
      <c r="E8" s="23">
        <f>SUMIFS(REPORT_FR2052a!$N:$N,REPORT_FR2052a!$AR:$AR,$A8)</f>
        <v>24.53</v>
      </c>
      <c r="F8" s="23">
        <f>SUMIFS(REPORT_FR2052a!$M:$M,REPORT_FR2052a!$AR:$AR,$A8)</f>
        <v>0</v>
      </c>
      <c r="G8" s="23">
        <f>SUMIFS(REPORT_FR2052a!$X:$X,REPORT_FR2052a!$AR:$AR,$A8)</f>
        <v>0</v>
      </c>
      <c r="H8" s="23">
        <f t="shared" si="0"/>
        <v>1</v>
      </c>
      <c r="I8">
        <v>0</v>
      </c>
      <c r="J8" s="144"/>
    </row>
    <row r="9" spans="1:10">
      <c r="A9" t="s">
        <v>611</v>
      </c>
      <c r="B9" t="s">
        <v>612</v>
      </c>
      <c r="C9" t="s">
        <v>507</v>
      </c>
      <c r="D9" t="s">
        <v>125</v>
      </c>
      <c r="E9" s="23">
        <f>SUMIFS(REPORT_FR2052a!$N:$N,REPORT_FR2052a!$AR:$AR,$A9)</f>
        <v>0</v>
      </c>
      <c r="F9" s="23">
        <f>SUMIFS(REPORT_FR2052a!$M:$M,REPORT_FR2052a!$AR:$AR,$A9)</f>
        <v>0</v>
      </c>
      <c r="G9" s="23">
        <f>SUMIFS(REPORT_FR2052a!$X:$X,REPORT_FR2052a!$AR:$AR,$A9)</f>
        <v>0</v>
      </c>
      <c r="H9" s="23">
        <f t="shared" si="0"/>
        <v>0</v>
      </c>
      <c r="I9">
        <v>0</v>
      </c>
      <c r="J9" s="144"/>
    </row>
    <row r="10" spans="1:10">
      <c r="A10" t="s">
        <v>613</v>
      </c>
      <c r="B10" t="s">
        <v>614</v>
      </c>
      <c r="C10" t="s">
        <v>508</v>
      </c>
      <c r="D10" t="s">
        <v>125</v>
      </c>
      <c r="E10" s="23">
        <f>SUMIFS(REPORT_FR2052a!$N:$N,REPORT_FR2052a!$AR:$AR,$A10)</f>
        <v>0</v>
      </c>
      <c r="F10" s="23">
        <f>SUMIFS(REPORT_FR2052a!$M:$M,REPORT_FR2052a!$AR:$AR,$A10)</f>
        <v>0</v>
      </c>
      <c r="G10" s="23">
        <f>SUMIFS(REPORT_FR2052a!$X:$X,REPORT_FR2052a!$AR:$AR,$A10)</f>
        <v>0</v>
      </c>
      <c r="H10" s="23">
        <f t="shared" si="0"/>
        <v>0</v>
      </c>
      <c r="I10">
        <v>0</v>
      </c>
      <c r="J10" s="144"/>
    </row>
    <row r="11" spans="1:10">
      <c r="A11" t="s">
        <v>615</v>
      </c>
      <c r="B11" t="s">
        <v>616</v>
      </c>
      <c r="C11" t="s">
        <v>509</v>
      </c>
      <c r="D11" t="s">
        <v>125</v>
      </c>
      <c r="E11" s="23">
        <f>SUMIFS(REPORT_FR2052a!$N:$N,REPORT_FR2052a!$AR:$AR,$A11)</f>
        <v>0</v>
      </c>
      <c r="F11" s="23">
        <f>SUMIFS(REPORT_FR2052a!$M:$M,REPORT_FR2052a!$AR:$AR,$A11)</f>
        <v>0</v>
      </c>
      <c r="G11" s="23">
        <f>SUMIFS(REPORT_FR2052a!$X:$X,REPORT_FR2052a!$AR:$AR,$A11)</f>
        <v>0</v>
      </c>
      <c r="H11" s="23">
        <f t="shared" si="0"/>
        <v>0</v>
      </c>
      <c r="I11">
        <v>0</v>
      </c>
      <c r="J11" s="144"/>
    </row>
    <row r="12" spans="1:10">
      <c r="A12" t="s">
        <v>617</v>
      </c>
      <c r="B12" t="s">
        <v>618</v>
      </c>
      <c r="C12" t="s">
        <v>510</v>
      </c>
      <c r="D12" t="s">
        <v>125</v>
      </c>
      <c r="E12" s="23">
        <f>SUMIFS(REPORT_FR2052a!$N:$N,REPORT_FR2052a!$AR:$AR,$A12)</f>
        <v>0</v>
      </c>
      <c r="F12" s="23">
        <f>SUMIFS(REPORT_FR2052a!$M:$M,REPORT_FR2052a!$AR:$AR,$A12)</f>
        <v>0</v>
      </c>
      <c r="G12" s="23">
        <f>SUMIFS(REPORT_FR2052a!$X:$X,REPORT_FR2052a!$AR:$AR,$A12)</f>
        <v>0</v>
      </c>
      <c r="H12" s="23">
        <f t="shared" si="0"/>
        <v>0</v>
      </c>
      <c r="I12">
        <v>0</v>
      </c>
      <c r="J12" s="144"/>
    </row>
    <row r="13" spans="1:10">
      <c r="A13" t="s">
        <v>380</v>
      </c>
      <c r="B13" t="s">
        <v>127</v>
      </c>
      <c r="C13" t="s">
        <v>511</v>
      </c>
      <c r="D13" t="s">
        <v>125</v>
      </c>
      <c r="E13" s="23">
        <f>SUMIFS(REPORT_FR2052a!$N:$N,REPORT_FR2052a!$AR:$AR,$A13)</f>
        <v>9.36</v>
      </c>
      <c r="F13" s="23">
        <f>SUMIFS(REPORT_FR2052a!$M:$M,REPORT_FR2052a!$AR:$AR,$A13)</f>
        <v>0</v>
      </c>
      <c r="G13" s="23">
        <f>SUMIFS(REPORT_FR2052a!$X:$X,REPORT_FR2052a!$AR:$AR,$A13)</f>
        <v>0</v>
      </c>
      <c r="H13" s="23">
        <f t="shared" si="0"/>
        <v>1</v>
      </c>
      <c r="I13">
        <v>0</v>
      </c>
      <c r="J13" s="144"/>
    </row>
    <row r="14" spans="1:10">
      <c r="A14" t="s">
        <v>379</v>
      </c>
      <c r="B14" t="s">
        <v>128</v>
      </c>
      <c r="C14" t="s">
        <v>512</v>
      </c>
      <c r="D14" t="s">
        <v>125</v>
      </c>
      <c r="E14" s="23">
        <f>SUMIFS(REPORT_FR2052a!$N:$N,REPORT_FR2052a!$AR:$AR,$A14)</f>
        <v>108.99000000000001</v>
      </c>
      <c r="F14" s="23">
        <f>SUMIFS(REPORT_FR2052a!$M:$M,REPORT_FR2052a!$AR:$AR,$A14)</f>
        <v>0</v>
      </c>
      <c r="G14" s="23">
        <f>SUMIFS(REPORT_FR2052a!$X:$X,REPORT_FR2052a!$AR:$AR,$A14)</f>
        <v>0</v>
      </c>
      <c r="H14" s="23">
        <f t="shared" si="0"/>
        <v>1</v>
      </c>
      <c r="I14">
        <v>0</v>
      </c>
      <c r="J14" s="144"/>
    </row>
    <row r="15" spans="1:10">
      <c r="A15" t="s">
        <v>381</v>
      </c>
      <c r="B15" t="s">
        <v>124</v>
      </c>
      <c r="C15" t="s">
        <v>513</v>
      </c>
      <c r="D15" t="s">
        <v>125</v>
      </c>
      <c r="E15" s="23">
        <f>SUMIFS(REPORT_FR2052a!$N:$N,REPORT_FR2052a!$AR:$AR,$A15)</f>
        <v>2850.9300000000003</v>
      </c>
      <c r="F15" s="23">
        <f>SUMIFS(REPORT_FR2052a!$M:$M,REPORT_FR2052a!$AR:$AR,$A15)</f>
        <v>0</v>
      </c>
      <c r="G15" s="23">
        <f>SUMIFS(REPORT_FR2052a!$X:$X,REPORT_FR2052a!$AR:$AR,$A15)</f>
        <v>2850929775.5539999</v>
      </c>
      <c r="H15" s="23">
        <f t="shared" si="0"/>
        <v>1</v>
      </c>
      <c r="I15">
        <v>0</v>
      </c>
      <c r="J15" s="144"/>
    </row>
    <row r="16" spans="1:10">
      <c r="A16" t="s">
        <v>382</v>
      </c>
      <c r="B16" t="s">
        <v>130</v>
      </c>
      <c r="C16" t="s">
        <v>514</v>
      </c>
      <c r="D16" t="s">
        <v>125</v>
      </c>
      <c r="E16" s="23">
        <f>SUMIFS(REPORT_FR2052a!$N:$N,REPORT_FR2052a!$AR:$AR,$A16)</f>
        <v>77.610000000000014</v>
      </c>
      <c r="F16" s="23">
        <f>SUMIFS(REPORT_FR2052a!$M:$M,REPORT_FR2052a!$AR:$AR,$A16)</f>
        <v>0</v>
      </c>
      <c r="G16" s="23">
        <f>SUMIFS(REPORT_FR2052a!$X:$X,REPORT_FR2052a!$AR:$AR,$A16)</f>
        <v>0</v>
      </c>
      <c r="H16" s="23">
        <f t="shared" si="0"/>
        <v>1</v>
      </c>
      <c r="I16">
        <v>0</v>
      </c>
      <c r="J16" s="144"/>
    </row>
    <row r="17" spans="1:10">
      <c r="A17" t="s">
        <v>363</v>
      </c>
      <c r="B17" t="s">
        <v>606</v>
      </c>
      <c r="C17" t="s">
        <v>499</v>
      </c>
      <c r="D17" t="s">
        <v>120</v>
      </c>
      <c r="E17" s="23">
        <f>SUMIFS(REPORT_FR2052a!$N:$N,REPORT_FR2052a!$AR:$AR,$A17)</f>
        <v>0</v>
      </c>
      <c r="F17" s="23">
        <f>SUMIFS(REPORT_FR2052a!$M:$M,REPORT_FR2052a!$AR:$AR,$A17)</f>
        <v>0</v>
      </c>
      <c r="G17" s="23">
        <f>SUMIFS(REPORT_FR2052a!$X:$X,REPORT_FR2052a!$AR:$AR,$A17)</f>
        <v>0</v>
      </c>
      <c r="H17" s="23">
        <f t="shared" si="0"/>
        <v>0</v>
      </c>
      <c r="I17">
        <v>1</v>
      </c>
      <c r="J17" s="144"/>
    </row>
    <row r="18" spans="1:10">
      <c r="A18" t="s">
        <v>364</v>
      </c>
      <c r="B18" t="s">
        <v>607</v>
      </c>
      <c r="C18" t="s">
        <v>500</v>
      </c>
      <c r="D18" t="s">
        <v>120</v>
      </c>
      <c r="E18" s="23">
        <f>SUMIFS(REPORT_FR2052a!$N:$N,REPORT_FR2052a!$AR:$AR,$A18)</f>
        <v>0</v>
      </c>
      <c r="F18" s="23">
        <f>SUMIFS(REPORT_FR2052a!$M:$M,REPORT_FR2052a!$AR:$AR,$A18)</f>
        <v>0</v>
      </c>
      <c r="G18" s="23">
        <f>SUMIFS(REPORT_FR2052a!$X:$X,REPORT_FR2052a!$AR:$AR,$A18)</f>
        <v>0</v>
      </c>
      <c r="H18" s="23">
        <f t="shared" si="0"/>
        <v>0</v>
      </c>
      <c r="I18">
        <v>1</v>
      </c>
      <c r="J18" s="144"/>
    </row>
    <row r="19" spans="1:10">
      <c r="A19" t="s">
        <v>365</v>
      </c>
      <c r="B19" t="s">
        <v>608</v>
      </c>
      <c r="C19" t="s">
        <v>501</v>
      </c>
      <c r="D19" t="s">
        <v>120</v>
      </c>
      <c r="E19" s="23">
        <f>SUMIFS(REPORT_FR2052a!$N:$N,REPORT_FR2052a!$AR:$AR,$A19)</f>
        <v>0</v>
      </c>
      <c r="F19" s="23">
        <f>SUMIFS(REPORT_FR2052a!$M:$M,REPORT_FR2052a!$AR:$AR,$A19)</f>
        <v>0</v>
      </c>
      <c r="G19" s="23">
        <f>SUMIFS(REPORT_FR2052a!$X:$X,REPORT_FR2052a!$AR:$AR,$A19)</f>
        <v>0</v>
      </c>
      <c r="H19" s="23">
        <f t="shared" si="0"/>
        <v>0</v>
      </c>
      <c r="I19">
        <v>1</v>
      </c>
      <c r="J19" s="144"/>
    </row>
    <row r="20" spans="1:10">
      <c r="A20" t="s">
        <v>366</v>
      </c>
      <c r="B20" t="s">
        <v>609</v>
      </c>
      <c r="C20" t="s">
        <v>502</v>
      </c>
      <c r="D20" t="s">
        <v>120</v>
      </c>
      <c r="E20" s="23">
        <f>SUMIFS(REPORT_FR2052a!$N:$N,REPORT_FR2052a!$AR:$AR,$A20)</f>
        <v>0</v>
      </c>
      <c r="F20" s="23">
        <f>SUMIFS(REPORT_FR2052a!$M:$M,REPORT_FR2052a!$AR:$AR,$A20)</f>
        <v>0</v>
      </c>
      <c r="G20" s="23">
        <f>SUMIFS(REPORT_FR2052a!$X:$X,REPORT_FR2052a!$AR:$AR,$A20)</f>
        <v>0</v>
      </c>
      <c r="H20" s="23">
        <f t="shared" si="0"/>
        <v>0</v>
      </c>
      <c r="I20">
        <v>1</v>
      </c>
      <c r="J20" s="144"/>
    </row>
    <row r="21" spans="1:10">
      <c r="A21" t="s">
        <v>367</v>
      </c>
      <c r="B21" t="s">
        <v>610</v>
      </c>
      <c r="C21" t="s">
        <v>503</v>
      </c>
      <c r="D21" t="s">
        <v>120</v>
      </c>
      <c r="E21" s="23">
        <f>SUMIFS(REPORT_FR2052a!$N:$N,REPORT_FR2052a!$AR:$AR,$A21)</f>
        <v>0</v>
      </c>
      <c r="F21" s="23">
        <f>SUMIFS(REPORT_FR2052a!$M:$M,REPORT_FR2052a!$AR:$AR,$A21)</f>
        <v>0</v>
      </c>
      <c r="G21" s="23">
        <f>SUMIFS(REPORT_FR2052a!$X:$X,REPORT_FR2052a!$AR:$AR,$A21)</f>
        <v>0</v>
      </c>
      <c r="H21" s="23">
        <f t="shared" si="0"/>
        <v>0</v>
      </c>
      <c r="I21">
        <v>1</v>
      </c>
      <c r="J21" s="144"/>
    </row>
    <row r="22" spans="1:10">
      <c r="A22" t="s">
        <v>368</v>
      </c>
      <c r="B22" t="s">
        <v>971</v>
      </c>
      <c r="C22" t="s">
        <v>504</v>
      </c>
      <c r="D22" t="s">
        <v>120</v>
      </c>
      <c r="E22" s="23">
        <f>SUMIFS(REPORT_FR2052a!$N:$N,REPORT_FR2052a!$AR:$AR,$A22)</f>
        <v>0</v>
      </c>
      <c r="F22" s="23">
        <f>SUMIFS(REPORT_FR2052a!$M:$M,REPORT_FR2052a!$AR:$AR,$A22)</f>
        <v>0</v>
      </c>
      <c r="G22" s="23">
        <f>SUMIFS(REPORT_FR2052a!$X:$X,REPORT_FR2052a!$AR:$AR,$A22)</f>
        <v>0</v>
      </c>
      <c r="H22" s="23">
        <f t="shared" si="0"/>
        <v>0</v>
      </c>
      <c r="I22">
        <v>1</v>
      </c>
      <c r="J22" s="144"/>
    </row>
    <row r="23" spans="1:10">
      <c r="A23" t="s">
        <v>372</v>
      </c>
      <c r="B23" t="s">
        <v>119</v>
      </c>
      <c r="C23" t="s">
        <v>505</v>
      </c>
      <c r="D23" t="s">
        <v>120</v>
      </c>
      <c r="E23" s="23">
        <f>SUMIFS(REPORT_FR2052a!$N:$N,REPORT_FR2052a!$AR:$AR,$A23)</f>
        <v>12987.460000000001</v>
      </c>
      <c r="F23" s="23">
        <f>SUMIFS(REPORT_FR2052a!$M:$M,REPORT_FR2052a!$AR:$AR,$A23)</f>
        <v>0</v>
      </c>
      <c r="G23" s="23">
        <f>SUMIFS(REPORT_FR2052a!$X:$X,REPORT_FR2052a!$AR:$AR,$A23)</f>
        <v>13797145379.98625</v>
      </c>
      <c r="H23" s="23">
        <f t="shared" si="0"/>
        <v>1</v>
      </c>
      <c r="I23">
        <v>1</v>
      </c>
      <c r="J23" s="144"/>
    </row>
    <row r="24" spans="1:10">
      <c r="A24" t="s">
        <v>377</v>
      </c>
      <c r="B24" t="s">
        <v>65</v>
      </c>
      <c r="C24" t="s">
        <v>493</v>
      </c>
      <c r="D24" t="s">
        <v>66</v>
      </c>
      <c r="E24" s="23">
        <f>SUMIFS(REPORT_FR2052a!$N:$N,REPORT_FR2052a!$AR:$AR,$A24)</f>
        <v>0</v>
      </c>
      <c r="F24" s="23">
        <f>SUMIFS(REPORT_FR2052a!$M:$M,REPORT_FR2052a!$AR:$AR,$A24)</f>
        <v>0</v>
      </c>
      <c r="G24" s="23">
        <f>SUMIFS(REPORT_FR2052a!$X:$X,REPORT_FR2052a!$AR:$AR,$A24)</f>
        <v>0</v>
      </c>
      <c r="H24" s="23">
        <f t="shared" si="0"/>
        <v>0</v>
      </c>
      <c r="I24">
        <v>1</v>
      </c>
      <c r="J24" s="144"/>
    </row>
    <row r="25" spans="1:10">
      <c r="A25" t="s">
        <v>376</v>
      </c>
      <c r="B25" t="s">
        <v>72</v>
      </c>
      <c r="C25" t="s">
        <v>494</v>
      </c>
      <c r="D25" t="s">
        <v>66</v>
      </c>
      <c r="E25" s="23">
        <f>SUMIFS(REPORT_FR2052a!$N:$N,REPORT_FR2052a!$AR:$AR,$A25)</f>
        <v>1423.38</v>
      </c>
      <c r="F25" s="23">
        <f>SUMIFS(REPORT_FR2052a!$M:$M,REPORT_FR2052a!$AR:$AR,$A25)</f>
        <v>0</v>
      </c>
      <c r="G25" s="23">
        <f>SUMIFS(REPORT_FR2052a!$X:$X,REPORT_FR2052a!$AR:$AR,$A25)</f>
        <v>0</v>
      </c>
      <c r="H25" s="23">
        <f t="shared" si="0"/>
        <v>1</v>
      </c>
      <c r="I25">
        <v>1</v>
      </c>
      <c r="J25" s="144"/>
    </row>
    <row r="26" spans="1:10">
      <c r="A26" t="s">
        <v>396</v>
      </c>
      <c r="B26" t="s">
        <v>113</v>
      </c>
      <c r="C26" t="s">
        <v>495</v>
      </c>
      <c r="D26" t="s">
        <v>66</v>
      </c>
      <c r="E26" s="23">
        <f>SUMIFS(REPORT_FR2052a!$N:$N,REPORT_FR2052a!$AR:$AR,$A26)</f>
        <v>20.860000000000003</v>
      </c>
      <c r="F26" s="23">
        <f>SUMIFS(REPORT_FR2052a!$M:$M,REPORT_FR2052a!$AR:$AR,$A26)</f>
        <v>0</v>
      </c>
      <c r="G26" s="23">
        <f>SUMIFS(REPORT_FR2052a!$X:$X,REPORT_FR2052a!$AR:$AR,$A26)</f>
        <v>0</v>
      </c>
      <c r="H26" s="23">
        <f t="shared" si="0"/>
        <v>1</v>
      </c>
      <c r="I26">
        <v>1</v>
      </c>
      <c r="J26" s="144"/>
    </row>
    <row r="27" spans="1:10">
      <c r="A27" t="s">
        <v>378</v>
      </c>
      <c r="B27" t="s">
        <v>117</v>
      </c>
      <c r="C27" t="s">
        <v>496</v>
      </c>
      <c r="D27" t="s">
        <v>66</v>
      </c>
      <c r="E27" s="23">
        <f>SUMIFS(REPORT_FR2052a!$N:$N,REPORT_FR2052a!$AR:$AR,$A27)</f>
        <v>55.67</v>
      </c>
      <c r="F27" s="23">
        <f>SUMIFS(REPORT_FR2052a!$M:$M,REPORT_FR2052a!$AR:$AR,$A27)</f>
        <v>0</v>
      </c>
      <c r="G27" s="23">
        <f>SUMIFS(REPORT_FR2052a!$X:$X,REPORT_FR2052a!$AR:$AR,$A27)</f>
        <v>0</v>
      </c>
      <c r="H27" s="23">
        <f t="shared" si="0"/>
        <v>1</v>
      </c>
      <c r="I27">
        <v>1</v>
      </c>
      <c r="J27" s="144"/>
    </row>
    <row r="28" spans="1:10">
      <c r="A28" t="s">
        <v>395</v>
      </c>
      <c r="B28" t="s">
        <v>83</v>
      </c>
      <c r="C28" t="s">
        <v>497</v>
      </c>
      <c r="D28" t="s">
        <v>66</v>
      </c>
      <c r="E28" s="23">
        <f>SUMIFS(REPORT_FR2052a!$N:$N,REPORT_FR2052a!$AR:$AR,$A28)</f>
        <v>6408.9200000000028</v>
      </c>
      <c r="F28" s="23">
        <f>SUMIFS(REPORT_FR2052a!$M:$M,REPORT_FR2052a!$AR:$AR,$A28)</f>
        <v>0</v>
      </c>
      <c r="G28" s="23">
        <f>SUMIFS(REPORT_FR2052a!$X:$X,REPORT_FR2052a!$AR:$AR,$A28)</f>
        <v>0</v>
      </c>
      <c r="H28" s="23">
        <f t="shared" si="0"/>
        <v>1</v>
      </c>
      <c r="I28">
        <v>1</v>
      </c>
      <c r="J28" s="144"/>
    </row>
    <row r="29" spans="1:10">
      <c r="A29" t="s">
        <v>375</v>
      </c>
      <c r="B29" t="s">
        <v>112</v>
      </c>
      <c r="C29" t="s">
        <v>498</v>
      </c>
      <c r="D29" t="s">
        <v>66</v>
      </c>
      <c r="E29" s="23">
        <f>SUMIFS(REPORT_FR2052a!$N:$N,REPORT_FR2052a!$AR:$AR,$A29)</f>
        <v>5759.07</v>
      </c>
      <c r="F29" s="23">
        <f>SUMIFS(REPORT_FR2052a!$M:$M,REPORT_FR2052a!$AR:$AR,$A29)</f>
        <v>0</v>
      </c>
      <c r="G29" s="23">
        <f>SUMIFS(REPORT_FR2052a!$X:$X,REPORT_FR2052a!$AR:$AR,$A29)</f>
        <v>0</v>
      </c>
      <c r="H29" s="23">
        <f t="shared" si="0"/>
        <v>1</v>
      </c>
      <c r="I29">
        <v>1</v>
      </c>
      <c r="J29" s="144"/>
    </row>
    <row r="30" spans="1:10">
      <c r="A30" t="s">
        <v>384</v>
      </c>
      <c r="B30" t="s">
        <v>152</v>
      </c>
      <c r="C30" t="s">
        <v>538</v>
      </c>
      <c r="D30" t="s">
        <v>153</v>
      </c>
      <c r="E30" s="23">
        <f>SUMIFS(REPORT_FR2052a!$N:$N,REPORT_FR2052a!$AR:$AR,$A30)</f>
        <v>69.67</v>
      </c>
      <c r="F30" s="23">
        <f>SUMIFS(REPORT_FR2052a!$M:$M,REPORT_FR2052a!$AR:$AR,$A30)</f>
        <v>0</v>
      </c>
      <c r="G30" s="23">
        <f>SUMIFS(REPORT_FR2052a!$X:$X,REPORT_FR2052a!$AR:$AR,$A30)</f>
        <v>0</v>
      </c>
      <c r="H30" s="23">
        <f t="shared" si="0"/>
        <v>1</v>
      </c>
      <c r="I30">
        <v>1</v>
      </c>
      <c r="J30" s="144"/>
    </row>
    <row r="31" spans="1:10">
      <c r="A31" t="s">
        <v>405</v>
      </c>
      <c r="B31" t="s">
        <v>157</v>
      </c>
      <c r="C31" t="s">
        <v>547</v>
      </c>
      <c r="D31" t="s">
        <v>153</v>
      </c>
      <c r="E31" s="23">
        <f>SUMIFS(REPORT_FR2052a!$N:$N,REPORT_FR2052a!$AR:$AR,$A31)</f>
        <v>18130.140000000003</v>
      </c>
      <c r="F31" s="23">
        <f>SUMIFS(REPORT_FR2052a!$M:$M,REPORT_FR2052a!$AR:$AR,$A31)</f>
        <v>0</v>
      </c>
      <c r="G31" s="23">
        <f>SUMIFS(REPORT_FR2052a!$X:$X,REPORT_FR2052a!$AR:$AR,$A31)</f>
        <v>0</v>
      </c>
      <c r="H31" s="23">
        <f t="shared" si="0"/>
        <v>1</v>
      </c>
      <c r="I31">
        <v>1</v>
      </c>
      <c r="J31" s="144"/>
    </row>
    <row r="32" spans="1:10">
      <c r="A32" t="s">
        <v>407</v>
      </c>
      <c r="B32" t="s">
        <v>168</v>
      </c>
      <c r="C32" t="s">
        <v>548</v>
      </c>
      <c r="D32" t="s">
        <v>153</v>
      </c>
      <c r="E32" s="23">
        <f>SUMIFS(REPORT_FR2052a!$N:$N,REPORT_FR2052a!$AR:$AR,$A32)</f>
        <v>260.29000000000002</v>
      </c>
      <c r="F32" s="23">
        <f>SUMIFS(REPORT_FR2052a!$M:$M,REPORT_FR2052a!$AR:$AR,$A32)</f>
        <v>0</v>
      </c>
      <c r="G32" s="23">
        <f>SUMIFS(REPORT_FR2052a!$X:$X,REPORT_FR2052a!$AR:$AR,$A32)</f>
        <v>0</v>
      </c>
      <c r="H32" s="23">
        <f t="shared" si="0"/>
        <v>1</v>
      </c>
      <c r="I32">
        <v>1</v>
      </c>
      <c r="J32" s="144"/>
    </row>
    <row r="33" spans="1:10">
      <c r="A33" t="s">
        <v>661</v>
      </c>
      <c r="B33" t="s">
        <v>662</v>
      </c>
      <c r="C33" t="s">
        <v>549</v>
      </c>
      <c r="D33" t="s">
        <v>153</v>
      </c>
      <c r="E33" s="23">
        <f>SUMIFS(REPORT_FR2052a!$N:$N,REPORT_FR2052a!$AR:$AR,$A33)</f>
        <v>0</v>
      </c>
      <c r="F33" s="23">
        <f>SUMIFS(REPORT_FR2052a!$M:$M,REPORT_FR2052a!$AR:$AR,$A33)</f>
        <v>0</v>
      </c>
      <c r="G33" s="23">
        <f>SUMIFS(REPORT_FR2052a!$X:$X,REPORT_FR2052a!$AR:$AR,$A33)</f>
        <v>0</v>
      </c>
      <c r="H33" s="23">
        <f t="shared" si="0"/>
        <v>0</v>
      </c>
      <c r="I33">
        <v>1</v>
      </c>
      <c r="J33" s="144"/>
    </row>
    <row r="34" spans="1:10">
      <c r="A34" t="s">
        <v>663</v>
      </c>
      <c r="B34" t="s">
        <v>664</v>
      </c>
      <c r="C34" t="s">
        <v>550</v>
      </c>
      <c r="D34" t="s">
        <v>153</v>
      </c>
      <c r="E34" s="23">
        <f>SUMIFS(REPORT_FR2052a!$N:$N,REPORT_FR2052a!$AR:$AR,$A34)</f>
        <v>0</v>
      </c>
      <c r="F34" s="23">
        <f>SUMIFS(REPORT_FR2052a!$M:$M,REPORT_FR2052a!$AR:$AR,$A34)</f>
        <v>0</v>
      </c>
      <c r="G34" s="23">
        <f>SUMIFS(REPORT_FR2052a!$X:$X,REPORT_FR2052a!$AR:$AR,$A34)</f>
        <v>0</v>
      </c>
      <c r="H34" s="23">
        <f t="shared" ref="H34:H65" si="1">IF(SUM(E34:G34)&lt;&gt;0,1,0)</f>
        <v>0</v>
      </c>
      <c r="I34">
        <v>1</v>
      </c>
      <c r="J34" s="144"/>
    </row>
    <row r="35" spans="1:10">
      <c r="A35" t="s">
        <v>385</v>
      </c>
      <c r="B35" t="s">
        <v>159</v>
      </c>
      <c r="C35" t="s">
        <v>539</v>
      </c>
      <c r="D35" t="s">
        <v>153</v>
      </c>
      <c r="E35" s="23">
        <f>SUMIFS(REPORT_FR2052a!$N:$N,REPORT_FR2052a!$AR:$AR,$A35)</f>
        <v>180.59000000000012</v>
      </c>
      <c r="F35" s="23">
        <f>SUMIFS(REPORT_FR2052a!$M:$M,REPORT_FR2052a!$AR:$AR,$A35)</f>
        <v>0</v>
      </c>
      <c r="G35" s="23">
        <f>SUMIFS(REPORT_FR2052a!$X:$X,REPORT_FR2052a!$AR:$AR,$A35)</f>
        <v>0</v>
      </c>
      <c r="H35" s="23">
        <f t="shared" si="1"/>
        <v>1</v>
      </c>
      <c r="I35">
        <v>1</v>
      </c>
      <c r="J35" s="144"/>
    </row>
    <row r="36" spans="1:10">
      <c r="A36" t="s">
        <v>386</v>
      </c>
      <c r="B36" t="s">
        <v>160</v>
      </c>
      <c r="C36" t="s">
        <v>540</v>
      </c>
      <c r="D36" t="s">
        <v>153</v>
      </c>
      <c r="E36" s="23">
        <f>SUMIFS(REPORT_FR2052a!$N:$N,REPORT_FR2052a!$AR:$AR,$A36)</f>
        <v>44.469999999999992</v>
      </c>
      <c r="F36" s="23">
        <f>SUMIFS(REPORT_FR2052a!$M:$M,REPORT_FR2052a!$AR:$AR,$A36)</f>
        <v>0</v>
      </c>
      <c r="G36" s="23">
        <f>SUMIFS(REPORT_FR2052a!$X:$X,REPORT_FR2052a!$AR:$AR,$A36)</f>
        <v>0</v>
      </c>
      <c r="H36" s="23">
        <f t="shared" si="1"/>
        <v>1</v>
      </c>
      <c r="I36">
        <v>1</v>
      </c>
      <c r="J36" s="144"/>
    </row>
    <row r="37" spans="1:10">
      <c r="A37" t="s">
        <v>393</v>
      </c>
      <c r="B37" t="s">
        <v>161</v>
      </c>
      <c r="C37" t="s">
        <v>541</v>
      </c>
      <c r="D37" t="s">
        <v>153</v>
      </c>
      <c r="E37" s="23">
        <f>SUMIFS(REPORT_FR2052a!$N:$N,REPORT_FR2052a!$AR:$AR,$A37)</f>
        <v>21506.149999999998</v>
      </c>
      <c r="F37" s="23">
        <f>SUMIFS(REPORT_FR2052a!$M:$M,REPORT_FR2052a!$AR:$AR,$A37)</f>
        <v>0</v>
      </c>
      <c r="G37" s="23">
        <f>SUMIFS(REPORT_FR2052a!$X:$X,REPORT_FR2052a!$AR:$AR,$A37)</f>
        <v>0</v>
      </c>
      <c r="H37" s="23">
        <f t="shared" si="1"/>
        <v>1</v>
      </c>
      <c r="I37">
        <v>1</v>
      </c>
      <c r="J37" s="144"/>
    </row>
    <row r="38" spans="1:10">
      <c r="A38" t="s">
        <v>329</v>
      </c>
      <c r="B38" t="s">
        <v>164</v>
      </c>
      <c r="C38" t="s">
        <v>542</v>
      </c>
      <c r="D38" t="s">
        <v>153</v>
      </c>
      <c r="E38" s="23">
        <f>SUMIFS(REPORT_FR2052a!$N:$N,REPORT_FR2052a!$AR:$AR,$A38)</f>
        <v>4407.62</v>
      </c>
      <c r="F38" s="23">
        <f>SUMIFS(REPORT_FR2052a!$M:$M,REPORT_FR2052a!$AR:$AR,$A38)</f>
        <v>0</v>
      </c>
      <c r="G38" s="23">
        <f>SUMIFS(REPORT_FR2052a!$X:$X,REPORT_FR2052a!$AR:$AR,$A38)</f>
        <v>0</v>
      </c>
      <c r="H38" s="23">
        <f t="shared" si="1"/>
        <v>1</v>
      </c>
      <c r="I38">
        <v>1</v>
      </c>
      <c r="J38" s="144"/>
    </row>
    <row r="39" spans="1:10">
      <c r="A39" t="s">
        <v>333</v>
      </c>
      <c r="B39" t="s">
        <v>165</v>
      </c>
      <c r="C39" t="s">
        <v>543</v>
      </c>
      <c r="D39" t="s">
        <v>153</v>
      </c>
      <c r="E39" s="23">
        <f>SUMIFS(REPORT_FR2052a!$N:$N,REPORT_FR2052a!$AR:$AR,$A39)</f>
        <v>147.19999999999999</v>
      </c>
      <c r="F39" s="23">
        <f>SUMIFS(REPORT_FR2052a!$M:$M,REPORT_FR2052a!$AR:$AR,$A39)</f>
        <v>0</v>
      </c>
      <c r="G39" s="23">
        <f>SUMIFS(REPORT_FR2052a!$X:$X,REPORT_FR2052a!$AR:$AR,$A39)</f>
        <v>0</v>
      </c>
      <c r="H39" s="23">
        <f t="shared" si="1"/>
        <v>1</v>
      </c>
      <c r="I39">
        <v>1</v>
      </c>
      <c r="J39" s="144"/>
    </row>
    <row r="40" spans="1:10">
      <c r="A40" t="s">
        <v>334</v>
      </c>
      <c r="B40" t="s">
        <v>166</v>
      </c>
      <c r="C40" t="s">
        <v>544</v>
      </c>
      <c r="D40" t="s">
        <v>153</v>
      </c>
      <c r="E40" s="23">
        <f>SUMIFS(REPORT_FR2052a!$N:$N,REPORT_FR2052a!$AR:$AR,$A40)</f>
        <v>9675.5699999999979</v>
      </c>
      <c r="F40" s="23">
        <f>SUMIFS(REPORT_FR2052a!$M:$M,REPORT_FR2052a!$AR:$AR,$A40)</f>
        <v>0</v>
      </c>
      <c r="G40" s="23">
        <f>SUMIFS(REPORT_FR2052a!$X:$X,REPORT_FR2052a!$AR:$AR,$A40)</f>
        <v>0</v>
      </c>
      <c r="H40" s="23">
        <f t="shared" si="1"/>
        <v>1</v>
      </c>
      <c r="I40">
        <v>1</v>
      </c>
      <c r="J40" s="144"/>
    </row>
    <row r="41" spans="1:10">
      <c r="A41" t="s">
        <v>335</v>
      </c>
      <c r="B41" t="s">
        <v>660</v>
      </c>
      <c r="C41" t="s">
        <v>545</v>
      </c>
      <c r="D41" t="s">
        <v>153</v>
      </c>
      <c r="E41" s="23">
        <f>SUMIFS(REPORT_FR2052a!$N:$N,REPORT_FR2052a!$AR:$AR,$A41)</f>
        <v>0</v>
      </c>
      <c r="F41" s="23">
        <f>SUMIFS(REPORT_FR2052a!$M:$M,REPORT_FR2052a!$AR:$AR,$A41)</f>
        <v>0</v>
      </c>
      <c r="G41" s="23">
        <f>SUMIFS(REPORT_FR2052a!$X:$X,REPORT_FR2052a!$AR:$AR,$A41)</f>
        <v>0</v>
      </c>
      <c r="H41" s="23">
        <f t="shared" si="1"/>
        <v>0</v>
      </c>
      <c r="I41">
        <v>1</v>
      </c>
      <c r="J41" s="144"/>
    </row>
    <row r="42" spans="1:10">
      <c r="A42" t="s">
        <v>406</v>
      </c>
      <c r="B42" t="s">
        <v>167</v>
      </c>
      <c r="C42" t="s">
        <v>546</v>
      </c>
      <c r="D42" t="s">
        <v>153</v>
      </c>
      <c r="E42" s="23">
        <f>SUMIFS(REPORT_FR2052a!$N:$N,REPORT_FR2052a!$AR:$AR,$A42)</f>
        <v>4063.67</v>
      </c>
      <c r="F42" s="23">
        <f>SUMIFS(REPORT_FR2052a!$M:$M,REPORT_FR2052a!$AR:$AR,$A42)</f>
        <v>0</v>
      </c>
      <c r="G42" s="23">
        <f>SUMIFS(REPORT_FR2052a!$X:$X,REPORT_FR2052a!$AR:$AR,$A42)</f>
        <v>0</v>
      </c>
      <c r="H42" s="23">
        <f t="shared" si="1"/>
        <v>1</v>
      </c>
      <c r="I42">
        <v>1</v>
      </c>
      <c r="J42" s="144"/>
    </row>
    <row r="43" spans="1:10">
      <c r="A43" t="s">
        <v>404</v>
      </c>
      <c r="B43" t="s">
        <v>151</v>
      </c>
      <c r="C43" t="s">
        <v>551</v>
      </c>
      <c r="D43" t="s">
        <v>145</v>
      </c>
      <c r="E43" s="23">
        <f>SUMIFS(REPORT_FR2052a!$N:$N,REPORT_FR2052a!$AR:$AR,$A43)</f>
        <v>21.97</v>
      </c>
      <c r="F43" s="23">
        <f>SUMIFS(REPORT_FR2052a!$M:$M,REPORT_FR2052a!$AR:$AR,$A43)</f>
        <v>0</v>
      </c>
      <c r="G43" s="23">
        <f>SUMIFS(REPORT_FR2052a!$X:$X,REPORT_FR2052a!$AR:$AR,$A43)</f>
        <v>0</v>
      </c>
      <c r="H43" s="23">
        <f t="shared" si="1"/>
        <v>1</v>
      </c>
      <c r="I43">
        <v>0</v>
      </c>
      <c r="J43" s="144"/>
    </row>
    <row r="44" spans="1:10">
      <c r="A44" t="s">
        <v>675</v>
      </c>
      <c r="B44" t="s">
        <v>676</v>
      </c>
      <c r="C44" t="s">
        <v>560</v>
      </c>
      <c r="D44" t="s">
        <v>145</v>
      </c>
      <c r="E44" s="23">
        <f>SUMIFS(REPORT_FR2052a!$N:$N,REPORT_FR2052a!$AR:$AR,$A44)</f>
        <v>0</v>
      </c>
      <c r="F44" s="23">
        <f>SUMIFS(REPORT_FR2052a!$M:$M,REPORT_FR2052a!$AR:$AR,$A44)</f>
        <v>0</v>
      </c>
      <c r="G44" s="23">
        <f>SUMIFS(REPORT_FR2052a!$X:$X,REPORT_FR2052a!$AR:$AR,$A44)</f>
        <v>0</v>
      </c>
      <c r="H44" s="23">
        <f t="shared" si="1"/>
        <v>0</v>
      </c>
      <c r="I44">
        <v>0</v>
      </c>
      <c r="J44" s="144"/>
    </row>
    <row r="45" spans="1:10">
      <c r="A45" t="s">
        <v>677</v>
      </c>
      <c r="B45" t="s">
        <v>678</v>
      </c>
      <c r="C45" t="s">
        <v>561</v>
      </c>
      <c r="D45" t="s">
        <v>145</v>
      </c>
      <c r="E45" s="23">
        <f>SUMIFS(REPORT_FR2052a!$N:$N,REPORT_FR2052a!$AR:$AR,$A45)</f>
        <v>0</v>
      </c>
      <c r="F45" s="23">
        <f>SUMIFS(REPORT_FR2052a!$M:$M,REPORT_FR2052a!$AR:$AR,$A45)</f>
        <v>0</v>
      </c>
      <c r="G45" s="23">
        <f>SUMIFS(REPORT_FR2052a!$X:$X,REPORT_FR2052a!$AR:$AR,$A45)</f>
        <v>0</v>
      </c>
      <c r="H45" s="23">
        <f t="shared" si="1"/>
        <v>0</v>
      </c>
      <c r="I45">
        <v>0</v>
      </c>
      <c r="J45" s="144"/>
    </row>
    <row r="46" spans="1:10">
      <c r="A46" t="s">
        <v>679</v>
      </c>
      <c r="B46" t="s">
        <v>970</v>
      </c>
      <c r="C46" t="s">
        <v>562</v>
      </c>
      <c r="D46" t="s">
        <v>145</v>
      </c>
      <c r="E46" s="23">
        <f>SUMIFS(REPORT_FR2052a!$N:$N,REPORT_FR2052a!$AR:$AR,$A46)</f>
        <v>0</v>
      </c>
      <c r="F46" s="23">
        <f>SUMIFS(REPORT_FR2052a!$M:$M,REPORT_FR2052a!$AR:$AR,$A46)</f>
        <v>0</v>
      </c>
      <c r="G46" s="23">
        <f>SUMIFS(REPORT_FR2052a!$X:$X,REPORT_FR2052a!$AR:$AR,$A46)</f>
        <v>0</v>
      </c>
      <c r="H46" s="23">
        <f t="shared" si="1"/>
        <v>0</v>
      </c>
      <c r="I46">
        <v>0</v>
      </c>
      <c r="J46" s="144"/>
    </row>
    <row r="47" spans="1:10">
      <c r="A47" t="s">
        <v>680</v>
      </c>
      <c r="B47" t="s">
        <v>681</v>
      </c>
      <c r="C47" t="s">
        <v>563</v>
      </c>
      <c r="D47" t="s">
        <v>145</v>
      </c>
      <c r="E47" s="23">
        <f>SUMIFS(REPORT_FR2052a!$N:$N,REPORT_FR2052a!$AR:$AR,$A47)</f>
        <v>0</v>
      </c>
      <c r="F47" s="23">
        <f>SUMIFS(REPORT_FR2052a!$M:$M,REPORT_FR2052a!$AR:$AR,$A47)</f>
        <v>0</v>
      </c>
      <c r="G47" s="23">
        <f>SUMIFS(REPORT_FR2052a!$X:$X,REPORT_FR2052a!$AR:$AR,$A47)</f>
        <v>0</v>
      </c>
      <c r="H47" s="23">
        <f t="shared" si="1"/>
        <v>0</v>
      </c>
      <c r="I47">
        <v>0</v>
      </c>
      <c r="J47" s="144"/>
    </row>
    <row r="48" spans="1:10">
      <c r="A48" t="s">
        <v>682</v>
      </c>
      <c r="B48" t="s">
        <v>683</v>
      </c>
      <c r="C48" t="s">
        <v>564</v>
      </c>
      <c r="D48" t="s">
        <v>145</v>
      </c>
      <c r="E48" s="23">
        <f>SUMIFS(REPORT_FR2052a!$N:$N,REPORT_FR2052a!$AR:$AR,$A48)</f>
        <v>0</v>
      </c>
      <c r="F48" s="23">
        <f>SUMIFS(REPORT_FR2052a!$M:$M,REPORT_FR2052a!$AR:$AR,$A48)</f>
        <v>0</v>
      </c>
      <c r="G48" s="23">
        <f>SUMIFS(REPORT_FR2052a!$X:$X,REPORT_FR2052a!$AR:$AR,$A48)</f>
        <v>0</v>
      </c>
      <c r="H48" s="23">
        <f t="shared" si="1"/>
        <v>0</v>
      </c>
      <c r="I48">
        <v>0</v>
      </c>
      <c r="J48" s="144"/>
    </row>
    <row r="49" spans="1:10">
      <c r="A49" t="s">
        <v>684</v>
      </c>
      <c r="B49" t="s">
        <v>685</v>
      </c>
      <c r="C49" t="s">
        <v>565</v>
      </c>
      <c r="D49" t="s">
        <v>145</v>
      </c>
      <c r="E49" s="23">
        <f>SUMIFS(REPORT_FR2052a!$N:$N,REPORT_FR2052a!$AR:$AR,$A49)</f>
        <v>0</v>
      </c>
      <c r="F49" s="23">
        <f>SUMIFS(REPORT_FR2052a!$M:$M,REPORT_FR2052a!$AR:$AR,$A49)</f>
        <v>0</v>
      </c>
      <c r="G49" s="23">
        <f>SUMIFS(REPORT_FR2052a!$X:$X,REPORT_FR2052a!$AR:$AR,$A49)</f>
        <v>0</v>
      </c>
      <c r="H49" s="23">
        <f t="shared" si="1"/>
        <v>0</v>
      </c>
      <c r="I49">
        <v>0</v>
      </c>
      <c r="J49" s="144"/>
    </row>
    <row r="50" spans="1:10">
      <c r="A50" t="s">
        <v>686</v>
      </c>
      <c r="B50" t="s">
        <v>687</v>
      </c>
      <c r="C50" t="s">
        <v>566</v>
      </c>
      <c r="D50" t="s">
        <v>145</v>
      </c>
      <c r="E50" s="23">
        <f>SUMIFS(REPORT_FR2052a!$N:$N,REPORT_FR2052a!$AR:$AR,$A50)</f>
        <v>0</v>
      </c>
      <c r="F50" s="23">
        <f>SUMIFS(REPORT_FR2052a!$M:$M,REPORT_FR2052a!$AR:$AR,$A50)</f>
        <v>0</v>
      </c>
      <c r="G50" s="23">
        <f>SUMIFS(REPORT_FR2052a!$X:$X,REPORT_FR2052a!$AR:$AR,$A50)</f>
        <v>0</v>
      </c>
      <c r="H50" s="23">
        <f t="shared" si="1"/>
        <v>0</v>
      </c>
      <c r="I50">
        <v>0</v>
      </c>
      <c r="J50" s="144"/>
    </row>
    <row r="51" spans="1:10">
      <c r="A51" t="s">
        <v>688</v>
      </c>
      <c r="B51" t="s">
        <v>689</v>
      </c>
      <c r="C51" t="s">
        <v>567</v>
      </c>
      <c r="D51" t="s">
        <v>145</v>
      </c>
      <c r="E51" s="23">
        <f>SUMIFS(REPORT_FR2052a!$N:$N,REPORT_FR2052a!$AR:$AR,$A51)</f>
        <v>0</v>
      </c>
      <c r="F51" s="23">
        <f>SUMIFS(REPORT_FR2052a!$M:$M,REPORT_FR2052a!$AR:$AR,$A51)</f>
        <v>0</v>
      </c>
      <c r="G51" s="23">
        <f>SUMIFS(REPORT_FR2052a!$X:$X,REPORT_FR2052a!$AR:$AR,$A51)</f>
        <v>0</v>
      </c>
      <c r="H51" s="23">
        <f t="shared" si="1"/>
        <v>0</v>
      </c>
      <c r="I51">
        <v>0</v>
      </c>
      <c r="J51" s="144"/>
    </row>
    <row r="52" spans="1:10">
      <c r="A52" t="s">
        <v>690</v>
      </c>
      <c r="B52" t="s">
        <v>691</v>
      </c>
      <c r="C52" t="s">
        <v>568</v>
      </c>
      <c r="D52" t="s">
        <v>145</v>
      </c>
      <c r="E52" s="23">
        <f>SUMIFS(REPORT_FR2052a!$N:$N,REPORT_FR2052a!$AR:$AR,$A52)</f>
        <v>0</v>
      </c>
      <c r="F52" s="23">
        <f>SUMIFS(REPORT_FR2052a!$M:$M,REPORT_FR2052a!$AR:$AR,$A52)</f>
        <v>0</v>
      </c>
      <c r="G52" s="23">
        <f>SUMIFS(REPORT_FR2052a!$X:$X,REPORT_FR2052a!$AR:$AR,$A52)</f>
        <v>0</v>
      </c>
      <c r="H52" s="23">
        <f t="shared" si="1"/>
        <v>0</v>
      </c>
      <c r="I52">
        <v>0</v>
      </c>
      <c r="J52" s="144"/>
    </row>
    <row r="53" spans="1:10">
      <c r="A53" t="s">
        <v>402</v>
      </c>
      <c r="B53" t="s">
        <v>147</v>
      </c>
      <c r="C53" t="s">
        <v>569</v>
      </c>
      <c r="D53" t="s">
        <v>145</v>
      </c>
      <c r="E53" s="23">
        <f>SUMIFS(REPORT_FR2052a!$N:$N,REPORT_FR2052a!$AR:$AR,$A53)</f>
        <v>42.16</v>
      </c>
      <c r="F53" s="23">
        <f>SUMIFS(REPORT_FR2052a!$M:$M,REPORT_FR2052a!$AR:$AR,$A53)</f>
        <v>0</v>
      </c>
      <c r="G53" s="23">
        <f>SUMIFS(REPORT_FR2052a!$X:$X,REPORT_FR2052a!$AR:$AR,$A53)</f>
        <v>0</v>
      </c>
      <c r="H53" s="23">
        <f t="shared" si="1"/>
        <v>1</v>
      </c>
      <c r="I53">
        <v>0</v>
      </c>
      <c r="J53" s="144"/>
    </row>
    <row r="54" spans="1:10">
      <c r="A54" t="s">
        <v>665</v>
      </c>
      <c r="B54" t="s">
        <v>666</v>
      </c>
      <c r="C54" t="s">
        <v>552</v>
      </c>
      <c r="D54" t="s">
        <v>145</v>
      </c>
      <c r="E54" s="23">
        <f>SUMIFS(REPORT_FR2052a!$N:$N,REPORT_FR2052a!$AR:$AR,$A54)</f>
        <v>0</v>
      </c>
      <c r="F54" s="23">
        <f>SUMIFS(REPORT_FR2052a!$M:$M,REPORT_FR2052a!$AR:$AR,$A54)</f>
        <v>0</v>
      </c>
      <c r="G54" s="23">
        <f>SUMIFS(REPORT_FR2052a!$X:$X,REPORT_FR2052a!$AR:$AR,$A54)</f>
        <v>0</v>
      </c>
      <c r="H54" s="23">
        <f t="shared" si="1"/>
        <v>0</v>
      </c>
      <c r="I54">
        <v>0</v>
      </c>
      <c r="J54" s="144"/>
    </row>
    <row r="55" spans="1:10">
      <c r="A55" t="s">
        <v>387</v>
      </c>
      <c r="B55" t="s">
        <v>150</v>
      </c>
      <c r="C55" t="s">
        <v>570</v>
      </c>
      <c r="D55" t="s">
        <v>145</v>
      </c>
      <c r="E55" s="23">
        <f>SUMIFS(REPORT_FR2052a!$N:$N,REPORT_FR2052a!$AR:$AR,$A55)</f>
        <v>108.94999999999999</v>
      </c>
      <c r="F55" s="23">
        <f>SUMIFS(REPORT_FR2052a!$M:$M,REPORT_FR2052a!$AR:$AR,$A55)</f>
        <v>0</v>
      </c>
      <c r="G55" s="23">
        <f>SUMIFS(REPORT_FR2052a!$X:$X,REPORT_FR2052a!$AR:$AR,$A55)</f>
        <v>0</v>
      </c>
      <c r="H55" s="23">
        <f t="shared" si="1"/>
        <v>1</v>
      </c>
      <c r="I55">
        <v>0</v>
      </c>
      <c r="J55" s="144"/>
    </row>
    <row r="56" spans="1:10">
      <c r="A56" t="s">
        <v>692</v>
      </c>
      <c r="B56" t="s">
        <v>693</v>
      </c>
      <c r="C56" t="s">
        <v>571</v>
      </c>
      <c r="D56" t="s">
        <v>145</v>
      </c>
      <c r="E56" s="23">
        <f>SUMIFS(REPORT_FR2052a!$N:$N,REPORT_FR2052a!$AR:$AR,$A56)</f>
        <v>0</v>
      </c>
      <c r="F56" s="23">
        <f>SUMIFS(REPORT_FR2052a!$M:$M,REPORT_FR2052a!$AR:$AR,$A56)</f>
        <v>0</v>
      </c>
      <c r="G56" s="23">
        <f>SUMIFS(REPORT_FR2052a!$X:$X,REPORT_FR2052a!$AR:$AR,$A56)</f>
        <v>0</v>
      </c>
      <c r="H56" s="23">
        <f t="shared" si="1"/>
        <v>0</v>
      </c>
      <c r="I56">
        <v>0</v>
      </c>
      <c r="J56" s="144"/>
    </row>
    <row r="57" spans="1:10">
      <c r="A57" t="s">
        <v>694</v>
      </c>
      <c r="B57" t="s">
        <v>695</v>
      </c>
      <c r="C57" t="s">
        <v>572</v>
      </c>
      <c r="D57" t="s">
        <v>145</v>
      </c>
      <c r="E57" s="23">
        <f>SUMIFS(REPORT_FR2052a!$N:$N,REPORT_FR2052a!$AR:$AR,$A57)</f>
        <v>0</v>
      </c>
      <c r="F57" s="23">
        <f>SUMIFS(REPORT_FR2052a!$M:$M,REPORT_FR2052a!$AR:$AR,$A57)</f>
        <v>0</v>
      </c>
      <c r="G57" s="23">
        <f>SUMIFS(REPORT_FR2052a!$X:$X,REPORT_FR2052a!$AR:$AR,$A57)</f>
        <v>0</v>
      </c>
      <c r="H57" s="23">
        <f t="shared" si="1"/>
        <v>0</v>
      </c>
      <c r="I57">
        <v>0</v>
      </c>
      <c r="J57" s="144"/>
    </row>
    <row r="58" spans="1:10">
      <c r="A58" t="s">
        <v>667</v>
      </c>
      <c r="B58" t="s">
        <v>668</v>
      </c>
      <c r="C58" t="s">
        <v>553</v>
      </c>
      <c r="D58" t="s">
        <v>145</v>
      </c>
      <c r="E58" s="23">
        <f>SUMIFS(REPORT_FR2052a!$N:$N,REPORT_FR2052a!$AR:$AR,$A58)</f>
        <v>0</v>
      </c>
      <c r="F58" s="23">
        <f>SUMIFS(REPORT_FR2052a!$M:$M,REPORT_FR2052a!$AR:$AR,$A58)</f>
        <v>0</v>
      </c>
      <c r="G58" s="23">
        <f>SUMIFS(REPORT_FR2052a!$X:$X,REPORT_FR2052a!$AR:$AR,$A58)</f>
        <v>0</v>
      </c>
      <c r="H58" s="23">
        <f t="shared" si="1"/>
        <v>0</v>
      </c>
      <c r="I58">
        <v>0</v>
      </c>
      <c r="J58" s="144"/>
    </row>
    <row r="59" spans="1:10">
      <c r="A59" t="s">
        <v>388</v>
      </c>
      <c r="B59" t="s">
        <v>144</v>
      </c>
      <c r="C59" t="s">
        <v>554</v>
      </c>
      <c r="D59" t="s">
        <v>145</v>
      </c>
      <c r="E59" s="23">
        <f>SUMIFS(REPORT_FR2052a!$N:$N,REPORT_FR2052a!$AR:$AR,$A59)</f>
        <v>17282.86</v>
      </c>
      <c r="F59" s="23">
        <f>SUMIFS(REPORT_FR2052a!$M:$M,REPORT_FR2052a!$AR:$AR,$A59)</f>
        <v>0</v>
      </c>
      <c r="G59" s="23">
        <f>SUMIFS(REPORT_FR2052a!$X:$X,REPORT_FR2052a!$AR:$AR,$A59)</f>
        <v>3293263945.1532941</v>
      </c>
      <c r="H59" s="23">
        <f t="shared" si="1"/>
        <v>1</v>
      </c>
      <c r="I59">
        <v>1</v>
      </c>
      <c r="J59" s="144"/>
    </row>
    <row r="60" spans="1:10">
      <c r="A60" t="s">
        <v>391</v>
      </c>
      <c r="B60" t="s">
        <v>146</v>
      </c>
      <c r="C60" t="s">
        <v>555</v>
      </c>
      <c r="D60" t="s">
        <v>145</v>
      </c>
      <c r="E60" s="23">
        <f>SUMIFS(REPORT_FR2052a!$N:$N,REPORT_FR2052a!$AR:$AR,$A60)</f>
        <v>560</v>
      </c>
      <c r="F60" s="23">
        <f>SUMIFS(REPORT_FR2052a!$M:$M,REPORT_FR2052a!$AR:$AR,$A60)</f>
        <v>0</v>
      </c>
      <c r="G60" s="23">
        <f>SUMIFS(REPORT_FR2052a!$X:$X,REPORT_FR2052a!$AR:$AR,$A60)</f>
        <v>0</v>
      </c>
      <c r="H60" s="23">
        <f t="shared" si="1"/>
        <v>1</v>
      </c>
      <c r="I60">
        <v>1</v>
      </c>
      <c r="J60" s="144"/>
    </row>
    <row r="61" spans="1:10">
      <c r="A61" t="s">
        <v>669</v>
      </c>
      <c r="B61" t="s">
        <v>670</v>
      </c>
      <c r="C61" t="s">
        <v>556</v>
      </c>
      <c r="D61" t="s">
        <v>145</v>
      </c>
      <c r="E61" s="23">
        <f>SUMIFS(REPORT_FR2052a!$N:$N,REPORT_FR2052a!$AR:$AR,$A61)</f>
        <v>0</v>
      </c>
      <c r="F61" s="23">
        <f>SUMIFS(REPORT_FR2052a!$M:$M,REPORT_FR2052a!$AR:$AR,$A61)</f>
        <v>0</v>
      </c>
      <c r="G61" s="23">
        <f>SUMIFS(REPORT_FR2052a!$X:$X,REPORT_FR2052a!$AR:$AR,$A61)</f>
        <v>0</v>
      </c>
      <c r="H61" s="23">
        <f t="shared" si="1"/>
        <v>0</v>
      </c>
      <c r="I61">
        <v>0</v>
      </c>
      <c r="J61" s="144"/>
    </row>
    <row r="62" spans="1:10">
      <c r="A62" t="s">
        <v>403</v>
      </c>
      <c r="B62" t="s">
        <v>148</v>
      </c>
      <c r="C62" t="s">
        <v>557</v>
      </c>
      <c r="D62" t="s">
        <v>145</v>
      </c>
      <c r="E62" s="23">
        <f>SUMIFS(REPORT_FR2052a!$N:$N,REPORT_FR2052a!$AR:$AR,$A62)</f>
        <v>0</v>
      </c>
      <c r="F62" s="23">
        <f>SUMIFS(REPORT_FR2052a!$M:$M,REPORT_FR2052a!$AR:$AR,$A62)</f>
        <v>0</v>
      </c>
      <c r="G62" s="23">
        <f>SUMIFS(REPORT_FR2052a!$X:$X,REPORT_FR2052a!$AR:$AR,$A62)</f>
        <v>0</v>
      </c>
      <c r="H62" s="23">
        <f t="shared" si="1"/>
        <v>0</v>
      </c>
      <c r="I62">
        <v>0</v>
      </c>
      <c r="J62" s="144"/>
    </row>
    <row r="63" spans="1:10">
      <c r="A63" t="s">
        <v>671</v>
      </c>
      <c r="B63" t="s">
        <v>672</v>
      </c>
      <c r="C63" t="s">
        <v>558</v>
      </c>
      <c r="D63" t="s">
        <v>145</v>
      </c>
      <c r="E63" s="23">
        <f>SUMIFS(REPORT_FR2052a!$N:$N,REPORT_FR2052a!$AR:$AR,$A63)</f>
        <v>0</v>
      </c>
      <c r="F63" s="23">
        <f>SUMIFS(REPORT_FR2052a!$M:$M,REPORT_FR2052a!$AR:$AR,$A63)</f>
        <v>0</v>
      </c>
      <c r="G63" s="23">
        <f>SUMIFS(REPORT_FR2052a!$X:$X,REPORT_FR2052a!$AR:$AR,$A63)</f>
        <v>0</v>
      </c>
      <c r="H63" s="23">
        <f t="shared" si="1"/>
        <v>0</v>
      </c>
      <c r="I63">
        <v>0</v>
      </c>
      <c r="J63" s="144"/>
    </row>
    <row r="64" spans="1:10">
      <c r="A64" t="s">
        <v>673</v>
      </c>
      <c r="B64" t="s">
        <v>674</v>
      </c>
      <c r="C64" t="s">
        <v>559</v>
      </c>
      <c r="D64" t="s">
        <v>145</v>
      </c>
      <c r="E64" s="23">
        <f>SUMIFS(REPORT_FR2052a!$N:$N,REPORT_FR2052a!$AR:$AR,$A64)</f>
        <v>0</v>
      </c>
      <c r="F64" s="23">
        <f>SUMIFS(REPORT_FR2052a!$M:$M,REPORT_FR2052a!$AR:$AR,$A64)</f>
        <v>0</v>
      </c>
      <c r="G64" s="23">
        <f>SUMIFS(REPORT_FR2052a!$X:$X,REPORT_FR2052a!$AR:$AR,$A64)</f>
        <v>0</v>
      </c>
      <c r="H64" s="23">
        <f t="shared" si="1"/>
        <v>0</v>
      </c>
      <c r="I64">
        <v>0</v>
      </c>
      <c r="J64" s="144"/>
    </row>
    <row r="65" spans="1:10">
      <c r="A65" t="s">
        <v>647</v>
      </c>
      <c r="B65" t="s">
        <v>648</v>
      </c>
      <c r="C65" t="s">
        <v>529</v>
      </c>
      <c r="D65" t="s">
        <v>135</v>
      </c>
      <c r="E65" s="23">
        <f>SUMIFS(REPORT_FR2052a!$N:$N,REPORT_FR2052a!$AR:$AR,$A65)</f>
        <v>0</v>
      </c>
      <c r="F65" s="23">
        <f>SUMIFS(REPORT_FR2052a!$M:$M,REPORT_FR2052a!$AR:$AR,$A65)</f>
        <v>0</v>
      </c>
      <c r="G65" s="23">
        <f>SUMIFS(REPORT_FR2052a!$X:$X,REPORT_FR2052a!$AR:$AR,$A65)</f>
        <v>0</v>
      </c>
      <c r="H65" s="23">
        <f t="shared" si="1"/>
        <v>0</v>
      </c>
      <c r="I65">
        <v>1</v>
      </c>
      <c r="J65" s="144"/>
    </row>
    <row r="66" spans="1:10">
      <c r="A66" t="s">
        <v>649</v>
      </c>
      <c r="B66" t="s">
        <v>650</v>
      </c>
      <c r="C66" t="s">
        <v>530</v>
      </c>
      <c r="D66" t="s">
        <v>135</v>
      </c>
      <c r="E66" s="23">
        <f>SUMIFS(REPORT_FR2052a!$N:$N,REPORT_FR2052a!$AR:$AR,$A66)</f>
        <v>0</v>
      </c>
      <c r="F66" s="23">
        <f>SUMIFS(REPORT_FR2052a!$M:$M,REPORT_FR2052a!$AR:$AR,$A66)</f>
        <v>0</v>
      </c>
      <c r="G66" s="23">
        <f>SUMIFS(REPORT_FR2052a!$X:$X,REPORT_FR2052a!$AR:$AR,$A66)</f>
        <v>0</v>
      </c>
      <c r="H66" s="23">
        <f t="shared" ref="H66:H97" si="2">IF(SUM(E66:G66)&lt;&gt;0,1,0)</f>
        <v>0</v>
      </c>
      <c r="I66">
        <v>1</v>
      </c>
      <c r="J66" s="144"/>
    </row>
    <row r="67" spans="1:10">
      <c r="A67" t="s">
        <v>651</v>
      </c>
      <c r="B67" t="s">
        <v>608</v>
      </c>
      <c r="C67" t="s">
        <v>531</v>
      </c>
      <c r="D67" t="s">
        <v>135</v>
      </c>
      <c r="E67" s="23">
        <f>SUMIFS(REPORT_FR2052a!$N:$N,REPORT_FR2052a!$AR:$AR,$A67)</f>
        <v>0</v>
      </c>
      <c r="F67" s="23">
        <f>SUMIFS(REPORT_FR2052a!$M:$M,REPORT_FR2052a!$AR:$AR,$A67)</f>
        <v>0</v>
      </c>
      <c r="G67" s="23">
        <f>SUMIFS(REPORT_FR2052a!$X:$X,REPORT_FR2052a!$AR:$AR,$A67)</f>
        <v>0</v>
      </c>
      <c r="H67" s="23">
        <f t="shared" si="2"/>
        <v>0</v>
      </c>
      <c r="I67">
        <v>1</v>
      </c>
      <c r="J67" s="144"/>
    </row>
    <row r="68" spans="1:10">
      <c r="A68" t="s">
        <v>652</v>
      </c>
      <c r="B68" t="s">
        <v>609</v>
      </c>
      <c r="C68" t="s">
        <v>532</v>
      </c>
      <c r="D68" t="s">
        <v>135</v>
      </c>
      <c r="E68" s="23">
        <f>SUMIFS(REPORT_FR2052a!$N:$N,REPORT_FR2052a!$AR:$AR,$A68)</f>
        <v>0</v>
      </c>
      <c r="F68" s="23">
        <f>SUMIFS(REPORT_FR2052a!$M:$M,REPORT_FR2052a!$AR:$AR,$A68)</f>
        <v>0</v>
      </c>
      <c r="G68" s="23">
        <f>SUMIFS(REPORT_FR2052a!$X:$X,REPORT_FR2052a!$AR:$AR,$A68)</f>
        <v>0</v>
      </c>
      <c r="H68" s="23">
        <f t="shared" si="2"/>
        <v>0</v>
      </c>
      <c r="I68">
        <v>1</v>
      </c>
      <c r="J68" s="144"/>
    </row>
    <row r="69" spans="1:10">
      <c r="A69" t="s">
        <v>653</v>
      </c>
      <c r="B69" t="s">
        <v>969</v>
      </c>
      <c r="C69" t="s">
        <v>533</v>
      </c>
      <c r="D69" t="s">
        <v>135</v>
      </c>
      <c r="E69" s="23">
        <f>SUMIFS(REPORT_FR2052a!$N:$N,REPORT_FR2052a!$AR:$AR,$A69)</f>
        <v>0</v>
      </c>
      <c r="F69" s="23">
        <f>SUMIFS(REPORT_FR2052a!$M:$M,REPORT_FR2052a!$AR:$AR,$A69)</f>
        <v>0</v>
      </c>
      <c r="G69" s="23">
        <f>SUMIFS(REPORT_FR2052a!$X:$X,REPORT_FR2052a!$AR:$AR,$A69)</f>
        <v>0</v>
      </c>
      <c r="H69" s="23">
        <f t="shared" si="2"/>
        <v>0</v>
      </c>
      <c r="I69">
        <v>1</v>
      </c>
      <c r="J69" s="144"/>
    </row>
    <row r="70" spans="1:10">
      <c r="A70" t="s">
        <v>654</v>
      </c>
      <c r="B70" t="s">
        <v>655</v>
      </c>
      <c r="C70" t="s">
        <v>534</v>
      </c>
      <c r="D70" t="s">
        <v>135</v>
      </c>
      <c r="E70" s="23">
        <f>SUMIFS(REPORT_FR2052a!$N:$N,REPORT_FR2052a!$AR:$AR,$A70)</f>
        <v>0</v>
      </c>
      <c r="F70" s="23">
        <f>SUMIFS(REPORT_FR2052a!$M:$M,REPORT_FR2052a!$AR:$AR,$A70)</f>
        <v>0</v>
      </c>
      <c r="G70" s="23">
        <f>SUMIFS(REPORT_FR2052a!$X:$X,REPORT_FR2052a!$AR:$AR,$A70)</f>
        <v>0</v>
      </c>
      <c r="H70" s="23">
        <f t="shared" si="2"/>
        <v>0</v>
      </c>
      <c r="I70">
        <v>1</v>
      </c>
      <c r="J70" s="144"/>
    </row>
    <row r="71" spans="1:10">
      <c r="A71" t="s">
        <v>656</v>
      </c>
      <c r="B71" t="s">
        <v>657</v>
      </c>
      <c r="C71" t="s">
        <v>535</v>
      </c>
      <c r="D71" t="s">
        <v>135</v>
      </c>
      <c r="E71" s="23">
        <f>SUMIFS(REPORT_FR2052a!$N:$N,REPORT_FR2052a!$AR:$AR,$A71)</f>
        <v>0</v>
      </c>
      <c r="F71" s="23">
        <f>SUMIFS(REPORT_FR2052a!$M:$M,REPORT_FR2052a!$AR:$AR,$A71)</f>
        <v>0</v>
      </c>
      <c r="G71" s="23">
        <f>SUMIFS(REPORT_FR2052a!$X:$X,REPORT_FR2052a!$AR:$AR,$A71)</f>
        <v>0</v>
      </c>
      <c r="H71" s="23">
        <f t="shared" si="2"/>
        <v>0</v>
      </c>
      <c r="I71">
        <v>1</v>
      </c>
      <c r="J71" s="144"/>
    </row>
    <row r="72" spans="1:10">
      <c r="A72" t="s">
        <v>398</v>
      </c>
      <c r="B72" t="s">
        <v>134</v>
      </c>
      <c r="C72" t="s">
        <v>536</v>
      </c>
      <c r="D72" t="s">
        <v>135</v>
      </c>
      <c r="E72" s="23">
        <f>SUMIFS(REPORT_FR2052a!$N:$N,REPORT_FR2052a!$AR:$AR,$A72)</f>
        <v>0</v>
      </c>
      <c r="F72" s="23">
        <f>SUMIFS(REPORT_FR2052a!$M:$M,REPORT_FR2052a!$AR:$AR,$A72)</f>
        <v>0</v>
      </c>
      <c r="G72" s="23">
        <f>SUMIFS(REPORT_FR2052a!$X:$X,REPORT_FR2052a!$AR:$AR,$A72)</f>
        <v>0</v>
      </c>
      <c r="H72" s="23">
        <f t="shared" si="2"/>
        <v>0</v>
      </c>
      <c r="I72">
        <v>0</v>
      </c>
      <c r="J72" s="144"/>
    </row>
    <row r="73" spans="1:10">
      <c r="A73" t="s">
        <v>658</v>
      </c>
      <c r="B73" t="s">
        <v>659</v>
      </c>
      <c r="C73" t="s">
        <v>537</v>
      </c>
      <c r="D73" t="s">
        <v>135</v>
      </c>
      <c r="E73" s="23">
        <f>SUMIFS(REPORT_FR2052a!$N:$N,REPORT_FR2052a!$AR:$AR,$A73)</f>
        <v>195.14</v>
      </c>
      <c r="F73" s="23">
        <f>SUMIFS(REPORT_FR2052a!$M:$M,REPORT_FR2052a!$AR:$AR,$A73)</f>
        <v>0</v>
      </c>
      <c r="G73" s="23">
        <f>SUMIFS(REPORT_FR2052a!$X:$X,REPORT_FR2052a!$AR:$AR,$A73)</f>
        <v>384832962.99000001</v>
      </c>
      <c r="H73" s="23">
        <f t="shared" si="2"/>
        <v>1</v>
      </c>
      <c r="I73">
        <v>1</v>
      </c>
      <c r="J73" s="144"/>
    </row>
    <row r="74" spans="1:10">
      <c r="A74" t="s">
        <v>619</v>
      </c>
      <c r="B74" t="s">
        <v>968</v>
      </c>
      <c r="C74" t="s">
        <v>515</v>
      </c>
      <c r="D74" t="s">
        <v>139</v>
      </c>
      <c r="E74" s="23">
        <f>SUMIFS(REPORT_FR2052a!$N:$N,REPORT_FR2052a!$AR:$AR,$A74)</f>
        <v>0</v>
      </c>
      <c r="F74" s="23">
        <f>SUMIFS(REPORT_FR2052a!$M:$M,REPORT_FR2052a!$AR:$AR,$A74)</f>
        <v>0</v>
      </c>
      <c r="G74" s="23">
        <f>SUMIFS(REPORT_FR2052a!$X:$X,REPORT_FR2052a!$AR:$AR,$A74)</f>
        <v>0</v>
      </c>
      <c r="H74" s="23">
        <f t="shared" si="2"/>
        <v>0</v>
      </c>
      <c r="I74">
        <v>0</v>
      </c>
      <c r="J74" s="144"/>
    </row>
    <row r="75" spans="1:10">
      <c r="A75" t="s">
        <v>401</v>
      </c>
      <c r="B75" t="s">
        <v>143</v>
      </c>
      <c r="C75" t="s">
        <v>519</v>
      </c>
      <c r="D75" t="s">
        <v>139</v>
      </c>
      <c r="E75" s="23">
        <f>SUMIFS(REPORT_FR2052a!$N:$N,REPORT_FR2052a!$AR:$AR,$A75)</f>
        <v>19837.84</v>
      </c>
      <c r="F75" s="23">
        <f>SUMIFS(REPORT_FR2052a!$M:$M,REPORT_FR2052a!$AR:$AR,$A75)</f>
        <v>0</v>
      </c>
      <c r="G75" s="23">
        <f>SUMIFS(REPORT_FR2052a!$X:$X,REPORT_FR2052a!$AR:$AR,$A75)</f>
        <v>0</v>
      </c>
      <c r="H75" s="23">
        <f t="shared" si="2"/>
        <v>1</v>
      </c>
      <c r="I75">
        <v>1</v>
      </c>
      <c r="J75" s="144"/>
    </row>
    <row r="76" spans="1:10">
      <c r="A76" t="s">
        <v>399</v>
      </c>
      <c r="B76" t="s">
        <v>138</v>
      </c>
      <c r="C76" t="s">
        <v>520</v>
      </c>
      <c r="D76" t="s">
        <v>139</v>
      </c>
      <c r="E76" s="23">
        <f>SUMIFS(REPORT_FR2052a!$N:$N,REPORT_FR2052a!$AR:$AR,$A76)</f>
        <v>0</v>
      </c>
      <c r="F76" s="23">
        <f>SUMIFS(REPORT_FR2052a!$M:$M,REPORT_FR2052a!$AR:$AR,$A76)</f>
        <v>0</v>
      </c>
      <c r="G76" s="23">
        <f>SUMIFS(REPORT_FR2052a!$X:$X,REPORT_FR2052a!$AR:$AR,$A76)</f>
        <v>0</v>
      </c>
      <c r="H76" s="23">
        <f t="shared" si="2"/>
        <v>0</v>
      </c>
      <c r="I76">
        <v>0</v>
      </c>
      <c r="J76" s="144"/>
    </row>
    <row r="77" spans="1:10">
      <c r="A77" t="s">
        <v>633</v>
      </c>
      <c r="B77" t="s">
        <v>634</v>
      </c>
      <c r="C77" t="s">
        <v>521</v>
      </c>
      <c r="D77" t="s">
        <v>139</v>
      </c>
      <c r="E77" s="23">
        <f>SUMIFS(REPORT_FR2052a!$N:$N,REPORT_FR2052a!$AR:$AR,$A77)</f>
        <v>0</v>
      </c>
      <c r="F77" s="23">
        <f>SUMIFS(REPORT_FR2052a!$M:$M,REPORT_FR2052a!$AR:$AR,$A77)</f>
        <v>0</v>
      </c>
      <c r="G77" s="23">
        <f>SUMIFS(REPORT_FR2052a!$X:$X,REPORT_FR2052a!$AR:$AR,$A77)</f>
        <v>0</v>
      </c>
      <c r="H77" s="23">
        <f t="shared" si="2"/>
        <v>0</v>
      </c>
      <c r="I77">
        <v>0</v>
      </c>
      <c r="J77" s="144"/>
    </row>
    <row r="78" spans="1:10">
      <c r="A78" t="s">
        <v>635</v>
      </c>
      <c r="B78" t="s">
        <v>636</v>
      </c>
      <c r="C78" t="s">
        <v>522</v>
      </c>
      <c r="D78" t="s">
        <v>139</v>
      </c>
      <c r="E78" s="23">
        <f>SUMIFS(REPORT_FR2052a!$N:$N,REPORT_FR2052a!$AR:$AR,$A78)</f>
        <v>0</v>
      </c>
      <c r="F78" s="23">
        <f>SUMIFS(REPORT_FR2052a!$M:$M,REPORT_FR2052a!$AR:$AR,$A78)</f>
        <v>0</v>
      </c>
      <c r="G78" s="23">
        <f>SUMIFS(REPORT_FR2052a!$X:$X,REPORT_FR2052a!$AR:$AR,$A78)</f>
        <v>0</v>
      </c>
      <c r="H78" s="23">
        <f t="shared" si="2"/>
        <v>0</v>
      </c>
      <c r="I78">
        <v>0</v>
      </c>
      <c r="J78" s="144"/>
    </row>
    <row r="79" spans="1:10">
      <c r="A79" t="s">
        <v>637</v>
      </c>
      <c r="B79" t="s">
        <v>638</v>
      </c>
      <c r="C79" t="s">
        <v>523</v>
      </c>
      <c r="D79" t="s">
        <v>139</v>
      </c>
      <c r="E79" s="23">
        <f>SUMIFS(REPORT_FR2052a!$N:$N,REPORT_FR2052a!$AR:$AR,$A79)</f>
        <v>0</v>
      </c>
      <c r="F79" s="23">
        <f>SUMIFS(REPORT_FR2052a!$M:$M,REPORT_FR2052a!$AR:$AR,$A79)</f>
        <v>0</v>
      </c>
      <c r="G79" s="23">
        <f>SUMIFS(REPORT_FR2052a!$X:$X,REPORT_FR2052a!$AR:$AR,$A79)</f>
        <v>0</v>
      </c>
      <c r="H79" s="23">
        <f t="shared" si="2"/>
        <v>0</v>
      </c>
      <c r="I79">
        <v>0</v>
      </c>
      <c r="J79" s="144"/>
    </row>
    <row r="80" spans="1:10">
      <c r="A80" t="s">
        <v>639</v>
      </c>
      <c r="B80" t="s">
        <v>640</v>
      </c>
      <c r="C80" t="s">
        <v>524</v>
      </c>
      <c r="D80" t="s">
        <v>139</v>
      </c>
      <c r="E80" s="23">
        <f>SUMIFS(REPORT_FR2052a!$N:$N,REPORT_FR2052a!$AR:$AR,$A80)</f>
        <v>0</v>
      </c>
      <c r="F80" s="23">
        <f>SUMIFS(REPORT_FR2052a!$M:$M,REPORT_FR2052a!$AR:$AR,$A80)</f>
        <v>0</v>
      </c>
      <c r="G80" s="23">
        <f>SUMIFS(REPORT_FR2052a!$X:$X,REPORT_FR2052a!$AR:$AR,$A80)</f>
        <v>0</v>
      </c>
      <c r="H80" s="23">
        <f t="shared" si="2"/>
        <v>0</v>
      </c>
      <c r="I80">
        <v>0</v>
      </c>
      <c r="J80" s="144"/>
    </row>
    <row r="81" spans="1:10">
      <c r="A81" t="s">
        <v>641</v>
      </c>
      <c r="B81" t="s">
        <v>642</v>
      </c>
      <c r="C81" t="s">
        <v>525</v>
      </c>
      <c r="D81" t="s">
        <v>139</v>
      </c>
      <c r="E81" s="23">
        <f>SUMIFS(REPORT_FR2052a!$N:$N,REPORT_FR2052a!$AR:$AR,$A81)</f>
        <v>0</v>
      </c>
      <c r="F81" s="23">
        <f>SUMIFS(REPORT_FR2052a!$M:$M,REPORT_FR2052a!$AR:$AR,$A81)</f>
        <v>0</v>
      </c>
      <c r="G81" s="23">
        <f>SUMIFS(REPORT_FR2052a!$X:$X,REPORT_FR2052a!$AR:$AR,$A81)</f>
        <v>0</v>
      </c>
      <c r="H81" s="23">
        <f t="shared" si="2"/>
        <v>0</v>
      </c>
      <c r="I81">
        <v>0</v>
      </c>
      <c r="J81" s="144"/>
    </row>
    <row r="82" spans="1:10">
      <c r="A82" t="s">
        <v>643</v>
      </c>
      <c r="B82" t="s">
        <v>644</v>
      </c>
      <c r="C82" t="s">
        <v>526</v>
      </c>
      <c r="D82" t="s">
        <v>139</v>
      </c>
      <c r="E82" s="23">
        <f>SUMIFS(REPORT_FR2052a!$N:$N,REPORT_FR2052a!$AR:$AR,$A82)</f>
        <v>0</v>
      </c>
      <c r="F82" s="23">
        <f>SUMIFS(REPORT_FR2052a!$M:$M,REPORT_FR2052a!$AR:$AR,$A82)</f>
        <v>0</v>
      </c>
      <c r="G82" s="23">
        <f>SUMIFS(REPORT_FR2052a!$X:$X,REPORT_FR2052a!$AR:$AR,$A82)</f>
        <v>0</v>
      </c>
      <c r="H82" s="23">
        <f t="shared" si="2"/>
        <v>0</v>
      </c>
      <c r="I82">
        <v>0</v>
      </c>
      <c r="J82" s="144"/>
    </row>
    <row r="83" spans="1:10">
      <c r="A83" t="s">
        <v>645</v>
      </c>
      <c r="B83" t="s">
        <v>646</v>
      </c>
      <c r="C83" t="s">
        <v>527</v>
      </c>
      <c r="D83" t="s">
        <v>139</v>
      </c>
      <c r="E83" s="23">
        <f>SUMIFS(REPORT_FR2052a!$N:$N,REPORT_FR2052a!$AR:$AR,$A83)</f>
        <v>0</v>
      </c>
      <c r="F83" s="23">
        <f>SUMIFS(REPORT_FR2052a!$M:$M,REPORT_FR2052a!$AR:$AR,$A83)</f>
        <v>0</v>
      </c>
      <c r="G83" s="23">
        <f>SUMIFS(REPORT_FR2052a!$X:$X,REPORT_FR2052a!$AR:$AR,$A83)</f>
        <v>0</v>
      </c>
      <c r="H83" s="23">
        <f t="shared" si="2"/>
        <v>0</v>
      </c>
      <c r="I83">
        <v>0</v>
      </c>
      <c r="J83" s="144"/>
    </row>
    <row r="84" spans="1:10">
      <c r="A84" t="s">
        <v>400</v>
      </c>
      <c r="B84" t="s">
        <v>141</v>
      </c>
      <c r="C84" t="s">
        <v>528</v>
      </c>
      <c r="D84" t="s">
        <v>139</v>
      </c>
      <c r="E84" s="23">
        <f>SUMIFS(REPORT_FR2052a!$N:$N,REPORT_FR2052a!$AR:$AR,$A84)</f>
        <v>113.1</v>
      </c>
      <c r="F84" s="23">
        <f>SUMIFS(REPORT_FR2052a!$M:$M,REPORT_FR2052a!$AR:$AR,$A84)</f>
        <v>0</v>
      </c>
      <c r="G84" s="23">
        <f>SUMIFS(REPORT_FR2052a!$X:$X,REPORT_FR2052a!$AR:$AR,$A84)</f>
        <v>0</v>
      </c>
      <c r="H84" s="23">
        <f t="shared" si="2"/>
        <v>1</v>
      </c>
      <c r="I84">
        <v>0</v>
      </c>
      <c r="J84" s="144"/>
    </row>
    <row r="85" spans="1:10">
      <c r="A85" t="s">
        <v>620</v>
      </c>
      <c r="B85" t="s">
        <v>967</v>
      </c>
      <c r="D85" t="s">
        <v>139</v>
      </c>
      <c r="E85" s="23">
        <f>SUMIFS(REPORT_FR2052a!$N:$N,REPORT_FR2052a!$AR:$AR,$A85)</f>
        <v>0</v>
      </c>
      <c r="F85" s="23">
        <f>SUMIFS(REPORT_FR2052a!$M:$M,REPORT_FR2052a!$AR:$AR,$A85)</f>
        <v>0</v>
      </c>
      <c r="G85" s="23">
        <f>SUMIFS(REPORT_FR2052a!$X:$X,REPORT_FR2052a!$AR:$AR,$A85)</f>
        <v>0</v>
      </c>
      <c r="H85" s="23">
        <f t="shared" si="2"/>
        <v>0</v>
      </c>
      <c r="I85">
        <v>0</v>
      </c>
      <c r="J85" s="144"/>
    </row>
    <row r="86" spans="1:10">
      <c r="A86" t="s">
        <v>621</v>
      </c>
      <c r="B86" t="s">
        <v>966</v>
      </c>
      <c r="D86" t="s">
        <v>139</v>
      </c>
      <c r="E86" s="23">
        <f>SUMIFS(REPORT_FR2052a!$N:$N,REPORT_FR2052a!$AR:$AR,$A86)</f>
        <v>0</v>
      </c>
      <c r="F86" s="23">
        <f>SUMIFS(REPORT_FR2052a!$M:$M,REPORT_FR2052a!$AR:$AR,$A86)</f>
        <v>0</v>
      </c>
      <c r="G86" s="23">
        <f>SUMIFS(REPORT_FR2052a!$X:$X,REPORT_FR2052a!$AR:$AR,$A86)</f>
        <v>0</v>
      </c>
      <c r="H86" s="23">
        <f t="shared" si="2"/>
        <v>0</v>
      </c>
      <c r="I86">
        <v>0</v>
      </c>
      <c r="J86" s="144"/>
    </row>
    <row r="87" spans="1:10">
      <c r="A87" t="s">
        <v>622</v>
      </c>
      <c r="B87" t="s">
        <v>965</v>
      </c>
      <c r="D87" t="s">
        <v>139</v>
      </c>
      <c r="E87" s="23">
        <f>SUMIFS(REPORT_FR2052a!$N:$N,REPORT_FR2052a!$AR:$AR,$A87)</f>
        <v>0</v>
      </c>
      <c r="F87" s="23">
        <f>SUMIFS(REPORT_FR2052a!$M:$M,REPORT_FR2052a!$AR:$AR,$A87)</f>
        <v>0</v>
      </c>
      <c r="G87" s="23">
        <f>SUMIFS(REPORT_FR2052a!$X:$X,REPORT_FR2052a!$AR:$AR,$A87)</f>
        <v>0</v>
      </c>
      <c r="H87" s="23">
        <f t="shared" si="2"/>
        <v>0</v>
      </c>
      <c r="I87">
        <v>0</v>
      </c>
      <c r="J87" s="144"/>
    </row>
    <row r="88" spans="1:10">
      <c r="A88" t="s">
        <v>623</v>
      </c>
      <c r="B88" t="s">
        <v>624</v>
      </c>
      <c r="D88" t="s">
        <v>139</v>
      </c>
      <c r="E88" s="23">
        <f>SUMIFS(REPORT_FR2052a!$N:$N,REPORT_FR2052a!$AR:$AR,$A88)</f>
        <v>0</v>
      </c>
      <c r="F88" s="23">
        <f>SUMIFS(REPORT_FR2052a!$M:$M,REPORT_FR2052a!$AR:$AR,$A88)</f>
        <v>0</v>
      </c>
      <c r="G88" s="23">
        <f>SUMIFS(REPORT_FR2052a!$X:$X,REPORT_FR2052a!$AR:$AR,$A88)</f>
        <v>0</v>
      </c>
      <c r="H88" s="23">
        <f t="shared" si="2"/>
        <v>0</v>
      </c>
      <c r="I88">
        <v>0</v>
      </c>
      <c r="J88" s="144"/>
    </row>
    <row r="89" spans="1:10">
      <c r="A89" t="s">
        <v>625</v>
      </c>
      <c r="B89" t="s">
        <v>626</v>
      </c>
      <c r="D89" t="s">
        <v>139</v>
      </c>
      <c r="E89" s="23">
        <f>SUMIFS(REPORT_FR2052a!$N:$N,REPORT_FR2052a!$AR:$AR,$A89)</f>
        <v>0</v>
      </c>
      <c r="F89" s="23">
        <f>SUMIFS(REPORT_FR2052a!$M:$M,REPORT_FR2052a!$AR:$AR,$A89)</f>
        <v>0</v>
      </c>
      <c r="G89" s="23">
        <f>SUMIFS(REPORT_FR2052a!$X:$X,REPORT_FR2052a!$AR:$AR,$A89)</f>
        <v>0</v>
      </c>
      <c r="H89" s="23">
        <f t="shared" si="2"/>
        <v>0</v>
      </c>
      <c r="I89">
        <v>0</v>
      </c>
      <c r="J89" s="144"/>
    </row>
    <row r="90" spans="1:10">
      <c r="A90" t="s">
        <v>627</v>
      </c>
      <c r="B90" t="s">
        <v>628</v>
      </c>
      <c r="C90" t="s">
        <v>516</v>
      </c>
      <c r="D90" t="s">
        <v>139</v>
      </c>
      <c r="E90" s="23">
        <f>SUMIFS(REPORT_FR2052a!$N:$N,REPORT_FR2052a!$AR:$AR,$A90)</f>
        <v>0</v>
      </c>
      <c r="F90" s="23">
        <f>SUMIFS(REPORT_FR2052a!$M:$M,REPORT_FR2052a!$AR:$AR,$A90)</f>
        <v>0</v>
      </c>
      <c r="G90" s="23">
        <f>SUMIFS(REPORT_FR2052a!$X:$X,REPORT_FR2052a!$AR:$AR,$A90)</f>
        <v>0</v>
      </c>
      <c r="H90" s="23">
        <f t="shared" si="2"/>
        <v>0</v>
      </c>
      <c r="I90">
        <v>0</v>
      </c>
      <c r="J90" s="144"/>
    </row>
    <row r="91" spans="1:10">
      <c r="A91" t="s">
        <v>629</v>
      </c>
      <c r="B91" t="s">
        <v>630</v>
      </c>
      <c r="C91" t="s">
        <v>517</v>
      </c>
      <c r="D91" t="s">
        <v>139</v>
      </c>
      <c r="E91" s="23">
        <f>SUMIFS(REPORT_FR2052a!$N:$N,REPORT_FR2052a!$AR:$AR,$A91)</f>
        <v>0</v>
      </c>
      <c r="F91" s="23">
        <f>SUMIFS(REPORT_FR2052a!$M:$M,REPORT_FR2052a!$AR:$AR,$A91)</f>
        <v>0</v>
      </c>
      <c r="G91" s="23">
        <f>SUMIFS(REPORT_FR2052a!$X:$X,REPORT_FR2052a!$AR:$AR,$A91)</f>
        <v>0</v>
      </c>
      <c r="H91" s="23">
        <f t="shared" si="2"/>
        <v>0</v>
      </c>
      <c r="I91">
        <v>0</v>
      </c>
      <c r="J91" s="144"/>
    </row>
    <row r="92" spans="1:10">
      <c r="A92" t="s">
        <v>631</v>
      </c>
      <c r="B92" t="s">
        <v>632</v>
      </c>
      <c r="C92" t="s">
        <v>518</v>
      </c>
      <c r="D92" t="s">
        <v>139</v>
      </c>
      <c r="E92" s="23">
        <f>SUMIFS(REPORT_FR2052a!$N:$N,REPORT_FR2052a!$AR:$AR,$A92)</f>
        <v>0</v>
      </c>
      <c r="F92" s="23">
        <f>SUMIFS(REPORT_FR2052a!$M:$M,REPORT_FR2052a!$AR:$AR,$A92)</f>
        <v>0</v>
      </c>
      <c r="G92" s="23">
        <f>SUMIFS(REPORT_FR2052a!$X:$X,REPORT_FR2052a!$AR:$AR,$A92)</f>
        <v>0</v>
      </c>
      <c r="H92" s="23">
        <f t="shared" si="2"/>
        <v>0</v>
      </c>
      <c r="I92">
        <v>1</v>
      </c>
      <c r="J92" s="144"/>
    </row>
    <row r="93" spans="1:10">
      <c r="A93" t="s">
        <v>740</v>
      </c>
      <c r="B93" t="s">
        <v>741</v>
      </c>
      <c r="C93" t="s">
        <v>597</v>
      </c>
      <c r="D93" t="s">
        <v>178</v>
      </c>
      <c r="E93" s="23">
        <f>SUMIFS(REPORT_FR2052a!$N:$N,REPORT_FR2052a!$AR:$AR,$A93)</f>
        <v>0</v>
      </c>
      <c r="F93" s="23">
        <f>SUMIFS(REPORT_FR2052a!$M:$M,REPORT_FR2052a!$AR:$AR,$A93)</f>
        <v>0</v>
      </c>
      <c r="G93" s="23">
        <f>SUMIFS(REPORT_FR2052a!$X:$X,REPORT_FR2052a!$AR:$AR,$A93)</f>
        <v>0</v>
      </c>
      <c r="H93" s="23">
        <f t="shared" si="2"/>
        <v>0</v>
      </c>
      <c r="I93">
        <v>0</v>
      </c>
      <c r="J93" s="144"/>
    </row>
    <row r="94" spans="1:10">
      <c r="A94" t="s">
        <v>742</v>
      </c>
      <c r="B94" t="s">
        <v>743</v>
      </c>
      <c r="C94" t="s">
        <v>598</v>
      </c>
      <c r="D94" t="s">
        <v>178</v>
      </c>
      <c r="E94" s="23">
        <f>SUMIFS(REPORT_FR2052a!$N:$N,REPORT_FR2052a!$AR:$AR,$A94)</f>
        <v>0</v>
      </c>
      <c r="F94" s="23">
        <f>SUMIFS(REPORT_FR2052a!$M:$M,REPORT_FR2052a!$AR:$AR,$A94)</f>
        <v>0</v>
      </c>
      <c r="G94" s="23">
        <f>SUMIFS(REPORT_FR2052a!$X:$X,REPORT_FR2052a!$AR:$AR,$A94)</f>
        <v>0</v>
      </c>
      <c r="H94" s="23">
        <f t="shared" si="2"/>
        <v>0</v>
      </c>
      <c r="I94">
        <v>0</v>
      </c>
      <c r="J94" s="144"/>
    </row>
    <row r="95" spans="1:10">
      <c r="A95" t="s">
        <v>744</v>
      </c>
      <c r="B95" t="s">
        <v>745</v>
      </c>
      <c r="C95" t="s">
        <v>599</v>
      </c>
      <c r="D95" t="s">
        <v>178</v>
      </c>
      <c r="E95" s="23">
        <f>SUMIFS(REPORT_FR2052a!$N:$N,REPORT_FR2052a!$AR:$AR,$A95)</f>
        <v>0</v>
      </c>
      <c r="F95" s="23">
        <f>SUMIFS(REPORT_FR2052a!$M:$M,REPORT_FR2052a!$AR:$AR,$A95)</f>
        <v>0</v>
      </c>
      <c r="G95" s="23">
        <f>SUMIFS(REPORT_FR2052a!$X:$X,REPORT_FR2052a!$AR:$AR,$A95)</f>
        <v>0</v>
      </c>
      <c r="H95" s="23">
        <f t="shared" si="2"/>
        <v>0</v>
      </c>
      <c r="I95">
        <v>0</v>
      </c>
      <c r="J95" s="144"/>
    </row>
    <row r="96" spans="1:10">
      <c r="A96" t="s">
        <v>696</v>
      </c>
      <c r="B96" t="s">
        <v>697</v>
      </c>
      <c r="C96" t="s">
        <v>573</v>
      </c>
      <c r="D96" t="s">
        <v>766</v>
      </c>
      <c r="E96" s="23">
        <f>SUMIFS(REPORT_FR2052a!$N:$N,REPORT_FR2052a!$AR:$AR,$A96)</f>
        <v>0</v>
      </c>
      <c r="F96" s="23">
        <f>SUMIFS(REPORT_FR2052a!$M:$M,REPORT_FR2052a!$AR:$AR,$A96)</f>
        <v>0</v>
      </c>
      <c r="G96" s="23">
        <f>SUMIFS(REPORT_FR2052a!$X:$X,REPORT_FR2052a!$AR:$AR,$A96)</f>
        <v>0</v>
      </c>
      <c r="H96" s="23">
        <f t="shared" si="2"/>
        <v>0</v>
      </c>
      <c r="I96">
        <v>0</v>
      </c>
      <c r="J96" s="144"/>
    </row>
    <row r="97" spans="1:10">
      <c r="A97" t="s">
        <v>714</v>
      </c>
      <c r="B97" t="s">
        <v>715</v>
      </c>
      <c r="C97" t="s">
        <v>582</v>
      </c>
      <c r="D97" t="s">
        <v>766</v>
      </c>
      <c r="E97" s="23">
        <f>SUMIFS(REPORT_FR2052a!$N:$N,REPORT_FR2052a!$AR:$AR,$A97)</f>
        <v>0</v>
      </c>
      <c r="F97" s="23">
        <f>SUMIFS(REPORT_FR2052a!$M:$M,REPORT_FR2052a!$AR:$AR,$A97)</f>
        <v>0</v>
      </c>
      <c r="G97" s="23">
        <f>SUMIFS(REPORT_FR2052a!$X:$X,REPORT_FR2052a!$AR:$AR,$A97)</f>
        <v>0</v>
      </c>
      <c r="H97" s="23">
        <f t="shared" si="2"/>
        <v>0</v>
      </c>
      <c r="I97">
        <v>0</v>
      </c>
      <c r="J97" s="144"/>
    </row>
    <row r="98" spans="1:10">
      <c r="A98" t="s">
        <v>716</v>
      </c>
      <c r="B98" t="s">
        <v>717</v>
      </c>
      <c r="C98" t="s">
        <v>583</v>
      </c>
      <c r="D98" t="s">
        <v>766</v>
      </c>
      <c r="E98" s="23">
        <f>SUMIFS(REPORT_FR2052a!$N:$N,REPORT_FR2052a!$AR:$AR,$A98)</f>
        <v>0</v>
      </c>
      <c r="F98" s="23">
        <f>SUMIFS(REPORT_FR2052a!$M:$M,REPORT_FR2052a!$AR:$AR,$A98)</f>
        <v>0</v>
      </c>
      <c r="G98" s="23">
        <f>SUMIFS(REPORT_FR2052a!$X:$X,REPORT_FR2052a!$AR:$AR,$A98)</f>
        <v>0</v>
      </c>
      <c r="H98" s="23">
        <f t="shared" ref="H98:H119" si="3">IF(SUM(E98:G98)&lt;&gt;0,1,0)</f>
        <v>0</v>
      </c>
      <c r="I98">
        <v>0</v>
      </c>
      <c r="J98" s="144"/>
    </row>
    <row r="99" spans="1:10">
      <c r="A99" t="s">
        <v>718</v>
      </c>
      <c r="B99" t="s">
        <v>719</v>
      </c>
      <c r="C99" t="s">
        <v>584</v>
      </c>
      <c r="D99" t="s">
        <v>766</v>
      </c>
      <c r="E99" s="23">
        <f>SUMIFS(REPORT_FR2052a!$N:$N,REPORT_FR2052a!$AR:$AR,$A99)</f>
        <v>0</v>
      </c>
      <c r="F99" s="23">
        <f>SUMIFS(REPORT_FR2052a!$M:$M,REPORT_FR2052a!$AR:$AR,$A99)</f>
        <v>0</v>
      </c>
      <c r="G99" s="23">
        <f>SUMIFS(REPORT_FR2052a!$X:$X,REPORT_FR2052a!$AR:$AR,$A99)</f>
        <v>0</v>
      </c>
      <c r="H99" s="23">
        <f t="shared" si="3"/>
        <v>0</v>
      </c>
      <c r="I99">
        <v>0</v>
      </c>
      <c r="J99" s="144"/>
    </row>
    <row r="100" spans="1:10">
      <c r="A100" t="s">
        <v>720</v>
      </c>
      <c r="B100" t="s">
        <v>721</v>
      </c>
      <c r="C100" t="s">
        <v>585</v>
      </c>
      <c r="D100" t="s">
        <v>766</v>
      </c>
      <c r="E100" s="23">
        <f>SUMIFS(REPORT_FR2052a!$N:$N,REPORT_FR2052a!$AR:$AR,$A100)</f>
        <v>0</v>
      </c>
      <c r="F100" s="23">
        <f>SUMIFS(REPORT_FR2052a!$M:$M,REPORT_FR2052a!$AR:$AR,$A100)</f>
        <v>0</v>
      </c>
      <c r="G100" s="23">
        <f>SUMIFS(REPORT_FR2052a!$X:$X,REPORT_FR2052a!$AR:$AR,$A100)</f>
        <v>0</v>
      </c>
      <c r="H100" s="23">
        <f t="shared" si="3"/>
        <v>0</v>
      </c>
      <c r="I100">
        <v>0</v>
      </c>
      <c r="J100" s="144"/>
    </row>
    <row r="101" spans="1:10">
      <c r="A101" t="s">
        <v>722</v>
      </c>
      <c r="B101" t="s">
        <v>723</v>
      </c>
      <c r="C101" t="s">
        <v>586</v>
      </c>
      <c r="D101" t="s">
        <v>766</v>
      </c>
      <c r="E101" s="23">
        <f>SUMIFS(REPORT_FR2052a!$N:$N,REPORT_FR2052a!$AR:$AR,$A101)</f>
        <v>0</v>
      </c>
      <c r="F101" s="23">
        <f>SUMIFS(REPORT_FR2052a!$M:$M,REPORT_FR2052a!$AR:$AR,$A101)</f>
        <v>0</v>
      </c>
      <c r="G101" s="23">
        <f>SUMIFS(REPORT_FR2052a!$X:$X,REPORT_FR2052a!$AR:$AR,$A101)</f>
        <v>0</v>
      </c>
      <c r="H101" s="23">
        <f t="shared" si="3"/>
        <v>0</v>
      </c>
      <c r="I101">
        <v>0</v>
      </c>
      <c r="J101" s="144"/>
    </row>
    <row r="102" spans="1:10">
      <c r="A102" t="s">
        <v>724</v>
      </c>
      <c r="B102" t="s">
        <v>725</v>
      </c>
      <c r="C102" t="s">
        <v>587</v>
      </c>
      <c r="D102" t="s">
        <v>766</v>
      </c>
      <c r="E102" s="23">
        <f>SUMIFS(REPORT_FR2052a!$N:$N,REPORT_FR2052a!$AR:$AR,$A102)</f>
        <v>0</v>
      </c>
      <c r="F102" s="23">
        <f>SUMIFS(REPORT_FR2052a!$M:$M,REPORT_FR2052a!$AR:$AR,$A102)</f>
        <v>0</v>
      </c>
      <c r="G102" s="23">
        <f>SUMIFS(REPORT_FR2052a!$X:$X,REPORT_FR2052a!$AR:$AR,$A102)</f>
        <v>0</v>
      </c>
      <c r="H102" s="23">
        <f t="shared" si="3"/>
        <v>0</v>
      </c>
      <c r="I102">
        <v>0</v>
      </c>
      <c r="J102" s="144"/>
    </row>
    <row r="103" spans="1:10">
      <c r="A103" t="s">
        <v>726</v>
      </c>
      <c r="B103" t="s">
        <v>727</v>
      </c>
      <c r="C103" t="s">
        <v>588</v>
      </c>
      <c r="D103" t="s">
        <v>766</v>
      </c>
      <c r="E103" s="23">
        <f>SUMIFS(REPORT_FR2052a!$N:$N,REPORT_FR2052a!$AR:$AR,$A103)</f>
        <v>0</v>
      </c>
      <c r="F103" s="23">
        <f>SUMIFS(REPORT_FR2052a!$M:$M,REPORT_FR2052a!$AR:$AR,$A103)</f>
        <v>0</v>
      </c>
      <c r="G103" s="23">
        <f>SUMIFS(REPORT_FR2052a!$X:$X,REPORT_FR2052a!$AR:$AR,$A103)</f>
        <v>0</v>
      </c>
      <c r="H103" s="23">
        <f t="shared" si="3"/>
        <v>0</v>
      </c>
      <c r="I103">
        <v>0</v>
      </c>
      <c r="J103" s="144"/>
    </row>
    <row r="104" spans="1:10">
      <c r="A104" t="s">
        <v>728</v>
      </c>
      <c r="B104" t="s">
        <v>729</v>
      </c>
      <c r="C104" t="s">
        <v>589</v>
      </c>
      <c r="D104" t="s">
        <v>766</v>
      </c>
      <c r="E104" s="23">
        <f>SUMIFS(REPORT_FR2052a!$N:$N,REPORT_FR2052a!$AR:$AR,$A104)</f>
        <v>0</v>
      </c>
      <c r="F104" s="23">
        <f>SUMIFS(REPORT_FR2052a!$M:$M,REPORT_FR2052a!$AR:$AR,$A104)</f>
        <v>0</v>
      </c>
      <c r="G104" s="23">
        <f>SUMIFS(REPORT_FR2052a!$X:$X,REPORT_FR2052a!$AR:$AR,$A104)</f>
        <v>0</v>
      </c>
      <c r="H104" s="23">
        <f t="shared" si="3"/>
        <v>0</v>
      </c>
      <c r="I104">
        <v>0</v>
      </c>
      <c r="J104" s="144"/>
    </row>
    <row r="105" spans="1:10">
      <c r="A105" t="s">
        <v>730</v>
      </c>
      <c r="B105" t="s">
        <v>731</v>
      </c>
      <c r="C105" t="s">
        <v>590</v>
      </c>
      <c r="D105" t="s">
        <v>766</v>
      </c>
      <c r="E105" s="23">
        <f>SUMIFS(REPORT_FR2052a!$N:$N,REPORT_FR2052a!$AR:$AR,$A105)</f>
        <v>0</v>
      </c>
      <c r="F105" s="23">
        <f>SUMIFS(REPORT_FR2052a!$M:$M,REPORT_FR2052a!$AR:$AR,$A105)</f>
        <v>0</v>
      </c>
      <c r="G105" s="23">
        <f>SUMIFS(REPORT_FR2052a!$X:$X,REPORT_FR2052a!$AR:$AR,$A105)</f>
        <v>0</v>
      </c>
      <c r="H105" s="23">
        <f t="shared" si="3"/>
        <v>0</v>
      </c>
      <c r="I105">
        <v>0</v>
      </c>
      <c r="J105" s="144"/>
    </row>
    <row r="106" spans="1:10">
      <c r="A106" t="s">
        <v>732</v>
      </c>
      <c r="B106" t="s">
        <v>733</v>
      </c>
      <c r="C106" t="s">
        <v>591</v>
      </c>
      <c r="D106" t="s">
        <v>766</v>
      </c>
      <c r="E106" s="23">
        <f>SUMIFS(REPORT_FR2052a!$N:$N,REPORT_FR2052a!$AR:$AR,$A106)</f>
        <v>0</v>
      </c>
      <c r="F106" s="23">
        <f>SUMIFS(REPORT_FR2052a!$M:$M,REPORT_FR2052a!$AR:$AR,$A106)</f>
        <v>0</v>
      </c>
      <c r="G106" s="23">
        <f>SUMIFS(REPORT_FR2052a!$X:$X,REPORT_FR2052a!$AR:$AR,$A106)</f>
        <v>0</v>
      </c>
      <c r="H106" s="23">
        <f t="shared" si="3"/>
        <v>0</v>
      </c>
      <c r="I106">
        <v>0</v>
      </c>
      <c r="J106" s="144"/>
    </row>
    <row r="107" spans="1:10">
      <c r="A107" t="s">
        <v>698</v>
      </c>
      <c r="B107" t="s">
        <v>699</v>
      </c>
      <c r="C107" t="s">
        <v>574</v>
      </c>
      <c r="D107" t="s">
        <v>766</v>
      </c>
      <c r="E107" s="23">
        <f>SUMIFS(REPORT_FR2052a!$N:$N,REPORT_FR2052a!$AR:$AR,$A107)</f>
        <v>0</v>
      </c>
      <c r="F107" s="23">
        <f>SUMIFS(REPORT_FR2052a!$M:$M,REPORT_FR2052a!$AR:$AR,$A107)</f>
        <v>0</v>
      </c>
      <c r="G107" s="23">
        <f>SUMIFS(REPORT_FR2052a!$X:$X,REPORT_FR2052a!$AR:$AR,$A107)</f>
        <v>0</v>
      </c>
      <c r="H107" s="23">
        <f t="shared" si="3"/>
        <v>0</v>
      </c>
      <c r="I107">
        <v>0</v>
      </c>
      <c r="J107" s="144"/>
    </row>
    <row r="108" spans="1:10">
      <c r="A108" t="s">
        <v>734</v>
      </c>
      <c r="B108" t="s">
        <v>735</v>
      </c>
      <c r="C108" t="s">
        <v>592</v>
      </c>
      <c r="D108" t="s">
        <v>766</v>
      </c>
      <c r="E108" s="23">
        <f>SUMIFS(REPORT_FR2052a!$N:$N,REPORT_FR2052a!$AR:$AR,$A108)</f>
        <v>0</v>
      </c>
      <c r="F108" s="23">
        <f>SUMIFS(REPORT_FR2052a!$M:$M,REPORT_FR2052a!$AR:$AR,$A108)</f>
        <v>0</v>
      </c>
      <c r="G108" s="23">
        <f>SUMIFS(REPORT_FR2052a!$X:$X,REPORT_FR2052a!$AR:$AR,$A108)</f>
        <v>0</v>
      </c>
      <c r="H108" s="23">
        <f t="shared" si="3"/>
        <v>0</v>
      </c>
      <c r="I108">
        <v>0</v>
      </c>
      <c r="J108" s="144"/>
    </row>
    <row r="109" spans="1:10">
      <c r="A109" t="s">
        <v>736</v>
      </c>
      <c r="B109" t="s">
        <v>964</v>
      </c>
      <c r="C109" t="s">
        <v>593</v>
      </c>
      <c r="D109" t="s">
        <v>766</v>
      </c>
      <c r="E109" s="23">
        <f>SUMIFS(REPORT_FR2052a!$N:$N,REPORT_FR2052a!$AR:$AR,$A109)</f>
        <v>0</v>
      </c>
      <c r="F109" s="23">
        <f>SUMIFS(REPORT_FR2052a!$M:$M,REPORT_FR2052a!$AR:$AR,$A109)</f>
        <v>0</v>
      </c>
      <c r="G109" s="23">
        <f>SUMIFS(REPORT_FR2052a!$X:$X,REPORT_FR2052a!$AR:$AR,$A109)</f>
        <v>0</v>
      </c>
      <c r="H109" s="23">
        <f t="shared" si="3"/>
        <v>0</v>
      </c>
      <c r="I109">
        <v>0</v>
      </c>
      <c r="J109" s="144"/>
    </row>
    <row r="110" spans="1:10">
      <c r="A110" t="s">
        <v>737</v>
      </c>
      <c r="B110" t="s">
        <v>963</v>
      </c>
      <c r="C110" t="s">
        <v>594</v>
      </c>
      <c r="D110" t="s">
        <v>766</v>
      </c>
      <c r="E110" s="23">
        <f>SUMIFS(REPORT_FR2052a!$N:$N,REPORT_FR2052a!$AR:$AR,$A110)</f>
        <v>0</v>
      </c>
      <c r="F110" s="23">
        <f>SUMIFS(REPORT_FR2052a!$M:$M,REPORT_FR2052a!$AR:$AR,$A110)</f>
        <v>0</v>
      </c>
      <c r="G110" s="23">
        <f>SUMIFS(REPORT_FR2052a!$X:$X,REPORT_FR2052a!$AR:$AR,$A110)</f>
        <v>0</v>
      </c>
      <c r="H110" s="23">
        <f t="shared" si="3"/>
        <v>0</v>
      </c>
      <c r="I110">
        <v>0</v>
      </c>
      <c r="J110" s="144"/>
    </row>
    <row r="111" spans="1:10">
      <c r="A111" t="s">
        <v>738</v>
      </c>
      <c r="B111" t="s">
        <v>962</v>
      </c>
      <c r="C111" t="s">
        <v>595</v>
      </c>
      <c r="D111" t="s">
        <v>766</v>
      </c>
      <c r="E111" s="23">
        <f>SUMIFS(REPORT_FR2052a!$N:$N,REPORT_FR2052a!$AR:$AR,$A111)</f>
        <v>0</v>
      </c>
      <c r="F111" s="23">
        <f>SUMIFS(REPORT_FR2052a!$M:$M,REPORT_FR2052a!$AR:$AR,$A111)</f>
        <v>0</v>
      </c>
      <c r="G111" s="23">
        <f>SUMIFS(REPORT_FR2052a!$X:$X,REPORT_FR2052a!$AR:$AR,$A111)</f>
        <v>0</v>
      </c>
      <c r="H111" s="23">
        <f t="shared" si="3"/>
        <v>0</v>
      </c>
      <c r="I111">
        <v>0</v>
      </c>
      <c r="J111" s="144"/>
    </row>
    <row r="112" spans="1:10">
      <c r="A112" t="s">
        <v>739</v>
      </c>
      <c r="B112" t="s">
        <v>961</v>
      </c>
      <c r="C112" t="s">
        <v>596</v>
      </c>
      <c r="D112" t="s">
        <v>766</v>
      </c>
      <c r="E112" s="23">
        <f>SUMIFS(REPORT_FR2052a!$N:$N,REPORT_FR2052a!$AR:$AR,$A112)</f>
        <v>0</v>
      </c>
      <c r="F112" s="23">
        <f>SUMIFS(REPORT_FR2052a!$M:$M,REPORT_FR2052a!$AR:$AR,$A112)</f>
        <v>0</v>
      </c>
      <c r="G112" s="23">
        <f>SUMIFS(REPORT_FR2052a!$X:$X,REPORT_FR2052a!$AR:$AR,$A112)</f>
        <v>0</v>
      </c>
      <c r="H112" s="23">
        <f t="shared" si="3"/>
        <v>0</v>
      </c>
      <c r="I112">
        <v>0</v>
      </c>
      <c r="J112" s="144"/>
    </row>
    <row r="113" spans="1:10">
      <c r="A113" t="s">
        <v>700</v>
      </c>
      <c r="B113" t="s">
        <v>701</v>
      </c>
      <c r="C113" t="s">
        <v>575</v>
      </c>
      <c r="D113" t="s">
        <v>766</v>
      </c>
      <c r="E113" s="23">
        <f>SUMIFS(REPORT_FR2052a!$N:$N,REPORT_FR2052a!$AR:$AR,$A113)</f>
        <v>0</v>
      </c>
      <c r="F113" s="23">
        <f>SUMIFS(REPORT_FR2052a!$M:$M,REPORT_FR2052a!$AR:$AR,$A113)</f>
        <v>0</v>
      </c>
      <c r="G113" s="23">
        <f>SUMIFS(REPORT_FR2052a!$X:$X,REPORT_FR2052a!$AR:$AR,$A113)</f>
        <v>0</v>
      </c>
      <c r="H113" s="23">
        <f t="shared" si="3"/>
        <v>0</v>
      </c>
      <c r="I113">
        <v>0</v>
      </c>
      <c r="J113" s="144"/>
    </row>
    <row r="114" spans="1:10">
      <c r="A114" t="s">
        <v>702</v>
      </c>
      <c r="B114" t="s">
        <v>703</v>
      </c>
      <c r="C114" t="s">
        <v>576</v>
      </c>
      <c r="D114" t="s">
        <v>766</v>
      </c>
      <c r="E114" s="23">
        <f>SUMIFS(REPORT_FR2052a!$N:$N,REPORT_FR2052a!$AR:$AR,$A114)</f>
        <v>0</v>
      </c>
      <c r="F114" s="23">
        <f>SUMIFS(REPORT_FR2052a!$M:$M,REPORT_FR2052a!$AR:$AR,$A114)</f>
        <v>0</v>
      </c>
      <c r="G114" s="23">
        <f>SUMIFS(REPORT_FR2052a!$X:$X,REPORT_FR2052a!$AR:$AR,$A114)</f>
        <v>0</v>
      </c>
      <c r="H114" s="23">
        <f t="shared" si="3"/>
        <v>0</v>
      </c>
      <c r="I114">
        <v>0</v>
      </c>
      <c r="J114" s="144"/>
    </row>
    <row r="115" spans="1:10">
      <c r="A115" t="s">
        <v>704</v>
      </c>
      <c r="B115" t="s">
        <v>705</v>
      </c>
      <c r="C115" t="s">
        <v>577</v>
      </c>
      <c r="D115" t="s">
        <v>766</v>
      </c>
      <c r="E115" s="23">
        <f>SUMIFS(REPORT_FR2052a!$N:$N,REPORT_FR2052a!$AR:$AR,$A115)</f>
        <v>0</v>
      </c>
      <c r="F115" s="23">
        <f>SUMIFS(REPORT_FR2052a!$M:$M,REPORT_FR2052a!$AR:$AR,$A115)</f>
        <v>0</v>
      </c>
      <c r="G115" s="23">
        <f>SUMIFS(REPORT_FR2052a!$X:$X,REPORT_FR2052a!$AR:$AR,$A115)</f>
        <v>0</v>
      </c>
      <c r="H115" s="23">
        <f t="shared" si="3"/>
        <v>0</v>
      </c>
      <c r="I115">
        <v>0</v>
      </c>
      <c r="J115" s="144"/>
    </row>
    <row r="116" spans="1:10">
      <c r="A116" t="s">
        <v>706</v>
      </c>
      <c r="B116" t="s">
        <v>707</v>
      </c>
      <c r="C116" t="s">
        <v>578</v>
      </c>
      <c r="D116" t="s">
        <v>766</v>
      </c>
      <c r="E116" s="23">
        <f>SUMIFS(REPORT_FR2052a!$N:$N,REPORT_FR2052a!$AR:$AR,$A116)</f>
        <v>0</v>
      </c>
      <c r="F116" s="23">
        <f>SUMIFS(REPORT_FR2052a!$M:$M,REPORT_FR2052a!$AR:$AR,$A116)</f>
        <v>0</v>
      </c>
      <c r="G116" s="23">
        <f>SUMIFS(REPORT_FR2052a!$X:$X,REPORT_FR2052a!$AR:$AR,$A116)</f>
        <v>0</v>
      </c>
      <c r="H116" s="23">
        <f t="shared" si="3"/>
        <v>0</v>
      </c>
      <c r="I116">
        <v>0</v>
      </c>
      <c r="J116" s="144"/>
    </row>
    <row r="117" spans="1:10">
      <c r="A117" t="s">
        <v>708</v>
      </c>
      <c r="B117" t="s">
        <v>709</v>
      </c>
      <c r="C117" t="s">
        <v>579</v>
      </c>
      <c r="D117" t="s">
        <v>766</v>
      </c>
      <c r="E117" s="23">
        <f>SUMIFS(REPORT_FR2052a!$N:$N,REPORT_FR2052a!$AR:$AR,$A117)</f>
        <v>0</v>
      </c>
      <c r="F117" s="23">
        <f>SUMIFS(REPORT_FR2052a!$M:$M,REPORT_FR2052a!$AR:$AR,$A117)</f>
        <v>0</v>
      </c>
      <c r="G117" s="23">
        <f>SUMIFS(REPORT_FR2052a!$X:$X,REPORT_FR2052a!$AR:$AR,$A117)</f>
        <v>0</v>
      </c>
      <c r="H117" s="23">
        <f t="shared" si="3"/>
        <v>0</v>
      </c>
      <c r="I117">
        <v>0</v>
      </c>
      <c r="J117" s="144"/>
    </row>
    <row r="118" spans="1:10">
      <c r="A118" t="s">
        <v>710</v>
      </c>
      <c r="B118" t="s">
        <v>711</v>
      </c>
      <c r="C118" t="s">
        <v>580</v>
      </c>
      <c r="D118" t="s">
        <v>766</v>
      </c>
      <c r="E118" s="23">
        <f>SUMIFS(REPORT_FR2052a!$N:$N,REPORT_FR2052a!$AR:$AR,$A118)</f>
        <v>0</v>
      </c>
      <c r="F118" s="23">
        <f>SUMIFS(REPORT_FR2052a!$M:$M,REPORT_FR2052a!$AR:$AR,$A118)</f>
        <v>0</v>
      </c>
      <c r="G118" s="23">
        <f>SUMIFS(REPORT_FR2052a!$X:$X,REPORT_FR2052a!$AR:$AR,$A118)</f>
        <v>0</v>
      </c>
      <c r="H118" s="23">
        <f t="shared" si="3"/>
        <v>0</v>
      </c>
      <c r="I118">
        <v>0</v>
      </c>
      <c r="J118" s="144"/>
    </row>
    <row r="119" spans="1:10">
      <c r="A119" t="s">
        <v>712</v>
      </c>
      <c r="B119" t="s">
        <v>713</v>
      </c>
      <c r="C119" t="s">
        <v>581</v>
      </c>
      <c r="D119" t="s">
        <v>766</v>
      </c>
      <c r="E119" s="23">
        <f>SUMIFS(REPORT_FR2052a!$N:$N,REPORT_FR2052a!$AR:$AR,$A119)</f>
        <v>0</v>
      </c>
      <c r="F119" s="23">
        <f>SUMIFS(REPORT_FR2052a!$M:$M,REPORT_FR2052a!$AR:$AR,$A119)</f>
        <v>0</v>
      </c>
      <c r="G119" s="23">
        <f>SUMIFS(REPORT_FR2052a!$X:$X,REPORT_FR2052a!$AR:$AR,$A119)</f>
        <v>0</v>
      </c>
      <c r="H119" s="23">
        <f t="shared" si="3"/>
        <v>0</v>
      </c>
      <c r="I119">
        <v>0</v>
      </c>
      <c r="J119" s="144"/>
    </row>
  </sheetData>
  <autoFilter ref="A1:H119"/>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92"/>
  <sheetViews>
    <sheetView workbookViewId="0">
      <selection activeCell="D37" sqref="D37"/>
    </sheetView>
  </sheetViews>
  <sheetFormatPr defaultColWidth="9.140625" defaultRowHeight="12.75"/>
  <cols>
    <col min="1" max="1" width="16.28515625" style="154" customWidth="1"/>
    <col min="2" max="2" width="85.140625" style="154" customWidth="1"/>
    <col min="3" max="6" width="9.140625" style="161"/>
    <col min="7" max="16384" width="9.140625" style="154"/>
  </cols>
  <sheetData>
    <row r="1" spans="1:3" s="154" customFormat="1">
      <c r="A1" s="151" t="s">
        <v>767</v>
      </c>
      <c r="B1" s="152"/>
      <c r="C1" s="153"/>
    </row>
    <row r="2" spans="1:3" s="154" customFormat="1">
      <c r="A2" s="155"/>
      <c r="B2" s="152"/>
      <c r="C2" s="153"/>
    </row>
    <row r="3" spans="1:3" s="154" customFormat="1">
      <c r="A3" s="156" t="s">
        <v>768</v>
      </c>
      <c r="B3" s="157" t="s">
        <v>769</v>
      </c>
      <c r="C3" s="158"/>
    </row>
    <row r="4" spans="1:3" s="154" customFormat="1" ht="13.5" thickBot="1">
      <c r="A4" s="159" t="s">
        <v>770</v>
      </c>
      <c r="B4" s="160"/>
      <c r="C4" s="158"/>
    </row>
    <row r="5" spans="1:3" s="154" customFormat="1">
      <c r="A5" s="155" t="s">
        <v>771</v>
      </c>
      <c r="B5" s="152" t="s">
        <v>772</v>
      </c>
      <c r="C5" s="153"/>
    </row>
    <row r="6" spans="1:3" s="154" customFormat="1">
      <c r="A6" s="155" t="s">
        <v>773</v>
      </c>
      <c r="B6" s="152" t="s">
        <v>774</v>
      </c>
      <c r="C6" s="153"/>
    </row>
    <row r="7" spans="1:3" s="154" customFormat="1">
      <c r="A7" s="155" t="s">
        <v>340</v>
      </c>
      <c r="B7" s="152" t="s">
        <v>775</v>
      </c>
      <c r="C7" s="153"/>
    </row>
    <row r="8" spans="1:3" s="154" customFormat="1" ht="25.5">
      <c r="A8" s="155" t="s">
        <v>341</v>
      </c>
      <c r="B8" s="152" t="s">
        <v>776</v>
      </c>
      <c r="C8" s="153"/>
    </row>
    <row r="9" spans="1:3" s="154" customFormat="1" ht="25.5">
      <c r="A9" s="155" t="s">
        <v>342</v>
      </c>
      <c r="B9" s="152" t="s">
        <v>777</v>
      </c>
      <c r="C9" s="153"/>
    </row>
    <row r="10" spans="1:3" s="154" customFormat="1">
      <c r="A10" s="155" t="s">
        <v>343</v>
      </c>
      <c r="B10" s="152" t="s">
        <v>778</v>
      </c>
      <c r="C10" s="153"/>
    </row>
    <row r="11" spans="1:3" s="154" customFormat="1">
      <c r="A11" s="155" t="s">
        <v>344</v>
      </c>
      <c r="B11" s="152" t="s">
        <v>779</v>
      </c>
      <c r="C11" s="153"/>
    </row>
    <row r="12" spans="1:3" s="154" customFormat="1">
      <c r="A12" s="155" t="s">
        <v>345</v>
      </c>
      <c r="B12" s="152" t="s">
        <v>780</v>
      </c>
      <c r="C12" s="153"/>
    </row>
    <row r="13" spans="1:3" s="154" customFormat="1" ht="25.5">
      <c r="A13" s="155" t="s">
        <v>346</v>
      </c>
      <c r="B13" s="152" t="s">
        <v>781</v>
      </c>
      <c r="C13" s="153"/>
    </row>
    <row r="14" spans="1:3" s="154" customFormat="1" ht="38.25">
      <c r="A14" s="155" t="s">
        <v>347</v>
      </c>
      <c r="B14" s="152" t="s">
        <v>782</v>
      </c>
      <c r="C14" s="153"/>
    </row>
    <row r="15" spans="1:3" s="154" customFormat="1" ht="13.5" thickBot="1">
      <c r="A15" s="159" t="s">
        <v>783</v>
      </c>
      <c r="B15" s="160"/>
      <c r="C15" s="158"/>
    </row>
    <row r="16" spans="1:3" s="154" customFormat="1">
      <c r="A16" s="155" t="s">
        <v>348</v>
      </c>
      <c r="B16" s="152" t="s">
        <v>784</v>
      </c>
      <c r="C16" s="153"/>
    </row>
    <row r="17" spans="1:3" s="154" customFormat="1">
      <c r="A17" s="155" t="s">
        <v>349</v>
      </c>
      <c r="B17" s="152" t="s">
        <v>785</v>
      </c>
      <c r="C17" s="153"/>
    </row>
    <row r="18" spans="1:3" s="154" customFormat="1">
      <c r="A18" s="155" t="s">
        <v>350</v>
      </c>
      <c r="B18" s="152" t="s">
        <v>786</v>
      </c>
      <c r="C18" s="153"/>
    </row>
    <row r="19" spans="1:3" s="154" customFormat="1">
      <c r="A19" s="155" t="s">
        <v>351</v>
      </c>
      <c r="B19" s="152" t="s">
        <v>787</v>
      </c>
      <c r="C19" s="153"/>
    </row>
    <row r="20" spans="1:3" s="154" customFormat="1" ht="25.5">
      <c r="A20" s="155" t="s">
        <v>352</v>
      </c>
      <c r="B20" s="152" t="s">
        <v>788</v>
      </c>
      <c r="C20" s="153"/>
    </row>
    <row r="21" spans="1:3" s="154" customFormat="1" ht="25.5">
      <c r="A21" s="155" t="s">
        <v>353</v>
      </c>
      <c r="B21" s="152" t="s">
        <v>789</v>
      </c>
      <c r="C21" s="153"/>
    </row>
    <row r="22" spans="1:3" s="154" customFormat="1" ht="13.5" thickBot="1">
      <c r="A22" s="159" t="s">
        <v>790</v>
      </c>
      <c r="B22" s="160"/>
      <c r="C22" s="158"/>
    </row>
    <row r="23" spans="1:3" s="154" customFormat="1">
      <c r="A23" s="155" t="s">
        <v>354</v>
      </c>
      <c r="B23" s="152" t="s">
        <v>791</v>
      </c>
      <c r="C23" s="153"/>
    </row>
    <row r="24" spans="1:3" s="154" customFormat="1" ht="25.5">
      <c r="A24" s="155" t="s">
        <v>355</v>
      </c>
      <c r="B24" s="152" t="s">
        <v>792</v>
      </c>
      <c r="C24" s="153"/>
    </row>
    <row r="25" spans="1:3" s="154" customFormat="1">
      <c r="A25" s="155" t="s">
        <v>356</v>
      </c>
      <c r="B25" s="152" t="s">
        <v>793</v>
      </c>
      <c r="C25" s="153"/>
    </row>
    <row r="26" spans="1:3" s="154" customFormat="1">
      <c r="A26" s="155" t="s">
        <v>357</v>
      </c>
      <c r="B26" s="152" t="s">
        <v>794</v>
      </c>
      <c r="C26" s="158"/>
    </row>
    <row r="27" spans="1:3" s="154" customFormat="1" ht="13.5" thickBot="1">
      <c r="A27" s="159" t="s">
        <v>795</v>
      </c>
      <c r="B27" s="160"/>
      <c r="C27" s="153"/>
    </row>
    <row r="28" spans="1:3" s="154" customFormat="1">
      <c r="A28" s="155" t="s">
        <v>796</v>
      </c>
      <c r="B28" s="152" t="s">
        <v>772</v>
      </c>
      <c r="C28" s="153"/>
    </row>
    <row r="29" spans="1:3" s="154" customFormat="1">
      <c r="A29" s="155" t="s">
        <v>797</v>
      </c>
      <c r="B29" s="152" t="s">
        <v>774</v>
      </c>
      <c r="C29" s="153"/>
    </row>
    <row r="30" spans="1:3" s="154" customFormat="1">
      <c r="A30" s="155" t="s">
        <v>798</v>
      </c>
      <c r="B30" s="152" t="s">
        <v>775</v>
      </c>
      <c r="C30" s="153"/>
    </row>
    <row r="31" spans="1:3" s="154" customFormat="1" ht="25.5">
      <c r="A31" s="155" t="s">
        <v>799</v>
      </c>
      <c r="B31" s="152" t="s">
        <v>776</v>
      </c>
      <c r="C31" s="153"/>
    </row>
    <row r="32" spans="1:3" s="154" customFormat="1" ht="25.5">
      <c r="A32" s="155" t="s">
        <v>800</v>
      </c>
      <c r="B32" s="152" t="s">
        <v>777</v>
      </c>
      <c r="C32" s="153"/>
    </row>
    <row r="33" spans="1:3" s="154" customFormat="1">
      <c r="A33" s="155" t="s">
        <v>801</v>
      </c>
      <c r="B33" s="152" t="s">
        <v>778</v>
      </c>
      <c r="C33" s="153"/>
    </row>
    <row r="34" spans="1:3" s="154" customFormat="1">
      <c r="A34" s="155" t="s">
        <v>802</v>
      </c>
      <c r="B34" s="152" t="s">
        <v>779</v>
      </c>
      <c r="C34" s="153"/>
    </row>
    <row r="35" spans="1:3" s="154" customFormat="1">
      <c r="A35" s="155" t="s">
        <v>803</v>
      </c>
      <c r="B35" s="152" t="s">
        <v>804</v>
      </c>
      <c r="C35" s="153"/>
    </row>
    <row r="36" spans="1:3" s="154" customFormat="1" ht="25.5">
      <c r="A36" s="155" t="s">
        <v>805</v>
      </c>
      <c r="B36" s="152" t="s">
        <v>781</v>
      </c>
      <c r="C36" s="153"/>
    </row>
    <row r="37" spans="1:3" s="154" customFormat="1" ht="38.25">
      <c r="A37" s="155" t="s">
        <v>806</v>
      </c>
      <c r="B37" s="152" t="s">
        <v>782</v>
      </c>
      <c r="C37" s="153"/>
    </row>
    <row r="38" spans="1:3" s="154" customFormat="1">
      <c r="A38" s="155" t="s">
        <v>807</v>
      </c>
      <c r="B38" s="152" t="s">
        <v>784</v>
      </c>
      <c r="C38" s="153"/>
    </row>
    <row r="39" spans="1:3" s="154" customFormat="1">
      <c r="A39" s="155" t="s">
        <v>808</v>
      </c>
      <c r="B39" s="152" t="s">
        <v>785</v>
      </c>
      <c r="C39" s="153"/>
    </row>
    <row r="40" spans="1:3" s="154" customFormat="1">
      <c r="A40" s="155" t="s">
        <v>809</v>
      </c>
      <c r="B40" s="152" t="s">
        <v>786</v>
      </c>
      <c r="C40" s="153"/>
    </row>
    <row r="41" spans="1:3" s="154" customFormat="1">
      <c r="A41" s="155" t="s">
        <v>810</v>
      </c>
      <c r="B41" s="152" t="s">
        <v>787</v>
      </c>
      <c r="C41" s="153"/>
    </row>
    <row r="42" spans="1:3" s="154" customFormat="1" ht="25.5">
      <c r="A42" s="155" t="s">
        <v>811</v>
      </c>
      <c r="B42" s="152" t="s">
        <v>788</v>
      </c>
      <c r="C42" s="153"/>
    </row>
    <row r="43" spans="1:3" s="154" customFormat="1" ht="25.5">
      <c r="A43" s="155" t="s">
        <v>812</v>
      </c>
      <c r="B43" s="152" t="s">
        <v>789</v>
      </c>
      <c r="C43" s="153"/>
    </row>
    <row r="44" spans="1:3" s="154" customFormat="1">
      <c r="A44" s="155" t="s">
        <v>813</v>
      </c>
      <c r="B44" s="152" t="s">
        <v>791</v>
      </c>
      <c r="C44" s="153"/>
    </row>
    <row r="45" spans="1:3" s="154" customFormat="1" ht="25.5">
      <c r="A45" s="155" t="s">
        <v>814</v>
      </c>
      <c r="B45" s="152" t="s">
        <v>792</v>
      </c>
      <c r="C45" s="153"/>
    </row>
    <row r="46" spans="1:3" s="154" customFormat="1">
      <c r="A46" s="155" t="s">
        <v>815</v>
      </c>
      <c r="B46" s="152" t="s">
        <v>793</v>
      </c>
      <c r="C46" s="158"/>
    </row>
    <row r="47" spans="1:3" s="154" customFormat="1">
      <c r="A47" s="155" t="s">
        <v>816</v>
      </c>
      <c r="B47" s="152" t="s">
        <v>817</v>
      </c>
      <c r="C47" s="153"/>
    </row>
    <row r="48" spans="1:3" s="154" customFormat="1" ht="13.5" thickBot="1">
      <c r="A48" s="159" t="s">
        <v>818</v>
      </c>
      <c r="B48" s="160"/>
      <c r="C48" s="153"/>
    </row>
    <row r="49" spans="1:3" s="154" customFormat="1">
      <c r="A49" s="155" t="s">
        <v>819</v>
      </c>
      <c r="B49" s="152" t="s">
        <v>820</v>
      </c>
      <c r="C49" s="153"/>
    </row>
    <row r="50" spans="1:3" s="154" customFormat="1">
      <c r="A50" s="155" t="s">
        <v>821</v>
      </c>
      <c r="B50" s="152" t="s">
        <v>822</v>
      </c>
      <c r="C50" s="153"/>
    </row>
    <row r="51" spans="1:3" s="154" customFormat="1">
      <c r="A51" s="155" t="s">
        <v>823</v>
      </c>
      <c r="B51" s="152" t="s">
        <v>824</v>
      </c>
      <c r="C51" s="153"/>
    </row>
    <row r="52" spans="1:3" s="154" customFormat="1">
      <c r="A52" s="155" t="s">
        <v>825</v>
      </c>
      <c r="B52" s="152" t="s">
        <v>826</v>
      </c>
      <c r="C52" s="153"/>
    </row>
    <row r="53" spans="1:3" s="154" customFormat="1">
      <c r="A53" s="155" t="s">
        <v>827</v>
      </c>
      <c r="B53" s="152" t="s">
        <v>828</v>
      </c>
      <c r="C53" s="153"/>
    </row>
    <row r="54" spans="1:3" s="154" customFormat="1">
      <c r="A54" s="155" t="s">
        <v>829</v>
      </c>
      <c r="B54" s="152" t="s">
        <v>830</v>
      </c>
      <c r="C54" s="153"/>
    </row>
    <row r="55" spans="1:3" s="154" customFormat="1">
      <c r="A55" s="155" t="s">
        <v>831</v>
      </c>
      <c r="B55" s="152" t="s">
        <v>832</v>
      </c>
      <c r="C55" s="153"/>
    </row>
    <row r="56" spans="1:3" s="154" customFormat="1">
      <c r="A56" s="155" t="s">
        <v>833</v>
      </c>
      <c r="B56" s="152" t="s">
        <v>834</v>
      </c>
      <c r="C56" s="153"/>
    </row>
    <row r="57" spans="1:3" s="154" customFormat="1">
      <c r="A57" s="155" t="s">
        <v>835</v>
      </c>
      <c r="B57" s="152" t="s">
        <v>836</v>
      </c>
      <c r="C57" s="153"/>
    </row>
    <row r="58" spans="1:3" s="154" customFormat="1">
      <c r="A58" s="155" t="s">
        <v>837</v>
      </c>
      <c r="B58" s="152" t="s">
        <v>838</v>
      </c>
      <c r="C58" s="153"/>
    </row>
    <row r="59" spans="1:3" s="154" customFormat="1">
      <c r="A59" s="155" t="s">
        <v>839</v>
      </c>
      <c r="B59" s="152" t="s">
        <v>840</v>
      </c>
      <c r="C59" s="153"/>
    </row>
    <row r="60" spans="1:3" s="154" customFormat="1">
      <c r="A60" s="155" t="s">
        <v>841</v>
      </c>
      <c r="B60" s="152" t="s">
        <v>842</v>
      </c>
      <c r="C60" s="153"/>
    </row>
    <row r="61" spans="1:3" s="154" customFormat="1">
      <c r="A61" s="155" t="s">
        <v>843</v>
      </c>
      <c r="B61" s="152" t="s">
        <v>844</v>
      </c>
      <c r="C61" s="153"/>
    </row>
    <row r="62" spans="1:3" s="154" customFormat="1">
      <c r="A62" s="155" t="s">
        <v>845</v>
      </c>
      <c r="B62" s="152" t="s">
        <v>846</v>
      </c>
      <c r="C62" s="153"/>
    </row>
    <row r="63" spans="1:3" s="154" customFormat="1">
      <c r="A63" s="155" t="s">
        <v>847</v>
      </c>
      <c r="B63" s="152" t="s">
        <v>848</v>
      </c>
      <c r="C63" s="153"/>
    </row>
    <row r="64" spans="1:3" s="154" customFormat="1">
      <c r="A64" s="155" t="s">
        <v>849</v>
      </c>
      <c r="B64" s="152" t="s">
        <v>850</v>
      </c>
      <c r="C64" s="153"/>
    </row>
    <row r="65" spans="1:3" s="154" customFormat="1">
      <c r="A65" s="155" t="s">
        <v>851</v>
      </c>
      <c r="B65" s="152" t="s">
        <v>852</v>
      </c>
      <c r="C65" s="153"/>
    </row>
    <row r="66" spans="1:3" s="154" customFormat="1">
      <c r="A66" s="155" t="s">
        <v>853</v>
      </c>
      <c r="B66" s="152" t="s">
        <v>854</v>
      </c>
      <c r="C66" s="153"/>
    </row>
    <row r="67" spans="1:3" s="154" customFormat="1">
      <c r="A67" s="155" t="s">
        <v>855</v>
      </c>
      <c r="B67" s="152" t="s">
        <v>856</v>
      </c>
      <c r="C67" s="153"/>
    </row>
    <row r="68" spans="1:3" s="154" customFormat="1">
      <c r="A68" s="155" t="s">
        <v>857</v>
      </c>
      <c r="B68" s="152" t="s">
        <v>858</v>
      </c>
      <c r="C68" s="153"/>
    </row>
    <row r="69" spans="1:3" s="154" customFormat="1">
      <c r="A69" s="155" t="s">
        <v>859</v>
      </c>
      <c r="B69" s="152" t="s">
        <v>860</v>
      </c>
      <c r="C69" s="153"/>
    </row>
    <row r="70" spans="1:3" s="154" customFormat="1">
      <c r="A70" s="155" t="s">
        <v>861</v>
      </c>
      <c r="B70" s="152" t="s">
        <v>862</v>
      </c>
      <c r="C70" s="153"/>
    </row>
    <row r="71" spans="1:3" s="154" customFormat="1">
      <c r="A71" s="155" t="s">
        <v>863</v>
      </c>
      <c r="B71" s="152" t="s">
        <v>864</v>
      </c>
      <c r="C71" s="153"/>
    </row>
    <row r="72" spans="1:3" s="154" customFormat="1">
      <c r="A72" s="155" t="s">
        <v>865</v>
      </c>
      <c r="B72" s="152" t="s">
        <v>866</v>
      </c>
      <c r="C72" s="153"/>
    </row>
    <row r="73" spans="1:3" s="154" customFormat="1">
      <c r="A73" s="155" t="s">
        <v>867</v>
      </c>
      <c r="B73" s="152" t="s">
        <v>868</v>
      </c>
      <c r="C73" s="153"/>
    </row>
    <row r="74" spans="1:3" s="154" customFormat="1">
      <c r="A74" s="155" t="s">
        <v>869</v>
      </c>
      <c r="B74" s="152" t="s">
        <v>870</v>
      </c>
      <c r="C74" s="153"/>
    </row>
    <row r="75" spans="1:3" s="154" customFormat="1">
      <c r="A75" s="155" t="s">
        <v>871</v>
      </c>
      <c r="B75" s="152" t="s">
        <v>872</v>
      </c>
      <c r="C75" s="153"/>
    </row>
    <row r="76" spans="1:3" s="154" customFormat="1">
      <c r="A76" s="155" t="s">
        <v>873</v>
      </c>
      <c r="B76" s="152" t="s">
        <v>874</v>
      </c>
      <c r="C76" s="153"/>
    </row>
    <row r="77" spans="1:3" s="154" customFormat="1">
      <c r="A77" s="155" t="s">
        <v>875</v>
      </c>
      <c r="B77" s="152" t="s">
        <v>876</v>
      </c>
      <c r="C77" s="153"/>
    </row>
    <row r="78" spans="1:3" s="154" customFormat="1">
      <c r="A78" s="155" t="s">
        <v>877</v>
      </c>
      <c r="B78" s="152" t="s">
        <v>878</v>
      </c>
      <c r="C78" s="153"/>
    </row>
    <row r="79" spans="1:3" s="154" customFormat="1">
      <c r="A79" s="155" t="s">
        <v>879</v>
      </c>
      <c r="B79" s="152" t="s">
        <v>880</v>
      </c>
      <c r="C79" s="153"/>
    </row>
    <row r="80" spans="1:3" s="154" customFormat="1">
      <c r="A80" s="155" t="s">
        <v>881</v>
      </c>
      <c r="B80" s="152" t="s">
        <v>882</v>
      </c>
      <c r="C80" s="153"/>
    </row>
    <row r="81" spans="1:3" s="154" customFormat="1">
      <c r="A81" s="155"/>
      <c r="B81" s="152"/>
      <c r="C81" s="153"/>
    </row>
    <row r="82" spans="1:3" s="154" customFormat="1">
      <c r="A82" s="155"/>
      <c r="B82" s="152"/>
      <c r="C82" s="153"/>
    </row>
    <row r="83" spans="1:3" s="154" customFormat="1">
      <c r="A83" s="155"/>
      <c r="B83" s="152"/>
      <c r="C83" s="153"/>
    </row>
    <row r="84" spans="1:3" s="154" customFormat="1">
      <c r="A84" s="155"/>
      <c r="B84" s="152"/>
      <c r="C84" s="153"/>
    </row>
    <row r="85" spans="1:3" s="154" customFormat="1">
      <c r="A85" s="155"/>
      <c r="B85" s="152"/>
      <c r="C85" s="153"/>
    </row>
    <row r="86" spans="1:3" s="154" customFormat="1">
      <c r="A86" s="155"/>
      <c r="B86" s="152"/>
      <c r="C86" s="153"/>
    </row>
    <row r="87" spans="1:3" s="154" customFormat="1">
      <c r="A87" s="155"/>
      <c r="B87" s="152"/>
      <c r="C87" s="153"/>
    </row>
    <row r="88" spans="1:3" s="154" customFormat="1">
      <c r="A88" s="155"/>
      <c r="B88" s="152"/>
      <c r="C88" s="153"/>
    </row>
    <row r="89" spans="1:3" s="154" customFormat="1">
      <c r="A89" s="155"/>
      <c r="B89" s="152"/>
      <c r="C89" s="153"/>
    </row>
    <row r="90" spans="1:3" s="154" customFormat="1">
      <c r="A90" s="155"/>
      <c r="B90" s="152"/>
      <c r="C90" s="153"/>
    </row>
    <row r="91" spans="1:3" s="154" customFormat="1">
      <c r="A91" s="155"/>
      <c r="B91" s="152"/>
      <c r="C91" s="153"/>
    </row>
    <row r="92" spans="1:3" s="154" customFormat="1">
      <c r="A92" s="155"/>
      <c r="B92" s="152"/>
      <c r="C92" s="15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5"/>
  <sheetViews>
    <sheetView topLeftCell="B1" workbookViewId="0">
      <selection activeCell="T3" sqref="T3"/>
    </sheetView>
  </sheetViews>
  <sheetFormatPr defaultRowHeight="15"/>
  <cols>
    <col min="1" max="2" width="18" style="23" bestFit="1" customWidth="1"/>
    <col min="3" max="3" width="40.28515625" bestFit="1" customWidth="1"/>
    <col min="4" max="4" width="18" bestFit="1" customWidth="1"/>
    <col min="5" max="5" width="10.28515625" bestFit="1" customWidth="1"/>
    <col min="6" max="6" width="40.28515625" bestFit="1" customWidth="1"/>
    <col min="7" max="7" width="11.28515625" bestFit="1" customWidth="1"/>
  </cols>
  <sheetData>
    <row r="1" spans="1:7">
      <c r="C1" t="s">
        <v>905</v>
      </c>
      <c r="D1" t="s">
        <v>906</v>
      </c>
    </row>
    <row r="2" spans="1:7">
      <c r="A2" s="23" t="s">
        <v>361</v>
      </c>
      <c r="B2" s="23" t="s">
        <v>54</v>
      </c>
      <c r="C2" s="163">
        <f>SUMIFS(REPORT_FR2052a!$M:$M,REPORT_FR2052a!$W:$W,$B2,REPORT_FR2052a!$AR:$AR,$A2)</f>
        <v>30602.91</v>
      </c>
      <c r="D2" s="164">
        <f>(-G2+G3)*IF($C$2&gt;1000000,1000000,1)</f>
        <v>24962.405256090002</v>
      </c>
      <c r="E2" s="164">
        <f>D2-C2</f>
        <v>-5640.5047439099981</v>
      </c>
      <c r="F2" t="s">
        <v>907</v>
      </c>
      <c r="G2" s="190">
        <v>-25358.277256090001</v>
      </c>
    </row>
    <row r="3" spans="1:7">
      <c r="A3" s="23" t="s">
        <v>337</v>
      </c>
      <c r="B3" s="23" t="s">
        <v>60</v>
      </c>
      <c r="C3" s="163">
        <f>SUMIFS(REPORT_FR2052a!$M:$M,REPORT_FR2052a!$W:$W,$B3,REPORT_FR2052a!$AR:$AR,$A3)</f>
        <v>2455.69</v>
      </c>
      <c r="D3" s="164">
        <f>(-G4)*IF($C$2&gt;1000000,1000000,1)</f>
        <v>1946.5620044577015</v>
      </c>
      <c r="F3" t="s">
        <v>908</v>
      </c>
      <c r="G3" s="190">
        <v>-395.87200000000001</v>
      </c>
    </row>
    <row r="4" spans="1:7">
      <c r="C4" s="164"/>
      <c r="F4" t="s">
        <v>909</v>
      </c>
      <c r="G4" s="190">
        <v>-1946.5620044577015</v>
      </c>
    </row>
    <row r="5" spans="1:7">
      <c r="C5" s="164">
        <f>C2+C3</f>
        <v>33058.6</v>
      </c>
      <c r="D5" s="164">
        <f>D2+D3</f>
        <v>26908.967260547703</v>
      </c>
      <c r="F5" t="s">
        <v>910</v>
      </c>
      <c r="G5" s="190">
        <v>-67.46941593532847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G21"/>
  <sheetViews>
    <sheetView workbookViewId="0"/>
  </sheetViews>
  <sheetFormatPr defaultRowHeight="15"/>
  <cols>
    <col min="1" max="1" width="12.85546875" bestFit="1" customWidth="1"/>
    <col min="2" max="2" width="19.5703125" customWidth="1"/>
    <col min="3" max="3" width="30.5703125" customWidth="1"/>
    <col min="4" max="4" width="19.5703125" customWidth="1"/>
    <col min="5" max="5" width="30.5703125" customWidth="1"/>
    <col min="6" max="6" width="19.5703125" customWidth="1"/>
    <col min="7" max="7" width="32.7109375" customWidth="1"/>
  </cols>
  <sheetData>
    <row r="1" spans="1:7">
      <c r="B1" t="s">
        <v>47</v>
      </c>
      <c r="C1" t="str">
        <f>"For "&amp;B1&amp;","</f>
        <v>For Bank of China - Combined US Branches and Agencies,</v>
      </c>
      <c r="D1" t="s">
        <v>163</v>
      </c>
      <c r="E1" t="str">
        <f>"For "&amp;D1&amp;","</f>
        <v>For Bank of China - All Other US Operations,</v>
      </c>
      <c r="F1" t="s">
        <v>953</v>
      </c>
      <c r="G1" t="str">
        <f>"For "&amp;F1&amp;","</f>
        <v>For Bank of China - All Reporting Entities ,</v>
      </c>
    </row>
    <row r="2" spans="1:7">
      <c r="A2" t="s">
        <v>889</v>
      </c>
      <c r="B2" s="23">
        <f>NonLCRTemplate!E33</f>
        <v>33058.6</v>
      </c>
      <c r="C2" t="str">
        <f>$A2&amp;" is "&amp;ROUND(B2/'Value ADJ'!$I$2,2)&amp;"MM USD, "</f>
        <v xml:space="preserve">total HQLA is 33058.6MM USD, </v>
      </c>
      <c r="D2" s="23">
        <f>NonLCRTemplate!F33</f>
        <v>0</v>
      </c>
      <c r="E2" t="str">
        <f>$A2&amp;" is "&amp;ROUND(D2/'Value ADJ'!$I$2,2)&amp;"MM USD, "</f>
        <v xml:space="preserve">total HQLA is 0MM USD, </v>
      </c>
      <c r="F2" s="201">
        <f>NonLCRTemplate!$D33</f>
        <v>33058.6</v>
      </c>
      <c r="G2" t="str">
        <f>$A2&amp;" is "&amp;ROUND(F2/'Value ADJ'!$I$2,2)&amp;"MM USD, "</f>
        <v xml:space="preserve">total HQLA is 33058.6MM USD, </v>
      </c>
    </row>
    <row r="3" spans="1:7">
      <c r="A3" t="s">
        <v>890</v>
      </c>
      <c r="B3" s="23">
        <f>NonLCRTemplate!E151</f>
        <v>63822.77</v>
      </c>
      <c r="C3" t="str">
        <f>$A3&amp;" is "&amp;ROUND(B3/'Value ADJ'!$I$2,2)&amp;"MM USD, "</f>
        <v xml:space="preserve">total outflow is 63822.77MM USD, </v>
      </c>
      <c r="D3" s="23">
        <f>NonLCRTemplate!F151</f>
        <v>4.62</v>
      </c>
      <c r="E3" t="str">
        <f>$A3&amp;" is "&amp;ROUND(D3/'Value ADJ'!$I$2,2)&amp;"MM USD, "</f>
        <v xml:space="preserve">total outflow is 4.62MM USD, </v>
      </c>
      <c r="F3" s="201">
        <f>NonLCRTemplate!$D151</f>
        <v>63827.389999999992</v>
      </c>
      <c r="G3" t="str">
        <f>$A3&amp;" is "&amp;ROUND(F3/'Value ADJ'!$I$2,2)&amp;"MM USD, "</f>
        <v xml:space="preserve">total outflow is 63827.39MM USD, </v>
      </c>
    </row>
    <row r="4" spans="1:7">
      <c r="A4" t="s">
        <v>888</v>
      </c>
      <c r="B4" s="23">
        <f>NonLCRTemplate!E189</f>
        <v>1136.7199999999998</v>
      </c>
      <c r="C4" t="str">
        <f>$A4&amp;" is "&amp;ROUND(B4/'Value ADJ'!$I$2,2)&amp;"MM USD."</f>
        <v>total inflow is 1136.72MM USD.</v>
      </c>
      <c r="D4" s="23">
        <f>NonLCRTemplate!F189</f>
        <v>8.8499999999999943</v>
      </c>
      <c r="E4" t="str">
        <f>$A4&amp;" is "&amp;ROUND(D4/'Value ADJ'!$I$2,2)&amp;"MM USD."</f>
        <v>total inflow is 8.85MM USD.</v>
      </c>
      <c r="F4" s="201">
        <f>NonLCRTemplate!$D189</f>
        <v>1145.57</v>
      </c>
      <c r="G4" t="str">
        <f>$A4&amp;" is "&amp;ROUND(F4/'Value ADJ'!$I$2,2)&amp;"MM USD."</f>
        <v>total inflow is 1145.57MM USD.</v>
      </c>
    </row>
    <row r="6" spans="1:7" ht="75">
      <c r="A6" t="s">
        <v>891</v>
      </c>
      <c r="C6" s="145" t="str">
        <f>C1&amp;C2&amp;C3&amp;C4</f>
        <v>For Bank of China - Combined US Branches and Agencies,total HQLA is 33058.6MM USD, total outflow is 63822.77MM USD, total inflow is 1136.72MM USD.</v>
      </c>
      <c r="E6" s="145" t="str">
        <f>E1&amp;E2&amp;E3&amp;E4</f>
        <v>For Bank of China - All Other US Operations,total HQLA is 0MM USD, total outflow is 4.62MM USD, total inflow is 8.85MM USD.</v>
      </c>
      <c r="G6" s="145" t="str">
        <f>G1&amp;G2&amp;G3&amp;G4</f>
        <v>For Bank of China - All Reporting Entities ,total HQLA is 33058.6MM USD, total outflow is 63827.39MM USD, total inflow is 1145.57MM USD.</v>
      </c>
    </row>
    <row r="7" spans="1:7">
      <c r="G7" t="b">
        <f>F21=G6</f>
        <v>0</v>
      </c>
    </row>
    <row r="21" spans="1:6">
      <c r="A21">
        <v>1</v>
      </c>
      <c r="B21" t="s">
        <v>956</v>
      </c>
      <c r="C21" t="s">
        <v>957</v>
      </c>
      <c r="D21">
        <v>43434</v>
      </c>
      <c r="E21" t="s">
        <v>47</v>
      </c>
      <c r="F21" t="s">
        <v>1025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ImportComments">
                <anchor moveWithCells="1" sizeWithCells="1">
                  <from>
                    <xdr:col>0</xdr:col>
                    <xdr:colOff>723900</xdr:colOff>
                    <xdr:row>8</xdr:row>
                    <xdr:rowOff>47625</xdr:rowOff>
                  </from>
                  <to>
                    <xdr:col>2</xdr:col>
                    <xdr:colOff>219075</xdr:colOff>
                    <xdr:row>11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8"/>
  <sheetViews>
    <sheetView workbookViewId="0">
      <selection activeCell="B3" sqref="B3"/>
    </sheetView>
  </sheetViews>
  <sheetFormatPr defaultRowHeight="15"/>
  <cols>
    <col min="1" max="1" width="7.42578125" bestFit="1" customWidth="1"/>
    <col min="2" max="2" width="65.5703125" customWidth="1"/>
    <col min="3" max="3" width="19" customWidth="1"/>
    <col min="4" max="4" width="18.140625" style="23" bestFit="1" customWidth="1"/>
    <col min="5" max="5" width="18" style="23" bestFit="1" customWidth="1"/>
  </cols>
  <sheetData>
    <row r="1" spans="1:5" ht="45">
      <c r="A1" t="s">
        <v>43</v>
      </c>
      <c r="B1" t="s">
        <v>2</v>
      </c>
      <c r="C1" s="145" t="s">
        <v>901</v>
      </c>
      <c r="D1" s="23" t="s">
        <v>13</v>
      </c>
      <c r="E1" s="23" t="s">
        <v>23</v>
      </c>
    </row>
    <row r="2" spans="1:5">
      <c r="A2" t="s">
        <v>372</v>
      </c>
      <c r="B2" t="s">
        <v>119</v>
      </c>
      <c r="C2">
        <v>-1</v>
      </c>
      <c r="D2" s="23">
        <f>SUMIFS(REPORT_FR2052a!N:N,REPORT_FR2052a!$AR:$AR,$A2,REPORT_FR2052a!$AW:$AW,$C2)</f>
        <v>12987.460000000001</v>
      </c>
      <c r="E2" s="23">
        <f>SUMIFS(REPORT_FR2052a!X:X,REPORT_FR2052a!$AR:$AR,$A2,REPORT_FR2052a!$AW:$AW,$C2)</f>
        <v>13797145379.98625</v>
      </c>
    </row>
    <row r="3" spans="1:5">
      <c r="A3" t="s">
        <v>658</v>
      </c>
      <c r="B3" t="s">
        <v>659</v>
      </c>
      <c r="C3">
        <v>-1</v>
      </c>
      <c r="D3" s="23">
        <f>SUMIFS(REPORT_FR2052a!N:N,REPORT_FR2052a!$AR:$AR,$A3,REPORT_FR2052a!$AW:$AW,$C3)</f>
        <v>195.14</v>
      </c>
      <c r="E3" s="23">
        <f>SUMIFS(REPORT_FR2052a!X:X,REPORT_FR2052a!$AR:$AR,$A3,REPORT_FR2052a!$AW:$AW,$C3)</f>
        <v>384832962.99000001</v>
      </c>
    </row>
    <row r="4" spans="1:5">
      <c r="A4" t="s">
        <v>388</v>
      </c>
      <c r="B4" t="s">
        <v>144</v>
      </c>
      <c r="C4">
        <v>1</v>
      </c>
      <c r="D4" s="23">
        <f>SUMIFS(REPORT_FR2052a!N:N,REPORT_FR2052a!$AR:$AR,$A4,REPORT_FR2052a!$AW:$AW,$C4)</f>
        <v>14705.86</v>
      </c>
      <c r="E4" s="23">
        <f>SUMIFS(REPORT_FR2052a!X:X,REPORT_FR2052a!$AR:$AR,$A4,REPORT_FR2052a!$AW:$AW,$C4)</f>
        <v>0</v>
      </c>
    </row>
    <row r="5" spans="1:5">
      <c r="A5" t="s">
        <v>388</v>
      </c>
      <c r="B5" t="s">
        <v>144</v>
      </c>
      <c r="C5">
        <v>-1</v>
      </c>
      <c r="D5" s="23">
        <f>SUMIFS(REPORT_FR2052a!N:N,REPORT_FR2052a!$AR:$AR,$A5,REPORT_FR2052a!$AW:$AW,$C5)</f>
        <v>2576.9999999999995</v>
      </c>
      <c r="E5" s="23">
        <f>SUMIFS(REPORT_FR2052a!X:X,REPORT_FR2052a!$AR:$AR,$A5,REPORT_FR2052a!$AW:$AW,$C5)</f>
        <v>3293263945.1532941</v>
      </c>
    </row>
    <row r="6" spans="1:5">
      <c r="A6" t="s">
        <v>391</v>
      </c>
      <c r="B6" t="s">
        <v>146</v>
      </c>
      <c r="C6">
        <v>1</v>
      </c>
      <c r="D6" s="23">
        <f>SUMIFS(REPORT_FR2052a!N:N,REPORT_FR2052a!$AR:$AR,$A6,REPORT_FR2052a!$AW:$AW,$C6)</f>
        <v>560</v>
      </c>
      <c r="E6" s="23">
        <f>SUMIFS(REPORT_FR2052a!X:X,REPORT_FR2052a!$AR:$AR,$A6,REPORT_FR2052a!$AW:$AW,$C6)</f>
        <v>0</v>
      </c>
    </row>
    <row r="7" spans="1:5">
      <c r="A7" t="s">
        <v>375</v>
      </c>
      <c r="B7" t="s">
        <v>112</v>
      </c>
      <c r="C7">
        <v>0</v>
      </c>
      <c r="D7" s="23">
        <f>SUMIFS(REPORT_FR2052a!N:N,REPORT_FR2052a!$AR:$AR,$A7,REPORT_FR2052a!$AW:$AW,$C7)</f>
        <v>5759.07</v>
      </c>
      <c r="E7" s="23">
        <f>SUMIFS(REPORT_FR2052a!X:X,REPORT_FR2052a!$AR:$AR,$A7,REPORT_FR2052a!$AW:$AW,$C7)</f>
        <v>0</v>
      </c>
    </row>
    <row r="8" spans="1:5">
      <c r="A8" t="s">
        <v>395</v>
      </c>
      <c r="B8" t="s">
        <v>83</v>
      </c>
      <c r="C8">
        <v>0</v>
      </c>
      <c r="D8" s="23">
        <f>SUMIFS(REPORT_FR2052a!N:N,REPORT_FR2052a!$AR:$AR,$A8,REPORT_FR2052a!$AW:$AW,$C8)</f>
        <v>6408.9200000000028</v>
      </c>
      <c r="E8" s="23">
        <f>SUMIFS(REPORT_FR2052a!X:X,REPORT_FR2052a!$AR:$AR,$A8,REPORT_FR2052a!$AW:$AW,$C8)</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60"/>
  <sheetViews>
    <sheetView workbookViewId="0">
      <selection activeCell="C4" sqref="C4"/>
    </sheetView>
  </sheetViews>
  <sheetFormatPr defaultRowHeight="15"/>
  <sheetData>
    <row r="1" spans="1:3">
      <c r="A1" t="s">
        <v>25</v>
      </c>
      <c r="B1" t="s">
        <v>43</v>
      </c>
    </row>
    <row r="2" spans="1:3">
      <c r="A2" t="s">
        <v>759</v>
      </c>
      <c r="B2" t="s">
        <v>376</v>
      </c>
      <c r="C2">
        <f>LEN(A2)</f>
        <v>4</v>
      </c>
    </row>
    <row r="3" spans="1:3">
      <c r="A3" t="s">
        <v>759</v>
      </c>
      <c r="B3" t="s">
        <v>658</v>
      </c>
      <c r="C3">
        <f t="shared" ref="C3:C10" si="0">LEN(A3)</f>
        <v>4</v>
      </c>
    </row>
    <row r="4" spans="1:3">
      <c r="A4" t="s">
        <v>759</v>
      </c>
      <c r="B4" t="s">
        <v>401</v>
      </c>
      <c r="C4">
        <f t="shared" si="0"/>
        <v>4</v>
      </c>
    </row>
    <row r="5" spans="1:3">
      <c r="A5" t="s">
        <v>70</v>
      </c>
      <c r="B5" t="s">
        <v>396</v>
      </c>
      <c r="C5">
        <f t="shared" si="0"/>
        <v>5</v>
      </c>
    </row>
    <row r="6" spans="1:3">
      <c r="A6" t="s">
        <v>70</v>
      </c>
      <c r="B6" t="s">
        <v>378</v>
      </c>
      <c r="C6">
        <f t="shared" si="0"/>
        <v>5</v>
      </c>
    </row>
    <row r="7" spans="1:3">
      <c r="A7" t="s">
        <v>70</v>
      </c>
      <c r="B7" t="s">
        <v>375</v>
      </c>
      <c r="C7">
        <f t="shared" si="0"/>
        <v>5</v>
      </c>
    </row>
    <row r="8" spans="1:3">
      <c r="A8" t="s">
        <v>70</v>
      </c>
      <c r="B8" t="s">
        <v>405</v>
      </c>
      <c r="C8">
        <f t="shared" si="0"/>
        <v>5</v>
      </c>
    </row>
    <row r="9" spans="1:3">
      <c r="A9" t="s">
        <v>70</v>
      </c>
      <c r="B9" t="s">
        <v>393</v>
      </c>
      <c r="C9">
        <f t="shared" si="0"/>
        <v>5</v>
      </c>
    </row>
    <row r="10" spans="1:3">
      <c r="A10" t="s">
        <v>70</v>
      </c>
      <c r="B10" t="s">
        <v>329</v>
      </c>
      <c r="C10">
        <f t="shared" si="0"/>
        <v>5</v>
      </c>
    </row>
    <row r="11" spans="1:3">
      <c r="A11" t="s">
        <v>158</v>
      </c>
      <c r="B11" t="s">
        <v>405</v>
      </c>
    </row>
    <row r="12" spans="1:3">
      <c r="A12" t="s">
        <v>158</v>
      </c>
      <c r="B12" t="s">
        <v>393</v>
      </c>
    </row>
    <row r="13" spans="1:3">
      <c r="A13" t="s">
        <v>158</v>
      </c>
      <c r="B13" t="s">
        <v>329</v>
      </c>
    </row>
    <row r="14" spans="1:3">
      <c r="A14" t="s">
        <v>84</v>
      </c>
      <c r="B14" t="s">
        <v>372</v>
      </c>
    </row>
    <row r="15" spans="1:3">
      <c r="A15" t="s">
        <v>84</v>
      </c>
      <c r="B15" t="s">
        <v>395</v>
      </c>
    </row>
    <row r="16" spans="1:3">
      <c r="A16" t="s">
        <v>84</v>
      </c>
      <c r="B16" t="s">
        <v>375</v>
      </c>
    </row>
    <row r="17" spans="1:2">
      <c r="A17" t="s">
        <v>84</v>
      </c>
      <c r="B17" t="s">
        <v>407</v>
      </c>
    </row>
    <row r="18" spans="1:2">
      <c r="A18" t="s">
        <v>84</v>
      </c>
      <c r="B18" t="s">
        <v>393</v>
      </c>
    </row>
    <row r="19" spans="1:2">
      <c r="A19" t="s">
        <v>84</v>
      </c>
      <c r="B19" t="s">
        <v>329</v>
      </c>
    </row>
    <row r="20" spans="1:2">
      <c r="A20" t="s">
        <v>84</v>
      </c>
      <c r="B20" t="s">
        <v>333</v>
      </c>
    </row>
    <row r="21" spans="1:2">
      <c r="A21" t="s">
        <v>84</v>
      </c>
      <c r="B21" t="s">
        <v>406</v>
      </c>
    </row>
    <row r="22" spans="1:2">
      <c r="A22" t="s">
        <v>84</v>
      </c>
      <c r="B22" t="s">
        <v>388</v>
      </c>
    </row>
    <row r="23" spans="1:2">
      <c r="A23" t="s">
        <v>84</v>
      </c>
      <c r="B23" t="s">
        <v>391</v>
      </c>
    </row>
    <row r="24" spans="1:2">
      <c r="A24" t="s">
        <v>84</v>
      </c>
      <c r="B24" t="s">
        <v>658</v>
      </c>
    </row>
    <row r="25" spans="1:2">
      <c r="A25" t="s">
        <v>136</v>
      </c>
      <c r="B25" t="s">
        <v>329</v>
      </c>
    </row>
    <row r="26" spans="1:2">
      <c r="A26" t="s">
        <v>122</v>
      </c>
      <c r="B26" t="s">
        <v>372</v>
      </c>
    </row>
    <row r="27" spans="1:2">
      <c r="A27" t="s">
        <v>122</v>
      </c>
      <c r="B27" t="s">
        <v>384</v>
      </c>
    </row>
    <row r="28" spans="1:2">
      <c r="A28" t="s">
        <v>122</v>
      </c>
      <c r="B28" t="s">
        <v>385</v>
      </c>
    </row>
    <row r="29" spans="1:2">
      <c r="A29" t="s">
        <v>122</v>
      </c>
      <c r="B29" t="s">
        <v>386</v>
      </c>
    </row>
    <row r="30" spans="1:2">
      <c r="A30" t="s">
        <v>122</v>
      </c>
      <c r="B30" t="s">
        <v>334</v>
      </c>
    </row>
    <row r="31" spans="1:2">
      <c r="A31" t="s">
        <v>122</v>
      </c>
      <c r="B31" t="s">
        <v>406</v>
      </c>
    </row>
    <row r="32" spans="1:2">
      <c r="A32" t="s">
        <v>122</v>
      </c>
      <c r="B32" t="s">
        <v>388</v>
      </c>
    </row>
    <row r="33" spans="1:2">
      <c r="A33" t="s">
        <v>155</v>
      </c>
      <c r="B33" t="s">
        <v>384</v>
      </c>
    </row>
    <row r="34" spans="1:2">
      <c r="A34" t="s">
        <v>155</v>
      </c>
      <c r="B34" t="s">
        <v>386</v>
      </c>
    </row>
    <row r="35" spans="1:2">
      <c r="A35" t="s">
        <v>162</v>
      </c>
      <c r="B35" t="s">
        <v>393</v>
      </c>
    </row>
    <row r="36" spans="1:2">
      <c r="A36" t="s">
        <v>162</v>
      </c>
      <c r="B36" t="s">
        <v>329</v>
      </c>
    </row>
    <row r="37" spans="1:2">
      <c r="A37" t="s">
        <v>116</v>
      </c>
      <c r="B37" t="s">
        <v>372</v>
      </c>
    </row>
    <row r="38" spans="1:2">
      <c r="A38" t="s">
        <v>116</v>
      </c>
      <c r="B38" t="s">
        <v>378</v>
      </c>
    </row>
    <row r="39" spans="1:2">
      <c r="A39" t="s">
        <v>116</v>
      </c>
      <c r="B39" t="s">
        <v>395</v>
      </c>
    </row>
    <row r="40" spans="1:2">
      <c r="A40" t="s">
        <v>116</v>
      </c>
      <c r="B40" t="s">
        <v>375</v>
      </c>
    </row>
    <row r="41" spans="1:2">
      <c r="A41" t="s">
        <v>116</v>
      </c>
      <c r="B41" t="s">
        <v>405</v>
      </c>
    </row>
    <row r="42" spans="1:2">
      <c r="A42" t="s">
        <v>116</v>
      </c>
      <c r="B42" t="s">
        <v>393</v>
      </c>
    </row>
    <row r="43" spans="1:2">
      <c r="A43" t="s">
        <v>116</v>
      </c>
      <c r="B43" t="s">
        <v>329</v>
      </c>
    </row>
    <row r="44" spans="1:2">
      <c r="A44" t="s">
        <v>116</v>
      </c>
      <c r="B44" t="s">
        <v>334</v>
      </c>
    </row>
    <row r="45" spans="1:2">
      <c r="A45" t="s">
        <v>116</v>
      </c>
      <c r="B45" t="s">
        <v>388</v>
      </c>
    </row>
    <row r="46" spans="1:2">
      <c r="B46" t="s">
        <v>337</v>
      </c>
    </row>
    <row r="47" spans="1:2">
      <c r="B47" t="s">
        <v>361</v>
      </c>
    </row>
    <row r="48" spans="1:2">
      <c r="B48" t="s">
        <v>394</v>
      </c>
    </row>
    <row r="49" spans="2:2">
      <c r="B49" t="s">
        <v>397</v>
      </c>
    </row>
    <row r="50" spans="2:2">
      <c r="B50" t="s">
        <v>380</v>
      </c>
    </row>
    <row r="51" spans="2:2">
      <c r="B51" t="s">
        <v>379</v>
      </c>
    </row>
    <row r="52" spans="2:2">
      <c r="B52" t="s">
        <v>381</v>
      </c>
    </row>
    <row r="53" spans="2:2">
      <c r="B53" t="s">
        <v>382</v>
      </c>
    </row>
    <row r="54" spans="2:2">
      <c r="B54" t="s">
        <v>404</v>
      </c>
    </row>
    <row r="55" spans="2:2">
      <c r="B55" t="s">
        <v>402</v>
      </c>
    </row>
    <row r="56" spans="2:2">
      <c r="B56" t="s">
        <v>387</v>
      </c>
    </row>
    <row r="57" spans="2:2">
      <c r="B57" t="s">
        <v>403</v>
      </c>
    </row>
    <row r="58" spans="2:2">
      <c r="B58" t="s">
        <v>399</v>
      </c>
    </row>
    <row r="59" spans="2:2">
      <c r="B59" t="s">
        <v>641</v>
      </c>
    </row>
    <row r="60" spans="2:2">
      <c r="B60" t="s">
        <v>400</v>
      </c>
    </row>
  </sheetData>
  <autoFilter ref="A1:B60">
    <sortState ref="A2:B60">
      <sortCondition ref="A14"/>
    </sortState>
  </autoFilter>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N2"/>
  <sheetViews>
    <sheetView workbookViewId="0">
      <selection activeCell="F2" sqref="F2"/>
    </sheetView>
  </sheetViews>
  <sheetFormatPr defaultRowHeight="15"/>
  <cols>
    <col min="11" max="11" width="10.7109375" bestFit="1" customWidth="1"/>
  </cols>
  <sheetData>
    <row r="1" spans="1:14">
      <c r="A1" t="s">
        <v>983</v>
      </c>
      <c r="B1" t="s">
        <v>4</v>
      </c>
      <c r="C1" t="s">
        <v>984</v>
      </c>
      <c r="D1" t="s">
        <v>2</v>
      </c>
      <c r="E1" t="s">
        <v>985</v>
      </c>
      <c r="F1" t="s">
        <v>986</v>
      </c>
      <c r="G1" t="s">
        <v>1</v>
      </c>
      <c r="H1" t="s">
        <v>34</v>
      </c>
      <c r="I1" t="s">
        <v>987</v>
      </c>
      <c r="J1" t="s">
        <v>39</v>
      </c>
      <c r="K1" t="s">
        <v>38</v>
      </c>
      <c r="L1" t="s">
        <v>988</v>
      </c>
      <c r="M1" t="s">
        <v>989</v>
      </c>
      <c r="N1" t="s">
        <v>990</v>
      </c>
    </row>
    <row r="2" spans="1:14">
      <c r="A2">
        <v>1</v>
      </c>
      <c r="B2" t="s">
        <v>47</v>
      </c>
      <c r="F2" t="str">
        <f>CommentFileCheck!G6</f>
        <v>For Bank of China - All Reporting Entities ,total HQLA is 33058.6MM USD, total outflow is 63827.39MM USD, total inflow is 1145.57MM USD.</v>
      </c>
      <c r="K2" s="189">
        <f>Dashboard!B1</f>
        <v>43465</v>
      </c>
      <c r="N2" t="s">
        <v>991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J662"/>
  <sheetViews>
    <sheetView workbookViewId="0">
      <selection activeCell="A2" sqref="A2:C662"/>
    </sheetView>
  </sheetViews>
  <sheetFormatPr defaultRowHeight="15"/>
  <cols>
    <col min="1" max="1" width="14.42578125" bestFit="1" customWidth="1"/>
    <col min="2" max="2" width="12.42578125" bestFit="1" customWidth="1"/>
    <col min="3" max="3" width="22.28515625" customWidth="1"/>
    <col min="4" max="4" width="14.42578125" bestFit="1" customWidth="1"/>
    <col min="5" max="5" width="12.42578125" bestFit="1" customWidth="1"/>
    <col min="6" max="6" width="13.85546875" bestFit="1" customWidth="1"/>
    <col min="9" max="9" width="16.5703125" bestFit="1" customWidth="1"/>
    <col min="10" max="10" width="12" bestFit="1" customWidth="1"/>
  </cols>
  <sheetData>
    <row r="1" spans="1:10">
      <c r="A1" t="s">
        <v>11</v>
      </c>
      <c r="B1" t="s">
        <v>12</v>
      </c>
      <c r="C1" t="s">
        <v>13</v>
      </c>
      <c r="D1" t="s">
        <v>11</v>
      </c>
      <c r="E1" t="s">
        <v>12</v>
      </c>
      <c r="F1" t="s">
        <v>13</v>
      </c>
      <c r="I1" t="s">
        <v>902</v>
      </c>
      <c r="J1" t="s">
        <v>903</v>
      </c>
    </row>
    <row r="2" spans="1:10">
      <c r="A2">
        <v>0</v>
      </c>
      <c r="B2">
        <v>424338000</v>
      </c>
      <c r="D2">
        <f>IF(A2="","",ROUND(A2/$J$2,2))</f>
        <v>0</v>
      </c>
      <c r="E2">
        <f t="shared" ref="E2:F2" si="0">IF(B2="","",ROUND(B2/$J$2,2))</f>
        <v>424.34</v>
      </c>
      <c r="F2" t="str">
        <f t="shared" si="0"/>
        <v/>
      </c>
      <c r="I2">
        <f>1</f>
        <v>1</v>
      </c>
      <c r="J2">
        <v>1000000</v>
      </c>
    </row>
    <row r="3" spans="1:10">
      <c r="A3">
        <v>30602905794.049999</v>
      </c>
      <c r="B3">
        <v>30602905794.049999</v>
      </c>
      <c r="D3">
        <f t="shared" ref="D3:D66" si="1">IF(A3="","",ROUND(A3/$J$2,2))</f>
        <v>30602.91</v>
      </c>
      <c r="E3">
        <f t="shared" ref="E3:E66" si="2">IF(B3="","",ROUND(B3/$J$2,2))</f>
        <v>30602.91</v>
      </c>
      <c r="F3" t="str">
        <f t="shared" ref="F3:F66" si="3">IF(C3="","",ROUND(C3/$J$2,2))</f>
        <v/>
      </c>
    </row>
    <row r="4" spans="1:10">
      <c r="A4">
        <v>2431130327.0552063</v>
      </c>
      <c r="B4">
        <v>2455687199.0456629</v>
      </c>
      <c r="D4">
        <f t="shared" si="1"/>
        <v>2431.13</v>
      </c>
      <c r="E4">
        <f t="shared" si="2"/>
        <v>2455.69</v>
      </c>
      <c r="F4" t="str">
        <f t="shared" si="3"/>
        <v/>
      </c>
    </row>
    <row r="5" spans="1:10">
      <c r="A5">
        <v>6688665.7671999997</v>
      </c>
      <c r="B5">
        <v>7115601.8799999999</v>
      </c>
      <c r="D5">
        <f t="shared" si="1"/>
        <v>6.69</v>
      </c>
      <c r="E5">
        <f t="shared" si="2"/>
        <v>7.12</v>
      </c>
      <c r="F5" t="str">
        <f t="shared" si="3"/>
        <v/>
      </c>
    </row>
    <row r="6" spans="1:10">
      <c r="A6">
        <v>695174.59360000002</v>
      </c>
      <c r="B6">
        <v>739547.44</v>
      </c>
      <c r="D6">
        <f t="shared" si="1"/>
        <v>0.7</v>
      </c>
      <c r="E6">
        <f t="shared" si="2"/>
        <v>0.74</v>
      </c>
      <c r="F6" t="str">
        <f t="shared" si="3"/>
        <v/>
      </c>
    </row>
    <row r="7" spans="1:10">
      <c r="A7">
        <v>337499448.6139847</v>
      </c>
      <c r="B7">
        <v>359041966.61062199</v>
      </c>
      <c r="D7">
        <f t="shared" si="1"/>
        <v>337.5</v>
      </c>
      <c r="E7">
        <f t="shared" si="2"/>
        <v>359.04</v>
      </c>
      <c r="F7" t="str">
        <f t="shared" si="3"/>
        <v/>
      </c>
    </row>
    <row r="8" spans="1:10">
      <c r="C8">
        <v>330221822.77999997</v>
      </c>
      <c r="D8" t="str">
        <f t="shared" si="1"/>
        <v/>
      </c>
      <c r="E8" t="str">
        <f t="shared" si="2"/>
        <v/>
      </c>
      <c r="F8">
        <f t="shared" si="3"/>
        <v>330.22</v>
      </c>
    </row>
    <row r="9" spans="1:10">
      <c r="C9">
        <v>122804916.41</v>
      </c>
      <c r="D9" t="str">
        <f t="shared" si="1"/>
        <v/>
      </c>
      <c r="E9" t="str">
        <f t="shared" si="2"/>
        <v/>
      </c>
      <c r="F9">
        <f t="shared" si="3"/>
        <v>122.8</v>
      </c>
    </row>
    <row r="10" spans="1:10">
      <c r="C10">
        <v>1962910.55</v>
      </c>
      <c r="D10" t="str">
        <f t="shared" si="1"/>
        <v/>
      </c>
      <c r="E10" t="str">
        <f t="shared" si="2"/>
        <v/>
      </c>
      <c r="F10">
        <f t="shared" si="3"/>
        <v>1.96</v>
      </c>
    </row>
    <row r="11" spans="1:10">
      <c r="C11">
        <v>6892227.8300000001</v>
      </c>
      <c r="D11" t="str">
        <f t="shared" si="1"/>
        <v/>
      </c>
      <c r="E11" t="str">
        <f t="shared" si="2"/>
        <v/>
      </c>
      <c r="F11">
        <f t="shared" si="3"/>
        <v>6.89</v>
      </c>
    </row>
    <row r="12" spans="1:10">
      <c r="C12">
        <v>500000000</v>
      </c>
      <c r="D12" t="str">
        <f t="shared" si="1"/>
        <v/>
      </c>
      <c r="E12" t="str">
        <f t="shared" si="2"/>
        <v/>
      </c>
      <c r="F12">
        <f t="shared" si="3"/>
        <v>500</v>
      </c>
    </row>
    <row r="13" spans="1:10">
      <c r="C13">
        <v>50000000</v>
      </c>
      <c r="D13" t="str">
        <f t="shared" si="1"/>
        <v/>
      </c>
      <c r="E13" t="str">
        <f t="shared" si="2"/>
        <v/>
      </c>
      <c r="F13">
        <f t="shared" si="3"/>
        <v>50</v>
      </c>
    </row>
    <row r="14" spans="1:10">
      <c r="C14">
        <v>276381163.01999998</v>
      </c>
      <c r="D14" t="str">
        <f t="shared" si="1"/>
        <v/>
      </c>
      <c r="E14" t="str">
        <f t="shared" si="2"/>
        <v/>
      </c>
      <c r="F14">
        <f t="shared" si="3"/>
        <v>276.38</v>
      </c>
    </row>
    <row r="15" spans="1:10">
      <c r="C15">
        <v>300000000</v>
      </c>
      <c r="D15" t="str">
        <f t="shared" si="1"/>
        <v/>
      </c>
      <c r="E15" t="str">
        <f t="shared" si="2"/>
        <v/>
      </c>
      <c r="F15">
        <f t="shared" si="3"/>
        <v>300</v>
      </c>
    </row>
    <row r="16" spans="1:10">
      <c r="C16">
        <v>150000000</v>
      </c>
      <c r="D16" t="str">
        <f t="shared" si="1"/>
        <v/>
      </c>
      <c r="E16" t="str">
        <f t="shared" si="2"/>
        <v/>
      </c>
      <c r="F16">
        <f t="shared" si="3"/>
        <v>150</v>
      </c>
    </row>
    <row r="17" spans="3:6">
      <c r="C17">
        <v>147000000</v>
      </c>
      <c r="D17" t="str">
        <f t="shared" si="1"/>
        <v/>
      </c>
      <c r="E17" t="str">
        <f t="shared" si="2"/>
        <v/>
      </c>
      <c r="F17">
        <f t="shared" si="3"/>
        <v>147</v>
      </c>
    </row>
    <row r="18" spans="3:6">
      <c r="C18">
        <v>4011.31</v>
      </c>
      <c r="D18" t="str">
        <f t="shared" si="1"/>
        <v/>
      </c>
      <c r="E18" t="str">
        <f t="shared" si="2"/>
        <v/>
      </c>
      <c r="F18">
        <f t="shared" si="3"/>
        <v>0</v>
      </c>
    </row>
    <row r="19" spans="3:6">
      <c r="C19">
        <v>204843.28</v>
      </c>
      <c r="D19" t="str">
        <f t="shared" si="1"/>
        <v/>
      </c>
      <c r="E19" t="str">
        <f t="shared" si="2"/>
        <v/>
      </c>
      <c r="F19">
        <f t="shared" si="3"/>
        <v>0.2</v>
      </c>
    </row>
    <row r="20" spans="3:6">
      <c r="C20">
        <v>51394.28</v>
      </c>
      <c r="D20" t="str">
        <f t="shared" si="1"/>
        <v/>
      </c>
      <c r="E20" t="str">
        <f t="shared" si="2"/>
        <v/>
      </c>
      <c r="F20">
        <f t="shared" si="3"/>
        <v>0.05</v>
      </c>
    </row>
    <row r="21" spans="3:6">
      <c r="C21">
        <v>106217760.68000001</v>
      </c>
      <c r="D21" t="str">
        <f t="shared" si="1"/>
        <v/>
      </c>
      <c r="E21" t="str">
        <f t="shared" si="2"/>
        <v/>
      </c>
      <c r="F21">
        <f t="shared" si="3"/>
        <v>106.22</v>
      </c>
    </row>
    <row r="22" spans="3:6">
      <c r="C22">
        <v>369813.19</v>
      </c>
      <c r="D22" t="str">
        <f t="shared" si="1"/>
        <v/>
      </c>
      <c r="E22" t="str">
        <f t="shared" si="2"/>
        <v/>
      </c>
      <c r="F22">
        <f t="shared" si="3"/>
        <v>0.37</v>
      </c>
    </row>
    <row r="23" spans="3:6">
      <c r="C23">
        <v>40349251.520000003</v>
      </c>
      <c r="D23" t="str">
        <f t="shared" si="1"/>
        <v/>
      </c>
      <c r="E23" t="str">
        <f t="shared" si="2"/>
        <v/>
      </c>
      <c r="F23">
        <f t="shared" si="3"/>
        <v>40.35</v>
      </c>
    </row>
    <row r="24" spans="3:6">
      <c r="C24">
        <v>14685.13</v>
      </c>
      <c r="D24" t="str">
        <f t="shared" si="1"/>
        <v/>
      </c>
      <c r="E24" t="str">
        <f t="shared" si="2"/>
        <v/>
      </c>
      <c r="F24">
        <f t="shared" si="3"/>
        <v>0.01</v>
      </c>
    </row>
    <row r="25" spans="3:6">
      <c r="C25">
        <v>650857.32999999996</v>
      </c>
      <c r="D25" t="str">
        <f t="shared" si="1"/>
        <v/>
      </c>
      <c r="E25" t="str">
        <f t="shared" si="2"/>
        <v/>
      </c>
      <c r="F25">
        <f t="shared" si="3"/>
        <v>0.65</v>
      </c>
    </row>
    <row r="26" spans="3:6">
      <c r="C26">
        <v>125016246.86</v>
      </c>
      <c r="D26" t="str">
        <f t="shared" si="1"/>
        <v/>
      </c>
      <c r="E26" t="str">
        <f t="shared" si="2"/>
        <v/>
      </c>
      <c r="F26">
        <f t="shared" si="3"/>
        <v>125.02</v>
      </c>
    </row>
    <row r="27" spans="3:6">
      <c r="C27">
        <v>2151763313.21</v>
      </c>
      <c r="D27" t="str">
        <f t="shared" si="1"/>
        <v/>
      </c>
      <c r="E27" t="str">
        <f t="shared" si="2"/>
        <v/>
      </c>
      <c r="F27">
        <f t="shared" si="3"/>
        <v>2151.7600000000002</v>
      </c>
    </row>
    <row r="28" spans="3:6">
      <c r="C28">
        <v>532588382.56999999</v>
      </c>
      <c r="D28" t="str">
        <f t="shared" si="1"/>
        <v/>
      </c>
      <c r="E28" t="str">
        <f t="shared" si="2"/>
        <v/>
      </c>
      <c r="F28">
        <f t="shared" si="3"/>
        <v>532.59</v>
      </c>
    </row>
    <row r="29" spans="3:6">
      <c r="C29">
        <v>161520.71</v>
      </c>
      <c r="D29" t="str">
        <f t="shared" si="1"/>
        <v/>
      </c>
      <c r="E29" t="str">
        <f t="shared" si="2"/>
        <v/>
      </c>
      <c r="F29">
        <f t="shared" si="3"/>
        <v>0.16</v>
      </c>
    </row>
    <row r="30" spans="3:6">
      <c r="C30">
        <v>10299.4</v>
      </c>
      <c r="D30" t="str">
        <f t="shared" si="1"/>
        <v/>
      </c>
      <c r="E30" t="str">
        <f t="shared" si="2"/>
        <v/>
      </c>
      <c r="F30">
        <f t="shared" si="3"/>
        <v>0.01</v>
      </c>
    </row>
    <row r="31" spans="3:6">
      <c r="C31">
        <v>282041.86</v>
      </c>
      <c r="D31" t="str">
        <f t="shared" si="1"/>
        <v/>
      </c>
      <c r="E31" t="str">
        <f t="shared" si="2"/>
        <v/>
      </c>
      <c r="F31">
        <f t="shared" si="3"/>
        <v>0.28000000000000003</v>
      </c>
    </row>
    <row r="32" spans="3:6">
      <c r="C32">
        <v>187587212.22</v>
      </c>
      <c r="D32" t="str">
        <f t="shared" si="1"/>
        <v/>
      </c>
      <c r="E32" t="str">
        <f t="shared" si="2"/>
        <v/>
      </c>
      <c r="F32">
        <f t="shared" si="3"/>
        <v>187.59</v>
      </c>
    </row>
    <row r="33" spans="3:6">
      <c r="C33">
        <v>89942.88</v>
      </c>
      <c r="D33" t="str">
        <f t="shared" si="1"/>
        <v/>
      </c>
      <c r="E33" t="str">
        <f t="shared" si="2"/>
        <v/>
      </c>
      <c r="F33">
        <f t="shared" si="3"/>
        <v>0.09</v>
      </c>
    </row>
    <row r="34" spans="3:6">
      <c r="C34">
        <v>363251.05</v>
      </c>
      <c r="D34" t="str">
        <f t="shared" si="1"/>
        <v/>
      </c>
      <c r="E34" t="str">
        <f t="shared" si="2"/>
        <v/>
      </c>
      <c r="F34">
        <f t="shared" si="3"/>
        <v>0.36</v>
      </c>
    </row>
    <row r="35" spans="3:6">
      <c r="C35">
        <v>83311768.640000001</v>
      </c>
      <c r="D35" t="str">
        <f t="shared" si="1"/>
        <v/>
      </c>
      <c r="E35" t="str">
        <f t="shared" si="2"/>
        <v/>
      </c>
      <c r="F35">
        <f t="shared" si="3"/>
        <v>83.31</v>
      </c>
    </row>
    <row r="36" spans="3:6">
      <c r="C36">
        <v>207698.87</v>
      </c>
      <c r="D36" t="str">
        <f t="shared" si="1"/>
        <v/>
      </c>
      <c r="E36" t="str">
        <f t="shared" si="2"/>
        <v/>
      </c>
      <c r="F36">
        <f t="shared" si="3"/>
        <v>0.21</v>
      </c>
    </row>
    <row r="37" spans="3:6">
      <c r="C37">
        <v>592852.96</v>
      </c>
      <c r="D37" t="str">
        <f t="shared" si="1"/>
        <v/>
      </c>
      <c r="E37" t="str">
        <f t="shared" si="2"/>
        <v/>
      </c>
      <c r="F37">
        <f t="shared" si="3"/>
        <v>0.59</v>
      </c>
    </row>
    <row r="38" spans="3:6">
      <c r="C38">
        <v>254323.94</v>
      </c>
      <c r="D38" t="str">
        <f t="shared" si="1"/>
        <v/>
      </c>
      <c r="E38" t="str">
        <f t="shared" si="2"/>
        <v/>
      </c>
      <c r="F38">
        <f t="shared" si="3"/>
        <v>0.25</v>
      </c>
    </row>
    <row r="39" spans="3:6">
      <c r="C39">
        <v>20162726.109999999</v>
      </c>
      <c r="D39" t="str">
        <f t="shared" si="1"/>
        <v/>
      </c>
      <c r="E39" t="str">
        <f t="shared" si="2"/>
        <v/>
      </c>
      <c r="F39">
        <f t="shared" si="3"/>
        <v>20.16</v>
      </c>
    </row>
    <row r="40" spans="3:6">
      <c r="C40">
        <v>21687.87</v>
      </c>
      <c r="D40" t="str">
        <f t="shared" si="1"/>
        <v/>
      </c>
      <c r="E40" t="str">
        <f t="shared" si="2"/>
        <v/>
      </c>
      <c r="F40">
        <f t="shared" si="3"/>
        <v>0.02</v>
      </c>
    </row>
    <row r="41" spans="3:6">
      <c r="C41">
        <v>501365.53</v>
      </c>
      <c r="D41" t="str">
        <f t="shared" si="1"/>
        <v/>
      </c>
      <c r="E41" t="str">
        <f t="shared" si="2"/>
        <v/>
      </c>
      <c r="F41">
        <f t="shared" si="3"/>
        <v>0.5</v>
      </c>
    </row>
    <row r="42" spans="3:6">
      <c r="C42">
        <v>135592.67000000001</v>
      </c>
      <c r="D42" t="str">
        <f t="shared" si="1"/>
        <v/>
      </c>
      <c r="E42" t="str">
        <f t="shared" si="2"/>
        <v/>
      </c>
      <c r="F42">
        <f t="shared" si="3"/>
        <v>0.14000000000000001</v>
      </c>
    </row>
    <row r="43" spans="3:6">
      <c r="C43">
        <v>42252.94</v>
      </c>
      <c r="D43" t="str">
        <f t="shared" si="1"/>
        <v/>
      </c>
      <c r="E43" t="str">
        <f t="shared" si="2"/>
        <v/>
      </c>
      <c r="F43">
        <f t="shared" si="3"/>
        <v>0.04</v>
      </c>
    </row>
    <row r="44" spans="3:6">
      <c r="C44">
        <v>55172.14</v>
      </c>
      <c r="D44" t="str">
        <f t="shared" si="1"/>
        <v/>
      </c>
      <c r="E44" t="str">
        <f t="shared" si="2"/>
        <v/>
      </c>
      <c r="F44">
        <f t="shared" si="3"/>
        <v>0.06</v>
      </c>
    </row>
    <row r="45" spans="3:6">
      <c r="C45">
        <v>20293.560000000001</v>
      </c>
      <c r="D45" t="str">
        <f t="shared" si="1"/>
        <v/>
      </c>
      <c r="E45" t="str">
        <f t="shared" si="2"/>
        <v/>
      </c>
      <c r="F45">
        <f t="shared" si="3"/>
        <v>0.02</v>
      </c>
    </row>
    <row r="46" spans="3:6">
      <c r="C46">
        <v>17203562.41</v>
      </c>
      <c r="D46" t="str">
        <f t="shared" si="1"/>
        <v/>
      </c>
      <c r="E46" t="str">
        <f t="shared" si="2"/>
        <v/>
      </c>
      <c r="F46">
        <f t="shared" si="3"/>
        <v>17.2</v>
      </c>
    </row>
    <row r="47" spans="3:6">
      <c r="C47">
        <v>52982843.859999999</v>
      </c>
      <c r="D47" t="str">
        <f t="shared" si="1"/>
        <v/>
      </c>
      <c r="E47" t="str">
        <f t="shared" si="2"/>
        <v/>
      </c>
      <c r="F47">
        <f t="shared" si="3"/>
        <v>52.98</v>
      </c>
    </row>
    <row r="48" spans="3:6">
      <c r="C48">
        <v>52288.05</v>
      </c>
      <c r="D48" t="str">
        <f t="shared" si="1"/>
        <v/>
      </c>
      <c r="E48" t="str">
        <f t="shared" si="2"/>
        <v/>
      </c>
      <c r="F48">
        <f t="shared" si="3"/>
        <v>0.05</v>
      </c>
    </row>
    <row r="49" spans="3:6">
      <c r="C49">
        <v>5726692.0899999999</v>
      </c>
      <c r="D49" t="str">
        <f t="shared" si="1"/>
        <v/>
      </c>
      <c r="E49" t="str">
        <f t="shared" si="2"/>
        <v/>
      </c>
      <c r="F49">
        <f t="shared" si="3"/>
        <v>5.73</v>
      </c>
    </row>
    <row r="50" spans="3:6">
      <c r="C50">
        <v>843906.51</v>
      </c>
      <c r="D50" t="str">
        <f t="shared" si="1"/>
        <v/>
      </c>
      <c r="E50" t="str">
        <f t="shared" si="2"/>
        <v/>
      </c>
      <c r="F50">
        <f t="shared" si="3"/>
        <v>0.84</v>
      </c>
    </row>
    <row r="51" spans="3:6">
      <c r="C51">
        <v>2098783.7400000002</v>
      </c>
      <c r="D51" t="str">
        <f t="shared" si="1"/>
        <v/>
      </c>
      <c r="E51" t="str">
        <f t="shared" si="2"/>
        <v/>
      </c>
      <c r="F51">
        <f t="shared" si="3"/>
        <v>2.1</v>
      </c>
    </row>
    <row r="52" spans="3:6">
      <c r="C52">
        <v>109748.9</v>
      </c>
      <c r="D52" t="str">
        <f t="shared" si="1"/>
        <v/>
      </c>
      <c r="E52" t="str">
        <f t="shared" si="2"/>
        <v/>
      </c>
      <c r="F52">
        <f t="shared" si="3"/>
        <v>0.11</v>
      </c>
    </row>
    <row r="53" spans="3:6">
      <c r="C53">
        <v>185611.42</v>
      </c>
      <c r="D53" t="str">
        <f t="shared" si="1"/>
        <v/>
      </c>
      <c r="E53" t="str">
        <f t="shared" si="2"/>
        <v/>
      </c>
      <c r="F53">
        <f t="shared" si="3"/>
        <v>0.19</v>
      </c>
    </row>
    <row r="54" spans="3:6">
      <c r="C54">
        <v>93700079.819999993</v>
      </c>
      <c r="D54" t="str">
        <f t="shared" si="1"/>
        <v/>
      </c>
      <c r="E54" t="str">
        <f t="shared" si="2"/>
        <v/>
      </c>
      <c r="F54">
        <f t="shared" si="3"/>
        <v>93.7</v>
      </c>
    </row>
    <row r="55" spans="3:6">
      <c r="C55">
        <v>13689.75</v>
      </c>
      <c r="D55" t="str">
        <f t="shared" si="1"/>
        <v/>
      </c>
      <c r="E55" t="str">
        <f t="shared" si="2"/>
        <v/>
      </c>
      <c r="F55">
        <f t="shared" si="3"/>
        <v>0.01</v>
      </c>
    </row>
    <row r="56" spans="3:6">
      <c r="C56">
        <v>5205322031.6400003</v>
      </c>
      <c r="D56" t="str">
        <f t="shared" si="1"/>
        <v/>
      </c>
      <c r="E56" t="str">
        <f t="shared" si="2"/>
        <v/>
      </c>
      <c r="F56">
        <f t="shared" si="3"/>
        <v>5205.32</v>
      </c>
    </row>
    <row r="57" spans="3:6">
      <c r="C57">
        <v>85411554.280000001</v>
      </c>
      <c r="D57" t="str">
        <f t="shared" si="1"/>
        <v/>
      </c>
      <c r="E57" t="str">
        <f t="shared" si="2"/>
        <v/>
      </c>
      <c r="F57">
        <f t="shared" si="3"/>
        <v>85.41</v>
      </c>
    </row>
    <row r="58" spans="3:6">
      <c r="C58">
        <v>996767.29110399995</v>
      </c>
      <c r="D58" t="str">
        <f t="shared" si="1"/>
        <v/>
      </c>
      <c r="E58" t="str">
        <f t="shared" si="2"/>
        <v/>
      </c>
      <c r="F58">
        <f t="shared" si="3"/>
        <v>1</v>
      </c>
    </row>
    <row r="59" spans="3:6">
      <c r="C59">
        <v>2403361.8779290002</v>
      </c>
      <c r="D59" t="str">
        <f t="shared" si="1"/>
        <v/>
      </c>
      <c r="E59" t="str">
        <f t="shared" si="2"/>
        <v/>
      </c>
      <c r="F59">
        <f t="shared" si="3"/>
        <v>2.4</v>
      </c>
    </row>
    <row r="60" spans="3:6">
      <c r="C60">
        <v>500.49292300000002</v>
      </c>
      <c r="D60" t="str">
        <f t="shared" si="1"/>
        <v/>
      </c>
      <c r="E60" t="str">
        <f t="shared" si="2"/>
        <v/>
      </c>
      <c r="F60">
        <f t="shared" si="3"/>
        <v>0</v>
      </c>
    </row>
    <row r="61" spans="3:6">
      <c r="C61">
        <v>3076.5341345000002</v>
      </c>
      <c r="D61" t="str">
        <f t="shared" si="1"/>
        <v/>
      </c>
      <c r="E61" t="str">
        <f t="shared" si="2"/>
        <v/>
      </c>
      <c r="F61">
        <f t="shared" si="3"/>
        <v>0</v>
      </c>
    </row>
    <row r="62" spans="3:6">
      <c r="C62">
        <v>1268.4827845</v>
      </c>
      <c r="D62" t="str">
        <f t="shared" si="1"/>
        <v/>
      </c>
      <c r="E62" t="str">
        <f t="shared" si="2"/>
        <v/>
      </c>
      <c r="F62">
        <f t="shared" si="3"/>
        <v>0</v>
      </c>
    </row>
    <row r="63" spans="3:6">
      <c r="C63">
        <v>87823015.540000007</v>
      </c>
      <c r="D63" t="str">
        <f t="shared" si="1"/>
        <v/>
      </c>
      <c r="E63" t="str">
        <f t="shared" si="2"/>
        <v/>
      </c>
      <c r="F63">
        <f t="shared" si="3"/>
        <v>87.82</v>
      </c>
    </row>
    <row r="64" spans="3:6">
      <c r="C64">
        <v>142986.10999999999</v>
      </c>
      <c r="D64" t="str">
        <f t="shared" si="1"/>
        <v/>
      </c>
      <c r="E64" t="str">
        <f t="shared" si="2"/>
        <v/>
      </c>
      <c r="F64">
        <f t="shared" si="3"/>
        <v>0.14000000000000001</v>
      </c>
    </row>
    <row r="65" spans="3:6">
      <c r="C65">
        <v>111018.71</v>
      </c>
      <c r="D65" t="str">
        <f t="shared" si="1"/>
        <v/>
      </c>
      <c r="E65" t="str">
        <f t="shared" si="2"/>
        <v/>
      </c>
      <c r="F65">
        <f t="shared" si="3"/>
        <v>0.11</v>
      </c>
    </row>
    <row r="66" spans="3:6">
      <c r="C66">
        <v>18507.560000000001</v>
      </c>
      <c r="D66" t="str">
        <f t="shared" si="1"/>
        <v/>
      </c>
      <c r="E66" t="str">
        <f t="shared" si="2"/>
        <v/>
      </c>
      <c r="F66">
        <f t="shared" si="3"/>
        <v>0.02</v>
      </c>
    </row>
    <row r="67" spans="3:6">
      <c r="C67">
        <v>8446721.6999999993</v>
      </c>
      <c r="D67" t="str">
        <f t="shared" ref="D67:D130" si="4">IF(A67="","",ROUND(A67/$J$2,2))</f>
        <v/>
      </c>
      <c r="E67" t="str">
        <f t="shared" ref="E67:E130" si="5">IF(B67="","",ROUND(B67/$J$2,2))</f>
        <v/>
      </c>
      <c r="F67">
        <f t="shared" ref="F67:F130" si="6">IF(C67="","",ROUND(C67/$J$2,2))</f>
        <v>8.4499999999999993</v>
      </c>
    </row>
    <row r="68" spans="3:6">
      <c r="C68">
        <v>12000000</v>
      </c>
      <c r="D68" t="str">
        <f t="shared" si="4"/>
        <v/>
      </c>
      <c r="E68" t="str">
        <f t="shared" si="5"/>
        <v/>
      </c>
      <c r="F68">
        <f t="shared" si="6"/>
        <v>12</v>
      </c>
    </row>
    <row r="69" spans="3:6">
      <c r="C69">
        <v>211863.18558826001</v>
      </c>
      <c r="D69" t="str">
        <f t="shared" si="4"/>
        <v/>
      </c>
      <c r="E69" t="str">
        <f t="shared" si="5"/>
        <v/>
      </c>
      <c r="F69">
        <f t="shared" si="6"/>
        <v>0.21</v>
      </c>
    </row>
    <row r="70" spans="3:6">
      <c r="C70">
        <v>100000</v>
      </c>
      <c r="D70" t="str">
        <f t="shared" si="4"/>
        <v/>
      </c>
      <c r="E70" t="str">
        <f t="shared" si="5"/>
        <v/>
      </c>
      <c r="F70">
        <f t="shared" si="6"/>
        <v>0.1</v>
      </c>
    </row>
    <row r="71" spans="3:6">
      <c r="C71">
        <v>2432976030.6100001</v>
      </c>
      <c r="D71" t="str">
        <f t="shared" si="4"/>
        <v/>
      </c>
      <c r="E71" t="str">
        <f t="shared" si="5"/>
        <v/>
      </c>
      <c r="F71">
        <f t="shared" si="6"/>
        <v>2432.98</v>
      </c>
    </row>
    <row r="72" spans="3:6">
      <c r="C72">
        <v>102503223.36</v>
      </c>
      <c r="D72" t="str">
        <f t="shared" si="4"/>
        <v/>
      </c>
      <c r="E72" t="str">
        <f t="shared" si="5"/>
        <v/>
      </c>
      <c r="F72">
        <f t="shared" si="6"/>
        <v>102.5</v>
      </c>
    </row>
    <row r="73" spans="3:6">
      <c r="C73">
        <v>250773149.84999999</v>
      </c>
      <c r="D73" t="str">
        <f t="shared" si="4"/>
        <v/>
      </c>
      <c r="E73" t="str">
        <f t="shared" si="5"/>
        <v/>
      </c>
      <c r="F73">
        <f t="shared" si="6"/>
        <v>250.77</v>
      </c>
    </row>
    <row r="74" spans="3:6">
      <c r="C74">
        <v>88470896.359999999</v>
      </c>
      <c r="D74" t="str">
        <f t="shared" si="4"/>
        <v/>
      </c>
      <c r="E74" t="str">
        <f t="shared" si="5"/>
        <v/>
      </c>
      <c r="F74">
        <f t="shared" si="6"/>
        <v>88.47</v>
      </c>
    </row>
    <row r="75" spans="3:6">
      <c r="C75">
        <v>33557.5</v>
      </c>
      <c r="D75" t="str">
        <f t="shared" si="4"/>
        <v/>
      </c>
      <c r="E75" t="str">
        <f t="shared" si="5"/>
        <v/>
      </c>
      <c r="F75">
        <f t="shared" si="6"/>
        <v>0.03</v>
      </c>
    </row>
    <row r="76" spans="3:6">
      <c r="C76">
        <v>7281.0408975999999</v>
      </c>
      <c r="D76" t="str">
        <f t="shared" si="4"/>
        <v/>
      </c>
      <c r="E76" t="str">
        <f t="shared" si="5"/>
        <v/>
      </c>
      <c r="F76">
        <f t="shared" si="6"/>
        <v>0.01</v>
      </c>
    </row>
    <row r="77" spans="3:6">
      <c r="C77">
        <v>57272.5</v>
      </c>
      <c r="D77" t="str">
        <f t="shared" si="4"/>
        <v/>
      </c>
      <c r="E77" t="str">
        <f t="shared" si="5"/>
        <v/>
      </c>
      <c r="F77">
        <f t="shared" si="6"/>
        <v>0.06</v>
      </c>
    </row>
    <row r="78" spans="3:6">
      <c r="D78" t="str">
        <f t="shared" si="4"/>
        <v/>
      </c>
      <c r="E78" t="str">
        <f t="shared" si="5"/>
        <v/>
      </c>
      <c r="F78" t="str">
        <f t="shared" si="6"/>
        <v/>
      </c>
    </row>
    <row r="79" spans="3:6">
      <c r="C79">
        <v>1338536.3415995</v>
      </c>
      <c r="D79" t="str">
        <f t="shared" si="4"/>
        <v/>
      </c>
      <c r="E79" t="str">
        <f t="shared" si="5"/>
        <v/>
      </c>
      <c r="F79">
        <f t="shared" si="6"/>
        <v>1.34</v>
      </c>
    </row>
    <row r="80" spans="3:6">
      <c r="C80">
        <v>1012.46</v>
      </c>
      <c r="D80" t="str">
        <f t="shared" si="4"/>
        <v/>
      </c>
      <c r="E80" t="str">
        <f t="shared" si="5"/>
        <v/>
      </c>
      <c r="F80">
        <f t="shared" si="6"/>
        <v>0</v>
      </c>
    </row>
    <row r="81" spans="3:6">
      <c r="C81">
        <v>6175.35</v>
      </c>
      <c r="D81" t="str">
        <f t="shared" si="4"/>
        <v/>
      </c>
      <c r="E81" t="str">
        <f t="shared" si="5"/>
        <v/>
      </c>
      <c r="F81">
        <f t="shared" si="6"/>
        <v>0.01</v>
      </c>
    </row>
    <row r="82" spans="3:6">
      <c r="C82">
        <v>17413714.300000001</v>
      </c>
      <c r="D82" t="str">
        <f t="shared" si="4"/>
        <v/>
      </c>
      <c r="E82" t="str">
        <f t="shared" si="5"/>
        <v/>
      </c>
      <c r="F82">
        <f t="shared" si="6"/>
        <v>17.41</v>
      </c>
    </row>
    <row r="83" spans="3:6">
      <c r="C83">
        <v>10872.64</v>
      </c>
      <c r="D83" t="str">
        <f t="shared" si="4"/>
        <v/>
      </c>
      <c r="E83" t="str">
        <f t="shared" si="5"/>
        <v/>
      </c>
      <c r="F83">
        <f t="shared" si="6"/>
        <v>0.01</v>
      </c>
    </row>
    <row r="84" spans="3:6">
      <c r="C84">
        <v>4360.8</v>
      </c>
      <c r="D84" t="str">
        <f t="shared" si="4"/>
        <v/>
      </c>
      <c r="E84" t="str">
        <f t="shared" si="5"/>
        <v/>
      </c>
      <c r="F84">
        <f t="shared" si="6"/>
        <v>0</v>
      </c>
    </row>
    <row r="85" spans="3:6">
      <c r="C85">
        <v>22334.03</v>
      </c>
      <c r="D85" t="str">
        <f t="shared" si="4"/>
        <v/>
      </c>
      <c r="E85" t="str">
        <f t="shared" si="5"/>
        <v/>
      </c>
      <c r="F85">
        <f t="shared" si="6"/>
        <v>0.02</v>
      </c>
    </row>
    <row r="86" spans="3:6">
      <c r="C86">
        <v>6454741.6500000004</v>
      </c>
      <c r="D86" t="str">
        <f t="shared" si="4"/>
        <v/>
      </c>
      <c r="E86" t="str">
        <f t="shared" si="5"/>
        <v/>
      </c>
      <c r="F86">
        <f t="shared" si="6"/>
        <v>6.45</v>
      </c>
    </row>
    <row r="87" spans="3:6">
      <c r="C87">
        <v>17287.97</v>
      </c>
      <c r="D87" t="str">
        <f t="shared" si="4"/>
        <v/>
      </c>
      <c r="E87" t="str">
        <f t="shared" si="5"/>
        <v/>
      </c>
      <c r="F87">
        <f t="shared" si="6"/>
        <v>0.02</v>
      </c>
    </row>
    <row r="88" spans="3:6">
      <c r="C88">
        <v>2153344.08</v>
      </c>
      <c r="D88" t="str">
        <f t="shared" si="4"/>
        <v/>
      </c>
      <c r="E88" t="str">
        <f t="shared" si="5"/>
        <v/>
      </c>
      <c r="F88">
        <f t="shared" si="6"/>
        <v>2.15</v>
      </c>
    </row>
    <row r="89" spans="3:6">
      <c r="C89">
        <v>89465.216143769998</v>
      </c>
      <c r="D89" t="str">
        <f t="shared" si="4"/>
        <v/>
      </c>
      <c r="E89" t="str">
        <f t="shared" si="5"/>
        <v/>
      </c>
      <c r="F89">
        <f t="shared" si="6"/>
        <v>0.09</v>
      </c>
    </row>
    <row r="90" spans="3:6">
      <c r="C90">
        <v>396728.37590644998</v>
      </c>
      <c r="D90" t="str">
        <f t="shared" si="4"/>
        <v/>
      </c>
      <c r="E90" t="str">
        <f t="shared" si="5"/>
        <v/>
      </c>
      <c r="F90">
        <f t="shared" si="6"/>
        <v>0.4</v>
      </c>
    </row>
    <row r="91" spans="3:6">
      <c r="C91">
        <v>50120002.579466254</v>
      </c>
      <c r="D91" t="str">
        <f t="shared" si="4"/>
        <v/>
      </c>
      <c r="E91" t="str">
        <f t="shared" si="5"/>
        <v/>
      </c>
      <c r="F91">
        <f t="shared" si="6"/>
        <v>50.12</v>
      </c>
    </row>
    <row r="92" spans="3:6">
      <c r="C92">
        <v>2710867.1197803798</v>
      </c>
      <c r="D92" t="str">
        <f t="shared" si="4"/>
        <v/>
      </c>
      <c r="E92" t="str">
        <f t="shared" si="5"/>
        <v/>
      </c>
      <c r="F92">
        <f t="shared" si="6"/>
        <v>2.71</v>
      </c>
    </row>
    <row r="93" spans="3:6">
      <c r="C93">
        <v>135949.73054220999</v>
      </c>
      <c r="D93" t="str">
        <f t="shared" si="4"/>
        <v/>
      </c>
      <c r="E93" t="str">
        <f t="shared" si="5"/>
        <v/>
      </c>
      <c r="F93">
        <f t="shared" si="6"/>
        <v>0.14000000000000001</v>
      </c>
    </row>
    <row r="94" spans="3:6">
      <c r="C94">
        <v>63743.64</v>
      </c>
      <c r="D94" t="str">
        <f t="shared" si="4"/>
        <v/>
      </c>
      <c r="E94" t="str">
        <f t="shared" si="5"/>
        <v/>
      </c>
      <c r="F94">
        <f t="shared" si="6"/>
        <v>0.06</v>
      </c>
    </row>
    <row r="95" spans="3:6">
      <c r="C95">
        <v>619050582.10000002</v>
      </c>
      <c r="D95" t="str">
        <f t="shared" si="4"/>
        <v/>
      </c>
      <c r="E95" t="str">
        <f t="shared" si="5"/>
        <v/>
      </c>
      <c r="F95">
        <f t="shared" si="6"/>
        <v>619.04999999999995</v>
      </c>
    </row>
    <row r="96" spans="3:6">
      <c r="C96">
        <v>11753701861.65</v>
      </c>
      <c r="D96" t="str">
        <f t="shared" si="4"/>
        <v/>
      </c>
      <c r="E96" t="str">
        <f t="shared" si="5"/>
        <v/>
      </c>
      <c r="F96">
        <f t="shared" si="6"/>
        <v>11753.7</v>
      </c>
    </row>
    <row r="97" spans="3:6">
      <c r="C97">
        <v>345511.44</v>
      </c>
      <c r="D97" t="str">
        <f t="shared" si="4"/>
        <v/>
      </c>
      <c r="E97" t="str">
        <f t="shared" si="5"/>
        <v/>
      </c>
      <c r="F97">
        <f t="shared" si="6"/>
        <v>0.35</v>
      </c>
    </row>
    <row r="98" spans="3:6">
      <c r="C98">
        <v>54726104.460000001</v>
      </c>
      <c r="D98" t="str">
        <f t="shared" si="4"/>
        <v/>
      </c>
      <c r="E98" t="str">
        <f t="shared" si="5"/>
        <v/>
      </c>
      <c r="F98">
        <f t="shared" si="6"/>
        <v>54.73</v>
      </c>
    </row>
    <row r="99" spans="3:6">
      <c r="C99">
        <v>302266944.06</v>
      </c>
      <c r="D99" t="str">
        <f t="shared" si="4"/>
        <v/>
      </c>
      <c r="E99" t="str">
        <f t="shared" si="5"/>
        <v/>
      </c>
      <c r="F99">
        <f t="shared" si="6"/>
        <v>302.27</v>
      </c>
    </row>
    <row r="100" spans="3:6">
      <c r="C100">
        <v>257361566.75999999</v>
      </c>
      <c r="D100" t="str">
        <f t="shared" si="4"/>
        <v/>
      </c>
      <c r="E100" t="str">
        <f t="shared" si="5"/>
        <v/>
      </c>
      <c r="F100">
        <f t="shared" si="6"/>
        <v>257.36</v>
      </c>
    </row>
    <row r="101" spans="3:6">
      <c r="C101">
        <v>9199950</v>
      </c>
      <c r="D101" t="str">
        <f t="shared" si="4"/>
        <v/>
      </c>
      <c r="E101" t="str">
        <f t="shared" si="5"/>
        <v/>
      </c>
      <c r="F101">
        <f t="shared" si="6"/>
        <v>9.1999999999999993</v>
      </c>
    </row>
    <row r="102" spans="3:6">
      <c r="C102">
        <v>52000000</v>
      </c>
      <c r="D102" t="str">
        <f t="shared" si="4"/>
        <v/>
      </c>
      <c r="E102" t="str">
        <f t="shared" si="5"/>
        <v/>
      </c>
      <c r="F102">
        <f t="shared" si="6"/>
        <v>52</v>
      </c>
    </row>
    <row r="103" spans="3:6">
      <c r="C103">
        <v>58350000</v>
      </c>
      <c r="D103" t="str">
        <f t="shared" si="4"/>
        <v/>
      </c>
      <c r="E103" t="str">
        <f t="shared" si="5"/>
        <v/>
      </c>
      <c r="F103">
        <f t="shared" si="6"/>
        <v>58.35</v>
      </c>
    </row>
    <row r="104" spans="3:6">
      <c r="C104">
        <v>1982270000</v>
      </c>
      <c r="D104" t="str">
        <f t="shared" si="4"/>
        <v/>
      </c>
      <c r="E104" t="str">
        <f t="shared" si="5"/>
        <v/>
      </c>
      <c r="F104">
        <f t="shared" si="6"/>
        <v>1982.27</v>
      </c>
    </row>
    <row r="105" spans="3:6">
      <c r="C105">
        <v>6918527.2999999998</v>
      </c>
      <c r="D105" t="str">
        <f t="shared" si="4"/>
        <v/>
      </c>
      <c r="E105" t="str">
        <f t="shared" si="5"/>
        <v/>
      </c>
      <c r="F105">
        <f t="shared" si="6"/>
        <v>6.92</v>
      </c>
    </row>
    <row r="106" spans="3:6">
      <c r="C106">
        <v>709306</v>
      </c>
      <c r="D106" t="str">
        <f t="shared" si="4"/>
        <v/>
      </c>
      <c r="E106" t="str">
        <f t="shared" si="5"/>
        <v/>
      </c>
      <c r="F106">
        <f t="shared" si="6"/>
        <v>0.71</v>
      </c>
    </row>
    <row r="107" spans="3:6">
      <c r="C107">
        <v>281992.25400000002</v>
      </c>
      <c r="D107" t="str">
        <f t="shared" si="4"/>
        <v/>
      </c>
      <c r="E107" t="str">
        <f t="shared" si="5"/>
        <v/>
      </c>
      <c r="F107">
        <f t="shared" si="6"/>
        <v>0.28000000000000003</v>
      </c>
    </row>
    <row r="108" spans="3:6">
      <c r="C108">
        <v>31200000</v>
      </c>
      <c r="D108" t="str">
        <f t="shared" si="4"/>
        <v/>
      </c>
      <c r="E108" t="str">
        <f t="shared" si="5"/>
        <v/>
      </c>
      <c r="F108">
        <f t="shared" si="6"/>
        <v>31.2</v>
      </c>
    </row>
    <row r="109" spans="3:6">
      <c r="C109">
        <v>80000000</v>
      </c>
      <c r="D109" t="str">
        <f t="shared" si="4"/>
        <v/>
      </c>
      <c r="E109" t="str">
        <f t="shared" si="5"/>
        <v/>
      </c>
      <c r="F109">
        <f t="shared" si="6"/>
        <v>80</v>
      </c>
    </row>
    <row r="110" spans="3:6">
      <c r="C110">
        <v>50000000</v>
      </c>
      <c r="D110" t="str">
        <f t="shared" si="4"/>
        <v/>
      </c>
      <c r="E110" t="str">
        <f t="shared" si="5"/>
        <v/>
      </c>
      <c r="F110">
        <f t="shared" si="6"/>
        <v>50</v>
      </c>
    </row>
    <row r="111" spans="3:6">
      <c r="C111">
        <v>150000000</v>
      </c>
      <c r="D111" t="str">
        <f t="shared" si="4"/>
        <v/>
      </c>
      <c r="E111" t="str">
        <f t="shared" si="5"/>
        <v/>
      </c>
      <c r="F111">
        <f t="shared" si="6"/>
        <v>150</v>
      </c>
    </row>
    <row r="112" spans="3:6">
      <c r="C112">
        <v>80000000</v>
      </c>
      <c r="D112" t="str">
        <f t="shared" si="4"/>
        <v/>
      </c>
      <c r="E112" t="str">
        <f t="shared" si="5"/>
        <v/>
      </c>
      <c r="F112">
        <f t="shared" si="6"/>
        <v>80</v>
      </c>
    </row>
    <row r="113" spans="3:6">
      <c r="C113">
        <v>100000000</v>
      </c>
      <c r="D113" t="str">
        <f t="shared" si="4"/>
        <v/>
      </c>
      <c r="E113" t="str">
        <f t="shared" si="5"/>
        <v/>
      </c>
      <c r="F113">
        <f t="shared" si="6"/>
        <v>100</v>
      </c>
    </row>
    <row r="114" spans="3:6">
      <c r="C114">
        <v>100000000</v>
      </c>
      <c r="D114" t="str">
        <f t="shared" si="4"/>
        <v/>
      </c>
      <c r="E114" t="str">
        <f t="shared" si="5"/>
        <v/>
      </c>
      <c r="F114">
        <f t="shared" si="6"/>
        <v>100</v>
      </c>
    </row>
    <row r="115" spans="3:6">
      <c r="C115">
        <v>150000000</v>
      </c>
      <c r="D115" t="str">
        <f t="shared" si="4"/>
        <v/>
      </c>
      <c r="E115" t="str">
        <f t="shared" si="5"/>
        <v/>
      </c>
      <c r="F115">
        <f t="shared" si="6"/>
        <v>150</v>
      </c>
    </row>
    <row r="116" spans="3:6">
      <c r="C116">
        <v>195920.87</v>
      </c>
      <c r="D116" t="str">
        <f t="shared" si="4"/>
        <v/>
      </c>
      <c r="E116" t="str">
        <f t="shared" si="5"/>
        <v/>
      </c>
      <c r="F116">
        <f t="shared" si="6"/>
        <v>0.2</v>
      </c>
    </row>
    <row r="117" spans="3:6">
      <c r="C117">
        <v>189600.84</v>
      </c>
      <c r="D117" t="str">
        <f t="shared" si="4"/>
        <v/>
      </c>
      <c r="E117" t="str">
        <f t="shared" si="5"/>
        <v/>
      </c>
      <c r="F117">
        <f t="shared" si="6"/>
        <v>0.19</v>
      </c>
    </row>
    <row r="118" spans="3:6">
      <c r="C118">
        <v>58460.800000000003</v>
      </c>
      <c r="D118" t="str">
        <f t="shared" si="4"/>
        <v/>
      </c>
      <c r="E118" t="str">
        <f t="shared" si="5"/>
        <v/>
      </c>
      <c r="F118">
        <f t="shared" si="6"/>
        <v>0.06</v>
      </c>
    </row>
    <row r="119" spans="3:6">
      <c r="C119">
        <v>195920.87</v>
      </c>
      <c r="D119" t="str">
        <f t="shared" si="4"/>
        <v/>
      </c>
      <c r="E119" t="str">
        <f t="shared" si="5"/>
        <v/>
      </c>
      <c r="F119">
        <f t="shared" si="6"/>
        <v>0.2</v>
      </c>
    </row>
    <row r="120" spans="3:6">
      <c r="C120">
        <v>690167.24</v>
      </c>
      <c r="D120" t="str">
        <f t="shared" si="4"/>
        <v/>
      </c>
      <c r="E120" t="str">
        <f t="shared" si="5"/>
        <v/>
      </c>
      <c r="F120">
        <f t="shared" si="6"/>
        <v>0.69</v>
      </c>
    </row>
    <row r="121" spans="3:6">
      <c r="C121">
        <v>21780163.550000001</v>
      </c>
      <c r="D121" t="str">
        <f t="shared" si="4"/>
        <v/>
      </c>
      <c r="E121" t="str">
        <f t="shared" si="5"/>
        <v/>
      </c>
      <c r="F121">
        <f t="shared" si="6"/>
        <v>21.78</v>
      </c>
    </row>
    <row r="122" spans="3:6">
      <c r="C122">
        <v>682078.77</v>
      </c>
      <c r="D122" t="str">
        <f t="shared" si="4"/>
        <v/>
      </c>
      <c r="E122" t="str">
        <f t="shared" si="5"/>
        <v/>
      </c>
      <c r="F122">
        <f t="shared" si="6"/>
        <v>0.68</v>
      </c>
    </row>
    <row r="123" spans="3:6">
      <c r="C123">
        <v>202240.88</v>
      </c>
      <c r="D123" t="str">
        <f t="shared" si="4"/>
        <v/>
      </c>
      <c r="E123" t="str">
        <f t="shared" si="5"/>
        <v/>
      </c>
      <c r="F123">
        <f t="shared" si="6"/>
        <v>0.2</v>
      </c>
    </row>
    <row r="124" spans="3:6">
      <c r="C124">
        <v>176960.78</v>
      </c>
      <c r="D124" t="str">
        <f t="shared" si="4"/>
        <v/>
      </c>
      <c r="E124" t="str">
        <f t="shared" si="5"/>
        <v/>
      </c>
      <c r="F124">
        <f t="shared" si="6"/>
        <v>0.18</v>
      </c>
    </row>
    <row r="125" spans="3:6">
      <c r="C125">
        <v>53969.87</v>
      </c>
      <c r="D125" t="str">
        <f t="shared" si="4"/>
        <v/>
      </c>
      <c r="E125" t="str">
        <f t="shared" si="5"/>
        <v/>
      </c>
      <c r="F125">
        <f t="shared" si="6"/>
        <v>0.05</v>
      </c>
    </row>
    <row r="126" spans="3:6">
      <c r="C126">
        <v>300714.23999999999</v>
      </c>
      <c r="D126" t="str">
        <f t="shared" si="4"/>
        <v/>
      </c>
      <c r="E126" t="str">
        <f t="shared" si="5"/>
        <v/>
      </c>
      <c r="F126">
        <f t="shared" si="6"/>
        <v>0.3</v>
      </c>
    </row>
    <row r="127" spans="3:6">
      <c r="C127">
        <v>7999371.9614965003</v>
      </c>
      <c r="D127" t="str">
        <f t="shared" si="4"/>
        <v/>
      </c>
      <c r="E127" t="str">
        <f t="shared" si="5"/>
        <v/>
      </c>
      <c r="F127">
        <f t="shared" si="6"/>
        <v>8</v>
      </c>
    </row>
    <row r="128" spans="3:6">
      <c r="C128">
        <v>1363680.56</v>
      </c>
      <c r="D128" t="str">
        <f t="shared" si="4"/>
        <v/>
      </c>
      <c r="E128" t="str">
        <f t="shared" si="5"/>
        <v/>
      </c>
      <c r="F128">
        <f t="shared" si="6"/>
        <v>1.36</v>
      </c>
    </row>
    <row r="129" spans="3:6">
      <c r="C129">
        <v>195920.87</v>
      </c>
      <c r="D129" t="str">
        <f t="shared" si="4"/>
        <v/>
      </c>
      <c r="E129" t="str">
        <f t="shared" si="5"/>
        <v/>
      </c>
      <c r="F129">
        <f t="shared" si="6"/>
        <v>0.2</v>
      </c>
    </row>
    <row r="130" spans="3:6">
      <c r="C130">
        <v>10000</v>
      </c>
      <c r="D130" t="str">
        <f t="shared" si="4"/>
        <v/>
      </c>
      <c r="E130" t="str">
        <f t="shared" si="5"/>
        <v/>
      </c>
      <c r="F130">
        <f t="shared" si="6"/>
        <v>0.01</v>
      </c>
    </row>
    <row r="131" spans="3:6">
      <c r="C131">
        <v>58460.800000000003</v>
      </c>
      <c r="D131" t="str">
        <f t="shared" ref="D131:D194" si="7">IF(A131="","",ROUND(A131/$J$2,2))</f>
        <v/>
      </c>
      <c r="E131" t="str">
        <f t="shared" ref="E131:E194" si="8">IF(B131="","",ROUND(B131/$J$2,2))</f>
        <v/>
      </c>
      <c r="F131">
        <f t="shared" ref="F131:F194" si="9">IF(C131="","",ROUND(C131/$J$2,2))</f>
        <v>0.06</v>
      </c>
    </row>
    <row r="132" spans="3:6">
      <c r="C132">
        <v>24417459.649999999</v>
      </c>
      <c r="D132" t="str">
        <f t="shared" si="7"/>
        <v/>
      </c>
      <c r="E132" t="str">
        <f t="shared" si="8"/>
        <v/>
      </c>
      <c r="F132">
        <f t="shared" si="9"/>
        <v>24.42</v>
      </c>
    </row>
    <row r="133" spans="3:6">
      <c r="C133">
        <v>514731.15</v>
      </c>
      <c r="D133" t="str">
        <f t="shared" si="7"/>
        <v/>
      </c>
      <c r="E133" t="str">
        <f t="shared" si="8"/>
        <v/>
      </c>
      <c r="F133">
        <f t="shared" si="9"/>
        <v>0.51</v>
      </c>
    </row>
    <row r="134" spans="3:6">
      <c r="C134">
        <v>1729482</v>
      </c>
      <c r="D134" t="str">
        <f t="shared" si="7"/>
        <v/>
      </c>
      <c r="E134" t="str">
        <f t="shared" si="8"/>
        <v/>
      </c>
      <c r="F134">
        <f t="shared" si="9"/>
        <v>1.73</v>
      </c>
    </row>
    <row r="135" spans="3:6">
      <c r="C135">
        <v>5001490</v>
      </c>
      <c r="D135" t="str">
        <f t="shared" si="7"/>
        <v/>
      </c>
      <c r="E135" t="str">
        <f t="shared" si="8"/>
        <v/>
      </c>
      <c r="F135">
        <f t="shared" si="9"/>
        <v>5</v>
      </c>
    </row>
    <row r="136" spans="3:6">
      <c r="C136">
        <v>19187967.149999999</v>
      </c>
      <c r="D136" t="str">
        <f t="shared" si="7"/>
        <v/>
      </c>
      <c r="E136" t="str">
        <f t="shared" si="8"/>
        <v/>
      </c>
      <c r="F136">
        <f t="shared" si="9"/>
        <v>19.190000000000001</v>
      </c>
    </row>
    <row r="137" spans="3:6">
      <c r="C137">
        <v>4497790</v>
      </c>
      <c r="D137" t="str">
        <f t="shared" si="7"/>
        <v/>
      </c>
      <c r="E137" t="str">
        <f t="shared" si="8"/>
        <v/>
      </c>
      <c r="F137">
        <f t="shared" si="9"/>
        <v>4.5</v>
      </c>
    </row>
    <row r="138" spans="3:6">
      <c r="C138">
        <v>53969.87</v>
      </c>
      <c r="D138" t="str">
        <f t="shared" si="7"/>
        <v/>
      </c>
      <c r="E138" t="str">
        <f t="shared" si="8"/>
        <v/>
      </c>
      <c r="F138">
        <f t="shared" si="9"/>
        <v>0.05</v>
      </c>
    </row>
    <row r="139" spans="3:6">
      <c r="C139">
        <v>155250</v>
      </c>
      <c r="D139" t="str">
        <f t="shared" si="7"/>
        <v/>
      </c>
      <c r="E139" t="str">
        <f t="shared" si="8"/>
        <v/>
      </c>
      <c r="F139">
        <f t="shared" si="9"/>
        <v>0.16</v>
      </c>
    </row>
    <row r="140" spans="3:6">
      <c r="C140">
        <v>103177.63888889</v>
      </c>
      <c r="D140" t="str">
        <f t="shared" si="7"/>
        <v/>
      </c>
      <c r="E140" t="str">
        <f t="shared" si="8"/>
        <v/>
      </c>
      <c r="F140">
        <f t="shared" si="9"/>
        <v>0.1</v>
      </c>
    </row>
    <row r="141" spans="3:6">
      <c r="C141">
        <v>2868241.3042990002</v>
      </c>
      <c r="D141" t="str">
        <f t="shared" si="7"/>
        <v/>
      </c>
      <c r="E141" t="str">
        <f t="shared" si="8"/>
        <v/>
      </c>
      <c r="F141">
        <f t="shared" si="9"/>
        <v>2.87</v>
      </c>
    </row>
    <row r="142" spans="3:6">
      <c r="C142">
        <v>15652.77777778</v>
      </c>
      <c r="D142" t="str">
        <f t="shared" si="7"/>
        <v/>
      </c>
      <c r="E142" t="str">
        <f t="shared" si="8"/>
        <v/>
      </c>
      <c r="F142">
        <f t="shared" si="9"/>
        <v>0.02</v>
      </c>
    </row>
    <row r="143" spans="3:6">
      <c r="C143">
        <v>5403026.4057843098</v>
      </c>
      <c r="D143" t="str">
        <f t="shared" si="7"/>
        <v/>
      </c>
      <c r="E143" t="str">
        <f t="shared" si="8"/>
        <v/>
      </c>
      <c r="F143">
        <f t="shared" si="9"/>
        <v>5.4</v>
      </c>
    </row>
    <row r="144" spans="3:6">
      <c r="C144">
        <v>7812.5</v>
      </c>
      <c r="D144" t="str">
        <f t="shared" si="7"/>
        <v/>
      </c>
      <c r="E144" t="str">
        <f t="shared" si="8"/>
        <v/>
      </c>
      <c r="F144">
        <f t="shared" si="9"/>
        <v>0.01</v>
      </c>
    </row>
    <row r="145" spans="3:6">
      <c r="C145">
        <v>10176914.121529849</v>
      </c>
      <c r="D145" t="str">
        <f t="shared" si="7"/>
        <v/>
      </c>
      <c r="E145" t="str">
        <f t="shared" si="8"/>
        <v/>
      </c>
      <c r="F145">
        <f t="shared" si="9"/>
        <v>10.18</v>
      </c>
    </row>
    <row r="146" spans="3:6">
      <c r="C146">
        <v>20222.22222222</v>
      </c>
      <c r="D146" t="str">
        <f t="shared" si="7"/>
        <v/>
      </c>
      <c r="E146" t="str">
        <f t="shared" si="8"/>
        <v/>
      </c>
      <c r="F146">
        <f t="shared" si="9"/>
        <v>0.02</v>
      </c>
    </row>
    <row r="147" spans="3:6">
      <c r="C147">
        <v>38020.833333330003</v>
      </c>
      <c r="D147" t="str">
        <f t="shared" si="7"/>
        <v/>
      </c>
      <c r="E147" t="str">
        <f t="shared" si="8"/>
        <v/>
      </c>
      <c r="F147">
        <f t="shared" si="9"/>
        <v>0.04</v>
      </c>
    </row>
    <row r="148" spans="3:6">
      <c r="C148">
        <v>97892.062820830004</v>
      </c>
      <c r="D148" t="str">
        <f t="shared" si="7"/>
        <v/>
      </c>
      <c r="E148" t="str">
        <f t="shared" si="8"/>
        <v/>
      </c>
      <c r="F148">
        <f t="shared" si="9"/>
        <v>0.1</v>
      </c>
    </row>
    <row r="149" spans="3:6">
      <c r="C149">
        <v>53277052.153623722</v>
      </c>
      <c r="D149" t="str">
        <f t="shared" si="7"/>
        <v/>
      </c>
      <c r="E149" t="str">
        <f t="shared" si="8"/>
        <v/>
      </c>
      <c r="F149">
        <f t="shared" si="9"/>
        <v>53.28</v>
      </c>
    </row>
    <row r="150" spans="3:6">
      <c r="C150">
        <v>8348.1481502799998</v>
      </c>
      <c r="D150" t="str">
        <f t="shared" si="7"/>
        <v/>
      </c>
      <c r="E150" t="str">
        <f t="shared" si="8"/>
        <v/>
      </c>
      <c r="F150">
        <f t="shared" si="9"/>
        <v>0.01</v>
      </c>
    </row>
    <row r="151" spans="3:6">
      <c r="C151">
        <v>12777.77777778</v>
      </c>
      <c r="D151" t="str">
        <f t="shared" si="7"/>
        <v/>
      </c>
      <c r="E151" t="str">
        <f t="shared" si="8"/>
        <v/>
      </c>
      <c r="F151">
        <f t="shared" si="9"/>
        <v>0.01</v>
      </c>
    </row>
    <row r="152" spans="3:6">
      <c r="C152">
        <v>15013.88888889</v>
      </c>
      <c r="D152" t="str">
        <f t="shared" si="7"/>
        <v/>
      </c>
      <c r="E152" t="str">
        <f t="shared" si="8"/>
        <v/>
      </c>
      <c r="F152">
        <f t="shared" si="9"/>
        <v>0.02</v>
      </c>
    </row>
    <row r="153" spans="3:6">
      <c r="C153">
        <v>9000</v>
      </c>
      <c r="D153" t="str">
        <f t="shared" si="7"/>
        <v/>
      </c>
      <c r="E153" t="str">
        <f t="shared" si="8"/>
        <v/>
      </c>
      <c r="F153">
        <f t="shared" si="9"/>
        <v>0.01</v>
      </c>
    </row>
    <row r="154" spans="3:6">
      <c r="C154">
        <v>117508.9865425</v>
      </c>
      <c r="D154" t="str">
        <f t="shared" si="7"/>
        <v/>
      </c>
      <c r="E154" t="str">
        <f t="shared" si="8"/>
        <v/>
      </c>
      <c r="F154">
        <f t="shared" si="9"/>
        <v>0.12</v>
      </c>
    </row>
    <row r="155" spans="3:6">
      <c r="C155">
        <v>75000</v>
      </c>
      <c r="D155" t="str">
        <f t="shared" si="7"/>
        <v/>
      </c>
      <c r="E155" t="str">
        <f t="shared" si="8"/>
        <v/>
      </c>
      <c r="F155">
        <f t="shared" si="9"/>
        <v>0.08</v>
      </c>
    </row>
    <row r="156" spans="3:6">
      <c r="C156">
        <v>4855674.9072484896</v>
      </c>
      <c r="D156" t="str">
        <f t="shared" si="7"/>
        <v/>
      </c>
      <c r="E156" t="str">
        <f t="shared" si="8"/>
        <v/>
      </c>
      <c r="F156">
        <f t="shared" si="9"/>
        <v>4.8600000000000003</v>
      </c>
    </row>
    <row r="157" spans="3:6">
      <c r="C157">
        <v>322188.46445799002</v>
      </c>
      <c r="D157" t="str">
        <f t="shared" si="7"/>
        <v/>
      </c>
      <c r="E157" t="str">
        <f t="shared" si="8"/>
        <v/>
      </c>
      <c r="F157">
        <f t="shared" si="9"/>
        <v>0.32</v>
      </c>
    </row>
    <row r="158" spans="3:6">
      <c r="C158">
        <v>9955.0203001600003</v>
      </c>
      <c r="D158" t="str">
        <f t="shared" si="7"/>
        <v/>
      </c>
      <c r="E158" t="str">
        <f t="shared" si="8"/>
        <v/>
      </c>
      <c r="F158">
        <f t="shared" si="9"/>
        <v>0.01</v>
      </c>
    </row>
    <row r="159" spans="3:6">
      <c r="C159">
        <v>22740418.25502573</v>
      </c>
      <c r="D159" t="str">
        <f t="shared" si="7"/>
        <v/>
      </c>
      <c r="E159" t="str">
        <f t="shared" si="8"/>
        <v/>
      </c>
      <c r="F159">
        <f t="shared" si="9"/>
        <v>22.74</v>
      </c>
    </row>
    <row r="160" spans="3:6">
      <c r="C160">
        <v>5043350</v>
      </c>
      <c r="D160" t="str">
        <f t="shared" si="7"/>
        <v/>
      </c>
      <c r="E160" t="str">
        <f t="shared" si="8"/>
        <v/>
      </c>
      <c r="F160">
        <f t="shared" si="9"/>
        <v>5.04</v>
      </c>
    </row>
    <row r="161" spans="3:6">
      <c r="C161">
        <v>1746005</v>
      </c>
      <c r="D161" t="str">
        <f t="shared" si="7"/>
        <v/>
      </c>
      <c r="E161" t="str">
        <f t="shared" si="8"/>
        <v/>
      </c>
      <c r="F161">
        <f t="shared" si="9"/>
        <v>1.75</v>
      </c>
    </row>
    <row r="162" spans="3:6">
      <c r="C162">
        <v>4497221.1541365804</v>
      </c>
      <c r="D162" t="str">
        <f t="shared" si="7"/>
        <v/>
      </c>
      <c r="E162" t="str">
        <f t="shared" si="8"/>
        <v/>
      </c>
      <c r="F162">
        <f t="shared" si="9"/>
        <v>4.5</v>
      </c>
    </row>
    <row r="163" spans="3:6">
      <c r="C163">
        <v>19277980.994519189</v>
      </c>
      <c r="D163" t="str">
        <f t="shared" si="7"/>
        <v/>
      </c>
      <c r="E163" t="str">
        <f t="shared" si="8"/>
        <v/>
      </c>
      <c r="F163">
        <f t="shared" si="9"/>
        <v>19.28</v>
      </c>
    </row>
    <row r="164" spans="3:6">
      <c r="C164">
        <v>701208.39</v>
      </c>
      <c r="D164" t="str">
        <f t="shared" si="7"/>
        <v/>
      </c>
      <c r="E164" t="str">
        <f t="shared" si="8"/>
        <v/>
      </c>
      <c r="F164">
        <f t="shared" si="9"/>
        <v>0.7</v>
      </c>
    </row>
    <row r="165" spans="3:6">
      <c r="C165">
        <v>1431649.43</v>
      </c>
      <c r="D165" t="str">
        <f t="shared" si="7"/>
        <v/>
      </c>
      <c r="E165" t="str">
        <f t="shared" si="8"/>
        <v/>
      </c>
      <c r="F165">
        <f t="shared" si="9"/>
        <v>1.43</v>
      </c>
    </row>
    <row r="166" spans="3:6">
      <c r="C166">
        <v>1532321.91</v>
      </c>
      <c r="D166" t="str">
        <f t="shared" si="7"/>
        <v/>
      </c>
      <c r="E166" t="str">
        <f t="shared" si="8"/>
        <v/>
      </c>
      <c r="F166">
        <f t="shared" si="9"/>
        <v>1.53</v>
      </c>
    </row>
    <row r="167" spans="3:6">
      <c r="C167">
        <v>745833.98</v>
      </c>
      <c r="D167" t="str">
        <f t="shared" si="7"/>
        <v/>
      </c>
      <c r="E167" t="str">
        <f t="shared" si="8"/>
        <v/>
      </c>
      <c r="F167">
        <f t="shared" si="9"/>
        <v>0.75</v>
      </c>
    </row>
    <row r="168" spans="3:6">
      <c r="C168">
        <v>1657259.06</v>
      </c>
      <c r="D168" t="str">
        <f t="shared" si="7"/>
        <v/>
      </c>
      <c r="E168" t="str">
        <f t="shared" si="8"/>
        <v/>
      </c>
      <c r="F168">
        <f t="shared" si="9"/>
        <v>1.66</v>
      </c>
    </row>
    <row r="169" spans="3:6">
      <c r="C169">
        <v>4340522.05</v>
      </c>
      <c r="D169" t="str">
        <f t="shared" si="7"/>
        <v/>
      </c>
      <c r="E169" t="str">
        <f t="shared" si="8"/>
        <v/>
      </c>
      <c r="F169">
        <f t="shared" si="9"/>
        <v>4.34</v>
      </c>
    </row>
    <row r="170" spans="3:6">
      <c r="C170">
        <v>3194498.27</v>
      </c>
      <c r="D170" t="str">
        <f t="shared" si="7"/>
        <v/>
      </c>
      <c r="E170" t="str">
        <f t="shared" si="8"/>
        <v/>
      </c>
      <c r="F170">
        <f t="shared" si="9"/>
        <v>3.19</v>
      </c>
    </row>
    <row r="171" spans="3:6">
      <c r="C171">
        <v>4336347.3099999996</v>
      </c>
      <c r="D171" t="str">
        <f t="shared" si="7"/>
        <v/>
      </c>
      <c r="E171" t="str">
        <f t="shared" si="8"/>
        <v/>
      </c>
      <c r="F171">
        <f t="shared" si="9"/>
        <v>4.34</v>
      </c>
    </row>
    <row r="172" spans="3:6">
      <c r="C172">
        <v>3193783.5</v>
      </c>
      <c r="D172" t="str">
        <f t="shared" si="7"/>
        <v/>
      </c>
      <c r="E172" t="str">
        <f t="shared" si="8"/>
        <v/>
      </c>
      <c r="F172">
        <f t="shared" si="9"/>
        <v>3.19</v>
      </c>
    </row>
    <row r="173" spans="3:6">
      <c r="C173">
        <v>722739.66</v>
      </c>
      <c r="D173" t="str">
        <f t="shared" si="7"/>
        <v/>
      </c>
      <c r="E173" t="str">
        <f t="shared" si="8"/>
        <v/>
      </c>
      <c r="F173">
        <f t="shared" si="9"/>
        <v>0.72</v>
      </c>
    </row>
    <row r="174" spans="3:6">
      <c r="C174">
        <v>136416641.34</v>
      </c>
      <c r="D174" t="str">
        <f t="shared" si="7"/>
        <v/>
      </c>
      <c r="E174" t="str">
        <f t="shared" si="8"/>
        <v/>
      </c>
      <c r="F174">
        <f t="shared" si="9"/>
        <v>136.41999999999999</v>
      </c>
    </row>
    <row r="175" spans="3:6">
      <c r="C175">
        <v>28664029.329999998</v>
      </c>
      <c r="D175" t="str">
        <f t="shared" si="7"/>
        <v/>
      </c>
      <c r="E175" t="str">
        <f t="shared" si="8"/>
        <v/>
      </c>
      <c r="F175">
        <f t="shared" si="9"/>
        <v>28.66</v>
      </c>
    </row>
    <row r="176" spans="3:6">
      <c r="C176">
        <v>732749.3</v>
      </c>
      <c r="D176" t="str">
        <f t="shared" si="7"/>
        <v/>
      </c>
      <c r="E176" t="str">
        <f t="shared" si="8"/>
        <v/>
      </c>
      <c r="F176">
        <f t="shared" si="9"/>
        <v>0.73</v>
      </c>
    </row>
    <row r="177" spans="3:6">
      <c r="C177">
        <v>714153.56</v>
      </c>
      <c r="D177" t="str">
        <f t="shared" si="7"/>
        <v/>
      </c>
      <c r="E177" t="str">
        <f t="shared" si="8"/>
        <v/>
      </c>
      <c r="F177">
        <f t="shared" si="9"/>
        <v>0.71</v>
      </c>
    </row>
    <row r="178" spans="3:6">
      <c r="C178">
        <v>1654641.88</v>
      </c>
      <c r="D178" t="str">
        <f t="shared" si="7"/>
        <v/>
      </c>
      <c r="E178" t="str">
        <f t="shared" si="8"/>
        <v/>
      </c>
      <c r="F178">
        <f t="shared" si="9"/>
        <v>1.65</v>
      </c>
    </row>
    <row r="179" spans="3:6">
      <c r="C179">
        <v>740840.56</v>
      </c>
      <c r="D179" t="str">
        <f t="shared" si="7"/>
        <v/>
      </c>
      <c r="E179" t="str">
        <f t="shared" si="8"/>
        <v/>
      </c>
      <c r="F179">
        <f t="shared" si="9"/>
        <v>0.74</v>
      </c>
    </row>
    <row r="180" spans="3:6">
      <c r="C180">
        <v>2131302.0699999998</v>
      </c>
      <c r="D180" t="str">
        <f t="shared" si="7"/>
        <v/>
      </c>
      <c r="E180" t="str">
        <f t="shared" si="8"/>
        <v/>
      </c>
      <c r="F180">
        <f t="shared" si="9"/>
        <v>2.13</v>
      </c>
    </row>
    <row r="181" spans="3:6">
      <c r="C181">
        <v>1534153.37</v>
      </c>
      <c r="D181" t="str">
        <f t="shared" si="7"/>
        <v/>
      </c>
      <c r="E181" t="str">
        <f t="shared" si="8"/>
        <v/>
      </c>
      <c r="F181">
        <f t="shared" si="9"/>
        <v>1.53</v>
      </c>
    </row>
    <row r="182" spans="3:6">
      <c r="C182">
        <v>723756.04</v>
      </c>
      <c r="D182" t="str">
        <f t="shared" si="7"/>
        <v/>
      </c>
      <c r="E182" t="str">
        <f t="shared" si="8"/>
        <v/>
      </c>
      <c r="F182">
        <f t="shared" si="9"/>
        <v>0.72</v>
      </c>
    </row>
    <row r="183" spans="3:6">
      <c r="C183">
        <v>945251.44</v>
      </c>
      <c r="D183" t="str">
        <f t="shared" si="7"/>
        <v/>
      </c>
      <c r="E183" t="str">
        <f t="shared" si="8"/>
        <v/>
      </c>
      <c r="F183">
        <f t="shared" si="9"/>
        <v>0.95</v>
      </c>
    </row>
    <row r="184" spans="3:6">
      <c r="C184">
        <v>934976.97</v>
      </c>
      <c r="D184" t="str">
        <f t="shared" si="7"/>
        <v/>
      </c>
      <c r="E184" t="str">
        <f t="shared" si="8"/>
        <v/>
      </c>
      <c r="F184">
        <f t="shared" si="9"/>
        <v>0.93</v>
      </c>
    </row>
    <row r="185" spans="3:6">
      <c r="C185">
        <v>945251.44</v>
      </c>
      <c r="D185" t="str">
        <f t="shared" si="7"/>
        <v/>
      </c>
      <c r="E185" t="str">
        <f t="shared" si="8"/>
        <v/>
      </c>
      <c r="F185">
        <f t="shared" si="9"/>
        <v>0.95</v>
      </c>
    </row>
    <row r="186" spans="3:6">
      <c r="C186">
        <v>109349769.7</v>
      </c>
      <c r="D186" t="str">
        <f t="shared" si="7"/>
        <v/>
      </c>
      <c r="E186" t="str">
        <f t="shared" si="8"/>
        <v/>
      </c>
      <c r="F186">
        <f t="shared" si="9"/>
        <v>109.35</v>
      </c>
    </row>
    <row r="187" spans="3:6">
      <c r="C187">
        <v>924702.5</v>
      </c>
      <c r="D187" t="str">
        <f t="shared" si="7"/>
        <v/>
      </c>
      <c r="E187" t="str">
        <f t="shared" si="8"/>
        <v/>
      </c>
      <c r="F187">
        <f t="shared" si="9"/>
        <v>0.92</v>
      </c>
    </row>
    <row r="188" spans="3:6">
      <c r="C188">
        <v>2387000000</v>
      </c>
      <c r="D188" t="str">
        <f t="shared" si="7"/>
        <v/>
      </c>
      <c r="E188" t="str">
        <f t="shared" si="8"/>
        <v/>
      </c>
      <c r="F188">
        <f t="shared" si="9"/>
        <v>2387</v>
      </c>
    </row>
    <row r="189" spans="3:6">
      <c r="C189">
        <v>1200000000</v>
      </c>
      <c r="D189" t="str">
        <f t="shared" si="7"/>
        <v/>
      </c>
      <c r="E189" t="str">
        <f t="shared" si="8"/>
        <v/>
      </c>
      <c r="F189">
        <f t="shared" si="9"/>
        <v>1200</v>
      </c>
    </row>
    <row r="190" spans="3:6">
      <c r="C190">
        <v>5000000</v>
      </c>
      <c r="D190" t="str">
        <f t="shared" si="7"/>
        <v/>
      </c>
      <c r="E190" t="str">
        <f t="shared" si="8"/>
        <v/>
      </c>
      <c r="F190">
        <f t="shared" si="9"/>
        <v>5</v>
      </c>
    </row>
    <row r="191" spans="3:6">
      <c r="C191">
        <v>14240000000</v>
      </c>
      <c r="D191" t="str">
        <f t="shared" si="7"/>
        <v/>
      </c>
      <c r="E191" t="str">
        <f t="shared" si="8"/>
        <v/>
      </c>
      <c r="F191">
        <f t="shared" si="9"/>
        <v>14240</v>
      </c>
    </row>
    <row r="192" spans="3:6">
      <c r="C192">
        <v>2000000000</v>
      </c>
      <c r="D192" t="str">
        <f t="shared" si="7"/>
        <v/>
      </c>
      <c r="E192" t="str">
        <f t="shared" si="8"/>
        <v/>
      </c>
      <c r="F192">
        <f t="shared" si="9"/>
        <v>2000</v>
      </c>
    </row>
    <row r="193" spans="3:6">
      <c r="C193">
        <v>5000000</v>
      </c>
      <c r="D193" t="str">
        <f t="shared" si="7"/>
        <v/>
      </c>
      <c r="E193" t="str">
        <f t="shared" si="8"/>
        <v/>
      </c>
      <c r="F193">
        <f t="shared" si="9"/>
        <v>5</v>
      </c>
    </row>
    <row r="194" spans="3:6">
      <c r="C194">
        <v>841830</v>
      </c>
      <c r="D194" t="str">
        <f t="shared" si="7"/>
        <v/>
      </c>
      <c r="E194" t="str">
        <f t="shared" si="8"/>
        <v/>
      </c>
      <c r="F194">
        <f t="shared" si="9"/>
        <v>0.84</v>
      </c>
    </row>
    <row r="195" spans="3:6">
      <c r="C195">
        <v>14014151596.940001</v>
      </c>
      <c r="D195" t="str">
        <f t="shared" ref="D195:D258" si="10">IF(A195="","",ROUND(A195/$J$2,2))</f>
        <v/>
      </c>
      <c r="E195" t="str">
        <f t="shared" ref="E195:E258" si="11">IF(B195="","",ROUND(B195/$J$2,2))</f>
        <v/>
      </c>
      <c r="F195">
        <f t="shared" ref="F195:F258" si="12">IF(C195="","",ROUND(C195/$J$2,2))</f>
        <v>14014.15</v>
      </c>
    </row>
    <row r="196" spans="3:6">
      <c r="C196">
        <v>108942111.11</v>
      </c>
      <c r="D196" t="str">
        <f t="shared" si="10"/>
        <v/>
      </c>
      <c r="E196" t="str">
        <f t="shared" si="11"/>
        <v/>
      </c>
      <c r="F196">
        <f t="shared" si="12"/>
        <v>108.94</v>
      </c>
    </row>
    <row r="197" spans="3:6">
      <c r="C197">
        <v>582768834.36000001</v>
      </c>
      <c r="D197" t="str">
        <f t="shared" si="10"/>
        <v/>
      </c>
      <c r="E197" t="str">
        <f t="shared" si="11"/>
        <v/>
      </c>
      <c r="F197">
        <f t="shared" si="12"/>
        <v>582.77</v>
      </c>
    </row>
    <row r="198" spans="3:6">
      <c r="C198">
        <v>51413781.359999999</v>
      </c>
      <c r="D198" t="str">
        <f t="shared" si="10"/>
        <v/>
      </c>
      <c r="E198" t="str">
        <f t="shared" si="11"/>
        <v/>
      </c>
      <c r="F198">
        <f t="shared" si="12"/>
        <v>51.41</v>
      </c>
    </row>
    <row r="199" spans="3:6">
      <c r="C199">
        <v>2441162372.25</v>
      </c>
      <c r="D199" t="str">
        <f t="shared" si="10"/>
        <v/>
      </c>
      <c r="E199" t="str">
        <f t="shared" si="11"/>
        <v/>
      </c>
      <c r="F199">
        <f t="shared" si="12"/>
        <v>2441.16</v>
      </c>
    </row>
    <row r="200" spans="3:6">
      <c r="C200">
        <v>84433907.810000002</v>
      </c>
      <c r="D200" t="str">
        <f t="shared" si="10"/>
        <v/>
      </c>
      <c r="E200" t="str">
        <f t="shared" si="11"/>
        <v/>
      </c>
      <c r="F200">
        <f t="shared" si="12"/>
        <v>84.43</v>
      </c>
    </row>
    <row r="201" spans="3:6">
      <c r="C201">
        <v>560000000</v>
      </c>
      <c r="D201" t="str">
        <f t="shared" si="10"/>
        <v/>
      </c>
      <c r="E201" t="str">
        <f t="shared" si="11"/>
        <v/>
      </c>
      <c r="F201">
        <f t="shared" si="12"/>
        <v>560</v>
      </c>
    </row>
    <row r="202" spans="3:6">
      <c r="C202">
        <v>22267158.48</v>
      </c>
      <c r="D202" t="str">
        <f t="shared" si="10"/>
        <v/>
      </c>
      <c r="E202" t="str">
        <f t="shared" si="11"/>
        <v/>
      </c>
      <c r="F202">
        <f t="shared" si="12"/>
        <v>22.27</v>
      </c>
    </row>
    <row r="203" spans="3:6">
      <c r="C203">
        <v>558.14604499999996</v>
      </c>
      <c r="D203" t="str">
        <f t="shared" si="10"/>
        <v/>
      </c>
      <c r="E203" t="str">
        <f t="shared" si="11"/>
        <v/>
      </c>
      <c r="F203">
        <f t="shared" si="12"/>
        <v>0</v>
      </c>
    </row>
    <row r="204" spans="3:6">
      <c r="C204">
        <v>19886283.26653558</v>
      </c>
      <c r="D204" t="str">
        <f t="shared" si="10"/>
        <v/>
      </c>
      <c r="E204" t="str">
        <f t="shared" si="11"/>
        <v/>
      </c>
      <c r="F204">
        <f t="shared" si="12"/>
        <v>19.89</v>
      </c>
    </row>
    <row r="205" spans="3:6">
      <c r="C205">
        <v>176330.59</v>
      </c>
      <c r="D205" t="str">
        <f t="shared" si="10"/>
        <v/>
      </c>
      <c r="E205" t="str">
        <f t="shared" si="11"/>
        <v/>
      </c>
      <c r="F205">
        <f t="shared" si="12"/>
        <v>0.18</v>
      </c>
    </row>
    <row r="206" spans="3:6">
      <c r="C206">
        <v>10000</v>
      </c>
      <c r="D206" t="str">
        <f t="shared" si="10"/>
        <v/>
      </c>
      <c r="E206" t="str">
        <f t="shared" si="11"/>
        <v/>
      </c>
      <c r="F206">
        <f t="shared" si="12"/>
        <v>0.01</v>
      </c>
    </row>
    <row r="207" spans="3:6">
      <c r="C207">
        <v>49797.5</v>
      </c>
      <c r="D207" t="str">
        <f t="shared" si="10"/>
        <v/>
      </c>
      <c r="E207" t="str">
        <f t="shared" si="11"/>
        <v/>
      </c>
      <c r="F207">
        <f t="shared" si="12"/>
        <v>0.05</v>
      </c>
    </row>
    <row r="208" spans="3:6">
      <c r="C208">
        <v>24413642.34</v>
      </c>
      <c r="D208" t="str">
        <f t="shared" si="10"/>
        <v/>
      </c>
      <c r="E208" t="str">
        <f t="shared" si="11"/>
        <v/>
      </c>
      <c r="F208">
        <f t="shared" si="12"/>
        <v>24.41</v>
      </c>
    </row>
    <row r="209" spans="3:6">
      <c r="C209">
        <v>5000561.72</v>
      </c>
      <c r="D209" t="str">
        <f t="shared" si="10"/>
        <v/>
      </c>
      <c r="E209" t="str">
        <f t="shared" si="11"/>
        <v/>
      </c>
      <c r="F209">
        <f t="shared" si="12"/>
        <v>5</v>
      </c>
    </row>
    <row r="210" spans="3:6">
      <c r="C210">
        <v>1728620</v>
      </c>
      <c r="D210" t="str">
        <f t="shared" si="10"/>
        <v/>
      </c>
      <c r="E210" t="str">
        <f t="shared" si="11"/>
        <v/>
      </c>
      <c r="F210">
        <f t="shared" si="12"/>
        <v>1.73</v>
      </c>
    </row>
    <row r="211" spans="3:6">
      <c r="C211">
        <v>4497258.3</v>
      </c>
      <c r="D211" t="str">
        <f t="shared" si="10"/>
        <v/>
      </c>
      <c r="E211" t="str">
        <f t="shared" si="11"/>
        <v/>
      </c>
      <c r="F211">
        <f t="shared" si="12"/>
        <v>4.5</v>
      </c>
    </row>
    <row r="212" spans="3:6">
      <c r="C212">
        <v>19183330</v>
      </c>
      <c r="D212" t="str">
        <f t="shared" si="10"/>
        <v/>
      </c>
      <c r="E212" t="str">
        <f t="shared" si="11"/>
        <v/>
      </c>
      <c r="F212">
        <f t="shared" si="12"/>
        <v>19.18</v>
      </c>
    </row>
    <row r="213" spans="3:6">
      <c r="C213">
        <v>46170.080000000002</v>
      </c>
      <c r="D213" t="str">
        <f t="shared" si="10"/>
        <v/>
      </c>
      <c r="E213" t="str">
        <f t="shared" si="11"/>
        <v/>
      </c>
      <c r="F213">
        <f t="shared" si="12"/>
        <v>0.05</v>
      </c>
    </row>
    <row r="214" spans="3:6">
      <c r="C214">
        <v>9954.8378267400003</v>
      </c>
      <c r="D214" t="str">
        <f t="shared" si="10"/>
        <v/>
      </c>
      <c r="E214" t="str">
        <f t="shared" si="11"/>
        <v/>
      </c>
      <c r="F214">
        <f t="shared" si="12"/>
        <v>0.01</v>
      </c>
    </row>
    <row r="215" spans="3:6">
      <c r="C215">
        <v>22740418.25502573</v>
      </c>
      <c r="D215" t="str">
        <f t="shared" si="10"/>
        <v/>
      </c>
      <c r="E215" t="str">
        <f t="shared" si="11"/>
        <v/>
      </c>
      <c r="F215">
        <f t="shared" si="12"/>
        <v>22.74</v>
      </c>
    </row>
    <row r="216" spans="3:6">
      <c r="C216">
        <v>515452.5</v>
      </c>
      <c r="D216" t="str">
        <f t="shared" si="10"/>
        <v/>
      </c>
      <c r="E216" t="str">
        <f t="shared" si="11"/>
        <v/>
      </c>
      <c r="F216">
        <f t="shared" si="12"/>
        <v>0.52</v>
      </c>
    </row>
    <row r="217" spans="3:6">
      <c r="C217">
        <v>1746005</v>
      </c>
      <c r="D217" t="str">
        <f t="shared" si="10"/>
        <v/>
      </c>
      <c r="E217" t="str">
        <f t="shared" si="11"/>
        <v/>
      </c>
      <c r="F217">
        <f t="shared" si="12"/>
        <v>1.75</v>
      </c>
    </row>
    <row r="218" spans="3:6">
      <c r="C218">
        <v>5043350</v>
      </c>
      <c r="D218" t="str">
        <f t="shared" si="10"/>
        <v/>
      </c>
      <c r="E218" t="str">
        <f t="shared" si="11"/>
        <v/>
      </c>
      <c r="F218">
        <f t="shared" si="12"/>
        <v>5.04</v>
      </c>
    </row>
    <row r="219" spans="3:6">
      <c r="C219">
        <v>19277946.19597096</v>
      </c>
      <c r="D219" t="str">
        <f t="shared" si="10"/>
        <v/>
      </c>
      <c r="E219" t="str">
        <f t="shared" si="11"/>
        <v/>
      </c>
      <c r="F219">
        <f t="shared" si="12"/>
        <v>19.28</v>
      </c>
    </row>
    <row r="220" spans="3:6">
      <c r="C220">
        <v>4497044.8204481797</v>
      </c>
      <c r="D220" t="str">
        <f t="shared" si="10"/>
        <v/>
      </c>
      <c r="E220" t="str">
        <f t="shared" si="11"/>
        <v/>
      </c>
      <c r="F220">
        <f t="shared" si="12"/>
        <v>4.5</v>
      </c>
    </row>
    <row r="221" spans="3:6">
      <c r="C221">
        <v>176330.59</v>
      </c>
      <c r="D221" t="str">
        <f t="shared" si="10"/>
        <v/>
      </c>
      <c r="E221" t="str">
        <f t="shared" si="11"/>
        <v/>
      </c>
      <c r="F221">
        <f t="shared" si="12"/>
        <v>0.18</v>
      </c>
    </row>
    <row r="222" spans="3:6">
      <c r="C222">
        <v>170642.5</v>
      </c>
      <c r="D222" t="str">
        <f t="shared" si="10"/>
        <v/>
      </c>
      <c r="E222" t="str">
        <f t="shared" si="11"/>
        <v/>
      </c>
      <c r="F222">
        <f t="shared" si="12"/>
        <v>0.17</v>
      </c>
    </row>
    <row r="223" spans="3:6">
      <c r="C223">
        <v>49797.5</v>
      </c>
      <c r="D223" t="str">
        <f t="shared" si="10"/>
        <v/>
      </c>
      <c r="E223" t="str">
        <f t="shared" si="11"/>
        <v/>
      </c>
      <c r="F223">
        <f t="shared" si="12"/>
        <v>0.05</v>
      </c>
    </row>
    <row r="224" spans="3:6">
      <c r="C224">
        <v>176330.59</v>
      </c>
      <c r="D224" t="str">
        <f t="shared" si="10"/>
        <v/>
      </c>
      <c r="E224" t="str">
        <f t="shared" si="11"/>
        <v/>
      </c>
      <c r="F224">
        <f t="shared" si="12"/>
        <v>0.18</v>
      </c>
    </row>
    <row r="225" spans="3:6">
      <c r="C225">
        <v>616111.97</v>
      </c>
      <c r="D225" t="str">
        <f t="shared" si="10"/>
        <v/>
      </c>
      <c r="E225" t="str">
        <f t="shared" si="11"/>
        <v/>
      </c>
      <c r="F225">
        <f t="shared" si="12"/>
        <v>0.62</v>
      </c>
    </row>
    <row r="226" spans="3:6">
      <c r="C226">
        <v>19501926.5</v>
      </c>
      <c r="D226" t="str">
        <f t="shared" si="10"/>
        <v/>
      </c>
      <c r="E226" t="str">
        <f t="shared" si="11"/>
        <v/>
      </c>
      <c r="F226">
        <f t="shared" si="12"/>
        <v>19.5</v>
      </c>
    </row>
    <row r="227" spans="3:6">
      <c r="C227">
        <v>608912.81999999995</v>
      </c>
      <c r="D227" t="str">
        <f t="shared" si="10"/>
        <v/>
      </c>
      <c r="E227" t="str">
        <f t="shared" si="11"/>
        <v/>
      </c>
      <c r="F227">
        <f t="shared" si="12"/>
        <v>0.61</v>
      </c>
    </row>
    <row r="228" spans="3:6">
      <c r="C228">
        <v>182018.66</v>
      </c>
      <c r="D228" t="str">
        <f t="shared" si="10"/>
        <v/>
      </c>
      <c r="E228" t="str">
        <f t="shared" si="11"/>
        <v/>
      </c>
      <c r="F228">
        <f t="shared" si="12"/>
        <v>0.18</v>
      </c>
    </row>
    <row r="229" spans="3:6">
      <c r="C229">
        <v>159266.32999999999</v>
      </c>
      <c r="D229" t="str">
        <f t="shared" si="10"/>
        <v/>
      </c>
      <c r="E229" t="str">
        <f t="shared" si="11"/>
        <v/>
      </c>
      <c r="F229">
        <f t="shared" si="12"/>
        <v>0.16</v>
      </c>
    </row>
    <row r="230" spans="3:6">
      <c r="C230">
        <v>46170.080000000002</v>
      </c>
      <c r="D230" t="str">
        <f t="shared" si="10"/>
        <v/>
      </c>
      <c r="E230" t="str">
        <f t="shared" si="11"/>
        <v/>
      </c>
      <c r="F230">
        <f t="shared" si="12"/>
        <v>0.05</v>
      </c>
    </row>
    <row r="231" spans="3:6">
      <c r="C231">
        <v>265490.17</v>
      </c>
      <c r="D231" t="str">
        <f t="shared" si="10"/>
        <v/>
      </c>
      <c r="E231" t="str">
        <f t="shared" si="11"/>
        <v/>
      </c>
      <c r="F231">
        <f t="shared" si="12"/>
        <v>0.27</v>
      </c>
    </row>
    <row r="232" spans="3:6">
      <c r="C232">
        <v>62715765.649999999</v>
      </c>
      <c r="D232" t="str">
        <f t="shared" si="10"/>
        <v/>
      </c>
      <c r="E232" t="str">
        <f t="shared" si="11"/>
        <v/>
      </c>
      <c r="F232">
        <f t="shared" si="12"/>
        <v>62.72</v>
      </c>
    </row>
    <row r="233" spans="3:6">
      <c r="C233">
        <v>235023.91</v>
      </c>
      <c r="D233" t="str">
        <f t="shared" si="10"/>
        <v/>
      </c>
      <c r="E233" t="str">
        <f t="shared" si="11"/>
        <v/>
      </c>
      <c r="F233">
        <f t="shared" si="12"/>
        <v>0.24</v>
      </c>
    </row>
    <row r="234" spans="3:6">
      <c r="C234">
        <v>6701239.2800000003</v>
      </c>
      <c r="D234" t="str">
        <f t="shared" si="10"/>
        <v/>
      </c>
      <c r="E234" t="str">
        <f t="shared" si="11"/>
        <v/>
      </c>
      <c r="F234">
        <f t="shared" si="12"/>
        <v>6.7</v>
      </c>
    </row>
    <row r="235" spans="3:6">
      <c r="C235">
        <v>10814.63</v>
      </c>
      <c r="D235" t="str">
        <f t="shared" si="10"/>
        <v/>
      </c>
      <c r="E235" t="str">
        <f t="shared" si="11"/>
        <v/>
      </c>
      <c r="F235">
        <f t="shared" si="12"/>
        <v>0.01</v>
      </c>
    </row>
    <row r="236" spans="3:6">
      <c r="C236">
        <v>65459.93</v>
      </c>
      <c r="D236" t="str">
        <f t="shared" si="10"/>
        <v/>
      </c>
      <c r="E236" t="str">
        <f t="shared" si="11"/>
        <v/>
      </c>
      <c r="F236">
        <f t="shared" si="12"/>
        <v>7.0000000000000007E-2</v>
      </c>
    </row>
    <row r="237" spans="3:6">
      <c r="C237">
        <v>5144481302.5600004</v>
      </c>
      <c r="D237" t="str">
        <f t="shared" si="10"/>
        <v/>
      </c>
      <c r="E237" t="str">
        <f t="shared" si="11"/>
        <v/>
      </c>
      <c r="F237">
        <f t="shared" si="12"/>
        <v>5144.4799999999996</v>
      </c>
    </row>
    <row r="238" spans="3:6">
      <c r="C238">
        <v>6529053292.75</v>
      </c>
      <c r="D238" t="str">
        <f t="shared" si="10"/>
        <v/>
      </c>
      <c r="E238" t="str">
        <f t="shared" si="11"/>
        <v/>
      </c>
      <c r="F238">
        <f t="shared" si="12"/>
        <v>6529.05</v>
      </c>
    </row>
    <row r="239" spans="3:6">
      <c r="C239">
        <v>1324755053.73</v>
      </c>
      <c r="D239" t="str">
        <f t="shared" si="10"/>
        <v/>
      </c>
      <c r="E239" t="str">
        <f t="shared" si="11"/>
        <v/>
      </c>
      <c r="F239">
        <f t="shared" si="12"/>
        <v>1324.76</v>
      </c>
    </row>
    <row r="240" spans="3:6">
      <c r="C240">
        <v>1256899389.5599999</v>
      </c>
      <c r="D240" t="str">
        <f t="shared" si="10"/>
        <v/>
      </c>
      <c r="E240" t="str">
        <f t="shared" si="11"/>
        <v/>
      </c>
      <c r="F240">
        <f t="shared" si="12"/>
        <v>1256.9000000000001</v>
      </c>
    </row>
    <row r="241" spans="3:6">
      <c r="C241">
        <v>2054625995.6300001</v>
      </c>
      <c r="D241" t="str">
        <f t="shared" si="10"/>
        <v/>
      </c>
      <c r="E241" t="str">
        <f t="shared" si="11"/>
        <v/>
      </c>
      <c r="F241">
        <f t="shared" si="12"/>
        <v>2054.63</v>
      </c>
    </row>
    <row r="242" spans="3:6">
      <c r="C242">
        <v>1277427002.8399999</v>
      </c>
      <c r="D242" t="str">
        <f t="shared" si="10"/>
        <v/>
      </c>
      <c r="E242" t="str">
        <f t="shared" si="11"/>
        <v/>
      </c>
      <c r="F242">
        <f t="shared" si="12"/>
        <v>1277.43</v>
      </c>
    </row>
    <row r="243" spans="3:6">
      <c r="C243">
        <v>527877821.37</v>
      </c>
      <c r="D243" t="str">
        <f t="shared" si="10"/>
        <v/>
      </c>
      <c r="E243" t="str">
        <f t="shared" si="11"/>
        <v/>
      </c>
      <c r="F243">
        <f t="shared" si="12"/>
        <v>527.88</v>
      </c>
    </row>
    <row r="244" spans="3:6">
      <c r="C244">
        <v>1393793.47</v>
      </c>
      <c r="D244" t="str">
        <f t="shared" si="10"/>
        <v/>
      </c>
      <c r="E244" t="str">
        <f t="shared" si="11"/>
        <v/>
      </c>
      <c r="F244">
        <f t="shared" si="12"/>
        <v>1.39</v>
      </c>
    </row>
    <row r="245" spans="3:6">
      <c r="C245">
        <v>13290578.789999999</v>
      </c>
      <c r="D245" t="str">
        <f t="shared" si="10"/>
        <v/>
      </c>
      <c r="E245" t="str">
        <f t="shared" si="11"/>
        <v/>
      </c>
      <c r="F245">
        <f t="shared" si="12"/>
        <v>13.29</v>
      </c>
    </row>
    <row r="246" spans="3:6">
      <c r="C246">
        <v>62988.17</v>
      </c>
      <c r="D246" t="str">
        <f t="shared" si="10"/>
        <v/>
      </c>
      <c r="E246" t="str">
        <f t="shared" si="11"/>
        <v/>
      </c>
      <c r="F246">
        <f t="shared" si="12"/>
        <v>0.06</v>
      </c>
    </row>
    <row r="247" spans="3:6">
      <c r="C247">
        <v>11119927.51</v>
      </c>
      <c r="D247" t="str">
        <f t="shared" si="10"/>
        <v/>
      </c>
      <c r="E247" t="str">
        <f t="shared" si="11"/>
        <v/>
      </c>
      <c r="F247">
        <f t="shared" si="12"/>
        <v>11.12</v>
      </c>
    </row>
    <row r="248" spans="3:6">
      <c r="C248">
        <v>3550743.71</v>
      </c>
      <c r="D248" t="str">
        <f t="shared" si="10"/>
        <v/>
      </c>
      <c r="E248" t="str">
        <f t="shared" si="11"/>
        <v/>
      </c>
      <c r="F248">
        <f t="shared" si="12"/>
        <v>3.55</v>
      </c>
    </row>
    <row r="249" spans="3:6">
      <c r="C249">
        <v>11140.18</v>
      </c>
      <c r="D249" t="str">
        <f t="shared" si="10"/>
        <v/>
      </c>
      <c r="E249" t="str">
        <f t="shared" si="11"/>
        <v/>
      </c>
      <c r="F249">
        <f t="shared" si="12"/>
        <v>0.01</v>
      </c>
    </row>
    <row r="250" spans="3:6">
      <c r="C250">
        <v>124301.69</v>
      </c>
      <c r="D250" t="str">
        <f t="shared" si="10"/>
        <v/>
      </c>
      <c r="E250" t="str">
        <f t="shared" si="11"/>
        <v/>
      </c>
      <c r="F250">
        <f t="shared" si="12"/>
        <v>0.12</v>
      </c>
    </row>
    <row r="251" spans="3:6">
      <c r="C251">
        <v>4245197.2</v>
      </c>
      <c r="D251" t="str">
        <f t="shared" si="10"/>
        <v/>
      </c>
      <c r="E251" t="str">
        <f t="shared" si="11"/>
        <v/>
      </c>
      <c r="F251">
        <f t="shared" si="12"/>
        <v>4.25</v>
      </c>
    </row>
    <row r="252" spans="3:6">
      <c r="C252">
        <v>7948745.9299999997</v>
      </c>
      <c r="D252" t="str">
        <f t="shared" si="10"/>
        <v/>
      </c>
      <c r="E252" t="str">
        <f t="shared" si="11"/>
        <v/>
      </c>
      <c r="F252">
        <f t="shared" si="12"/>
        <v>7.95</v>
      </c>
    </row>
    <row r="253" spans="3:6">
      <c r="C253">
        <v>65647.06</v>
      </c>
      <c r="D253" t="str">
        <f t="shared" si="10"/>
        <v/>
      </c>
      <c r="E253" t="str">
        <f t="shared" si="11"/>
        <v/>
      </c>
      <c r="F253">
        <f t="shared" si="12"/>
        <v>7.0000000000000007E-2</v>
      </c>
    </row>
    <row r="254" spans="3:6">
      <c r="C254">
        <v>2672511.7200000002</v>
      </c>
      <c r="D254" t="str">
        <f t="shared" si="10"/>
        <v/>
      </c>
      <c r="E254" t="str">
        <f t="shared" si="11"/>
        <v/>
      </c>
      <c r="F254">
        <f t="shared" si="12"/>
        <v>2.67</v>
      </c>
    </row>
    <row r="255" spans="3:6">
      <c r="C255">
        <v>18933788.780000001</v>
      </c>
      <c r="D255" t="str">
        <f t="shared" si="10"/>
        <v/>
      </c>
      <c r="E255" t="str">
        <f t="shared" si="11"/>
        <v/>
      </c>
      <c r="F255">
        <f t="shared" si="12"/>
        <v>18.93</v>
      </c>
    </row>
    <row r="256" spans="3:6">
      <c r="C256">
        <v>152436.21</v>
      </c>
      <c r="D256" t="str">
        <f t="shared" si="10"/>
        <v/>
      </c>
      <c r="E256" t="str">
        <f t="shared" si="11"/>
        <v/>
      </c>
      <c r="F256">
        <f t="shared" si="12"/>
        <v>0.15</v>
      </c>
    </row>
    <row r="257" spans="3:6">
      <c r="C257">
        <v>195934.16</v>
      </c>
      <c r="D257" t="str">
        <f t="shared" si="10"/>
        <v/>
      </c>
      <c r="E257" t="str">
        <f t="shared" si="11"/>
        <v/>
      </c>
      <c r="F257">
        <f t="shared" si="12"/>
        <v>0.2</v>
      </c>
    </row>
    <row r="258" spans="3:6">
      <c r="C258">
        <v>4034625.13</v>
      </c>
      <c r="D258" t="str">
        <f t="shared" si="10"/>
        <v/>
      </c>
      <c r="E258" t="str">
        <f t="shared" si="11"/>
        <v/>
      </c>
      <c r="F258">
        <f t="shared" si="12"/>
        <v>4.03</v>
      </c>
    </row>
    <row r="259" spans="3:6">
      <c r="C259">
        <v>1770882.3</v>
      </c>
      <c r="D259" t="str">
        <f t="shared" ref="D259:D322" si="13">IF(A259="","",ROUND(A259/$J$2,2))</f>
        <v/>
      </c>
      <c r="E259" t="str">
        <f t="shared" ref="E259:E322" si="14">IF(B259="","",ROUND(B259/$J$2,2))</f>
        <v/>
      </c>
      <c r="F259">
        <f t="shared" ref="F259:F322" si="15">IF(C259="","",ROUND(C259/$J$2,2))</f>
        <v>1.77</v>
      </c>
    </row>
    <row r="260" spans="3:6">
      <c r="C260">
        <v>905.57</v>
      </c>
      <c r="D260" t="str">
        <f t="shared" si="13"/>
        <v/>
      </c>
      <c r="E260" t="str">
        <f t="shared" si="14"/>
        <v/>
      </c>
      <c r="F260">
        <f t="shared" si="15"/>
        <v>0</v>
      </c>
    </row>
    <row r="261" spans="3:6">
      <c r="C261">
        <v>402675.28</v>
      </c>
      <c r="D261" t="str">
        <f t="shared" si="13"/>
        <v/>
      </c>
      <c r="E261" t="str">
        <f t="shared" si="14"/>
        <v/>
      </c>
      <c r="F261">
        <f t="shared" si="15"/>
        <v>0.4</v>
      </c>
    </row>
    <row r="262" spans="3:6">
      <c r="C262">
        <v>383678.34</v>
      </c>
      <c r="D262" t="str">
        <f t="shared" si="13"/>
        <v/>
      </c>
      <c r="E262" t="str">
        <f t="shared" si="14"/>
        <v/>
      </c>
      <c r="F262">
        <f t="shared" si="15"/>
        <v>0.38</v>
      </c>
    </row>
    <row r="263" spans="3:6">
      <c r="C263">
        <v>183123.12</v>
      </c>
      <c r="D263" t="str">
        <f t="shared" si="13"/>
        <v/>
      </c>
      <c r="E263" t="str">
        <f t="shared" si="14"/>
        <v/>
      </c>
      <c r="F263">
        <f t="shared" si="15"/>
        <v>0.18</v>
      </c>
    </row>
    <row r="264" spans="3:6">
      <c r="C264">
        <v>247562.78</v>
      </c>
      <c r="D264" t="str">
        <f t="shared" si="13"/>
        <v/>
      </c>
      <c r="E264" t="str">
        <f t="shared" si="14"/>
        <v/>
      </c>
      <c r="F264">
        <f t="shared" si="15"/>
        <v>0.25</v>
      </c>
    </row>
    <row r="265" spans="3:6">
      <c r="C265">
        <v>2480194.9900000002</v>
      </c>
      <c r="D265" t="str">
        <f t="shared" si="13"/>
        <v/>
      </c>
      <c r="E265" t="str">
        <f t="shared" si="14"/>
        <v/>
      </c>
      <c r="F265">
        <f t="shared" si="15"/>
        <v>2.48</v>
      </c>
    </row>
    <row r="266" spans="3:6">
      <c r="C266">
        <v>117580.53</v>
      </c>
      <c r="D266" t="str">
        <f t="shared" si="13"/>
        <v/>
      </c>
      <c r="E266" t="str">
        <f t="shared" si="14"/>
        <v/>
      </c>
      <c r="F266">
        <f t="shared" si="15"/>
        <v>0.12</v>
      </c>
    </row>
    <row r="267" spans="3:6">
      <c r="C267">
        <v>2973.21</v>
      </c>
      <c r="D267" t="str">
        <f t="shared" si="13"/>
        <v/>
      </c>
      <c r="E267" t="str">
        <f t="shared" si="14"/>
        <v/>
      </c>
      <c r="F267">
        <f t="shared" si="15"/>
        <v>0</v>
      </c>
    </row>
    <row r="268" spans="3:6">
      <c r="C268">
        <v>150165.04</v>
      </c>
      <c r="D268" t="str">
        <f t="shared" si="13"/>
        <v/>
      </c>
      <c r="E268" t="str">
        <f t="shared" si="14"/>
        <v/>
      </c>
      <c r="F268">
        <f t="shared" si="15"/>
        <v>0.15</v>
      </c>
    </row>
    <row r="269" spans="3:6">
      <c r="C269">
        <v>58717.68</v>
      </c>
      <c r="D269" t="str">
        <f t="shared" si="13"/>
        <v/>
      </c>
      <c r="E269" t="str">
        <f t="shared" si="14"/>
        <v/>
      </c>
      <c r="F269">
        <f t="shared" si="15"/>
        <v>0.06</v>
      </c>
    </row>
    <row r="270" spans="3:6">
      <c r="C270">
        <v>465084.38</v>
      </c>
      <c r="D270" t="str">
        <f t="shared" si="13"/>
        <v/>
      </c>
      <c r="E270" t="str">
        <f t="shared" si="14"/>
        <v/>
      </c>
      <c r="F270">
        <f t="shared" si="15"/>
        <v>0.47</v>
      </c>
    </row>
    <row r="271" spans="3:6">
      <c r="C271">
        <v>56209.68</v>
      </c>
      <c r="D271" t="str">
        <f t="shared" si="13"/>
        <v/>
      </c>
      <c r="E271" t="str">
        <f t="shared" si="14"/>
        <v/>
      </c>
      <c r="F271">
        <f t="shared" si="15"/>
        <v>0.06</v>
      </c>
    </row>
    <row r="272" spans="3:6">
      <c r="C272">
        <v>6192244.2000000002</v>
      </c>
      <c r="D272" t="str">
        <f t="shared" si="13"/>
        <v/>
      </c>
      <c r="E272" t="str">
        <f t="shared" si="14"/>
        <v/>
      </c>
      <c r="F272">
        <f t="shared" si="15"/>
        <v>6.19</v>
      </c>
    </row>
    <row r="273" spans="3:6">
      <c r="C273">
        <v>2990878.98</v>
      </c>
      <c r="D273" t="str">
        <f t="shared" si="13"/>
        <v/>
      </c>
      <c r="E273" t="str">
        <f t="shared" si="14"/>
        <v/>
      </c>
      <c r="F273">
        <f t="shared" si="15"/>
        <v>2.99</v>
      </c>
    </row>
    <row r="274" spans="3:6">
      <c r="C274">
        <v>14405.79</v>
      </c>
      <c r="D274" t="str">
        <f t="shared" si="13"/>
        <v/>
      </c>
      <c r="E274" t="str">
        <f t="shared" si="14"/>
        <v/>
      </c>
      <c r="F274">
        <f t="shared" si="15"/>
        <v>0.01</v>
      </c>
    </row>
    <row r="275" spans="3:6">
      <c r="C275">
        <v>31640.44</v>
      </c>
      <c r="D275" t="str">
        <f t="shared" si="13"/>
        <v/>
      </c>
      <c r="E275" t="str">
        <f t="shared" si="14"/>
        <v/>
      </c>
      <c r="F275">
        <f t="shared" si="15"/>
        <v>0.03</v>
      </c>
    </row>
    <row r="276" spans="3:6">
      <c r="C276">
        <v>180658</v>
      </c>
      <c r="D276" t="str">
        <f t="shared" si="13"/>
        <v/>
      </c>
      <c r="E276" t="str">
        <f t="shared" si="14"/>
        <v/>
      </c>
      <c r="F276">
        <f t="shared" si="15"/>
        <v>0.18</v>
      </c>
    </row>
    <row r="277" spans="3:6">
      <c r="C277">
        <v>16116.34</v>
      </c>
      <c r="D277" t="str">
        <f t="shared" si="13"/>
        <v/>
      </c>
      <c r="E277" t="str">
        <f t="shared" si="14"/>
        <v/>
      </c>
      <c r="F277">
        <f t="shared" si="15"/>
        <v>0.02</v>
      </c>
    </row>
    <row r="278" spans="3:6">
      <c r="C278">
        <v>144658.48000000001</v>
      </c>
      <c r="D278" t="str">
        <f t="shared" si="13"/>
        <v/>
      </c>
      <c r="E278" t="str">
        <f t="shared" si="14"/>
        <v/>
      </c>
      <c r="F278">
        <f t="shared" si="15"/>
        <v>0.14000000000000001</v>
      </c>
    </row>
    <row r="279" spans="3:6">
      <c r="C279">
        <v>1246.0899999999999</v>
      </c>
      <c r="D279" t="str">
        <f t="shared" si="13"/>
        <v/>
      </c>
      <c r="E279" t="str">
        <f t="shared" si="14"/>
        <v/>
      </c>
      <c r="F279">
        <f t="shared" si="15"/>
        <v>0</v>
      </c>
    </row>
    <row r="280" spans="3:6">
      <c r="C280">
        <v>63488.43</v>
      </c>
      <c r="D280" t="str">
        <f t="shared" si="13"/>
        <v/>
      </c>
      <c r="E280" t="str">
        <f t="shared" si="14"/>
        <v/>
      </c>
      <c r="F280">
        <f t="shared" si="15"/>
        <v>0.06</v>
      </c>
    </row>
    <row r="281" spans="3:6">
      <c r="C281">
        <v>80315.98</v>
      </c>
      <c r="D281" t="str">
        <f t="shared" si="13"/>
        <v/>
      </c>
      <c r="E281" t="str">
        <f t="shared" si="14"/>
        <v/>
      </c>
      <c r="F281">
        <f t="shared" si="15"/>
        <v>0.08</v>
      </c>
    </row>
    <row r="282" spans="3:6">
      <c r="C282">
        <v>72379.63</v>
      </c>
      <c r="D282" t="str">
        <f t="shared" si="13"/>
        <v/>
      </c>
      <c r="E282" t="str">
        <f t="shared" si="14"/>
        <v/>
      </c>
      <c r="F282">
        <f t="shared" si="15"/>
        <v>7.0000000000000007E-2</v>
      </c>
    </row>
    <row r="283" spans="3:6">
      <c r="C283">
        <v>79464.160000000003</v>
      </c>
      <c r="D283" t="str">
        <f t="shared" si="13"/>
        <v/>
      </c>
      <c r="E283" t="str">
        <f t="shared" si="14"/>
        <v/>
      </c>
      <c r="F283">
        <f t="shared" si="15"/>
        <v>0.08</v>
      </c>
    </row>
    <row r="284" spans="3:6">
      <c r="C284">
        <v>5042.37</v>
      </c>
      <c r="D284" t="str">
        <f t="shared" si="13"/>
        <v/>
      </c>
      <c r="E284" t="str">
        <f t="shared" si="14"/>
        <v/>
      </c>
      <c r="F284">
        <f t="shared" si="15"/>
        <v>0.01</v>
      </c>
    </row>
    <row r="285" spans="3:6">
      <c r="C285">
        <v>25206.67</v>
      </c>
      <c r="D285" t="str">
        <f t="shared" si="13"/>
        <v/>
      </c>
      <c r="E285" t="str">
        <f t="shared" si="14"/>
        <v/>
      </c>
      <c r="F285">
        <f t="shared" si="15"/>
        <v>0.03</v>
      </c>
    </row>
    <row r="286" spans="3:6">
      <c r="C286">
        <v>25101.39</v>
      </c>
      <c r="D286" t="str">
        <f t="shared" si="13"/>
        <v/>
      </c>
      <c r="E286" t="str">
        <f t="shared" si="14"/>
        <v/>
      </c>
      <c r="F286">
        <f t="shared" si="15"/>
        <v>0.03</v>
      </c>
    </row>
    <row r="287" spans="3:6">
      <c r="C287">
        <v>94420.43</v>
      </c>
      <c r="D287" t="str">
        <f t="shared" si="13"/>
        <v/>
      </c>
      <c r="E287" t="str">
        <f t="shared" si="14"/>
        <v/>
      </c>
      <c r="F287">
        <f t="shared" si="15"/>
        <v>0.09</v>
      </c>
    </row>
    <row r="288" spans="3:6">
      <c r="C288">
        <v>136895.42000000001</v>
      </c>
      <c r="D288" t="str">
        <f t="shared" si="13"/>
        <v/>
      </c>
      <c r="E288" t="str">
        <f t="shared" si="14"/>
        <v/>
      </c>
      <c r="F288">
        <f t="shared" si="15"/>
        <v>0.14000000000000001</v>
      </c>
    </row>
    <row r="289" spans="3:6">
      <c r="C289">
        <v>151255.5</v>
      </c>
      <c r="D289" t="str">
        <f t="shared" si="13"/>
        <v/>
      </c>
      <c r="E289" t="str">
        <f t="shared" si="14"/>
        <v/>
      </c>
      <c r="F289">
        <f t="shared" si="15"/>
        <v>0.15</v>
      </c>
    </row>
    <row r="290" spans="3:6">
      <c r="C290">
        <v>5594.07</v>
      </c>
      <c r="D290" t="str">
        <f t="shared" si="13"/>
        <v/>
      </c>
      <c r="E290" t="str">
        <f t="shared" si="14"/>
        <v/>
      </c>
      <c r="F290">
        <f t="shared" si="15"/>
        <v>0.01</v>
      </c>
    </row>
    <row r="291" spans="3:6">
      <c r="C291">
        <v>1509901.15</v>
      </c>
      <c r="D291" t="str">
        <f t="shared" si="13"/>
        <v/>
      </c>
      <c r="E291" t="str">
        <f t="shared" si="14"/>
        <v/>
      </c>
      <c r="F291">
        <f t="shared" si="15"/>
        <v>1.51</v>
      </c>
    </row>
    <row r="292" spans="3:6">
      <c r="C292">
        <v>267000</v>
      </c>
      <c r="D292" t="str">
        <f t="shared" si="13"/>
        <v/>
      </c>
      <c r="E292" t="str">
        <f t="shared" si="14"/>
        <v/>
      </c>
      <c r="F292">
        <f t="shared" si="15"/>
        <v>0.27</v>
      </c>
    </row>
    <row r="293" spans="3:6">
      <c r="C293">
        <v>3079841.51</v>
      </c>
      <c r="D293" t="str">
        <f t="shared" si="13"/>
        <v/>
      </c>
      <c r="E293" t="str">
        <f t="shared" si="14"/>
        <v/>
      </c>
      <c r="F293">
        <f t="shared" si="15"/>
        <v>3.08</v>
      </c>
    </row>
    <row r="294" spans="3:6">
      <c r="C294">
        <v>1004159.66</v>
      </c>
      <c r="D294" t="str">
        <f t="shared" si="13"/>
        <v/>
      </c>
      <c r="E294" t="str">
        <f t="shared" si="14"/>
        <v/>
      </c>
      <c r="F294">
        <f t="shared" si="15"/>
        <v>1</v>
      </c>
    </row>
    <row r="295" spans="3:6">
      <c r="C295">
        <v>2729524.26</v>
      </c>
      <c r="D295" t="str">
        <f t="shared" si="13"/>
        <v/>
      </c>
      <c r="E295" t="str">
        <f t="shared" si="14"/>
        <v/>
      </c>
      <c r="F295">
        <f t="shared" si="15"/>
        <v>2.73</v>
      </c>
    </row>
    <row r="296" spans="3:6">
      <c r="C296">
        <v>1361391.53</v>
      </c>
      <c r="D296" t="str">
        <f t="shared" si="13"/>
        <v/>
      </c>
      <c r="E296" t="str">
        <f t="shared" si="14"/>
        <v/>
      </c>
      <c r="F296">
        <f t="shared" si="15"/>
        <v>1.36</v>
      </c>
    </row>
    <row r="297" spans="3:6">
      <c r="C297">
        <v>44233.17</v>
      </c>
      <c r="D297" t="str">
        <f t="shared" si="13"/>
        <v/>
      </c>
      <c r="E297" t="str">
        <f t="shared" si="14"/>
        <v/>
      </c>
      <c r="F297">
        <f t="shared" si="15"/>
        <v>0.04</v>
      </c>
    </row>
    <row r="298" spans="3:6">
      <c r="C298">
        <v>3809142.69</v>
      </c>
      <c r="D298" t="str">
        <f t="shared" si="13"/>
        <v/>
      </c>
      <c r="E298" t="str">
        <f t="shared" si="14"/>
        <v/>
      </c>
      <c r="F298">
        <f t="shared" si="15"/>
        <v>3.81</v>
      </c>
    </row>
    <row r="299" spans="3:6">
      <c r="C299">
        <v>1453500</v>
      </c>
      <c r="D299" t="str">
        <f t="shared" si="13"/>
        <v/>
      </c>
      <c r="E299" t="str">
        <f t="shared" si="14"/>
        <v/>
      </c>
      <c r="F299">
        <f t="shared" si="15"/>
        <v>1.45</v>
      </c>
    </row>
    <row r="300" spans="3:6">
      <c r="C300">
        <v>20733.61</v>
      </c>
      <c r="D300" t="str">
        <f t="shared" si="13"/>
        <v/>
      </c>
      <c r="E300" t="str">
        <f t="shared" si="14"/>
        <v/>
      </c>
      <c r="F300">
        <f t="shared" si="15"/>
        <v>0.02</v>
      </c>
    </row>
    <row r="301" spans="3:6">
      <c r="C301">
        <v>17310616.449999999</v>
      </c>
      <c r="D301" t="str">
        <f t="shared" si="13"/>
        <v/>
      </c>
      <c r="E301" t="str">
        <f t="shared" si="14"/>
        <v/>
      </c>
      <c r="F301">
        <f t="shared" si="15"/>
        <v>17.309999999999999</v>
      </c>
    </row>
    <row r="302" spans="3:6">
      <c r="C302">
        <v>31243190.120000001</v>
      </c>
      <c r="D302" t="str">
        <f t="shared" si="13"/>
        <v/>
      </c>
      <c r="E302" t="str">
        <f t="shared" si="14"/>
        <v/>
      </c>
      <c r="F302">
        <f t="shared" si="15"/>
        <v>31.24</v>
      </c>
    </row>
    <row r="303" spans="3:6">
      <c r="C303">
        <v>106724.18</v>
      </c>
      <c r="D303" t="str">
        <f t="shared" si="13"/>
        <v/>
      </c>
      <c r="E303" t="str">
        <f t="shared" si="14"/>
        <v/>
      </c>
      <c r="F303">
        <f t="shared" si="15"/>
        <v>0.11</v>
      </c>
    </row>
    <row r="304" spans="3:6">
      <c r="C304">
        <v>24110060.539999999</v>
      </c>
      <c r="D304" t="str">
        <f t="shared" si="13"/>
        <v/>
      </c>
      <c r="E304" t="str">
        <f t="shared" si="14"/>
        <v/>
      </c>
      <c r="F304">
        <f t="shared" si="15"/>
        <v>24.11</v>
      </c>
    </row>
    <row r="305" spans="3:6">
      <c r="C305">
        <v>59380.84</v>
      </c>
      <c r="D305" t="str">
        <f t="shared" si="13"/>
        <v/>
      </c>
      <c r="E305" t="str">
        <f t="shared" si="14"/>
        <v/>
      </c>
      <c r="F305">
        <f t="shared" si="15"/>
        <v>0.06</v>
      </c>
    </row>
    <row r="306" spans="3:6">
      <c r="C306">
        <v>3773776.4</v>
      </c>
      <c r="D306" t="str">
        <f t="shared" si="13"/>
        <v/>
      </c>
      <c r="E306" t="str">
        <f t="shared" si="14"/>
        <v/>
      </c>
      <c r="F306">
        <f t="shared" si="15"/>
        <v>3.77</v>
      </c>
    </row>
    <row r="307" spans="3:6">
      <c r="C307">
        <v>19018.47</v>
      </c>
      <c r="D307" t="str">
        <f t="shared" si="13"/>
        <v/>
      </c>
      <c r="E307" t="str">
        <f t="shared" si="14"/>
        <v/>
      </c>
      <c r="F307">
        <f t="shared" si="15"/>
        <v>0.02</v>
      </c>
    </row>
    <row r="308" spans="3:6">
      <c r="C308">
        <v>465017.03</v>
      </c>
      <c r="D308" t="str">
        <f t="shared" si="13"/>
        <v/>
      </c>
      <c r="E308" t="str">
        <f t="shared" si="14"/>
        <v/>
      </c>
      <c r="F308">
        <f t="shared" si="15"/>
        <v>0.47</v>
      </c>
    </row>
    <row r="309" spans="3:6">
      <c r="C309">
        <v>550515</v>
      </c>
      <c r="D309" t="str">
        <f t="shared" si="13"/>
        <v/>
      </c>
      <c r="E309" t="str">
        <f t="shared" si="14"/>
        <v/>
      </c>
      <c r="F309">
        <f t="shared" si="15"/>
        <v>0.55000000000000004</v>
      </c>
    </row>
    <row r="310" spans="3:6">
      <c r="C310">
        <v>5142.26</v>
      </c>
      <c r="D310" t="str">
        <f t="shared" si="13"/>
        <v/>
      </c>
      <c r="E310" t="str">
        <f t="shared" si="14"/>
        <v/>
      </c>
      <c r="F310">
        <f t="shared" si="15"/>
        <v>0.01</v>
      </c>
    </row>
    <row r="311" spans="3:6">
      <c r="C311">
        <v>461452.67</v>
      </c>
      <c r="D311" t="str">
        <f t="shared" si="13"/>
        <v/>
      </c>
      <c r="E311" t="str">
        <f t="shared" si="14"/>
        <v/>
      </c>
      <c r="F311">
        <f t="shared" si="15"/>
        <v>0.46</v>
      </c>
    </row>
    <row r="312" spans="3:6">
      <c r="C312">
        <v>290000</v>
      </c>
      <c r="D312" t="str">
        <f t="shared" si="13"/>
        <v/>
      </c>
      <c r="E312" t="str">
        <f t="shared" si="14"/>
        <v/>
      </c>
      <c r="F312">
        <f t="shared" si="15"/>
        <v>0.28999999999999998</v>
      </c>
    </row>
    <row r="313" spans="3:6">
      <c r="C313">
        <v>20669.53</v>
      </c>
      <c r="D313" t="str">
        <f t="shared" si="13"/>
        <v/>
      </c>
      <c r="E313" t="str">
        <f t="shared" si="14"/>
        <v/>
      </c>
      <c r="F313">
        <f t="shared" si="15"/>
        <v>0.02</v>
      </c>
    </row>
    <row r="314" spans="3:6">
      <c r="C314">
        <v>462740.06</v>
      </c>
      <c r="D314" t="str">
        <f t="shared" si="13"/>
        <v/>
      </c>
      <c r="E314" t="str">
        <f t="shared" si="14"/>
        <v/>
      </c>
      <c r="F314">
        <f t="shared" si="15"/>
        <v>0.46</v>
      </c>
    </row>
    <row r="315" spans="3:6">
      <c r="C315">
        <v>10484.4</v>
      </c>
      <c r="D315" t="str">
        <f t="shared" si="13"/>
        <v/>
      </c>
      <c r="E315" t="str">
        <f t="shared" si="14"/>
        <v/>
      </c>
      <c r="F315">
        <f t="shared" si="15"/>
        <v>0.01</v>
      </c>
    </row>
    <row r="316" spans="3:6">
      <c r="C316">
        <v>10426.42</v>
      </c>
      <c r="D316" t="str">
        <f t="shared" si="13"/>
        <v/>
      </c>
      <c r="E316" t="str">
        <f t="shared" si="14"/>
        <v/>
      </c>
      <c r="F316">
        <f t="shared" si="15"/>
        <v>0.01</v>
      </c>
    </row>
    <row r="317" spans="3:6">
      <c r="C317">
        <v>4122.58</v>
      </c>
      <c r="D317" t="str">
        <f t="shared" si="13"/>
        <v/>
      </c>
      <c r="E317" t="str">
        <f t="shared" si="14"/>
        <v/>
      </c>
      <c r="F317">
        <f t="shared" si="15"/>
        <v>0</v>
      </c>
    </row>
    <row r="318" spans="3:6">
      <c r="C318">
        <v>475319.79</v>
      </c>
      <c r="D318" t="str">
        <f t="shared" si="13"/>
        <v/>
      </c>
      <c r="E318" t="str">
        <f t="shared" si="14"/>
        <v/>
      </c>
      <c r="F318">
        <f t="shared" si="15"/>
        <v>0.48</v>
      </c>
    </row>
    <row r="319" spans="3:6">
      <c r="C319">
        <v>36639.449999999997</v>
      </c>
      <c r="D319" t="str">
        <f t="shared" si="13"/>
        <v/>
      </c>
      <c r="E319" t="str">
        <f t="shared" si="14"/>
        <v/>
      </c>
      <c r="F319">
        <f t="shared" si="15"/>
        <v>0.04</v>
      </c>
    </row>
    <row r="320" spans="3:6">
      <c r="C320">
        <v>121613.03</v>
      </c>
      <c r="D320" t="str">
        <f t="shared" si="13"/>
        <v/>
      </c>
      <c r="E320" t="str">
        <f t="shared" si="14"/>
        <v/>
      </c>
      <c r="F320">
        <f t="shared" si="15"/>
        <v>0.12</v>
      </c>
    </row>
    <row r="321" spans="3:6">
      <c r="C321">
        <v>1587.78</v>
      </c>
      <c r="D321" t="str">
        <f t="shared" si="13"/>
        <v/>
      </c>
      <c r="E321" t="str">
        <f t="shared" si="14"/>
        <v/>
      </c>
      <c r="F321">
        <f t="shared" si="15"/>
        <v>0</v>
      </c>
    </row>
    <row r="322" spans="3:6">
      <c r="C322">
        <v>437643.93</v>
      </c>
      <c r="D322" t="str">
        <f t="shared" si="13"/>
        <v/>
      </c>
      <c r="E322" t="str">
        <f t="shared" si="14"/>
        <v/>
      </c>
      <c r="F322">
        <f t="shared" si="15"/>
        <v>0.44</v>
      </c>
    </row>
    <row r="323" spans="3:6">
      <c r="C323">
        <v>400000</v>
      </c>
      <c r="D323" t="str">
        <f t="shared" ref="D323:D386" si="16">IF(A323="","",ROUND(A323/$J$2,2))</f>
        <v/>
      </c>
      <c r="E323" t="str">
        <f t="shared" ref="E323:E386" si="17">IF(B323="","",ROUND(B323/$J$2,2))</f>
        <v/>
      </c>
      <c r="F323">
        <f t="shared" ref="F323:F386" si="18">IF(C323="","",ROUND(C323/$J$2,2))</f>
        <v>0.4</v>
      </c>
    </row>
    <row r="324" spans="3:6">
      <c r="C324">
        <v>284975.7</v>
      </c>
      <c r="D324" t="str">
        <f t="shared" si="16"/>
        <v/>
      </c>
      <c r="E324" t="str">
        <f t="shared" si="17"/>
        <v/>
      </c>
      <c r="F324">
        <f t="shared" si="18"/>
        <v>0.28000000000000003</v>
      </c>
    </row>
    <row r="325" spans="3:6">
      <c r="C325">
        <v>31057.3</v>
      </c>
      <c r="D325" t="str">
        <f t="shared" si="16"/>
        <v/>
      </c>
      <c r="E325" t="str">
        <f t="shared" si="17"/>
        <v/>
      </c>
      <c r="F325">
        <f t="shared" si="18"/>
        <v>0.03</v>
      </c>
    </row>
    <row r="326" spans="3:6">
      <c r="C326">
        <v>3224.92</v>
      </c>
      <c r="D326" t="str">
        <f t="shared" si="16"/>
        <v/>
      </c>
      <c r="E326" t="str">
        <f t="shared" si="17"/>
        <v/>
      </c>
      <c r="F326">
        <f t="shared" si="18"/>
        <v>0</v>
      </c>
    </row>
    <row r="327" spans="3:6">
      <c r="C327">
        <v>9961.9</v>
      </c>
      <c r="D327" t="str">
        <f t="shared" si="16"/>
        <v/>
      </c>
      <c r="E327" t="str">
        <f t="shared" si="17"/>
        <v/>
      </c>
      <c r="F327">
        <f t="shared" si="18"/>
        <v>0.01</v>
      </c>
    </row>
    <row r="328" spans="3:6">
      <c r="C328">
        <v>17303.259999999998</v>
      </c>
      <c r="D328" t="str">
        <f t="shared" si="16"/>
        <v/>
      </c>
      <c r="E328" t="str">
        <f t="shared" si="17"/>
        <v/>
      </c>
      <c r="F328">
        <f t="shared" si="18"/>
        <v>0.02</v>
      </c>
    </row>
    <row r="329" spans="3:6">
      <c r="C329">
        <v>5594.07</v>
      </c>
      <c r="D329" t="str">
        <f t="shared" si="16"/>
        <v/>
      </c>
      <c r="E329" t="str">
        <f t="shared" si="17"/>
        <v/>
      </c>
      <c r="F329">
        <f t="shared" si="18"/>
        <v>0.01</v>
      </c>
    </row>
    <row r="330" spans="3:6">
      <c r="C330">
        <v>302105.95</v>
      </c>
      <c r="D330" t="str">
        <f t="shared" si="16"/>
        <v/>
      </c>
      <c r="E330" t="str">
        <f t="shared" si="17"/>
        <v/>
      </c>
      <c r="F330">
        <f t="shared" si="18"/>
        <v>0.3</v>
      </c>
    </row>
    <row r="331" spans="3:6">
      <c r="C331">
        <v>956089.84</v>
      </c>
      <c r="D331" t="str">
        <f t="shared" si="16"/>
        <v/>
      </c>
      <c r="E331" t="str">
        <f t="shared" si="17"/>
        <v/>
      </c>
      <c r="F331">
        <f t="shared" si="18"/>
        <v>0.96</v>
      </c>
    </row>
    <row r="332" spans="3:6">
      <c r="C332">
        <v>103534.02</v>
      </c>
      <c r="D332" t="str">
        <f t="shared" si="16"/>
        <v/>
      </c>
      <c r="E332" t="str">
        <f t="shared" si="17"/>
        <v/>
      </c>
      <c r="F332">
        <f t="shared" si="18"/>
        <v>0.1</v>
      </c>
    </row>
    <row r="333" spans="3:6">
      <c r="C333">
        <v>300000</v>
      </c>
      <c r="D333" t="str">
        <f t="shared" si="16"/>
        <v/>
      </c>
      <c r="E333" t="str">
        <f t="shared" si="17"/>
        <v/>
      </c>
      <c r="F333">
        <f t="shared" si="18"/>
        <v>0.3</v>
      </c>
    </row>
    <row r="334" spans="3:6">
      <c r="C334">
        <v>400778.55</v>
      </c>
      <c r="D334" t="str">
        <f t="shared" si="16"/>
        <v/>
      </c>
      <c r="E334" t="str">
        <f t="shared" si="17"/>
        <v/>
      </c>
      <c r="F334">
        <f t="shared" si="18"/>
        <v>0.4</v>
      </c>
    </row>
    <row r="335" spans="3:6">
      <c r="C335">
        <v>552964.57999999996</v>
      </c>
      <c r="D335" t="str">
        <f t="shared" si="16"/>
        <v/>
      </c>
      <c r="E335" t="str">
        <f t="shared" si="17"/>
        <v/>
      </c>
      <c r="F335">
        <f t="shared" si="18"/>
        <v>0.55000000000000004</v>
      </c>
    </row>
    <row r="336" spans="3:6">
      <c r="C336">
        <v>505545.34</v>
      </c>
      <c r="D336" t="str">
        <f t="shared" si="16"/>
        <v/>
      </c>
      <c r="E336" t="str">
        <f t="shared" si="17"/>
        <v/>
      </c>
      <c r="F336">
        <f t="shared" si="18"/>
        <v>0.51</v>
      </c>
    </row>
    <row r="337" spans="3:6">
      <c r="C337">
        <v>5765227.3099999996</v>
      </c>
      <c r="D337" t="str">
        <f t="shared" si="16"/>
        <v/>
      </c>
      <c r="E337" t="str">
        <f t="shared" si="17"/>
        <v/>
      </c>
      <c r="F337">
        <f t="shared" si="18"/>
        <v>5.77</v>
      </c>
    </row>
    <row r="338" spans="3:6">
      <c r="C338">
        <v>3368554.28</v>
      </c>
      <c r="D338" t="str">
        <f t="shared" si="16"/>
        <v/>
      </c>
      <c r="E338" t="str">
        <f t="shared" si="17"/>
        <v/>
      </c>
      <c r="F338">
        <f t="shared" si="18"/>
        <v>3.37</v>
      </c>
    </row>
    <row r="339" spans="3:6">
      <c r="C339">
        <v>23530617.331080802</v>
      </c>
      <c r="D339" t="str">
        <f t="shared" si="16"/>
        <v/>
      </c>
      <c r="E339" t="str">
        <f t="shared" si="17"/>
        <v/>
      </c>
      <c r="F339">
        <f t="shared" si="18"/>
        <v>23.53</v>
      </c>
    </row>
    <row r="340" spans="3:6">
      <c r="C340">
        <v>2281434.15</v>
      </c>
      <c r="D340" t="str">
        <f t="shared" si="16"/>
        <v/>
      </c>
      <c r="E340" t="str">
        <f t="shared" si="17"/>
        <v/>
      </c>
      <c r="F340">
        <f t="shared" si="18"/>
        <v>2.2799999999999998</v>
      </c>
    </row>
    <row r="341" spans="3:6">
      <c r="C341">
        <v>1679585.38</v>
      </c>
      <c r="D341" t="str">
        <f t="shared" si="16"/>
        <v/>
      </c>
      <c r="E341" t="str">
        <f t="shared" si="17"/>
        <v/>
      </c>
      <c r="F341">
        <f t="shared" si="18"/>
        <v>1.68</v>
      </c>
    </row>
    <row r="342" spans="3:6">
      <c r="C342">
        <v>2238624.7200000002</v>
      </c>
      <c r="D342" t="str">
        <f t="shared" si="16"/>
        <v/>
      </c>
      <c r="E342" t="str">
        <f t="shared" si="17"/>
        <v/>
      </c>
      <c r="F342">
        <f t="shared" si="18"/>
        <v>2.2400000000000002</v>
      </c>
    </row>
    <row r="343" spans="3:6">
      <c r="C343">
        <v>55213.62</v>
      </c>
      <c r="D343" t="str">
        <f t="shared" si="16"/>
        <v/>
      </c>
      <c r="E343" t="str">
        <f t="shared" si="17"/>
        <v/>
      </c>
      <c r="F343">
        <f t="shared" si="18"/>
        <v>0.06</v>
      </c>
    </row>
    <row r="344" spans="3:6">
      <c r="C344">
        <v>1000</v>
      </c>
      <c r="D344" t="str">
        <f t="shared" si="16"/>
        <v/>
      </c>
      <c r="E344" t="str">
        <f t="shared" si="17"/>
        <v/>
      </c>
      <c r="F344">
        <f t="shared" si="18"/>
        <v>0</v>
      </c>
    </row>
    <row r="345" spans="3:6">
      <c r="C345">
        <v>2144309334.3956022</v>
      </c>
      <c r="D345" t="str">
        <f t="shared" si="16"/>
        <v/>
      </c>
      <c r="E345" t="str">
        <f t="shared" si="17"/>
        <v/>
      </c>
      <c r="F345">
        <f t="shared" si="18"/>
        <v>2144.31</v>
      </c>
    </row>
    <row r="346" spans="3:6">
      <c r="C346">
        <v>367558506.75999999</v>
      </c>
      <c r="D346" t="str">
        <f t="shared" si="16"/>
        <v/>
      </c>
      <c r="E346" t="str">
        <f t="shared" si="17"/>
        <v/>
      </c>
      <c r="F346">
        <f t="shared" si="18"/>
        <v>367.56</v>
      </c>
    </row>
    <row r="347" spans="3:6">
      <c r="C347">
        <v>5145481302.5600004</v>
      </c>
      <c r="D347" t="str">
        <f t="shared" si="16"/>
        <v/>
      </c>
      <c r="E347" t="str">
        <f t="shared" si="17"/>
        <v/>
      </c>
      <c r="F347">
        <f t="shared" si="18"/>
        <v>5145.4799999999996</v>
      </c>
    </row>
    <row r="348" spans="3:6">
      <c r="C348">
        <v>6700749069.8400002</v>
      </c>
      <c r="D348" t="str">
        <f t="shared" si="16"/>
        <v/>
      </c>
      <c r="E348" t="str">
        <f t="shared" si="17"/>
        <v/>
      </c>
      <c r="F348">
        <f t="shared" si="18"/>
        <v>6700.75</v>
      </c>
    </row>
    <row r="349" spans="3:6">
      <c r="C349">
        <v>1324755053.73</v>
      </c>
      <c r="D349" t="str">
        <f t="shared" si="16"/>
        <v/>
      </c>
      <c r="E349" t="str">
        <f t="shared" si="17"/>
        <v/>
      </c>
      <c r="F349">
        <f t="shared" si="18"/>
        <v>1324.76</v>
      </c>
    </row>
    <row r="350" spans="3:6">
      <c r="C350">
        <v>14984443.310000001</v>
      </c>
      <c r="D350" t="str">
        <f t="shared" si="16"/>
        <v/>
      </c>
      <c r="E350" t="str">
        <f t="shared" si="17"/>
        <v/>
      </c>
      <c r="F350">
        <f t="shared" si="18"/>
        <v>14.98</v>
      </c>
    </row>
    <row r="351" spans="3:6">
      <c r="C351">
        <v>1263486620.51</v>
      </c>
      <c r="D351" t="str">
        <f t="shared" si="16"/>
        <v/>
      </c>
      <c r="E351" t="str">
        <f t="shared" si="17"/>
        <v/>
      </c>
      <c r="F351">
        <f t="shared" si="18"/>
        <v>1263.49</v>
      </c>
    </row>
    <row r="352" spans="3:6">
      <c r="C352">
        <v>2072655784.8</v>
      </c>
      <c r="D352" t="str">
        <f t="shared" si="16"/>
        <v/>
      </c>
      <c r="E352" t="str">
        <f t="shared" si="17"/>
        <v/>
      </c>
      <c r="F352">
        <f t="shared" si="18"/>
        <v>2072.66</v>
      </c>
    </row>
    <row r="353" spans="3:6">
      <c r="C353">
        <v>1278706394.8399999</v>
      </c>
      <c r="D353" t="str">
        <f t="shared" si="16"/>
        <v/>
      </c>
      <c r="E353" t="str">
        <f t="shared" si="17"/>
        <v/>
      </c>
      <c r="F353">
        <f t="shared" si="18"/>
        <v>1278.71</v>
      </c>
    </row>
    <row r="354" spans="3:6">
      <c r="C354">
        <v>530780034.01999998</v>
      </c>
      <c r="D354" t="str">
        <f t="shared" si="16"/>
        <v/>
      </c>
      <c r="E354" t="str">
        <f t="shared" si="17"/>
        <v/>
      </c>
      <c r="F354">
        <f t="shared" si="18"/>
        <v>530.78</v>
      </c>
    </row>
    <row r="355" spans="3:6">
      <c r="C355">
        <v>9752694.0999999996</v>
      </c>
      <c r="D355" t="str">
        <f t="shared" si="16"/>
        <v/>
      </c>
      <c r="E355" t="str">
        <f t="shared" si="17"/>
        <v/>
      </c>
      <c r="F355">
        <f t="shared" si="18"/>
        <v>9.75</v>
      </c>
    </row>
    <row r="356" spans="3:6">
      <c r="C356">
        <v>13478498.529999999</v>
      </c>
      <c r="D356" t="str">
        <f t="shared" si="16"/>
        <v/>
      </c>
      <c r="E356" t="str">
        <f t="shared" si="17"/>
        <v/>
      </c>
      <c r="F356">
        <f t="shared" si="18"/>
        <v>13.48</v>
      </c>
    </row>
    <row r="357" spans="3:6">
      <c r="C357">
        <v>87988.17</v>
      </c>
      <c r="D357" t="str">
        <f t="shared" si="16"/>
        <v/>
      </c>
      <c r="E357" t="str">
        <f t="shared" si="17"/>
        <v/>
      </c>
      <c r="F357">
        <f t="shared" si="18"/>
        <v>0.09</v>
      </c>
    </row>
    <row r="358" spans="3:6">
      <c r="C358">
        <v>0</v>
      </c>
      <c r="D358" t="str">
        <f t="shared" si="16"/>
        <v/>
      </c>
      <c r="E358" t="str">
        <f t="shared" si="17"/>
        <v/>
      </c>
      <c r="F358">
        <f t="shared" si="18"/>
        <v>0</v>
      </c>
    </row>
    <row r="359" spans="3:6">
      <c r="C359">
        <v>150000000</v>
      </c>
      <c r="D359" t="str">
        <f t="shared" si="16"/>
        <v/>
      </c>
      <c r="E359" t="str">
        <f t="shared" si="17"/>
        <v/>
      </c>
      <c r="F359">
        <f t="shared" si="18"/>
        <v>150</v>
      </c>
    </row>
    <row r="360" spans="3:6">
      <c r="C360">
        <v>0</v>
      </c>
      <c r="D360" t="str">
        <f t="shared" si="16"/>
        <v/>
      </c>
      <c r="E360" t="str">
        <f t="shared" si="17"/>
        <v/>
      </c>
      <c r="F360">
        <f t="shared" si="18"/>
        <v>0</v>
      </c>
    </row>
    <row r="361" spans="3:6">
      <c r="C361">
        <v>0</v>
      </c>
      <c r="D361" t="str">
        <f t="shared" si="16"/>
        <v/>
      </c>
      <c r="E361" t="str">
        <f t="shared" si="17"/>
        <v/>
      </c>
      <c r="F361">
        <f t="shared" si="18"/>
        <v>0</v>
      </c>
    </row>
    <row r="362" spans="3:6">
      <c r="C362">
        <v>0</v>
      </c>
      <c r="D362" t="str">
        <f t="shared" si="16"/>
        <v/>
      </c>
      <c r="E362" t="str">
        <f t="shared" si="17"/>
        <v/>
      </c>
      <c r="F362">
        <f t="shared" si="18"/>
        <v>0</v>
      </c>
    </row>
    <row r="363" spans="3:6">
      <c r="C363">
        <v>0</v>
      </c>
      <c r="D363" t="str">
        <f t="shared" si="16"/>
        <v/>
      </c>
      <c r="E363" t="str">
        <f t="shared" si="17"/>
        <v/>
      </c>
      <c r="F363">
        <f t="shared" si="18"/>
        <v>0</v>
      </c>
    </row>
    <row r="364" spans="3:6">
      <c r="C364">
        <v>0</v>
      </c>
      <c r="D364" t="str">
        <f t="shared" si="16"/>
        <v/>
      </c>
      <c r="E364" t="str">
        <f t="shared" si="17"/>
        <v/>
      </c>
      <c r="F364">
        <f t="shared" si="18"/>
        <v>0</v>
      </c>
    </row>
    <row r="365" spans="3:6">
      <c r="C365">
        <v>0</v>
      </c>
      <c r="D365" t="str">
        <f t="shared" si="16"/>
        <v/>
      </c>
      <c r="E365" t="str">
        <f t="shared" si="17"/>
        <v/>
      </c>
      <c r="F365">
        <f t="shared" si="18"/>
        <v>0</v>
      </c>
    </row>
    <row r="366" spans="3:6">
      <c r="C366">
        <v>0</v>
      </c>
      <c r="D366" t="str">
        <f t="shared" si="16"/>
        <v/>
      </c>
      <c r="E366" t="str">
        <f t="shared" si="17"/>
        <v/>
      </c>
      <c r="F366">
        <f t="shared" si="18"/>
        <v>0</v>
      </c>
    </row>
    <row r="367" spans="3:6">
      <c r="C367">
        <v>0</v>
      </c>
      <c r="D367" t="str">
        <f t="shared" si="16"/>
        <v/>
      </c>
      <c r="E367" t="str">
        <f t="shared" si="17"/>
        <v/>
      </c>
      <c r="F367">
        <f t="shared" si="18"/>
        <v>0</v>
      </c>
    </row>
    <row r="368" spans="3:6">
      <c r="C368">
        <v>0</v>
      </c>
      <c r="D368" t="str">
        <f t="shared" si="16"/>
        <v/>
      </c>
      <c r="E368" t="str">
        <f t="shared" si="17"/>
        <v/>
      </c>
      <c r="F368">
        <f t="shared" si="18"/>
        <v>0</v>
      </c>
    </row>
    <row r="369" spans="3:6">
      <c r="C369">
        <v>0</v>
      </c>
      <c r="D369" t="str">
        <f t="shared" si="16"/>
        <v/>
      </c>
      <c r="E369" t="str">
        <f t="shared" si="17"/>
        <v/>
      </c>
      <c r="F369">
        <f t="shared" si="18"/>
        <v>0</v>
      </c>
    </row>
    <row r="370" spans="3:6">
      <c r="C370">
        <v>0</v>
      </c>
      <c r="D370" t="str">
        <f t="shared" si="16"/>
        <v/>
      </c>
      <c r="E370" t="str">
        <f t="shared" si="17"/>
        <v/>
      </c>
      <c r="F370">
        <f t="shared" si="18"/>
        <v>0</v>
      </c>
    </row>
    <row r="371" spans="3:6">
      <c r="C371">
        <v>0</v>
      </c>
      <c r="D371" t="str">
        <f t="shared" si="16"/>
        <v/>
      </c>
      <c r="E371" t="str">
        <f t="shared" si="17"/>
        <v/>
      </c>
      <c r="F371">
        <f t="shared" si="18"/>
        <v>0</v>
      </c>
    </row>
    <row r="372" spans="3:6">
      <c r="C372">
        <v>0</v>
      </c>
      <c r="D372" t="str">
        <f t="shared" si="16"/>
        <v/>
      </c>
      <c r="E372" t="str">
        <f t="shared" si="17"/>
        <v/>
      </c>
      <c r="F372">
        <f t="shared" si="18"/>
        <v>0</v>
      </c>
    </row>
    <row r="373" spans="3:6">
      <c r="C373">
        <v>0</v>
      </c>
      <c r="D373" t="str">
        <f t="shared" si="16"/>
        <v/>
      </c>
      <c r="E373" t="str">
        <f t="shared" si="17"/>
        <v/>
      </c>
      <c r="F373">
        <f t="shared" si="18"/>
        <v>0</v>
      </c>
    </row>
    <row r="374" spans="3:6">
      <c r="C374">
        <v>0</v>
      </c>
      <c r="D374" t="str">
        <f t="shared" si="16"/>
        <v/>
      </c>
      <c r="E374" t="str">
        <f t="shared" si="17"/>
        <v/>
      </c>
      <c r="F374">
        <f t="shared" si="18"/>
        <v>0</v>
      </c>
    </row>
    <row r="375" spans="3:6">
      <c r="C375">
        <v>0</v>
      </c>
      <c r="D375" t="str">
        <f t="shared" si="16"/>
        <v/>
      </c>
      <c r="E375" t="str">
        <f t="shared" si="17"/>
        <v/>
      </c>
      <c r="F375">
        <f t="shared" si="18"/>
        <v>0</v>
      </c>
    </row>
    <row r="376" spans="3:6">
      <c r="C376">
        <v>0</v>
      </c>
      <c r="D376" t="str">
        <f t="shared" si="16"/>
        <v/>
      </c>
      <c r="E376" t="str">
        <f t="shared" si="17"/>
        <v/>
      </c>
      <c r="F376">
        <f t="shared" si="18"/>
        <v>0</v>
      </c>
    </row>
    <row r="377" spans="3:6">
      <c r="C377">
        <v>0</v>
      </c>
      <c r="D377" t="str">
        <f t="shared" si="16"/>
        <v/>
      </c>
      <c r="E377" t="str">
        <f t="shared" si="17"/>
        <v/>
      </c>
      <c r="F377">
        <f t="shared" si="18"/>
        <v>0</v>
      </c>
    </row>
    <row r="378" spans="3:6">
      <c r="C378">
        <v>0</v>
      </c>
      <c r="D378" t="str">
        <f t="shared" si="16"/>
        <v/>
      </c>
      <c r="E378" t="str">
        <f t="shared" si="17"/>
        <v/>
      </c>
      <c r="F378">
        <f t="shared" si="18"/>
        <v>0</v>
      </c>
    </row>
    <row r="379" spans="3:6">
      <c r="C379">
        <v>0</v>
      </c>
      <c r="D379" t="str">
        <f t="shared" si="16"/>
        <v/>
      </c>
      <c r="E379" t="str">
        <f t="shared" si="17"/>
        <v/>
      </c>
      <c r="F379">
        <f t="shared" si="18"/>
        <v>0</v>
      </c>
    </row>
    <row r="380" spans="3:6">
      <c r="C380">
        <v>0</v>
      </c>
      <c r="D380" t="str">
        <f t="shared" si="16"/>
        <v/>
      </c>
      <c r="E380" t="str">
        <f t="shared" si="17"/>
        <v/>
      </c>
      <c r="F380">
        <f t="shared" si="18"/>
        <v>0</v>
      </c>
    </row>
    <row r="381" spans="3:6">
      <c r="C381">
        <v>0</v>
      </c>
      <c r="D381" t="str">
        <f t="shared" si="16"/>
        <v/>
      </c>
      <c r="E381" t="str">
        <f t="shared" si="17"/>
        <v/>
      </c>
      <c r="F381">
        <f t="shared" si="18"/>
        <v>0</v>
      </c>
    </row>
    <row r="382" spans="3:6">
      <c r="C382">
        <v>0</v>
      </c>
      <c r="D382" t="str">
        <f t="shared" si="16"/>
        <v/>
      </c>
      <c r="E382" t="str">
        <f t="shared" si="17"/>
        <v/>
      </c>
      <c r="F382">
        <f t="shared" si="18"/>
        <v>0</v>
      </c>
    </row>
    <row r="383" spans="3:6">
      <c r="C383">
        <v>0</v>
      </c>
      <c r="D383" t="str">
        <f t="shared" si="16"/>
        <v/>
      </c>
      <c r="E383" t="str">
        <f t="shared" si="17"/>
        <v/>
      </c>
      <c r="F383">
        <f t="shared" si="18"/>
        <v>0</v>
      </c>
    </row>
    <row r="384" spans="3:6">
      <c r="C384">
        <v>0</v>
      </c>
      <c r="D384" t="str">
        <f t="shared" si="16"/>
        <v/>
      </c>
      <c r="E384" t="str">
        <f t="shared" si="17"/>
        <v/>
      </c>
      <c r="F384">
        <f t="shared" si="18"/>
        <v>0</v>
      </c>
    </row>
    <row r="385" spans="3:6">
      <c r="C385">
        <v>0</v>
      </c>
      <c r="D385" t="str">
        <f t="shared" si="16"/>
        <v/>
      </c>
      <c r="E385" t="str">
        <f t="shared" si="17"/>
        <v/>
      </c>
      <c r="F385">
        <f t="shared" si="18"/>
        <v>0</v>
      </c>
    </row>
    <row r="386" spans="3:6">
      <c r="C386">
        <v>0</v>
      </c>
      <c r="D386" t="str">
        <f t="shared" si="16"/>
        <v/>
      </c>
      <c r="E386" t="str">
        <f t="shared" si="17"/>
        <v/>
      </c>
      <c r="F386">
        <f t="shared" si="18"/>
        <v>0</v>
      </c>
    </row>
    <row r="387" spans="3:6">
      <c r="C387">
        <v>405000000</v>
      </c>
      <c r="D387" t="str">
        <f t="shared" ref="D387:D450" si="19">IF(A387="","",ROUND(A387/$J$2,2))</f>
        <v/>
      </c>
      <c r="E387" t="str">
        <f t="shared" ref="E387:E450" si="20">IF(B387="","",ROUND(B387/$J$2,2))</f>
        <v/>
      </c>
      <c r="F387">
        <f t="shared" ref="F387:F450" si="21">IF(C387="","",ROUND(C387/$J$2,2))</f>
        <v>405</v>
      </c>
    </row>
    <row r="388" spans="3:6">
      <c r="C388">
        <v>0</v>
      </c>
      <c r="D388" t="str">
        <f t="shared" si="19"/>
        <v/>
      </c>
      <c r="E388" t="str">
        <f t="shared" si="20"/>
        <v/>
      </c>
      <c r="F388">
        <f t="shared" si="21"/>
        <v>0</v>
      </c>
    </row>
    <row r="389" spans="3:6">
      <c r="C389">
        <v>0</v>
      </c>
      <c r="D389" t="str">
        <f t="shared" si="19"/>
        <v/>
      </c>
      <c r="E389" t="str">
        <f t="shared" si="20"/>
        <v/>
      </c>
      <c r="F389">
        <f t="shared" si="21"/>
        <v>0</v>
      </c>
    </row>
    <row r="390" spans="3:6">
      <c r="C390">
        <v>0</v>
      </c>
      <c r="D390" t="str">
        <f t="shared" si="19"/>
        <v/>
      </c>
      <c r="E390" t="str">
        <f t="shared" si="20"/>
        <v/>
      </c>
      <c r="F390">
        <f t="shared" si="21"/>
        <v>0</v>
      </c>
    </row>
    <row r="391" spans="3:6">
      <c r="C391">
        <v>0</v>
      </c>
      <c r="D391" t="str">
        <f t="shared" si="19"/>
        <v/>
      </c>
      <c r="E391" t="str">
        <f t="shared" si="20"/>
        <v/>
      </c>
      <c r="F391">
        <f t="shared" si="21"/>
        <v>0</v>
      </c>
    </row>
    <row r="392" spans="3:6">
      <c r="C392">
        <v>0</v>
      </c>
      <c r="D392" t="str">
        <f t="shared" si="19"/>
        <v/>
      </c>
      <c r="E392" t="str">
        <f t="shared" si="20"/>
        <v/>
      </c>
      <c r="F392">
        <f t="shared" si="21"/>
        <v>0</v>
      </c>
    </row>
    <row r="393" spans="3:6">
      <c r="C393">
        <v>0</v>
      </c>
      <c r="D393" t="str">
        <f t="shared" si="19"/>
        <v/>
      </c>
      <c r="E393" t="str">
        <f t="shared" si="20"/>
        <v/>
      </c>
      <c r="F393">
        <f t="shared" si="21"/>
        <v>0</v>
      </c>
    </row>
    <row r="394" spans="3:6">
      <c r="C394">
        <v>0</v>
      </c>
      <c r="D394" t="str">
        <f t="shared" si="19"/>
        <v/>
      </c>
      <c r="E394" t="str">
        <f t="shared" si="20"/>
        <v/>
      </c>
      <c r="F394">
        <f t="shared" si="21"/>
        <v>0</v>
      </c>
    </row>
    <row r="395" spans="3:6">
      <c r="C395">
        <v>0</v>
      </c>
      <c r="D395" t="str">
        <f t="shared" si="19"/>
        <v/>
      </c>
      <c r="E395" t="str">
        <f t="shared" si="20"/>
        <v/>
      </c>
      <c r="F395">
        <f t="shared" si="21"/>
        <v>0</v>
      </c>
    </row>
    <row r="396" spans="3:6">
      <c r="C396">
        <v>50000000</v>
      </c>
      <c r="D396" t="str">
        <f t="shared" si="19"/>
        <v/>
      </c>
      <c r="E396" t="str">
        <f t="shared" si="20"/>
        <v/>
      </c>
      <c r="F396">
        <f t="shared" si="21"/>
        <v>50</v>
      </c>
    </row>
    <row r="397" spans="3:6">
      <c r="C397">
        <v>0</v>
      </c>
      <c r="D397" t="str">
        <f t="shared" si="19"/>
        <v/>
      </c>
      <c r="E397" t="str">
        <f t="shared" si="20"/>
        <v/>
      </c>
      <c r="F397">
        <f t="shared" si="21"/>
        <v>0</v>
      </c>
    </row>
    <row r="398" spans="3:6">
      <c r="C398">
        <v>0</v>
      </c>
      <c r="D398" t="str">
        <f t="shared" si="19"/>
        <v/>
      </c>
      <c r="E398" t="str">
        <f t="shared" si="20"/>
        <v/>
      </c>
      <c r="F398">
        <f t="shared" si="21"/>
        <v>0</v>
      </c>
    </row>
    <row r="399" spans="3:6">
      <c r="C399">
        <v>0</v>
      </c>
      <c r="D399" t="str">
        <f t="shared" si="19"/>
        <v/>
      </c>
      <c r="E399" t="str">
        <f t="shared" si="20"/>
        <v/>
      </c>
      <c r="F399">
        <f t="shared" si="21"/>
        <v>0</v>
      </c>
    </row>
    <row r="400" spans="3:6">
      <c r="C400">
        <v>0</v>
      </c>
      <c r="D400" t="str">
        <f t="shared" si="19"/>
        <v/>
      </c>
      <c r="E400" t="str">
        <f t="shared" si="20"/>
        <v/>
      </c>
      <c r="F400">
        <f t="shared" si="21"/>
        <v>0</v>
      </c>
    </row>
    <row r="401" spans="3:6">
      <c r="C401">
        <v>0</v>
      </c>
      <c r="D401" t="str">
        <f t="shared" si="19"/>
        <v/>
      </c>
      <c r="E401" t="str">
        <f t="shared" si="20"/>
        <v/>
      </c>
      <c r="F401">
        <f t="shared" si="21"/>
        <v>0</v>
      </c>
    </row>
    <row r="402" spans="3:6">
      <c r="C402">
        <v>0</v>
      </c>
      <c r="D402" t="str">
        <f t="shared" si="19"/>
        <v/>
      </c>
      <c r="E402" t="str">
        <f t="shared" si="20"/>
        <v/>
      </c>
      <c r="F402">
        <f t="shared" si="21"/>
        <v>0</v>
      </c>
    </row>
    <row r="403" spans="3:6">
      <c r="C403">
        <v>0</v>
      </c>
      <c r="D403" t="str">
        <f t="shared" si="19"/>
        <v/>
      </c>
      <c r="E403" t="str">
        <f t="shared" si="20"/>
        <v/>
      </c>
      <c r="F403">
        <f t="shared" si="21"/>
        <v>0</v>
      </c>
    </row>
    <row r="404" spans="3:6">
      <c r="C404">
        <v>0</v>
      </c>
      <c r="D404" t="str">
        <f t="shared" si="19"/>
        <v/>
      </c>
      <c r="E404" t="str">
        <f t="shared" si="20"/>
        <v/>
      </c>
      <c r="F404">
        <f t="shared" si="21"/>
        <v>0</v>
      </c>
    </row>
    <row r="405" spans="3:6">
      <c r="C405">
        <v>0</v>
      </c>
      <c r="D405" t="str">
        <f t="shared" si="19"/>
        <v/>
      </c>
      <c r="E405" t="str">
        <f t="shared" si="20"/>
        <v/>
      </c>
      <c r="F405">
        <f t="shared" si="21"/>
        <v>0</v>
      </c>
    </row>
    <row r="406" spans="3:6">
      <c r="C406">
        <v>0</v>
      </c>
      <c r="D406" t="str">
        <f t="shared" si="19"/>
        <v/>
      </c>
      <c r="E406" t="str">
        <f t="shared" si="20"/>
        <v/>
      </c>
      <c r="F406">
        <f t="shared" si="21"/>
        <v>0</v>
      </c>
    </row>
    <row r="407" spans="3:6">
      <c r="C407">
        <v>0</v>
      </c>
      <c r="D407" t="str">
        <f t="shared" si="19"/>
        <v/>
      </c>
      <c r="E407" t="str">
        <f t="shared" si="20"/>
        <v/>
      </c>
      <c r="F407">
        <f t="shared" si="21"/>
        <v>0</v>
      </c>
    </row>
    <row r="408" spans="3:6">
      <c r="C408">
        <v>0</v>
      </c>
      <c r="D408" t="str">
        <f t="shared" si="19"/>
        <v/>
      </c>
      <c r="E408" t="str">
        <f t="shared" si="20"/>
        <v/>
      </c>
      <c r="F408">
        <f t="shared" si="21"/>
        <v>0</v>
      </c>
    </row>
    <row r="409" spans="3:6">
      <c r="C409">
        <v>0</v>
      </c>
      <c r="D409" t="str">
        <f t="shared" si="19"/>
        <v/>
      </c>
      <c r="E409" t="str">
        <f t="shared" si="20"/>
        <v/>
      </c>
      <c r="F409">
        <f t="shared" si="21"/>
        <v>0</v>
      </c>
    </row>
    <row r="410" spans="3:6">
      <c r="C410">
        <v>0</v>
      </c>
      <c r="D410" t="str">
        <f t="shared" si="19"/>
        <v/>
      </c>
      <c r="E410" t="str">
        <f t="shared" si="20"/>
        <v/>
      </c>
      <c r="F410">
        <f t="shared" si="21"/>
        <v>0</v>
      </c>
    </row>
    <row r="411" spans="3:6">
      <c r="C411">
        <v>0</v>
      </c>
      <c r="D411" t="str">
        <f t="shared" si="19"/>
        <v/>
      </c>
      <c r="E411" t="str">
        <f t="shared" si="20"/>
        <v/>
      </c>
      <c r="F411">
        <f t="shared" si="21"/>
        <v>0</v>
      </c>
    </row>
    <row r="412" spans="3:6">
      <c r="C412">
        <v>0</v>
      </c>
      <c r="D412" t="str">
        <f t="shared" si="19"/>
        <v/>
      </c>
      <c r="E412" t="str">
        <f t="shared" si="20"/>
        <v/>
      </c>
      <c r="F412">
        <f t="shared" si="21"/>
        <v>0</v>
      </c>
    </row>
    <row r="413" spans="3:6">
      <c r="C413">
        <v>0</v>
      </c>
      <c r="D413" t="str">
        <f t="shared" si="19"/>
        <v/>
      </c>
      <c r="E413" t="str">
        <f t="shared" si="20"/>
        <v/>
      </c>
      <c r="F413">
        <f t="shared" si="21"/>
        <v>0</v>
      </c>
    </row>
    <row r="414" spans="3:6">
      <c r="C414">
        <v>0</v>
      </c>
      <c r="D414" t="str">
        <f t="shared" si="19"/>
        <v/>
      </c>
      <c r="E414" t="str">
        <f t="shared" si="20"/>
        <v/>
      </c>
      <c r="F414">
        <f t="shared" si="21"/>
        <v>0</v>
      </c>
    </row>
    <row r="415" spans="3:6">
      <c r="C415">
        <v>0</v>
      </c>
      <c r="D415" t="str">
        <f t="shared" si="19"/>
        <v/>
      </c>
      <c r="E415" t="str">
        <f t="shared" si="20"/>
        <v/>
      </c>
      <c r="F415">
        <f t="shared" si="21"/>
        <v>0</v>
      </c>
    </row>
    <row r="416" spans="3:6">
      <c r="C416">
        <v>0</v>
      </c>
      <c r="D416" t="str">
        <f t="shared" si="19"/>
        <v/>
      </c>
      <c r="E416" t="str">
        <f t="shared" si="20"/>
        <v/>
      </c>
      <c r="F416">
        <f t="shared" si="21"/>
        <v>0</v>
      </c>
    </row>
    <row r="417" spans="3:6">
      <c r="C417">
        <v>0</v>
      </c>
      <c r="D417" t="str">
        <f t="shared" si="19"/>
        <v/>
      </c>
      <c r="E417" t="str">
        <f t="shared" si="20"/>
        <v/>
      </c>
      <c r="F417">
        <f t="shared" si="21"/>
        <v>0</v>
      </c>
    </row>
    <row r="418" spans="3:6">
      <c r="C418">
        <v>0</v>
      </c>
      <c r="D418" t="str">
        <f t="shared" si="19"/>
        <v/>
      </c>
      <c r="E418" t="str">
        <f t="shared" si="20"/>
        <v/>
      </c>
      <c r="F418">
        <f t="shared" si="21"/>
        <v>0</v>
      </c>
    </row>
    <row r="419" spans="3:6">
      <c r="C419">
        <v>0</v>
      </c>
      <c r="D419" t="str">
        <f t="shared" si="19"/>
        <v/>
      </c>
      <c r="E419" t="str">
        <f t="shared" si="20"/>
        <v/>
      </c>
      <c r="F419">
        <f t="shared" si="21"/>
        <v>0</v>
      </c>
    </row>
    <row r="420" spans="3:6">
      <c r="C420">
        <v>0</v>
      </c>
      <c r="D420" t="str">
        <f t="shared" si="19"/>
        <v/>
      </c>
      <c r="E420" t="str">
        <f t="shared" si="20"/>
        <v/>
      </c>
      <c r="F420">
        <f t="shared" si="21"/>
        <v>0</v>
      </c>
    </row>
    <row r="421" spans="3:6">
      <c r="C421">
        <v>0</v>
      </c>
      <c r="D421" t="str">
        <f t="shared" si="19"/>
        <v/>
      </c>
      <c r="E421" t="str">
        <f t="shared" si="20"/>
        <v/>
      </c>
      <c r="F421">
        <f t="shared" si="21"/>
        <v>0</v>
      </c>
    </row>
    <row r="422" spans="3:6">
      <c r="C422">
        <v>0</v>
      </c>
      <c r="D422" t="str">
        <f t="shared" si="19"/>
        <v/>
      </c>
      <c r="E422" t="str">
        <f t="shared" si="20"/>
        <v/>
      </c>
      <c r="F422">
        <f t="shared" si="21"/>
        <v>0</v>
      </c>
    </row>
    <row r="423" spans="3:6">
      <c r="C423">
        <v>0</v>
      </c>
      <c r="D423" t="str">
        <f t="shared" si="19"/>
        <v/>
      </c>
      <c r="E423" t="str">
        <f t="shared" si="20"/>
        <v/>
      </c>
      <c r="F423">
        <f t="shared" si="21"/>
        <v>0</v>
      </c>
    </row>
    <row r="424" spans="3:6">
      <c r="C424">
        <v>0</v>
      </c>
      <c r="D424" t="str">
        <f t="shared" si="19"/>
        <v/>
      </c>
      <c r="E424" t="str">
        <f t="shared" si="20"/>
        <v/>
      </c>
      <c r="F424">
        <f t="shared" si="21"/>
        <v>0</v>
      </c>
    </row>
    <row r="425" spans="3:6">
      <c r="C425">
        <v>0</v>
      </c>
      <c r="D425" t="str">
        <f t="shared" si="19"/>
        <v/>
      </c>
      <c r="E425" t="str">
        <f t="shared" si="20"/>
        <v/>
      </c>
      <c r="F425">
        <f t="shared" si="21"/>
        <v>0</v>
      </c>
    </row>
    <row r="426" spans="3:6">
      <c r="C426">
        <v>0</v>
      </c>
      <c r="D426" t="str">
        <f t="shared" si="19"/>
        <v/>
      </c>
      <c r="E426" t="str">
        <f t="shared" si="20"/>
        <v/>
      </c>
      <c r="F426">
        <f t="shared" si="21"/>
        <v>0</v>
      </c>
    </row>
    <row r="427" spans="3:6">
      <c r="C427">
        <v>0</v>
      </c>
      <c r="D427" t="str">
        <f t="shared" si="19"/>
        <v/>
      </c>
      <c r="E427" t="str">
        <f t="shared" si="20"/>
        <v/>
      </c>
      <c r="F427">
        <f t="shared" si="21"/>
        <v>0</v>
      </c>
    </row>
    <row r="428" spans="3:6">
      <c r="C428">
        <v>0</v>
      </c>
      <c r="D428" t="str">
        <f t="shared" si="19"/>
        <v/>
      </c>
      <c r="E428" t="str">
        <f t="shared" si="20"/>
        <v/>
      </c>
      <c r="F428">
        <f t="shared" si="21"/>
        <v>0</v>
      </c>
    </row>
    <row r="429" spans="3:6">
      <c r="C429">
        <v>0</v>
      </c>
      <c r="D429" t="str">
        <f t="shared" si="19"/>
        <v/>
      </c>
      <c r="E429" t="str">
        <f t="shared" si="20"/>
        <v/>
      </c>
      <c r="F429">
        <f t="shared" si="21"/>
        <v>0</v>
      </c>
    </row>
    <row r="430" spans="3:6">
      <c r="C430">
        <v>0</v>
      </c>
      <c r="D430" t="str">
        <f t="shared" si="19"/>
        <v/>
      </c>
      <c r="E430" t="str">
        <f t="shared" si="20"/>
        <v/>
      </c>
      <c r="F430">
        <f t="shared" si="21"/>
        <v>0</v>
      </c>
    </row>
    <row r="431" spans="3:6">
      <c r="C431">
        <v>2593.3789190000002</v>
      </c>
      <c r="D431" t="str">
        <f t="shared" si="19"/>
        <v/>
      </c>
      <c r="E431" t="str">
        <f t="shared" si="20"/>
        <v/>
      </c>
      <c r="F431">
        <f t="shared" si="21"/>
        <v>0</v>
      </c>
    </row>
    <row r="432" spans="3:6">
      <c r="C432">
        <v>0</v>
      </c>
      <c r="D432" t="str">
        <f t="shared" si="19"/>
        <v/>
      </c>
      <c r="E432" t="str">
        <f t="shared" si="20"/>
        <v/>
      </c>
      <c r="F432">
        <f t="shared" si="21"/>
        <v>0</v>
      </c>
    </row>
    <row r="433" spans="3:6">
      <c r="C433">
        <v>0</v>
      </c>
      <c r="D433" t="str">
        <f t="shared" si="19"/>
        <v/>
      </c>
      <c r="E433" t="str">
        <f t="shared" si="20"/>
        <v/>
      </c>
      <c r="F433">
        <f t="shared" si="21"/>
        <v>0</v>
      </c>
    </row>
    <row r="434" spans="3:6">
      <c r="C434">
        <v>0</v>
      </c>
      <c r="D434" t="str">
        <f t="shared" si="19"/>
        <v/>
      </c>
      <c r="E434" t="str">
        <f t="shared" si="20"/>
        <v/>
      </c>
      <c r="F434">
        <f t="shared" si="21"/>
        <v>0</v>
      </c>
    </row>
    <row r="435" spans="3:6">
      <c r="C435">
        <v>0</v>
      </c>
      <c r="D435" t="str">
        <f t="shared" si="19"/>
        <v/>
      </c>
      <c r="E435" t="str">
        <f t="shared" si="20"/>
        <v/>
      </c>
      <c r="F435">
        <f t="shared" si="21"/>
        <v>0</v>
      </c>
    </row>
    <row r="436" spans="3:6">
      <c r="C436">
        <v>0</v>
      </c>
      <c r="D436" t="str">
        <f t="shared" si="19"/>
        <v/>
      </c>
      <c r="E436" t="str">
        <f t="shared" si="20"/>
        <v/>
      </c>
      <c r="F436">
        <f t="shared" si="21"/>
        <v>0</v>
      </c>
    </row>
    <row r="437" spans="3:6">
      <c r="C437">
        <v>0</v>
      </c>
      <c r="D437" t="str">
        <f t="shared" si="19"/>
        <v/>
      </c>
      <c r="E437" t="str">
        <f t="shared" si="20"/>
        <v/>
      </c>
      <c r="F437">
        <f t="shared" si="21"/>
        <v>0</v>
      </c>
    </row>
    <row r="438" spans="3:6">
      <c r="C438">
        <v>1726861689.144398</v>
      </c>
      <c r="D438" t="str">
        <f t="shared" si="19"/>
        <v/>
      </c>
      <c r="E438" t="str">
        <f t="shared" si="20"/>
        <v/>
      </c>
      <c r="F438">
        <f t="shared" si="21"/>
        <v>1726.86</v>
      </c>
    </row>
    <row r="439" spans="3:6">
      <c r="C439">
        <v>10424.76</v>
      </c>
      <c r="D439" t="str">
        <f t="shared" si="19"/>
        <v/>
      </c>
      <c r="E439" t="str">
        <f t="shared" si="20"/>
        <v/>
      </c>
      <c r="F439">
        <f t="shared" si="21"/>
        <v>0.01</v>
      </c>
    </row>
    <row r="440" spans="3:6">
      <c r="C440">
        <v>0</v>
      </c>
      <c r="D440" t="str">
        <f t="shared" si="19"/>
        <v/>
      </c>
      <c r="E440" t="str">
        <f t="shared" si="20"/>
        <v/>
      </c>
      <c r="F440">
        <f t="shared" si="21"/>
        <v>0</v>
      </c>
    </row>
    <row r="441" spans="3:6">
      <c r="C441">
        <v>8057928.1900000004</v>
      </c>
      <c r="D441" t="str">
        <f t="shared" si="19"/>
        <v/>
      </c>
      <c r="E441" t="str">
        <f t="shared" si="20"/>
        <v/>
      </c>
      <c r="F441">
        <f t="shared" si="21"/>
        <v>8.06</v>
      </c>
    </row>
    <row r="442" spans="3:6">
      <c r="C442">
        <v>0</v>
      </c>
      <c r="D442" t="str">
        <f t="shared" si="19"/>
        <v/>
      </c>
      <c r="E442" t="str">
        <f t="shared" si="20"/>
        <v/>
      </c>
      <c r="F442">
        <f t="shared" si="21"/>
        <v>0</v>
      </c>
    </row>
    <row r="443" spans="3:6">
      <c r="C443">
        <v>2686362.44</v>
      </c>
      <c r="D443" t="str">
        <f t="shared" si="19"/>
        <v/>
      </c>
      <c r="E443" t="str">
        <f t="shared" si="20"/>
        <v/>
      </c>
      <c r="F443">
        <f t="shared" si="21"/>
        <v>2.69</v>
      </c>
    </row>
    <row r="444" spans="3:6">
      <c r="C444">
        <v>0</v>
      </c>
      <c r="D444" t="str">
        <f t="shared" si="19"/>
        <v/>
      </c>
      <c r="E444" t="str">
        <f t="shared" si="20"/>
        <v/>
      </c>
      <c r="F444">
        <f t="shared" si="21"/>
        <v>0</v>
      </c>
    </row>
    <row r="445" spans="3:6">
      <c r="C445">
        <v>0</v>
      </c>
      <c r="D445" t="str">
        <f t="shared" si="19"/>
        <v/>
      </c>
      <c r="E445" t="str">
        <f t="shared" si="20"/>
        <v/>
      </c>
      <c r="F445">
        <f t="shared" si="21"/>
        <v>0</v>
      </c>
    </row>
    <row r="446" spans="3:6">
      <c r="C446">
        <v>0</v>
      </c>
      <c r="D446" t="str">
        <f t="shared" si="19"/>
        <v/>
      </c>
      <c r="E446" t="str">
        <f t="shared" si="20"/>
        <v/>
      </c>
      <c r="F446">
        <f t="shared" si="21"/>
        <v>0</v>
      </c>
    </row>
    <row r="447" spans="3:6">
      <c r="C447">
        <v>0</v>
      </c>
      <c r="D447" t="str">
        <f t="shared" si="19"/>
        <v/>
      </c>
      <c r="E447" t="str">
        <f t="shared" si="20"/>
        <v/>
      </c>
      <c r="F447">
        <f t="shared" si="21"/>
        <v>0</v>
      </c>
    </row>
    <row r="448" spans="3:6">
      <c r="C448">
        <v>0</v>
      </c>
      <c r="D448" t="str">
        <f t="shared" si="19"/>
        <v/>
      </c>
      <c r="E448" t="str">
        <f t="shared" si="20"/>
        <v/>
      </c>
      <c r="F448">
        <f t="shared" si="21"/>
        <v>0</v>
      </c>
    </row>
    <row r="449" spans="3:6">
      <c r="C449">
        <v>0</v>
      </c>
      <c r="D449" t="str">
        <f t="shared" si="19"/>
        <v/>
      </c>
      <c r="E449" t="str">
        <f t="shared" si="20"/>
        <v/>
      </c>
      <c r="F449">
        <f t="shared" si="21"/>
        <v>0</v>
      </c>
    </row>
    <row r="450" spans="3:6">
      <c r="C450">
        <v>0</v>
      </c>
      <c r="D450" t="str">
        <f t="shared" si="19"/>
        <v/>
      </c>
      <c r="E450" t="str">
        <f t="shared" si="20"/>
        <v/>
      </c>
      <c r="F450">
        <f t="shared" si="21"/>
        <v>0</v>
      </c>
    </row>
    <row r="451" spans="3:6">
      <c r="C451">
        <v>1402273.44</v>
      </c>
      <c r="D451" t="str">
        <f t="shared" ref="D451:D514" si="22">IF(A451="","",ROUND(A451/$J$2,2))</f>
        <v/>
      </c>
      <c r="E451" t="str">
        <f t="shared" ref="E451:E514" si="23">IF(B451="","",ROUND(B451/$J$2,2))</f>
        <v/>
      </c>
      <c r="F451">
        <f t="shared" ref="F451:F514" si="24">IF(C451="","",ROUND(C451/$J$2,2))</f>
        <v>1.4</v>
      </c>
    </row>
    <row r="452" spans="3:6">
      <c r="C452">
        <v>100000000</v>
      </c>
      <c r="D452" t="str">
        <f t="shared" si="22"/>
        <v/>
      </c>
      <c r="E452" t="str">
        <f t="shared" si="23"/>
        <v/>
      </c>
      <c r="F452">
        <f t="shared" si="24"/>
        <v>100</v>
      </c>
    </row>
    <row r="453" spans="3:6">
      <c r="C453">
        <v>647028.62</v>
      </c>
      <c r="D453" t="str">
        <f t="shared" si="22"/>
        <v/>
      </c>
      <c r="E453" t="str">
        <f t="shared" si="23"/>
        <v/>
      </c>
      <c r="F453">
        <f t="shared" si="24"/>
        <v>0.65</v>
      </c>
    </row>
    <row r="454" spans="3:6">
      <c r="C454">
        <v>9773684.3800000008</v>
      </c>
      <c r="D454" t="str">
        <f t="shared" si="22"/>
        <v/>
      </c>
      <c r="E454" t="str">
        <f t="shared" si="23"/>
        <v/>
      </c>
      <c r="F454">
        <f t="shared" si="24"/>
        <v>9.77</v>
      </c>
    </row>
    <row r="455" spans="3:6">
      <c r="C455">
        <v>18089.28</v>
      </c>
      <c r="D455" t="str">
        <f t="shared" si="22"/>
        <v/>
      </c>
      <c r="E455" t="str">
        <f t="shared" si="23"/>
        <v/>
      </c>
      <c r="F455">
        <f t="shared" si="24"/>
        <v>0.02</v>
      </c>
    </row>
    <row r="456" spans="3:6">
      <c r="C456">
        <v>60834647.229999997</v>
      </c>
      <c r="D456" t="str">
        <f t="shared" si="22"/>
        <v/>
      </c>
      <c r="E456" t="str">
        <f t="shared" si="23"/>
        <v/>
      </c>
      <c r="F456">
        <f t="shared" si="24"/>
        <v>60.83</v>
      </c>
    </row>
    <row r="457" spans="3:6">
      <c r="C457">
        <v>1157415.31</v>
      </c>
      <c r="D457" t="str">
        <f t="shared" si="22"/>
        <v/>
      </c>
      <c r="E457" t="str">
        <f t="shared" si="23"/>
        <v/>
      </c>
      <c r="F457">
        <f t="shared" si="24"/>
        <v>1.1599999999999999</v>
      </c>
    </row>
    <row r="458" spans="3:6">
      <c r="C458">
        <v>166492292.59999999</v>
      </c>
      <c r="D458" t="str">
        <f t="shared" si="22"/>
        <v/>
      </c>
      <c r="E458" t="str">
        <f t="shared" si="23"/>
        <v/>
      </c>
      <c r="F458">
        <f t="shared" si="24"/>
        <v>166.49</v>
      </c>
    </row>
    <row r="459" spans="3:6">
      <c r="C459">
        <v>6478553.1799999997</v>
      </c>
      <c r="D459" t="str">
        <f t="shared" si="22"/>
        <v/>
      </c>
      <c r="E459" t="str">
        <f t="shared" si="23"/>
        <v/>
      </c>
      <c r="F459">
        <f t="shared" si="24"/>
        <v>6.48</v>
      </c>
    </row>
    <row r="460" spans="3:6">
      <c r="C460">
        <v>12060.72</v>
      </c>
      <c r="D460" t="str">
        <f t="shared" si="22"/>
        <v/>
      </c>
      <c r="E460" t="str">
        <f t="shared" si="23"/>
        <v/>
      </c>
      <c r="F460">
        <f t="shared" si="24"/>
        <v>0.01</v>
      </c>
    </row>
    <row r="461" spans="3:6">
      <c r="C461">
        <v>54086166.920000002</v>
      </c>
      <c r="D461" t="str">
        <f t="shared" si="22"/>
        <v/>
      </c>
      <c r="E461" t="str">
        <f t="shared" si="23"/>
        <v/>
      </c>
      <c r="F461">
        <f t="shared" si="24"/>
        <v>54.09</v>
      </c>
    </row>
    <row r="462" spans="3:6">
      <c r="C462">
        <v>203603.16</v>
      </c>
      <c r="D462" t="str">
        <f t="shared" si="22"/>
        <v/>
      </c>
      <c r="E462" t="str">
        <f t="shared" si="23"/>
        <v/>
      </c>
      <c r="F462">
        <f t="shared" si="24"/>
        <v>0.2</v>
      </c>
    </row>
    <row r="463" spans="3:6">
      <c r="C463">
        <v>10116088.24</v>
      </c>
      <c r="D463" t="str">
        <f t="shared" si="22"/>
        <v/>
      </c>
      <c r="E463" t="str">
        <f t="shared" si="23"/>
        <v/>
      </c>
      <c r="F463">
        <f t="shared" si="24"/>
        <v>10.119999999999999</v>
      </c>
    </row>
    <row r="464" spans="3:6">
      <c r="C464">
        <v>238000</v>
      </c>
      <c r="D464" t="str">
        <f t="shared" si="22"/>
        <v/>
      </c>
      <c r="E464" t="str">
        <f t="shared" si="23"/>
        <v/>
      </c>
      <c r="F464">
        <f t="shared" si="24"/>
        <v>0.24</v>
      </c>
    </row>
    <row r="465" spans="3:6">
      <c r="C465">
        <v>160000000</v>
      </c>
      <c r="D465" t="str">
        <f t="shared" si="22"/>
        <v/>
      </c>
      <c r="E465" t="str">
        <f t="shared" si="23"/>
        <v/>
      </c>
      <c r="F465">
        <f t="shared" si="24"/>
        <v>160</v>
      </c>
    </row>
    <row r="466" spans="3:6">
      <c r="C466">
        <v>553444.24</v>
      </c>
      <c r="D466" t="str">
        <f t="shared" si="22"/>
        <v/>
      </c>
      <c r="E466" t="str">
        <f t="shared" si="23"/>
        <v/>
      </c>
      <c r="F466">
        <f t="shared" si="24"/>
        <v>0.55000000000000004</v>
      </c>
    </row>
    <row r="467" spans="3:6">
      <c r="C467">
        <v>56658.92</v>
      </c>
      <c r="D467" t="str">
        <f t="shared" si="22"/>
        <v/>
      </c>
      <c r="E467" t="str">
        <f t="shared" si="23"/>
        <v/>
      </c>
      <c r="F467">
        <f t="shared" si="24"/>
        <v>0.06</v>
      </c>
    </row>
    <row r="468" spans="3:6">
      <c r="C468">
        <v>17018708.280000001</v>
      </c>
      <c r="D468" t="str">
        <f t="shared" si="22"/>
        <v/>
      </c>
      <c r="E468" t="str">
        <f t="shared" si="23"/>
        <v/>
      </c>
      <c r="F468">
        <f t="shared" si="24"/>
        <v>17.02</v>
      </c>
    </row>
    <row r="469" spans="3:6">
      <c r="C469">
        <v>113135087.81</v>
      </c>
      <c r="D469" t="str">
        <f t="shared" si="22"/>
        <v/>
      </c>
      <c r="E469" t="str">
        <f t="shared" si="23"/>
        <v/>
      </c>
      <c r="F469">
        <f t="shared" si="24"/>
        <v>113.14</v>
      </c>
    </row>
    <row r="470" spans="3:6">
      <c r="C470">
        <v>454051.19</v>
      </c>
      <c r="D470" t="str">
        <f t="shared" si="22"/>
        <v/>
      </c>
      <c r="E470" t="str">
        <f t="shared" si="23"/>
        <v/>
      </c>
      <c r="F470">
        <f t="shared" si="24"/>
        <v>0.45</v>
      </c>
    </row>
    <row r="471" spans="3:6">
      <c r="C471">
        <v>603209.64</v>
      </c>
      <c r="D471" t="str">
        <f t="shared" si="22"/>
        <v/>
      </c>
      <c r="E471" t="str">
        <f t="shared" si="23"/>
        <v/>
      </c>
      <c r="F471">
        <f t="shared" si="24"/>
        <v>0.6</v>
      </c>
    </row>
    <row r="472" spans="3:6">
      <c r="C472">
        <v>1001969.44</v>
      </c>
      <c r="D472" t="str">
        <f t="shared" si="22"/>
        <v/>
      </c>
      <c r="E472" t="str">
        <f t="shared" si="23"/>
        <v/>
      </c>
      <c r="F472">
        <f t="shared" si="24"/>
        <v>1</v>
      </c>
    </row>
    <row r="473" spans="3:6">
      <c r="C473">
        <v>751604.3</v>
      </c>
      <c r="D473" t="str">
        <f t="shared" si="22"/>
        <v/>
      </c>
      <c r="E473" t="str">
        <f t="shared" si="23"/>
        <v/>
      </c>
      <c r="F473">
        <f t="shared" si="24"/>
        <v>0.75</v>
      </c>
    </row>
    <row r="474" spans="3:6">
      <c r="C474">
        <v>565438.98</v>
      </c>
      <c r="D474" t="str">
        <f t="shared" si="22"/>
        <v/>
      </c>
      <c r="E474" t="str">
        <f t="shared" si="23"/>
        <v/>
      </c>
      <c r="F474">
        <f t="shared" si="24"/>
        <v>0.56999999999999995</v>
      </c>
    </row>
    <row r="475" spans="3:6">
      <c r="C475">
        <v>1156045.98</v>
      </c>
      <c r="D475" t="str">
        <f t="shared" si="22"/>
        <v/>
      </c>
      <c r="E475" t="str">
        <f t="shared" si="23"/>
        <v/>
      </c>
      <c r="F475">
        <f t="shared" si="24"/>
        <v>1.1599999999999999</v>
      </c>
    </row>
    <row r="476" spans="3:6">
      <c r="C476">
        <v>84265883.510000005</v>
      </c>
      <c r="D476" t="str">
        <f t="shared" si="22"/>
        <v/>
      </c>
      <c r="E476" t="str">
        <f t="shared" si="23"/>
        <v/>
      </c>
      <c r="F476">
        <f t="shared" si="24"/>
        <v>84.27</v>
      </c>
    </row>
    <row r="477" spans="3:6">
      <c r="C477">
        <v>249071.47</v>
      </c>
      <c r="D477" t="str">
        <f t="shared" si="22"/>
        <v/>
      </c>
      <c r="E477" t="str">
        <f t="shared" si="23"/>
        <v/>
      </c>
      <c r="F477">
        <f t="shared" si="24"/>
        <v>0.25</v>
      </c>
    </row>
    <row r="478" spans="3:6">
      <c r="C478">
        <v>7389966.9400000004</v>
      </c>
      <c r="D478" t="str">
        <f t="shared" si="22"/>
        <v/>
      </c>
      <c r="E478" t="str">
        <f t="shared" si="23"/>
        <v/>
      </c>
      <c r="F478">
        <f t="shared" si="24"/>
        <v>7.39</v>
      </c>
    </row>
    <row r="479" spans="3:6">
      <c r="C479">
        <v>43337.37</v>
      </c>
      <c r="D479" t="str">
        <f t="shared" si="22"/>
        <v/>
      </c>
      <c r="E479" t="str">
        <f t="shared" si="23"/>
        <v/>
      </c>
      <c r="F479">
        <f t="shared" si="24"/>
        <v>0.04</v>
      </c>
    </row>
    <row r="480" spans="3:6">
      <c r="C480">
        <v>23856967.920000002</v>
      </c>
      <c r="D480" t="str">
        <f t="shared" si="22"/>
        <v/>
      </c>
      <c r="E480" t="str">
        <f t="shared" si="23"/>
        <v/>
      </c>
      <c r="F480">
        <f t="shared" si="24"/>
        <v>23.86</v>
      </c>
    </row>
    <row r="481" spans="3:6">
      <c r="C481">
        <v>7123950.6699999999</v>
      </c>
      <c r="D481" t="str">
        <f t="shared" si="22"/>
        <v/>
      </c>
      <c r="E481" t="str">
        <f t="shared" si="23"/>
        <v/>
      </c>
      <c r="F481">
        <f t="shared" si="24"/>
        <v>7.12</v>
      </c>
    </row>
    <row r="482" spans="3:6">
      <c r="C482">
        <v>3084999.27</v>
      </c>
      <c r="D482" t="str">
        <f t="shared" si="22"/>
        <v/>
      </c>
      <c r="E482" t="str">
        <f t="shared" si="23"/>
        <v/>
      </c>
      <c r="F482">
        <f t="shared" si="24"/>
        <v>3.08</v>
      </c>
    </row>
    <row r="483" spans="3:6">
      <c r="C483">
        <v>25420764.920000002</v>
      </c>
      <c r="D483" t="str">
        <f t="shared" si="22"/>
        <v/>
      </c>
      <c r="E483" t="str">
        <f t="shared" si="23"/>
        <v/>
      </c>
      <c r="F483">
        <f t="shared" si="24"/>
        <v>25.42</v>
      </c>
    </row>
    <row r="484" spans="3:6">
      <c r="C484">
        <v>947272.18</v>
      </c>
      <c r="D484" t="str">
        <f t="shared" si="22"/>
        <v/>
      </c>
      <c r="E484" t="str">
        <f t="shared" si="23"/>
        <v/>
      </c>
      <c r="F484">
        <f t="shared" si="24"/>
        <v>0.95</v>
      </c>
    </row>
    <row r="485" spans="3:6">
      <c r="C485">
        <v>6037106.6699999999</v>
      </c>
      <c r="D485" t="str">
        <f t="shared" si="22"/>
        <v/>
      </c>
      <c r="E485" t="str">
        <f t="shared" si="23"/>
        <v/>
      </c>
      <c r="F485">
        <f t="shared" si="24"/>
        <v>6.04</v>
      </c>
    </row>
    <row r="486" spans="3:6">
      <c r="C486">
        <v>0</v>
      </c>
      <c r="D486" t="str">
        <f t="shared" si="22"/>
        <v/>
      </c>
      <c r="E486" t="str">
        <f t="shared" si="23"/>
        <v/>
      </c>
      <c r="F486">
        <f t="shared" si="24"/>
        <v>0</v>
      </c>
    </row>
    <row r="487" spans="3:6">
      <c r="C487">
        <v>2089514.27</v>
      </c>
      <c r="D487" t="str">
        <f t="shared" si="22"/>
        <v/>
      </c>
      <c r="E487" t="str">
        <f t="shared" si="23"/>
        <v/>
      </c>
      <c r="F487">
        <f t="shared" si="24"/>
        <v>2.09</v>
      </c>
    </row>
    <row r="488" spans="3:6">
      <c r="C488">
        <v>20195835.07</v>
      </c>
      <c r="D488" t="str">
        <f t="shared" si="22"/>
        <v/>
      </c>
      <c r="E488" t="str">
        <f t="shared" si="23"/>
        <v/>
      </c>
      <c r="F488">
        <f t="shared" si="24"/>
        <v>20.2</v>
      </c>
    </row>
    <row r="489" spans="3:6">
      <c r="C489">
        <v>752041.03</v>
      </c>
      <c r="D489" t="str">
        <f t="shared" si="22"/>
        <v/>
      </c>
      <c r="E489" t="str">
        <f t="shared" si="23"/>
        <v/>
      </c>
      <c r="F489">
        <f t="shared" si="24"/>
        <v>0.75</v>
      </c>
    </row>
    <row r="490" spans="3:6">
      <c r="C490">
        <v>115115886.36</v>
      </c>
      <c r="D490" t="str">
        <f t="shared" si="22"/>
        <v/>
      </c>
      <c r="E490" t="str">
        <f t="shared" si="23"/>
        <v/>
      </c>
      <c r="F490">
        <f t="shared" si="24"/>
        <v>115.12</v>
      </c>
    </row>
    <row r="491" spans="3:6">
      <c r="C491">
        <v>7466695.1600000001</v>
      </c>
      <c r="D491" t="str">
        <f t="shared" si="22"/>
        <v/>
      </c>
      <c r="E491" t="str">
        <f t="shared" si="23"/>
        <v/>
      </c>
      <c r="F491">
        <f t="shared" si="24"/>
        <v>7.47</v>
      </c>
    </row>
    <row r="492" spans="3:6">
      <c r="C492">
        <v>1307123.8899999999</v>
      </c>
      <c r="D492" t="str">
        <f t="shared" si="22"/>
        <v/>
      </c>
      <c r="E492" t="str">
        <f t="shared" si="23"/>
        <v/>
      </c>
      <c r="F492">
        <f t="shared" si="24"/>
        <v>1.31</v>
      </c>
    </row>
    <row r="493" spans="3:6">
      <c r="C493">
        <v>249924.8</v>
      </c>
      <c r="D493" t="str">
        <f t="shared" si="22"/>
        <v/>
      </c>
      <c r="E493" t="str">
        <f t="shared" si="23"/>
        <v/>
      </c>
      <c r="F493">
        <f t="shared" si="24"/>
        <v>0.25</v>
      </c>
    </row>
    <row r="494" spans="3:6">
      <c r="C494">
        <v>109690.01</v>
      </c>
      <c r="D494" t="str">
        <f t="shared" si="22"/>
        <v/>
      </c>
      <c r="E494" t="str">
        <f t="shared" si="23"/>
        <v/>
      </c>
      <c r="F494">
        <f t="shared" si="24"/>
        <v>0.11</v>
      </c>
    </row>
    <row r="495" spans="3:6">
      <c r="C495">
        <v>249029.85</v>
      </c>
      <c r="D495" t="str">
        <f t="shared" si="22"/>
        <v/>
      </c>
      <c r="E495" t="str">
        <f t="shared" si="23"/>
        <v/>
      </c>
      <c r="F495">
        <f t="shared" si="24"/>
        <v>0.25</v>
      </c>
    </row>
    <row r="496" spans="3:6">
      <c r="C496">
        <v>50475081.810000002</v>
      </c>
      <c r="D496" t="str">
        <f t="shared" si="22"/>
        <v/>
      </c>
      <c r="E496" t="str">
        <f t="shared" si="23"/>
        <v/>
      </c>
      <c r="F496">
        <f t="shared" si="24"/>
        <v>50.48</v>
      </c>
    </row>
    <row r="497" spans="3:6">
      <c r="C497">
        <v>249919.98</v>
      </c>
      <c r="D497" t="str">
        <f t="shared" si="22"/>
        <v/>
      </c>
      <c r="E497" t="str">
        <f t="shared" si="23"/>
        <v/>
      </c>
      <c r="F497">
        <f t="shared" si="24"/>
        <v>0.25</v>
      </c>
    </row>
    <row r="498" spans="3:6">
      <c r="C498">
        <v>101890.56</v>
      </c>
      <c r="D498" t="str">
        <f t="shared" si="22"/>
        <v/>
      </c>
      <c r="E498" t="str">
        <f t="shared" si="23"/>
        <v/>
      </c>
      <c r="F498">
        <f t="shared" si="24"/>
        <v>0.1</v>
      </c>
    </row>
    <row r="499" spans="3:6">
      <c r="C499">
        <v>749558.89</v>
      </c>
      <c r="D499" t="str">
        <f t="shared" si="22"/>
        <v/>
      </c>
      <c r="E499" t="str">
        <f t="shared" si="23"/>
        <v/>
      </c>
      <c r="F499">
        <f t="shared" si="24"/>
        <v>0.75</v>
      </c>
    </row>
    <row r="500" spans="3:6">
      <c r="C500">
        <v>19707.759999999998</v>
      </c>
      <c r="D500" t="str">
        <f t="shared" si="22"/>
        <v/>
      </c>
      <c r="E500" t="str">
        <f t="shared" si="23"/>
        <v/>
      </c>
      <c r="F500">
        <f t="shared" si="24"/>
        <v>0.02</v>
      </c>
    </row>
    <row r="501" spans="3:6">
      <c r="C501">
        <v>42257022.280000001</v>
      </c>
      <c r="D501" t="str">
        <f t="shared" si="22"/>
        <v/>
      </c>
      <c r="E501" t="str">
        <f t="shared" si="23"/>
        <v/>
      </c>
      <c r="F501">
        <f t="shared" si="24"/>
        <v>42.26</v>
      </c>
    </row>
    <row r="502" spans="3:6">
      <c r="C502">
        <v>249963.09</v>
      </c>
      <c r="D502" t="str">
        <f t="shared" si="22"/>
        <v/>
      </c>
      <c r="E502" t="str">
        <f t="shared" si="23"/>
        <v/>
      </c>
      <c r="F502">
        <f t="shared" si="24"/>
        <v>0.25</v>
      </c>
    </row>
    <row r="503" spans="3:6">
      <c r="C503">
        <v>89942020.730000004</v>
      </c>
      <c r="D503" t="str">
        <f t="shared" si="22"/>
        <v/>
      </c>
      <c r="E503" t="str">
        <f t="shared" si="23"/>
        <v/>
      </c>
      <c r="F503">
        <f t="shared" si="24"/>
        <v>89.94</v>
      </c>
    </row>
    <row r="504" spans="3:6">
      <c r="C504">
        <v>259390.65</v>
      </c>
      <c r="D504" t="str">
        <f t="shared" si="22"/>
        <v/>
      </c>
      <c r="E504" t="str">
        <f t="shared" si="23"/>
        <v/>
      </c>
      <c r="F504">
        <f t="shared" si="24"/>
        <v>0.26</v>
      </c>
    </row>
    <row r="505" spans="3:6">
      <c r="C505">
        <v>12521919.75</v>
      </c>
      <c r="D505" t="str">
        <f t="shared" si="22"/>
        <v/>
      </c>
      <c r="E505" t="str">
        <f t="shared" si="23"/>
        <v/>
      </c>
      <c r="F505">
        <f t="shared" si="24"/>
        <v>12.52</v>
      </c>
    </row>
    <row r="506" spans="3:6">
      <c r="C506">
        <v>225232.29</v>
      </c>
      <c r="D506" t="str">
        <f t="shared" si="22"/>
        <v/>
      </c>
      <c r="E506" t="str">
        <f t="shared" si="23"/>
        <v/>
      </c>
      <c r="F506">
        <f t="shared" si="24"/>
        <v>0.23</v>
      </c>
    </row>
    <row r="507" spans="3:6">
      <c r="C507">
        <v>293073.59000000003</v>
      </c>
      <c r="D507" t="str">
        <f t="shared" si="22"/>
        <v/>
      </c>
      <c r="E507" t="str">
        <f t="shared" si="23"/>
        <v/>
      </c>
      <c r="F507">
        <f t="shared" si="24"/>
        <v>0.28999999999999998</v>
      </c>
    </row>
    <row r="508" spans="3:6">
      <c r="C508">
        <v>1053.01</v>
      </c>
      <c r="D508" t="str">
        <f t="shared" si="22"/>
        <v/>
      </c>
      <c r="E508" t="str">
        <f t="shared" si="23"/>
        <v/>
      </c>
      <c r="F508">
        <f t="shared" si="24"/>
        <v>0</v>
      </c>
    </row>
    <row r="509" spans="3:6">
      <c r="C509">
        <v>258230.88</v>
      </c>
      <c r="D509" t="str">
        <f t="shared" si="22"/>
        <v/>
      </c>
      <c r="E509" t="str">
        <f t="shared" si="23"/>
        <v/>
      </c>
      <c r="F509">
        <f t="shared" si="24"/>
        <v>0.26</v>
      </c>
    </row>
    <row r="510" spans="3:6">
      <c r="C510">
        <v>499905.33</v>
      </c>
      <c r="D510" t="str">
        <f t="shared" si="22"/>
        <v/>
      </c>
      <c r="E510" t="str">
        <f t="shared" si="23"/>
        <v/>
      </c>
      <c r="F510">
        <f t="shared" si="24"/>
        <v>0.5</v>
      </c>
    </row>
    <row r="511" spans="3:6">
      <c r="C511">
        <v>164219.98000000001</v>
      </c>
      <c r="D511" t="str">
        <f t="shared" si="22"/>
        <v/>
      </c>
      <c r="E511" t="str">
        <f t="shared" si="23"/>
        <v/>
      </c>
      <c r="F511">
        <f t="shared" si="24"/>
        <v>0.16</v>
      </c>
    </row>
    <row r="512" spans="3:6">
      <c r="C512">
        <v>25702354.649999999</v>
      </c>
      <c r="D512" t="str">
        <f t="shared" si="22"/>
        <v/>
      </c>
      <c r="E512" t="str">
        <f t="shared" si="23"/>
        <v/>
      </c>
      <c r="F512">
        <f t="shared" si="24"/>
        <v>25.7</v>
      </c>
    </row>
    <row r="513" spans="3:6">
      <c r="C513">
        <v>583027.75</v>
      </c>
      <c r="D513" t="str">
        <f t="shared" si="22"/>
        <v/>
      </c>
      <c r="E513" t="str">
        <f t="shared" si="23"/>
        <v/>
      </c>
      <c r="F513">
        <f t="shared" si="24"/>
        <v>0.57999999999999996</v>
      </c>
    </row>
    <row r="514" spans="3:6">
      <c r="C514">
        <v>227618.04</v>
      </c>
      <c r="D514" t="str">
        <f t="shared" si="22"/>
        <v/>
      </c>
      <c r="E514" t="str">
        <f t="shared" si="23"/>
        <v/>
      </c>
      <c r="F514">
        <f t="shared" si="24"/>
        <v>0.23</v>
      </c>
    </row>
    <row r="515" spans="3:6">
      <c r="C515">
        <v>156321603.19</v>
      </c>
      <c r="D515" t="str">
        <f t="shared" ref="D515:D578" si="25">IF(A515="","",ROUND(A515/$J$2,2))</f>
        <v/>
      </c>
      <c r="E515" t="str">
        <f t="shared" ref="E515:E578" si="26">IF(B515="","",ROUND(B515/$J$2,2))</f>
        <v/>
      </c>
      <c r="F515">
        <f t="shared" ref="F515:F578" si="27">IF(C515="","",ROUND(C515/$J$2,2))</f>
        <v>156.32</v>
      </c>
    </row>
    <row r="516" spans="3:6">
      <c r="C516">
        <v>1005763.25</v>
      </c>
      <c r="D516" t="str">
        <f t="shared" si="25"/>
        <v/>
      </c>
      <c r="E516" t="str">
        <f t="shared" si="26"/>
        <v/>
      </c>
      <c r="F516">
        <f t="shared" si="27"/>
        <v>1.01</v>
      </c>
    </row>
    <row r="517" spans="3:6">
      <c r="C517">
        <v>156873662.72999999</v>
      </c>
      <c r="D517" t="str">
        <f t="shared" si="25"/>
        <v/>
      </c>
      <c r="E517" t="str">
        <f t="shared" si="26"/>
        <v/>
      </c>
      <c r="F517">
        <f t="shared" si="27"/>
        <v>156.87</v>
      </c>
    </row>
    <row r="518" spans="3:6">
      <c r="C518">
        <v>1357754.24</v>
      </c>
      <c r="D518" t="str">
        <f t="shared" si="25"/>
        <v/>
      </c>
      <c r="E518" t="str">
        <f t="shared" si="26"/>
        <v/>
      </c>
      <c r="F518">
        <f t="shared" si="27"/>
        <v>1.36</v>
      </c>
    </row>
    <row r="519" spans="3:6">
      <c r="C519">
        <v>243365.08</v>
      </c>
      <c r="D519" t="str">
        <f t="shared" si="25"/>
        <v/>
      </c>
      <c r="E519" t="str">
        <f t="shared" si="26"/>
        <v/>
      </c>
      <c r="F519">
        <f t="shared" si="27"/>
        <v>0.24</v>
      </c>
    </row>
    <row r="520" spans="3:6">
      <c r="C520">
        <v>303156886.68000001</v>
      </c>
      <c r="D520" t="str">
        <f t="shared" si="25"/>
        <v/>
      </c>
      <c r="E520" t="str">
        <f t="shared" si="26"/>
        <v/>
      </c>
      <c r="F520">
        <f t="shared" si="27"/>
        <v>303.16000000000003</v>
      </c>
    </row>
    <row r="521" spans="3:6">
      <c r="C521">
        <v>2075650.87</v>
      </c>
      <c r="D521" t="str">
        <f t="shared" si="25"/>
        <v/>
      </c>
      <c r="E521" t="str">
        <f t="shared" si="26"/>
        <v/>
      </c>
      <c r="F521">
        <f t="shared" si="27"/>
        <v>2.08</v>
      </c>
    </row>
    <row r="522" spans="3:6">
      <c r="C522">
        <v>657367.03</v>
      </c>
      <c r="D522" t="str">
        <f t="shared" si="25"/>
        <v/>
      </c>
      <c r="E522" t="str">
        <f t="shared" si="26"/>
        <v/>
      </c>
      <c r="F522">
        <f t="shared" si="27"/>
        <v>0.66</v>
      </c>
    </row>
    <row r="523" spans="3:6">
      <c r="C523">
        <v>519546.09</v>
      </c>
      <c r="D523" t="str">
        <f t="shared" si="25"/>
        <v/>
      </c>
      <c r="E523" t="str">
        <f t="shared" si="26"/>
        <v/>
      </c>
      <c r="F523">
        <f t="shared" si="27"/>
        <v>0.52</v>
      </c>
    </row>
    <row r="524" spans="3:6">
      <c r="C524">
        <v>326268170.75</v>
      </c>
      <c r="D524" t="str">
        <f t="shared" si="25"/>
        <v/>
      </c>
      <c r="E524" t="str">
        <f t="shared" si="26"/>
        <v/>
      </c>
      <c r="F524">
        <f t="shared" si="27"/>
        <v>326.27</v>
      </c>
    </row>
    <row r="525" spans="3:6">
      <c r="C525">
        <v>1200418.22</v>
      </c>
      <c r="D525" t="str">
        <f t="shared" si="25"/>
        <v/>
      </c>
      <c r="E525" t="str">
        <f t="shared" si="26"/>
        <v/>
      </c>
      <c r="F525">
        <f t="shared" si="27"/>
        <v>1.2</v>
      </c>
    </row>
    <row r="526" spans="3:6">
      <c r="C526">
        <v>39424081.079999998</v>
      </c>
      <c r="D526" t="str">
        <f t="shared" si="25"/>
        <v/>
      </c>
      <c r="E526" t="str">
        <f t="shared" si="26"/>
        <v/>
      </c>
      <c r="F526">
        <f t="shared" si="27"/>
        <v>39.42</v>
      </c>
    </row>
    <row r="527" spans="3:6">
      <c r="C527">
        <v>15793933.15</v>
      </c>
      <c r="D527" t="str">
        <f t="shared" si="25"/>
        <v/>
      </c>
      <c r="E527" t="str">
        <f t="shared" si="26"/>
        <v/>
      </c>
      <c r="F527">
        <f t="shared" si="27"/>
        <v>15.79</v>
      </c>
    </row>
    <row r="528" spans="3:6">
      <c r="C528">
        <v>6178964.9199999999</v>
      </c>
      <c r="D528" t="str">
        <f t="shared" si="25"/>
        <v/>
      </c>
      <c r="E528" t="str">
        <f t="shared" si="26"/>
        <v/>
      </c>
      <c r="F528">
        <f t="shared" si="27"/>
        <v>6.18</v>
      </c>
    </row>
    <row r="529" spans="3:6">
      <c r="C529">
        <v>91151.07</v>
      </c>
      <c r="D529" t="str">
        <f t="shared" si="25"/>
        <v/>
      </c>
      <c r="E529" t="str">
        <f t="shared" si="26"/>
        <v/>
      </c>
      <c r="F529">
        <f t="shared" si="27"/>
        <v>0.09</v>
      </c>
    </row>
    <row r="530" spans="3:6">
      <c r="C530">
        <v>111562140.19</v>
      </c>
      <c r="D530" t="str">
        <f t="shared" si="25"/>
        <v/>
      </c>
      <c r="E530" t="str">
        <f t="shared" si="26"/>
        <v/>
      </c>
      <c r="F530">
        <f t="shared" si="27"/>
        <v>111.56</v>
      </c>
    </row>
    <row r="531" spans="3:6">
      <c r="C531">
        <v>260339.58</v>
      </c>
      <c r="D531" t="str">
        <f t="shared" si="25"/>
        <v/>
      </c>
      <c r="E531" t="str">
        <f t="shared" si="26"/>
        <v/>
      </c>
      <c r="F531">
        <f t="shared" si="27"/>
        <v>0.26</v>
      </c>
    </row>
    <row r="532" spans="3:6">
      <c r="C532">
        <v>702509.41</v>
      </c>
      <c r="D532" t="str">
        <f t="shared" si="25"/>
        <v/>
      </c>
      <c r="E532" t="str">
        <f t="shared" si="26"/>
        <v/>
      </c>
      <c r="F532">
        <f t="shared" si="27"/>
        <v>0.7</v>
      </c>
    </row>
    <row r="533" spans="3:6">
      <c r="C533">
        <v>308002304.62</v>
      </c>
      <c r="D533" t="str">
        <f t="shared" si="25"/>
        <v/>
      </c>
      <c r="E533" t="str">
        <f t="shared" si="26"/>
        <v/>
      </c>
      <c r="F533">
        <f t="shared" si="27"/>
        <v>308</v>
      </c>
    </row>
    <row r="534" spans="3:6">
      <c r="C534">
        <v>3513820.26</v>
      </c>
      <c r="D534" t="str">
        <f t="shared" si="25"/>
        <v/>
      </c>
      <c r="E534" t="str">
        <f t="shared" si="26"/>
        <v/>
      </c>
      <c r="F534">
        <f t="shared" si="27"/>
        <v>3.51</v>
      </c>
    </row>
    <row r="535" spans="3:6">
      <c r="C535">
        <v>143688120.02000001</v>
      </c>
      <c r="D535" t="str">
        <f t="shared" si="25"/>
        <v/>
      </c>
      <c r="E535" t="str">
        <f t="shared" si="26"/>
        <v/>
      </c>
      <c r="F535">
        <f t="shared" si="27"/>
        <v>143.69</v>
      </c>
    </row>
    <row r="536" spans="3:6">
      <c r="C536">
        <v>70697602.650000006</v>
      </c>
      <c r="D536" t="str">
        <f t="shared" si="25"/>
        <v/>
      </c>
      <c r="E536" t="str">
        <f t="shared" si="26"/>
        <v/>
      </c>
      <c r="F536">
        <f t="shared" si="27"/>
        <v>70.7</v>
      </c>
    </row>
    <row r="537" spans="3:6">
      <c r="C537">
        <v>1.2</v>
      </c>
      <c r="D537" t="str">
        <f t="shared" si="25"/>
        <v/>
      </c>
      <c r="E537" t="str">
        <f t="shared" si="26"/>
        <v/>
      </c>
      <c r="F537">
        <f t="shared" si="27"/>
        <v>0</v>
      </c>
    </row>
    <row r="538" spans="3:6">
      <c r="C538">
        <v>459265000</v>
      </c>
      <c r="D538" t="str">
        <f t="shared" si="25"/>
        <v/>
      </c>
      <c r="E538" t="str">
        <f t="shared" si="26"/>
        <v/>
      </c>
      <c r="F538">
        <f t="shared" si="27"/>
        <v>459.27</v>
      </c>
    </row>
    <row r="539" spans="3:6">
      <c r="C539">
        <v>859100000</v>
      </c>
      <c r="D539" t="str">
        <f t="shared" si="25"/>
        <v/>
      </c>
      <c r="E539" t="str">
        <f t="shared" si="26"/>
        <v/>
      </c>
      <c r="F539">
        <f t="shared" si="27"/>
        <v>859.1</v>
      </c>
    </row>
    <row r="540" spans="3:6">
      <c r="C540">
        <v>1590757000</v>
      </c>
      <c r="D540" t="str">
        <f t="shared" si="25"/>
        <v/>
      </c>
      <c r="E540" t="str">
        <f t="shared" si="26"/>
        <v/>
      </c>
      <c r="F540">
        <f t="shared" si="27"/>
        <v>1590.76</v>
      </c>
    </row>
    <row r="541" spans="3:6">
      <c r="C541">
        <v>682806000</v>
      </c>
      <c r="D541" t="str">
        <f t="shared" si="25"/>
        <v/>
      </c>
      <c r="E541" t="str">
        <f t="shared" si="26"/>
        <v/>
      </c>
      <c r="F541">
        <f t="shared" si="27"/>
        <v>682.81</v>
      </c>
    </row>
    <row r="542" spans="3:6">
      <c r="C542">
        <v>300434000</v>
      </c>
      <c r="D542" t="str">
        <f t="shared" si="25"/>
        <v/>
      </c>
      <c r="E542" t="str">
        <f t="shared" si="26"/>
        <v/>
      </c>
      <c r="F542">
        <f t="shared" si="27"/>
        <v>300.43</v>
      </c>
    </row>
    <row r="543" spans="3:6">
      <c r="C543">
        <v>198258000</v>
      </c>
      <c r="D543" t="str">
        <f t="shared" si="25"/>
        <v/>
      </c>
      <c r="E543" t="str">
        <f t="shared" si="26"/>
        <v/>
      </c>
      <c r="F543">
        <f t="shared" si="27"/>
        <v>198.26</v>
      </c>
    </row>
    <row r="544" spans="3:6">
      <c r="C544">
        <v>1005831000</v>
      </c>
      <c r="D544" t="str">
        <f t="shared" si="25"/>
        <v/>
      </c>
      <c r="E544" t="str">
        <f t="shared" si="26"/>
        <v/>
      </c>
      <c r="F544">
        <f t="shared" si="27"/>
        <v>1005.83</v>
      </c>
    </row>
    <row r="545" spans="3:6">
      <c r="C545">
        <v>111478000</v>
      </c>
      <c r="D545" t="str">
        <f t="shared" si="25"/>
        <v/>
      </c>
      <c r="E545" t="str">
        <f t="shared" si="26"/>
        <v/>
      </c>
      <c r="F545">
        <f t="shared" si="27"/>
        <v>111.48</v>
      </c>
    </row>
    <row r="546" spans="3:6">
      <c r="C546">
        <v>28708000</v>
      </c>
      <c r="D546" t="str">
        <f t="shared" si="25"/>
        <v/>
      </c>
      <c r="E546" t="str">
        <f t="shared" si="26"/>
        <v/>
      </c>
      <c r="F546">
        <f t="shared" si="27"/>
        <v>28.71</v>
      </c>
    </row>
    <row r="547" spans="3:6">
      <c r="C547">
        <v>193444000</v>
      </c>
      <c r="D547" t="str">
        <f t="shared" si="25"/>
        <v/>
      </c>
      <c r="E547" t="str">
        <f t="shared" si="26"/>
        <v/>
      </c>
      <c r="F547">
        <f t="shared" si="27"/>
        <v>193.44</v>
      </c>
    </row>
    <row r="548" spans="3:6">
      <c r="C548">
        <v>1151537000</v>
      </c>
      <c r="D548" t="str">
        <f t="shared" si="25"/>
        <v/>
      </c>
      <c r="E548" t="str">
        <f t="shared" si="26"/>
        <v/>
      </c>
      <c r="F548">
        <f t="shared" si="27"/>
        <v>1151.54</v>
      </c>
    </row>
    <row r="549" spans="3:6">
      <c r="C549">
        <v>10594000</v>
      </c>
      <c r="D549" t="str">
        <f t="shared" si="25"/>
        <v/>
      </c>
      <c r="E549" t="str">
        <f t="shared" si="26"/>
        <v/>
      </c>
      <c r="F549">
        <f t="shared" si="27"/>
        <v>10.59</v>
      </c>
    </row>
    <row r="550" spans="3:6">
      <c r="C550">
        <v>601545000</v>
      </c>
      <c r="D550" t="str">
        <f t="shared" si="25"/>
        <v/>
      </c>
      <c r="E550" t="str">
        <f t="shared" si="26"/>
        <v/>
      </c>
      <c r="F550">
        <f t="shared" si="27"/>
        <v>601.54999999999995</v>
      </c>
    </row>
    <row r="551" spans="3:6">
      <c r="C551">
        <v>548465000</v>
      </c>
      <c r="D551" t="str">
        <f t="shared" si="25"/>
        <v/>
      </c>
      <c r="E551" t="str">
        <f t="shared" si="26"/>
        <v/>
      </c>
      <c r="F551">
        <f t="shared" si="27"/>
        <v>548.47</v>
      </c>
    </row>
    <row r="552" spans="3:6">
      <c r="C552">
        <v>142451000</v>
      </c>
      <c r="D552" t="str">
        <f t="shared" si="25"/>
        <v/>
      </c>
      <c r="E552" t="str">
        <f t="shared" si="26"/>
        <v/>
      </c>
      <c r="F552">
        <f t="shared" si="27"/>
        <v>142.44999999999999</v>
      </c>
    </row>
    <row r="553" spans="3:6">
      <c r="C553">
        <v>638955000</v>
      </c>
      <c r="D553" t="str">
        <f t="shared" si="25"/>
        <v/>
      </c>
      <c r="E553" t="str">
        <f t="shared" si="26"/>
        <v/>
      </c>
      <c r="F553">
        <f t="shared" si="27"/>
        <v>638.96</v>
      </c>
    </row>
    <row r="554" spans="3:6">
      <c r="C554">
        <v>1081218000</v>
      </c>
      <c r="D554" t="str">
        <f t="shared" si="25"/>
        <v/>
      </c>
      <c r="E554" t="str">
        <f t="shared" si="26"/>
        <v/>
      </c>
      <c r="F554">
        <f t="shared" si="27"/>
        <v>1081.22</v>
      </c>
    </row>
    <row r="555" spans="3:6">
      <c r="C555">
        <v>2989065987.4000001</v>
      </c>
      <c r="D555" t="str">
        <f t="shared" si="25"/>
        <v/>
      </c>
      <c r="E555" t="str">
        <f t="shared" si="26"/>
        <v/>
      </c>
      <c r="F555">
        <f t="shared" si="27"/>
        <v>2989.07</v>
      </c>
    </row>
    <row r="556" spans="3:6">
      <c r="C556">
        <v>957382434.40999997</v>
      </c>
      <c r="D556" t="str">
        <f t="shared" si="25"/>
        <v/>
      </c>
      <c r="E556" t="str">
        <f t="shared" si="26"/>
        <v/>
      </c>
      <c r="F556">
        <f t="shared" si="27"/>
        <v>957.38</v>
      </c>
    </row>
    <row r="557" spans="3:6">
      <c r="C557">
        <v>117218146.81</v>
      </c>
      <c r="D557" t="str">
        <f t="shared" si="25"/>
        <v/>
      </c>
      <c r="E557" t="str">
        <f t="shared" si="26"/>
        <v/>
      </c>
      <c r="F557">
        <f t="shared" si="27"/>
        <v>117.22</v>
      </c>
    </row>
    <row r="558" spans="3:6">
      <c r="C558">
        <v>196519.53721703001</v>
      </c>
      <c r="D558" t="str">
        <f t="shared" si="25"/>
        <v/>
      </c>
      <c r="E558" t="str">
        <f t="shared" si="26"/>
        <v/>
      </c>
      <c r="F558">
        <f t="shared" si="27"/>
        <v>0.2</v>
      </c>
    </row>
    <row r="559" spans="3:6">
      <c r="C559">
        <v>4556640.2656082604</v>
      </c>
      <c r="D559" t="str">
        <f t="shared" si="25"/>
        <v/>
      </c>
      <c r="E559" t="str">
        <f t="shared" si="26"/>
        <v/>
      </c>
      <c r="F559">
        <f t="shared" si="27"/>
        <v>4.5599999999999996</v>
      </c>
    </row>
    <row r="560" spans="3:6">
      <c r="C560">
        <v>34956.267155909998</v>
      </c>
      <c r="D560" t="str">
        <f t="shared" si="25"/>
        <v/>
      </c>
      <c r="E560" t="str">
        <f t="shared" si="26"/>
        <v/>
      </c>
      <c r="F560">
        <f t="shared" si="27"/>
        <v>0.03</v>
      </c>
    </row>
    <row r="561" spans="3:6">
      <c r="C561">
        <v>129776.27400011</v>
      </c>
      <c r="D561" t="str">
        <f t="shared" si="25"/>
        <v/>
      </c>
      <c r="E561" t="str">
        <f t="shared" si="26"/>
        <v/>
      </c>
      <c r="F561">
        <f t="shared" si="27"/>
        <v>0.13</v>
      </c>
    </row>
    <row r="562" spans="3:6">
      <c r="C562">
        <v>3630759.36014097</v>
      </c>
      <c r="D562" t="str">
        <f t="shared" si="25"/>
        <v/>
      </c>
      <c r="E562" t="str">
        <f t="shared" si="26"/>
        <v/>
      </c>
      <c r="F562">
        <f t="shared" si="27"/>
        <v>3.63</v>
      </c>
    </row>
    <row r="563" spans="3:6">
      <c r="C563">
        <v>2752441.6155173401</v>
      </c>
      <c r="D563" t="str">
        <f t="shared" si="25"/>
        <v/>
      </c>
      <c r="E563" t="str">
        <f t="shared" si="26"/>
        <v/>
      </c>
      <c r="F563">
        <f t="shared" si="27"/>
        <v>2.75</v>
      </c>
    </row>
    <row r="564" spans="3:6">
      <c r="C564">
        <v>73528.194374650004</v>
      </c>
      <c r="D564" t="str">
        <f t="shared" si="25"/>
        <v/>
      </c>
      <c r="E564" t="str">
        <f t="shared" si="26"/>
        <v/>
      </c>
      <c r="F564">
        <f t="shared" si="27"/>
        <v>7.0000000000000007E-2</v>
      </c>
    </row>
    <row r="565" spans="3:6">
      <c r="C565">
        <v>2719113.3585246699</v>
      </c>
      <c r="D565" t="str">
        <f t="shared" si="25"/>
        <v/>
      </c>
      <c r="E565" t="str">
        <f t="shared" si="26"/>
        <v/>
      </c>
      <c r="F565">
        <f t="shared" si="27"/>
        <v>2.72</v>
      </c>
    </row>
    <row r="566" spans="3:6">
      <c r="C566">
        <v>746843.16201043001</v>
      </c>
      <c r="D566" t="str">
        <f t="shared" si="25"/>
        <v/>
      </c>
      <c r="E566" t="str">
        <f t="shared" si="26"/>
        <v/>
      </c>
      <c r="F566">
        <f t="shared" si="27"/>
        <v>0.75</v>
      </c>
    </row>
    <row r="567" spans="3:6">
      <c r="C567">
        <v>47843.537712140002</v>
      </c>
      <c r="D567" t="str">
        <f t="shared" si="25"/>
        <v/>
      </c>
      <c r="E567" t="str">
        <f t="shared" si="26"/>
        <v/>
      </c>
      <c r="F567">
        <f t="shared" si="27"/>
        <v>0.05</v>
      </c>
    </row>
    <row r="568" spans="3:6">
      <c r="C568">
        <v>1624398.6996060901</v>
      </c>
      <c r="D568" t="str">
        <f t="shared" si="25"/>
        <v/>
      </c>
      <c r="E568" t="str">
        <f t="shared" si="26"/>
        <v/>
      </c>
      <c r="F568">
        <f t="shared" si="27"/>
        <v>1.62</v>
      </c>
    </row>
    <row r="569" spans="3:6">
      <c r="C569">
        <v>66147.161486170007</v>
      </c>
      <c r="D569" t="str">
        <f t="shared" si="25"/>
        <v/>
      </c>
      <c r="E569" t="str">
        <f t="shared" si="26"/>
        <v/>
      </c>
      <c r="F569">
        <f t="shared" si="27"/>
        <v>7.0000000000000007E-2</v>
      </c>
    </row>
    <row r="570" spans="3:6">
      <c r="C570">
        <v>106958.12964619001</v>
      </c>
      <c r="D570" t="str">
        <f t="shared" si="25"/>
        <v/>
      </c>
      <c r="E570" t="str">
        <f t="shared" si="26"/>
        <v/>
      </c>
      <c r="F570">
        <f t="shared" si="27"/>
        <v>0.11</v>
      </c>
    </row>
    <row r="571" spans="3:6">
      <c r="C571">
        <v>6267984.07490509</v>
      </c>
      <c r="D571" t="str">
        <f t="shared" si="25"/>
        <v/>
      </c>
      <c r="E571" t="str">
        <f t="shared" si="26"/>
        <v/>
      </c>
      <c r="F571">
        <f t="shared" si="27"/>
        <v>6.27</v>
      </c>
    </row>
    <row r="572" spans="3:6">
      <c r="C572">
        <v>1794318.53097718</v>
      </c>
      <c r="D572" t="str">
        <f t="shared" si="25"/>
        <v/>
      </c>
      <c r="E572" t="str">
        <f t="shared" si="26"/>
        <v/>
      </c>
      <c r="F572">
        <f t="shared" si="27"/>
        <v>1.79</v>
      </c>
    </row>
    <row r="573" spans="3:6">
      <c r="C573">
        <v>52917.712588180002</v>
      </c>
      <c r="D573" t="str">
        <f t="shared" si="25"/>
        <v/>
      </c>
      <c r="E573" t="str">
        <f t="shared" si="26"/>
        <v/>
      </c>
      <c r="F573">
        <f t="shared" si="27"/>
        <v>0.05</v>
      </c>
    </row>
    <row r="574" spans="3:6">
      <c r="C574">
        <v>122523.62624955999</v>
      </c>
      <c r="D574" t="str">
        <f t="shared" si="25"/>
        <v/>
      </c>
      <c r="E574" t="str">
        <f t="shared" si="26"/>
        <v/>
      </c>
      <c r="F574">
        <f t="shared" si="27"/>
        <v>0.12</v>
      </c>
    </row>
    <row r="575" spans="3:6">
      <c r="C575">
        <v>141539.13049797999</v>
      </c>
      <c r="D575" t="str">
        <f t="shared" si="25"/>
        <v/>
      </c>
      <c r="E575" t="str">
        <f t="shared" si="26"/>
        <v/>
      </c>
      <c r="F575">
        <f t="shared" si="27"/>
        <v>0.14000000000000001</v>
      </c>
    </row>
    <row r="576" spans="3:6">
      <c r="C576">
        <v>83493.427404369999</v>
      </c>
      <c r="D576" t="str">
        <f t="shared" si="25"/>
        <v/>
      </c>
      <c r="E576" t="str">
        <f t="shared" si="26"/>
        <v/>
      </c>
      <c r="F576">
        <f t="shared" si="27"/>
        <v>0.08</v>
      </c>
    </row>
    <row r="577" spans="3:6">
      <c r="C577">
        <v>41576.059937500002</v>
      </c>
      <c r="D577" t="str">
        <f t="shared" si="25"/>
        <v/>
      </c>
      <c r="E577" t="str">
        <f t="shared" si="26"/>
        <v/>
      </c>
      <c r="F577">
        <f t="shared" si="27"/>
        <v>0.04</v>
      </c>
    </row>
    <row r="578" spans="3:6">
      <c r="C578">
        <v>8325386.7164663197</v>
      </c>
      <c r="D578" t="str">
        <f t="shared" si="25"/>
        <v/>
      </c>
      <c r="E578" t="str">
        <f t="shared" si="26"/>
        <v/>
      </c>
      <c r="F578">
        <f t="shared" si="27"/>
        <v>8.33</v>
      </c>
    </row>
    <row r="579" spans="3:6">
      <c r="C579">
        <v>1001159.88583326</v>
      </c>
      <c r="D579" t="str">
        <f t="shared" ref="D579:D642" si="28">IF(A579="","",ROUND(A579/$J$2,2))</f>
        <v/>
      </c>
      <c r="E579" t="str">
        <f t="shared" ref="E579:E642" si="29">IF(B579="","",ROUND(B579/$J$2,2))</f>
        <v/>
      </c>
      <c r="F579">
        <f t="shared" ref="F579:F642" si="30">IF(C579="","",ROUND(C579/$J$2,2))</f>
        <v>1</v>
      </c>
    </row>
    <row r="580" spans="3:6">
      <c r="C580">
        <v>5881.8388996699996</v>
      </c>
      <c r="D580" t="str">
        <f t="shared" si="28"/>
        <v/>
      </c>
      <c r="E580" t="str">
        <f t="shared" si="29"/>
        <v/>
      </c>
      <c r="F580">
        <f t="shared" si="30"/>
        <v>0.01</v>
      </c>
    </row>
    <row r="581" spans="3:6">
      <c r="C581">
        <v>33437.198837919997</v>
      </c>
      <c r="D581" t="str">
        <f t="shared" si="28"/>
        <v/>
      </c>
      <c r="E581" t="str">
        <f t="shared" si="29"/>
        <v/>
      </c>
      <c r="F581">
        <f t="shared" si="30"/>
        <v>0.03</v>
      </c>
    </row>
    <row r="582" spans="3:6">
      <c r="C582">
        <v>687567.69256531994</v>
      </c>
      <c r="D582" t="str">
        <f t="shared" si="28"/>
        <v/>
      </c>
      <c r="E582" t="str">
        <f t="shared" si="29"/>
        <v/>
      </c>
      <c r="F582">
        <f t="shared" si="30"/>
        <v>0.69</v>
      </c>
    </row>
    <row r="583" spans="3:6">
      <c r="C583">
        <v>497154.48038830998</v>
      </c>
      <c r="D583" t="str">
        <f t="shared" si="28"/>
        <v/>
      </c>
      <c r="E583" t="str">
        <f t="shared" si="29"/>
        <v/>
      </c>
      <c r="F583">
        <f t="shared" si="30"/>
        <v>0.5</v>
      </c>
    </row>
    <row r="584" spans="3:6">
      <c r="C584">
        <v>1039588.57459062</v>
      </c>
      <c r="D584" t="str">
        <f t="shared" si="28"/>
        <v/>
      </c>
      <c r="E584" t="str">
        <f t="shared" si="29"/>
        <v/>
      </c>
      <c r="F584">
        <f t="shared" si="30"/>
        <v>1.04</v>
      </c>
    </row>
    <row r="585" spans="3:6">
      <c r="C585">
        <v>25988.90078122</v>
      </c>
      <c r="D585" t="str">
        <f t="shared" si="28"/>
        <v/>
      </c>
      <c r="E585" t="str">
        <f t="shared" si="29"/>
        <v/>
      </c>
      <c r="F585">
        <f t="shared" si="30"/>
        <v>0.03</v>
      </c>
    </row>
    <row r="586" spans="3:6">
      <c r="C586">
        <v>29252.963747670001</v>
      </c>
      <c r="D586" t="str">
        <f t="shared" si="28"/>
        <v/>
      </c>
      <c r="E586" t="str">
        <f t="shared" si="29"/>
        <v/>
      </c>
      <c r="F586">
        <f t="shared" si="30"/>
        <v>0.03</v>
      </c>
    </row>
    <row r="587" spans="3:6">
      <c r="C587">
        <v>237019.80443116999</v>
      </c>
      <c r="D587" t="str">
        <f t="shared" si="28"/>
        <v/>
      </c>
      <c r="E587" t="str">
        <f t="shared" si="29"/>
        <v/>
      </c>
      <c r="F587">
        <f t="shared" si="30"/>
        <v>0.24</v>
      </c>
    </row>
    <row r="588" spans="3:6">
      <c r="C588">
        <v>104320.7487822</v>
      </c>
      <c r="D588" t="str">
        <f t="shared" si="28"/>
        <v/>
      </c>
      <c r="E588" t="str">
        <f t="shared" si="29"/>
        <v/>
      </c>
      <c r="F588">
        <f t="shared" si="30"/>
        <v>0.1</v>
      </c>
    </row>
    <row r="589" spans="3:6">
      <c r="C589">
        <v>26862.95916061</v>
      </c>
      <c r="D589" t="str">
        <f t="shared" si="28"/>
        <v/>
      </c>
      <c r="E589" t="str">
        <f t="shared" si="29"/>
        <v/>
      </c>
      <c r="F589">
        <f t="shared" si="30"/>
        <v>0.03</v>
      </c>
    </row>
    <row r="590" spans="3:6">
      <c r="C590">
        <v>520387.59310631</v>
      </c>
      <c r="D590" t="str">
        <f t="shared" si="28"/>
        <v/>
      </c>
      <c r="E590" t="str">
        <f t="shared" si="29"/>
        <v/>
      </c>
      <c r="F590">
        <f t="shared" si="30"/>
        <v>0.52</v>
      </c>
    </row>
    <row r="591" spans="3:6">
      <c r="C591">
        <v>105371.46560069</v>
      </c>
      <c r="D591" t="str">
        <f t="shared" si="28"/>
        <v/>
      </c>
      <c r="E591" t="str">
        <f t="shared" si="29"/>
        <v/>
      </c>
      <c r="F591">
        <f t="shared" si="30"/>
        <v>0.11</v>
      </c>
    </row>
    <row r="592" spans="3:6">
      <c r="C592">
        <v>84025.594314939997</v>
      </c>
      <c r="D592" t="str">
        <f t="shared" si="28"/>
        <v/>
      </c>
      <c r="E592" t="str">
        <f t="shared" si="29"/>
        <v/>
      </c>
      <c r="F592">
        <f t="shared" si="30"/>
        <v>0.08</v>
      </c>
    </row>
    <row r="593" spans="3:6">
      <c r="C593">
        <v>269054.45053620002</v>
      </c>
      <c r="D593" t="str">
        <f t="shared" si="28"/>
        <v/>
      </c>
      <c r="E593" t="str">
        <f t="shared" si="29"/>
        <v/>
      </c>
      <c r="F593">
        <f t="shared" si="30"/>
        <v>0.27</v>
      </c>
    </row>
    <row r="594" spans="3:6">
      <c r="C594">
        <v>10473.084176099999</v>
      </c>
      <c r="D594" t="str">
        <f t="shared" si="28"/>
        <v/>
      </c>
      <c r="E594" t="str">
        <f t="shared" si="29"/>
        <v/>
      </c>
      <c r="F594">
        <f t="shared" si="30"/>
        <v>0.01</v>
      </c>
    </row>
    <row r="595" spans="3:6">
      <c r="C595">
        <v>94568.181851229994</v>
      </c>
      <c r="D595" t="str">
        <f t="shared" si="28"/>
        <v/>
      </c>
      <c r="E595" t="str">
        <f t="shared" si="29"/>
        <v/>
      </c>
      <c r="F595">
        <f t="shared" si="30"/>
        <v>0.09</v>
      </c>
    </row>
    <row r="596" spans="3:6">
      <c r="C596">
        <v>13616.09255657</v>
      </c>
      <c r="D596" t="str">
        <f t="shared" si="28"/>
        <v/>
      </c>
      <c r="E596" t="str">
        <f t="shared" si="29"/>
        <v/>
      </c>
      <c r="F596">
        <f t="shared" si="30"/>
        <v>0.01</v>
      </c>
    </row>
    <row r="597" spans="3:6">
      <c r="C597">
        <v>81280.854502899994</v>
      </c>
      <c r="D597" t="str">
        <f t="shared" si="28"/>
        <v/>
      </c>
      <c r="E597" t="str">
        <f t="shared" si="29"/>
        <v/>
      </c>
      <c r="F597">
        <f t="shared" si="30"/>
        <v>0.08</v>
      </c>
    </row>
    <row r="598" spans="3:6">
      <c r="C598">
        <v>396377.48702139</v>
      </c>
      <c r="D598" t="str">
        <f t="shared" si="28"/>
        <v/>
      </c>
      <c r="E598" t="str">
        <f t="shared" si="29"/>
        <v/>
      </c>
      <c r="F598">
        <f t="shared" si="30"/>
        <v>0.4</v>
      </c>
    </row>
    <row r="599" spans="3:6">
      <c r="C599">
        <v>186833.35736071001</v>
      </c>
      <c r="D599" t="str">
        <f t="shared" si="28"/>
        <v/>
      </c>
      <c r="E599" t="str">
        <f t="shared" si="29"/>
        <v/>
      </c>
      <c r="F599">
        <f t="shared" si="30"/>
        <v>0.19</v>
      </c>
    </row>
    <row r="600" spans="3:6">
      <c r="C600">
        <v>43531.575690029997</v>
      </c>
      <c r="D600" t="str">
        <f t="shared" si="28"/>
        <v/>
      </c>
      <c r="E600" t="str">
        <f t="shared" si="29"/>
        <v/>
      </c>
      <c r="F600">
        <f t="shared" si="30"/>
        <v>0.04</v>
      </c>
    </row>
    <row r="601" spans="3:6">
      <c r="C601">
        <v>418744.32333637</v>
      </c>
      <c r="D601" t="str">
        <f t="shared" si="28"/>
        <v/>
      </c>
      <c r="E601" t="str">
        <f t="shared" si="29"/>
        <v/>
      </c>
      <c r="F601">
        <f t="shared" si="30"/>
        <v>0.42</v>
      </c>
    </row>
    <row r="602" spans="3:6">
      <c r="C602">
        <v>149957.1379684</v>
      </c>
      <c r="D602" t="str">
        <f t="shared" si="28"/>
        <v/>
      </c>
      <c r="E602" t="str">
        <f t="shared" si="29"/>
        <v/>
      </c>
      <c r="F602">
        <f t="shared" si="30"/>
        <v>0.15</v>
      </c>
    </row>
    <row r="603" spans="3:6">
      <c r="C603">
        <v>546682.05878697999</v>
      </c>
      <c r="D603" t="str">
        <f t="shared" si="28"/>
        <v/>
      </c>
      <c r="E603" t="str">
        <f t="shared" si="29"/>
        <v/>
      </c>
      <c r="F603">
        <f t="shared" si="30"/>
        <v>0.55000000000000004</v>
      </c>
    </row>
    <row r="604" spans="3:6">
      <c r="C604">
        <v>691679.40994428995</v>
      </c>
      <c r="D604" t="str">
        <f t="shared" si="28"/>
        <v/>
      </c>
      <c r="E604" t="str">
        <f t="shared" si="29"/>
        <v/>
      </c>
      <c r="F604">
        <f t="shared" si="30"/>
        <v>0.69</v>
      </c>
    </row>
    <row r="605" spans="3:6">
      <c r="C605">
        <v>457704.48584908998</v>
      </c>
      <c r="D605" t="str">
        <f t="shared" si="28"/>
        <v/>
      </c>
      <c r="E605" t="str">
        <f t="shared" si="29"/>
        <v/>
      </c>
      <c r="F605">
        <f t="shared" si="30"/>
        <v>0.46</v>
      </c>
    </row>
    <row r="606" spans="3:6">
      <c r="C606">
        <v>354683.82953609002</v>
      </c>
      <c r="D606" t="str">
        <f t="shared" si="28"/>
        <v/>
      </c>
      <c r="E606" t="str">
        <f t="shared" si="29"/>
        <v/>
      </c>
      <c r="F606">
        <f t="shared" si="30"/>
        <v>0.35</v>
      </c>
    </row>
    <row r="607" spans="3:6">
      <c r="C607">
        <v>595703.18545513996</v>
      </c>
      <c r="D607" t="str">
        <f t="shared" si="28"/>
        <v/>
      </c>
      <c r="E607" t="str">
        <f t="shared" si="29"/>
        <v/>
      </c>
      <c r="F607">
        <f t="shared" si="30"/>
        <v>0.6</v>
      </c>
    </row>
    <row r="608" spans="3:6">
      <c r="C608">
        <v>20243.504219350001</v>
      </c>
      <c r="D608" t="str">
        <f t="shared" si="28"/>
        <v/>
      </c>
      <c r="E608" t="str">
        <f t="shared" si="29"/>
        <v/>
      </c>
      <c r="F608">
        <f t="shared" si="30"/>
        <v>0.02</v>
      </c>
    </row>
    <row r="609" spans="3:6">
      <c r="C609">
        <v>537109.17775186</v>
      </c>
      <c r="D609" t="str">
        <f t="shared" si="28"/>
        <v/>
      </c>
      <c r="E609" t="str">
        <f t="shared" si="29"/>
        <v/>
      </c>
      <c r="F609">
        <f t="shared" si="30"/>
        <v>0.54</v>
      </c>
    </row>
    <row r="610" spans="3:6">
      <c r="C610">
        <v>1477864.0833533499</v>
      </c>
      <c r="D610" t="str">
        <f t="shared" si="28"/>
        <v/>
      </c>
      <c r="E610" t="str">
        <f t="shared" si="29"/>
        <v/>
      </c>
      <c r="F610">
        <f t="shared" si="30"/>
        <v>1.48</v>
      </c>
    </row>
    <row r="611" spans="3:6">
      <c r="C611">
        <v>2424.9331964399998</v>
      </c>
      <c r="D611" t="str">
        <f t="shared" si="28"/>
        <v/>
      </c>
      <c r="E611" t="str">
        <f t="shared" si="29"/>
        <v/>
      </c>
      <c r="F611">
        <f t="shared" si="30"/>
        <v>0</v>
      </c>
    </row>
    <row r="612" spans="3:6">
      <c r="C612">
        <v>2587341.5521714198</v>
      </c>
      <c r="D612" t="str">
        <f t="shared" si="28"/>
        <v/>
      </c>
      <c r="E612" t="str">
        <f t="shared" si="29"/>
        <v/>
      </c>
      <c r="F612">
        <f t="shared" si="30"/>
        <v>2.59</v>
      </c>
    </row>
    <row r="613" spans="3:6">
      <c r="C613">
        <v>265524.05000618001</v>
      </c>
      <c r="D613" t="str">
        <f t="shared" si="28"/>
        <v/>
      </c>
      <c r="E613" t="str">
        <f t="shared" si="29"/>
        <v/>
      </c>
      <c r="F613">
        <f t="shared" si="30"/>
        <v>0.27</v>
      </c>
    </row>
    <row r="614" spans="3:6">
      <c r="C614">
        <v>52809.1187756</v>
      </c>
      <c r="D614" t="str">
        <f t="shared" si="28"/>
        <v/>
      </c>
      <c r="E614" t="str">
        <f t="shared" si="29"/>
        <v/>
      </c>
      <c r="F614">
        <f t="shared" si="30"/>
        <v>0.05</v>
      </c>
    </row>
    <row r="615" spans="3:6">
      <c r="C615">
        <v>9365.6160123999998</v>
      </c>
      <c r="D615" t="str">
        <f t="shared" si="28"/>
        <v/>
      </c>
      <c r="E615" t="str">
        <f t="shared" si="29"/>
        <v/>
      </c>
      <c r="F615">
        <f t="shared" si="30"/>
        <v>0.01</v>
      </c>
    </row>
    <row r="616" spans="3:6">
      <c r="C616">
        <v>19916.528690930001</v>
      </c>
      <c r="D616" t="str">
        <f t="shared" si="28"/>
        <v/>
      </c>
      <c r="E616" t="str">
        <f t="shared" si="29"/>
        <v/>
      </c>
      <c r="F616">
        <f t="shared" si="30"/>
        <v>0.02</v>
      </c>
    </row>
    <row r="617" spans="3:6">
      <c r="C617">
        <v>15381.191615129999</v>
      </c>
      <c r="D617" t="str">
        <f t="shared" si="28"/>
        <v/>
      </c>
      <c r="E617" t="str">
        <f t="shared" si="29"/>
        <v/>
      </c>
      <c r="F617">
        <f t="shared" si="30"/>
        <v>0.02</v>
      </c>
    </row>
    <row r="618" spans="3:6">
      <c r="C618">
        <v>41022.543558789999</v>
      </c>
      <c r="D618" t="str">
        <f t="shared" si="28"/>
        <v/>
      </c>
      <c r="E618" t="str">
        <f t="shared" si="29"/>
        <v/>
      </c>
      <c r="F618">
        <f t="shared" si="30"/>
        <v>0.04</v>
      </c>
    </row>
    <row r="619" spans="3:6">
      <c r="C619">
        <v>2371.55442941</v>
      </c>
      <c r="D619" t="str">
        <f t="shared" si="28"/>
        <v/>
      </c>
      <c r="E619" t="str">
        <f t="shared" si="29"/>
        <v/>
      </c>
      <c r="F619">
        <f t="shared" si="30"/>
        <v>0</v>
      </c>
    </row>
    <row r="620" spans="3:6">
      <c r="C620">
        <v>42353.417356530001</v>
      </c>
      <c r="D620" t="str">
        <f t="shared" si="28"/>
        <v/>
      </c>
      <c r="E620" t="str">
        <f t="shared" si="29"/>
        <v/>
      </c>
      <c r="F620">
        <f t="shared" si="30"/>
        <v>0.04</v>
      </c>
    </row>
    <row r="621" spans="3:6">
      <c r="C621">
        <v>7101.7033899999997</v>
      </c>
      <c r="D621" t="str">
        <f t="shared" si="28"/>
        <v/>
      </c>
      <c r="E621" t="str">
        <f t="shared" si="29"/>
        <v/>
      </c>
      <c r="F621">
        <f t="shared" si="30"/>
        <v>0.01</v>
      </c>
    </row>
    <row r="622" spans="3:6">
      <c r="C622">
        <v>3738.2087183100002</v>
      </c>
      <c r="D622" t="str">
        <f t="shared" si="28"/>
        <v/>
      </c>
      <c r="E622" t="str">
        <f t="shared" si="29"/>
        <v/>
      </c>
      <c r="F622">
        <f t="shared" si="30"/>
        <v>0</v>
      </c>
    </row>
    <row r="623" spans="3:6">
      <c r="C623">
        <v>716580.49196669995</v>
      </c>
      <c r="D623" t="str">
        <f t="shared" si="28"/>
        <v/>
      </c>
      <c r="E623" t="str">
        <f t="shared" si="29"/>
        <v/>
      </c>
      <c r="F623">
        <f t="shared" si="30"/>
        <v>0.72</v>
      </c>
    </row>
    <row r="624" spans="3:6">
      <c r="C624">
        <v>241651.17989269999</v>
      </c>
      <c r="D624" t="str">
        <f t="shared" si="28"/>
        <v/>
      </c>
      <c r="E624" t="str">
        <f t="shared" si="29"/>
        <v/>
      </c>
      <c r="F624">
        <f t="shared" si="30"/>
        <v>0.24</v>
      </c>
    </row>
    <row r="625" spans="3:6">
      <c r="C625">
        <v>3479219.5902334</v>
      </c>
      <c r="D625" t="str">
        <f t="shared" si="28"/>
        <v/>
      </c>
      <c r="E625" t="str">
        <f t="shared" si="29"/>
        <v/>
      </c>
      <c r="F625">
        <f t="shared" si="30"/>
        <v>3.48</v>
      </c>
    </row>
    <row r="626" spans="3:6">
      <c r="C626">
        <v>4667.9350240000003</v>
      </c>
      <c r="D626" t="str">
        <f t="shared" si="28"/>
        <v/>
      </c>
      <c r="E626" t="str">
        <f t="shared" si="29"/>
        <v/>
      </c>
      <c r="F626">
        <f t="shared" si="30"/>
        <v>0</v>
      </c>
    </row>
    <row r="627" spans="3:6">
      <c r="C627">
        <v>107998.223426</v>
      </c>
      <c r="D627" t="str">
        <f t="shared" si="28"/>
        <v/>
      </c>
      <c r="E627" t="str">
        <f t="shared" si="29"/>
        <v/>
      </c>
      <c r="F627">
        <f t="shared" si="30"/>
        <v>0.11</v>
      </c>
    </row>
    <row r="628" spans="3:6">
      <c r="C628">
        <v>7281.0408975999999</v>
      </c>
      <c r="D628" t="str">
        <f t="shared" si="28"/>
        <v/>
      </c>
      <c r="E628" t="str">
        <f t="shared" si="29"/>
        <v/>
      </c>
      <c r="F628">
        <f t="shared" si="30"/>
        <v>0.01</v>
      </c>
    </row>
    <row r="629" spans="3:6">
      <c r="C629">
        <v>0</v>
      </c>
      <c r="D629" t="str">
        <f t="shared" si="28"/>
        <v/>
      </c>
      <c r="E629" t="str">
        <f t="shared" si="29"/>
        <v/>
      </c>
      <c r="F629">
        <f t="shared" si="30"/>
        <v>0</v>
      </c>
    </row>
    <row r="630" spans="3:6">
      <c r="C630">
        <v>0</v>
      </c>
      <c r="D630" t="str">
        <f t="shared" si="28"/>
        <v/>
      </c>
      <c r="E630" t="str">
        <f t="shared" si="29"/>
        <v/>
      </c>
      <c r="F630">
        <f t="shared" si="30"/>
        <v>0</v>
      </c>
    </row>
    <row r="631" spans="3:6">
      <c r="C631">
        <v>0</v>
      </c>
      <c r="D631" t="str">
        <f t="shared" si="28"/>
        <v/>
      </c>
      <c r="E631" t="str">
        <f t="shared" si="29"/>
        <v/>
      </c>
      <c r="F631">
        <f t="shared" si="30"/>
        <v>0</v>
      </c>
    </row>
    <row r="632" spans="3:6">
      <c r="C632">
        <v>0</v>
      </c>
      <c r="D632" t="str">
        <f t="shared" si="28"/>
        <v/>
      </c>
      <c r="E632" t="str">
        <f t="shared" si="29"/>
        <v/>
      </c>
      <c r="F632">
        <f t="shared" si="30"/>
        <v>0</v>
      </c>
    </row>
    <row r="633" spans="3:6">
      <c r="C633">
        <v>0</v>
      </c>
      <c r="D633" t="str">
        <f t="shared" si="28"/>
        <v/>
      </c>
      <c r="E633" t="str">
        <f t="shared" si="29"/>
        <v/>
      </c>
      <c r="F633">
        <f t="shared" si="30"/>
        <v>0</v>
      </c>
    </row>
    <row r="634" spans="3:6">
      <c r="C634">
        <v>0</v>
      </c>
      <c r="D634" t="str">
        <f t="shared" si="28"/>
        <v/>
      </c>
      <c r="E634" t="str">
        <f t="shared" si="29"/>
        <v/>
      </c>
      <c r="F634">
        <f t="shared" si="30"/>
        <v>0</v>
      </c>
    </row>
    <row r="635" spans="3:6">
      <c r="C635">
        <v>0</v>
      </c>
      <c r="D635" t="str">
        <f t="shared" si="28"/>
        <v/>
      </c>
      <c r="E635" t="str">
        <f t="shared" si="29"/>
        <v/>
      </c>
      <c r="F635">
        <f t="shared" si="30"/>
        <v>0</v>
      </c>
    </row>
    <row r="636" spans="3:6">
      <c r="C636">
        <v>638045.91278899997</v>
      </c>
      <c r="D636" t="str">
        <f t="shared" si="28"/>
        <v/>
      </c>
      <c r="E636" t="str">
        <f t="shared" si="29"/>
        <v/>
      </c>
      <c r="F636">
        <f t="shared" si="30"/>
        <v>0.64</v>
      </c>
    </row>
    <row r="637" spans="3:6">
      <c r="C637">
        <v>334.79682300000002</v>
      </c>
      <c r="D637" t="str">
        <f t="shared" si="28"/>
        <v/>
      </c>
      <c r="E637" t="str">
        <f t="shared" si="29"/>
        <v/>
      </c>
      <c r="F637">
        <f t="shared" si="30"/>
        <v>0</v>
      </c>
    </row>
    <row r="638" spans="3:6">
      <c r="C638">
        <v>0</v>
      </c>
      <c r="D638" t="str">
        <f t="shared" si="28"/>
        <v/>
      </c>
      <c r="E638" t="str">
        <f t="shared" si="29"/>
        <v/>
      </c>
      <c r="F638">
        <f t="shared" si="30"/>
        <v>0</v>
      </c>
    </row>
    <row r="639" spans="3:6">
      <c r="C639">
        <v>0</v>
      </c>
      <c r="D639" t="str">
        <f t="shared" si="28"/>
        <v/>
      </c>
      <c r="E639" t="str">
        <f t="shared" si="29"/>
        <v/>
      </c>
      <c r="F639">
        <f t="shared" si="30"/>
        <v>0</v>
      </c>
    </row>
    <row r="640" spans="3:6">
      <c r="C640">
        <v>983.84482602000003</v>
      </c>
      <c r="D640" t="str">
        <f t="shared" si="28"/>
        <v/>
      </c>
      <c r="E640" t="str">
        <f t="shared" si="29"/>
        <v/>
      </c>
      <c r="F640">
        <f t="shared" si="30"/>
        <v>0</v>
      </c>
    </row>
    <row r="641" spans="3:6">
      <c r="C641">
        <v>59420.579133539999</v>
      </c>
      <c r="D641" t="str">
        <f t="shared" si="28"/>
        <v/>
      </c>
      <c r="E641" t="str">
        <f t="shared" si="29"/>
        <v/>
      </c>
      <c r="F641">
        <f t="shared" si="30"/>
        <v>0.06</v>
      </c>
    </row>
    <row r="642" spans="3:6">
      <c r="C642">
        <v>40565.768114999999</v>
      </c>
      <c r="D642" t="str">
        <f t="shared" si="28"/>
        <v/>
      </c>
      <c r="E642" t="str">
        <f t="shared" si="29"/>
        <v/>
      </c>
      <c r="F642">
        <f t="shared" si="30"/>
        <v>0.04</v>
      </c>
    </row>
    <row r="643" spans="3:6">
      <c r="C643">
        <v>10597.109426749999</v>
      </c>
      <c r="D643" t="str">
        <f t="shared" ref="D643:D662" si="31">IF(A643="","",ROUND(A643/$J$2,2))</f>
        <v/>
      </c>
      <c r="E643" t="str">
        <f t="shared" ref="E643:E662" si="32">IF(B643="","",ROUND(B643/$J$2,2))</f>
        <v/>
      </c>
      <c r="F643">
        <f t="shared" ref="F643:F662" si="33">IF(C643="","",ROUND(C643/$J$2,2))</f>
        <v>0.01</v>
      </c>
    </row>
    <row r="644" spans="3:6">
      <c r="C644">
        <v>47630.644444719997</v>
      </c>
      <c r="D644" t="str">
        <f t="shared" si="31"/>
        <v/>
      </c>
      <c r="E644" t="str">
        <f t="shared" si="32"/>
        <v/>
      </c>
      <c r="F644">
        <f t="shared" si="33"/>
        <v>0.05</v>
      </c>
    </row>
    <row r="645" spans="3:6">
      <c r="C645">
        <v>3561730.01</v>
      </c>
      <c r="D645" t="str">
        <f t="shared" si="31"/>
        <v/>
      </c>
      <c r="E645" t="str">
        <f t="shared" si="32"/>
        <v/>
      </c>
      <c r="F645">
        <f t="shared" si="33"/>
        <v>3.56</v>
      </c>
    </row>
    <row r="646" spans="3:6">
      <c r="C646">
        <v>38167102.329999998</v>
      </c>
      <c r="D646" t="str">
        <f t="shared" si="31"/>
        <v/>
      </c>
      <c r="E646" t="str">
        <f t="shared" si="32"/>
        <v/>
      </c>
      <c r="F646">
        <f t="shared" si="33"/>
        <v>38.17</v>
      </c>
    </row>
    <row r="647" spans="3:6">
      <c r="C647">
        <v>15194531.210000001</v>
      </c>
      <c r="D647" t="str">
        <f t="shared" si="31"/>
        <v/>
      </c>
      <c r="E647" t="str">
        <f t="shared" si="32"/>
        <v/>
      </c>
      <c r="F647">
        <f t="shared" si="33"/>
        <v>15.19</v>
      </c>
    </row>
    <row r="648" spans="3:6">
      <c r="C648">
        <v>5829407.6500000004</v>
      </c>
      <c r="D648" t="str">
        <f t="shared" si="31"/>
        <v/>
      </c>
      <c r="E648" t="str">
        <f t="shared" si="32"/>
        <v/>
      </c>
      <c r="F648">
        <f t="shared" si="33"/>
        <v>5.83</v>
      </c>
    </row>
    <row r="649" spans="3:6">
      <c r="C649">
        <v>40733376.310000002</v>
      </c>
      <c r="D649" t="str">
        <f t="shared" si="31"/>
        <v/>
      </c>
      <c r="E649" t="str">
        <f t="shared" si="32"/>
        <v/>
      </c>
      <c r="F649">
        <f t="shared" si="33"/>
        <v>40.729999999999997</v>
      </c>
    </row>
    <row r="650" spans="3:6">
      <c r="C650">
        <v>1271693.33</v>
      </c>
      <c r="D650" t="str">
        <f t="shared" si="31"/>
        <v/>
      </c>
      <c r="E650" t="str">
        <f t="shared" si="32"/>
        <v/>
      </c>
      <c r="F650">
        <f t="shared" si="33"/>
        <v>1.27</v>
      </c>
    </row>
    <row r="651" spans="3:6">
      <c r="C651">
        <v>24961022.239999998</v>
      </c>
      <c r="D651" t="str">
        <f t="shared" si="31"/>
        <v/>
      </c>
      <c r="E651" t="str">
        <f t="shared" si="32"/>
        <v/>
      </c>
      <c r="F651">
        <f t="shared" si="33"/>
        <v>24.96</v>
      </c>
    </row>
    <row r="652" spans="3:6">
      <c r="C652">
        <v>12207030.390000001</v>
      </c>
      <c r="D652" t="str">
        <f t="shared" si="31"/>
        <v/>
      </c>
      <c r="E652" t="str">
        <f t="shared" si="32"/>
        <v/>
      </c>
      <c r="F652">
        <f t="shared" si="33"/>
        <v>12.21</v>
      </c>
    </row>
    <row r="653" spans="3:6">
      <c r="C653">
        <v>5736376.0700000003</v>
      </c>
      <c r="D653" t="str">
        <f t="shared" si="31"/>
        <v/>
      </c>
      <c r="E653" t="str">
        <f t="shared" si="32"/>
        <v/>
      </c>
      <c r="F653">
        <f t="shared" si="33"/>
        <v>5.74</v>
      </c>
    </row>
    <row r="654" spans="3:6">
      <c r="C654">
        <v>17892749.670000002</v>
      </c>
      <c r="D654" t="str">
        <f t="shared" si="31"/>
        <v/>
      </c>
      <c r="E654" t="str">
        <f t="shared" si="32"/>
        <v/>
      </c>
      <c r="F654">
        <f t="shared" si="33"/>
        <v>17.89</v>
      </c>
    </row>
    <row r="655" spans="3:6">
      <c r="C655">
        <v>1524982.64</v>
      </c>
      <c r="D655" t="str">
        <f t="shared" si="31"/>
        <v/>
      </c>
      <c r="E655" t="str">
        <f t="shared" si="32"/>
        <v/>
      </c>
      <c r="F655">
        <f t="shared" si="33"/>
        <v>1.52</v>
      </c>
    </row>
    <row r="656" spans="3:6">
      <c r="C656">
        <v>24096628.93</v>
      </c>
      <c r="D656" t="str">
        <f t="shared" si="31"/>
        <v/>
      </c>
      <c r="E656" t="str">
        <f t="shared" si="32"/>
        <v/>
      </c>
      <c r="F656">
        <f t="shared" si="33"/>
        <v>24.1</v>
      </c>
    </row>
    <row r="657" spans="3:6">
      <c r="C657">
        <v>2040895.21</v>
      </c>
      <c r="D657" t="str">
        <f t="shared" si="31"/>
        <v/>
      </c>
      <c r="E657" t="str">
        <f t="shared" si="32"/>
        <v/>
      </c>
      <c r="F657">
        <f t="shared" si="33"/>
        <v>2.04</v>
      </c>
    </row>
    <row r="658" spans="3:6">
      <c r="C658">
        <v>14857786.08</v>
      </c>
      <c r="D658" t="str">
        <f t="shared" si="31"/>
        <v/>
      </c>
      <c r="E658" t="str">
        <f t="shared" si="32"/>
        <v/>
      </c>
      <c r="F658">
        <f t="shared" si="33"/>
        <v>14.86</v>
      </c>
    </row>
    <row r="659" spans="3:6">
      <c r="C659">
        <v>20145653.059999999</v>
      </c>
      <c r="D659" t="str">
        <f t="shared" si="31"/>
        <v/>
      </c>
      <c r="E659" t="str">
        <f t="shared" si="32"/>
        <v/>
      </c>
      <c r="F659">
        <f t="shared" si="33"/>
        <v>20.149999999999999</v>
      </c>
    </row>
    <row r="660" spans="3:6">
      <c r="C660">
        <v>12024104.609999999</v>
      </c>
      <c r="D660" t="str">
        <f t="shared" si="31"/>
        <v/>
      </c>
      <c r="E660" t="str">
        <f t="shared" si="32"/>
        <v/>
      </c>
      <c r="F660">
        <f t="shared" si="33"/>
        <v>12.02</v>
      </c>
    </row>
    <row r="661" spans="3:6">
      <c r="C661">
        <v>2275246.59</v>
      </c>
      <c r="D661" t="str">
        <f t="shared" si="31"/>
        <v/>
      </c>
      <c r="E661" t="str">
        <f t="shared" si="32"/>
        <v/>
      </c>
      <c r="F661">
        <f t="shared" si="33"/>
        <v>2.2799999999999998</v>
      </c>
    </row>
    <row r="662" spans="3:6">
      <c r="C662">
        <v>17769644.73</v>
      </c>
      <c r="D662" t="str">
        <f t="shared" si="31"/>
        <v/>
      </c>
      <c r="E662" t="str">
        <f t="shared" si="32"/>
        <v/>
      </c>
      <c r="F662">
        <f t="shared" si="33"/>
        <v>17.77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1" r:id="rId3" name="Button 3">
              <controlPr defaultSize="0" print="0" autoFill="0" autoPict="0" macro="[0]!PASTEMM">
                <anchor moveWithCells="1" sizeWithCells="1">
                  <from>
                    <xdr:col>8</xdr:col>
                    <xdr:colOff>523875</xdr:colOff>
                    <xdr:row>17</xdr:row>
                    <xdr:rowOff>104775</xdr:rowOff>
                  </from>
                  <to>
                    <xdr:col>9</xdr:col>
                    <xdr:colOff>666750</xdr:colOff>
                    <xdr:row>22</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4"/>
  <sheetViews>
    <sheetView workbookViewId="0">
      <selection activeCell="B11" sqref="B11"/>
    </sheetView>
  </sheetViews>
  <sheetFormatPr defaultRowHeight="15"/>
  <cols>
    <col min="1" max="1" width="10.7109375" bestFit="1" customWidth="1"/>
    <col min="2" max="2" width="71" customWidth="1"/>
    <col min="3" max="4" width="13.85546875" customWidth="1"/>
  </cols>
  <sheetData>
    <row r="1" spans="1:4">
      <c r="A1" t="s">
        <v>912</v>
      </c>
      <c r="B1" t="s">
        <v>913</v>
      </c>
      <c r="C1" t="s">
        <v>914</v>
      </c>
      <c r="D1" t="s">
        <v>915</v>
      </c>
    </row>
    <row r="2" spans="1:4">
      <c r="A2" s="189">
        <v>42937</v>
      </c>
      <c r="B2" t="s">
        <v>916</v>
      </c>
      <c r="C2" t="s">
        <v>917</v>
      </c>
      <c r="D2" t="s">
        <v>918</v>
      </c>
    </row>
    <row r="3" spans="1:4">
      <c r="A3" s="189">
        <v>43014</v>
      </c>
      <c r="B3" t="s">
        <v>919</v>
      </c>
      <c r="C3" t="s">
        <v>917</v>
      </c>
      <c r="D3" t="s">
        <v>918</v>
      </c>
    </row>
    <row r="4" spans="1:4">
      <c r="A4" s="18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E22"/>
  <sheetViews>
    <sheetView workbookViewId="0">
      <selection activeCell="A39" sqref="A39"/>
    </sheetView>
  </sheetViews>
  <sheetFormatPr defaultRowHeight="15"/>
  <cols>
    <col min="1" max="1" width="42.140625" bestFit="1" customWidth="1"/>
    <col min="2" max="2" width="37.85546875" customWidth="1"/>
    <col min="3" max="4" width="12.85546875" customWidth="1"/>
  </cols>
  <sheetData>
    <row r="1" spans="1:5">
      <c r="A1" t="s">
        <v>920</v>
      </c>
      <c r="B1" t="s">
        <v>932</v>
      </c>
    </row>
    <row r="2" spans="1:5">
      <c r="A2" t="s">
        <v>921</v>
      </c>
      <c r="B2" t="s">
        <v>933</v>
      </c>
      <c r="C2" t="s">
        <v>947</v>
      </c>
      <c r="D2" t="s">
        <v>939</v>
      </c>
      <c r="E2" t="s">
        <v>952</v>
      </c>
    </row>
    <row r="3" spans="1:5">
      <c r="A3" t="s">
        <v>922</v>
      </c>
      <c r="B3" t="s">
        <v>934</v>
      </c>
    </row>
    <row r="4" spans="1:5" ht="45">
      <c r="A4" t="s">
        <v>923</v>
      </c>
      <c r="B4" s="145" t="s">
        <v>948</v>
      </c>
    </row>
    <row r="6" spans="1:5">
      <c r="A6" s="198" t="s">
        <v>924</v>
      </c>
      <c r="B6" t="s">
        <v>925</v>
      </c>
    </row>
    <row r="7" spans="1:5">
      <c r="A7" s="198" t="s">
        <v>926</v>
      </c>
      <c r="B7" t="s">
        <v>925</v>
      </c>
    </row>
    <row r="9" spans="1:5">
      <c r="A9" t="s">
        <v>936</v>
      </c>
      <c r="B9" s="68">
        <v>2</v>
      </c>
    </row>
    <row r="10" spans="1:5">
      <c r="A10" t="s">
        <v>927</v>
      </c>
    </row>
    <row r="11" spans="1:5">
      <c r="A11" t="s">
        <v>937</v>
      </c>
      <c r="B11" t="s">
        <v>935</v>
      </c>
      <c r="C11" t="s">
        <v>938</v>
      </c>
    </row>
    <row r="13" spans="1:5">
      <c r="A13" t="s">
        <v>928</v>
      </c>
      <c r="B13" t="s">
        <v>925</v>
      </c>
    </row>
    <row r="14" spans="1:5">
      <c r="A14" t="s">
        <v>929</v>
      </c>
      <c r="B14" t="s">
        <v>925</v>
      </c>
    </row>
    <row r="16" spans="1:5">
      <c r="A16" t="s">
        <v>930</v>
      </c>
      <c r="B16" t="s">
        <v>931</v>
      </c>
    </row>
    <row r="19" spans="1:2">
      <c r="A19" t="s">
        <v>949</v>
      </c>
    </row>
    <row r="20" spans="1:2">
      <c r="A20" t="s">
        <v>946</v>
      </c>
    </row>
    <row r="21" spans="1:2">
      <c r="A21" t="s">
        <v>945</v>
      </c>
      <c r="B21" t="s">
        <v>945</v>
      </c>
    </row>
    <row r="22" spans="1:2">
      <c r="A22" t="str">
        <f>MID(A21,FIND($A$20,A21)+1,LEN(A21)-FIND($A$20,A21)-1)</f>
        <v>RJLI@BOCUSA.COM</v>
      </c>
      <c r="B22" t="str">
        <f>MID(B21,FIND($A$20,B21)+1,LEN(B21)-FIND($A$20,B21)-1)</f>
        <v>RJLI@BOCUSA.COM</v>
      </c>
    </row>
  </sheetData>
  <hyperlinks>
    <hyperlink ref="B1" r:id="rId1"/>
  </hyperlinks>
  <pageMargins left="0.7" right="0.7" top="0.75" bottom="0.75" header="0.3" footer="0.3"/>
  <pageSetup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34817" r:id="rId5" name="Button 1">
              <controlPr defaultSize="0" print="0" autoFill="0" autoPict="0" macro="[0]!AutoEmail.AutoEmail">
                <anchor moveWithCells="1" sizeWithCells="1">
                  <from>
                    <xdr:col>1</xdr:col>
                    <xdr:colOff>1914525</xdr:colOff>
                    <xdr:row>13</xdr:row>
                    <xdr:rowOff>95250</xdr:rowOff>
                  </from>
                  <to>
                    <xdr:col>3</xdr:col>
                    <xdr:colOff>0</xdr:colOff>
                    <xdr:row>17</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G22"/>
  <sheetViews>
    <sheetView workbookViewId="0"/>
  </sheetViews>
  <sheetFormatPr defaultRowHeight="15"/>
  <cols>
    <col min="1" max="1" width="42.140625" bestFit="1" customWidth="1"/>
    <col min="2" max="2" width="37.85546875" customWidth="1"/>
    <col min="3" max="4" width="12.85546875" customWidth="1"/>
  </cols>
  <sheetData>
    <row r="1" spans="1:7">
      <c r="A1" t="s">
        <v>920</v>
      </c>
      <c r="B1" t="s">
        <v>976</v>
      </c>
    </row>
    <row r="2" spans="1:7">
      <c r="A2" t="s">
        <v>921</v>
      </c>
      <c r="B2" t="s">
        <v>975</v>
      </c>
      <c r="C2" t="s">
        <v>932</v>
      </c>
      <c r="D2" t="s">
        <v>947</v>
      </c>
      <c r="E2" t="s">
        <v>933</v>
      </c>
      <c r="F2" t="s">
        <v>939</v>
      </c>
      <c r="G2" t="s">
        <v>979</v>
      </c>
    </row>
    <row r="3" spans="1:7">
      <c r="A3" t="s">
        <v>922</v>
      </c>
      <c r="B3" t="str">
        <f>"Testing of Comments file_FR2052a  as of "&amp;TEXT(REPORT_FR2052a!$AM$2,"yyyymmdd")</f>
        <v>Testing of Comments file_FR2052a  as of 20181231</v>
      </c>
    </row>
    <row r="4" spans="1:7" ht="90">
      <c r="A4" t="s">
        <v>923</v>
      </c>
      <c r="B4" s="145" t="s">
        <v>978</v>
      </c>
    </row>
    <row r="6" spans="1:7">
      <c r="A6" s="198" t="s">
        <v>924</v>
      </c>
      <c r="B6" t="s">
        <v>925</v>
      </c>
    </row>
    <row r="7" spans="1:7">
      <c r="A7" s="198" t="s">
        <v>926</v>
      </c>
      <c r="B7" t="s">
        <v>925</v>
      </c>
    </row>
    <row r="9" spans="1:7">
      <c r="A9" t="s">
        <v>936</v>
      </c>
      <c r="B9" s="68">
        <v>1</v>
      </c>
    </row>
    <row r="10" spans="1:7">
      <c r="A10" t="s">
        <v>927</v>
      </c>
    </row>
    <row r="11" spans="1:7">
      <c r="A11" t="s">
        <v>937</v>
      </c>
      <c r="B11" t="s">
        <v>938</v>
      </c>
    </row>
    <row r="13" spans="1:7">
      <c r="A13" t="s">
        <v>928</v>
      </c>
      <c r="B13" t="s">
        <v>925</v>
      </c>
    </row>
    <row r="14" spans="1:7">
      <c r="A14" t="s">
        <v>929</v>
      </c>
      <c r="B14" t="s">
        <v>925</v>
      </c>
    </row>
    <row r="16" spans="1:7">
      <c r="A16" t="s">
        <v>930</v>
      </c>
    </row>
    <row r="19" spans="1:1">
      <c r="A19" t="s">
        <v>949</v>
      </c>
    </row>
    <row r="20" spans="1:1">
      <c r="A20" t="s">
        <v>950</v>
      </c>
    </row>
    <row r="21" spans="1:1">
      <c r="A21" t="s">
        <v>977</v>
      </c>
    </row>
    <row r="22" spans="1:1">
      <c r="A22" t="str">
        <f>MID(A21,FIND($A$20,A21)+1,LEN(A21)-FIND($A$20,A21)-1)</f>
        <v>LSONG@ADC.BOCUSA.COM</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7" r:id="rId3" name="Button 1">
              <controlPr defaultSize="0" print="0" autoFill="0" autoPict="0" macro="[0]!AutoEmail.AutoEmail">
                <anchor moveWithCells="1" sizeWithCells="1">
                  <from>
                    <xdr:col>1</xdr:col>
                    <xdr:colOff>733425</xdr:colOff>
                    <xdr:row>17</xdr:row>
                    <xdr:rowOff>38100</xdr:rowOff>
                  </from>
                  <to>
                    <xdr:col>1</xdr:col>
                    <xdr:colOff>2257425</xdr:colOff>
                    <xdr:row>22</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G22"/>
  <sheetViews>
    <sheetView workbookViewId="0">
      <selection activeCell="E23" sqref="E23"/>
    </sheetView>
  </sheetViews>
  <sheetFormatPr defaultRowHeight="15"/>
  <cols>
    <col min="1" max="1" width="42.140625" bestFit="1" customWidth="1"/>
    <col min="2" max="2" width="37.85546875" customWidth="1"/>
    <col min="3" max="3" width="9.85546875" customWidth="1"/>
  </cols>
  <sheetData>
    <row r="1" spans="1:7">
      <c r="A1" t="s">
        <v>920</v>
      </c>
      <c r="B1" t="s">
        <v>941</v>
      </c>
      <c r="C1" t="s">
        <v>942</v>
      </c>
      <c r="D1" t="s">
        <v>943</v>
      </c>
      <c r="E1" t="s">
        <v>954</v>
      </c>
      <c r="F1" s="199"/>
    </row>
    <row r="2" spans="1:7">
      <c r="A2" t="s">
        <v>921</v>
      </c>
      <c r="B2" t="s">
        <v>940</v>
      </c>
      <c r="C2" t="s">
        <v>932</v>
      </c>
      <c r="D2" t="s">
        <v>933</v>
      </c>
      <c r="E2" t="s">
        <v>952</v>
      </c>
      <c r="F2" t="s">
        <v>939</v>
      </c>
      <c r="G2" s="199" t="s">
        <v>979</v>
      </c>
    </row>
    <row r="3" spans="1:7">
      <c r="A3" t="s">
        <v>922</v>
      </c>
      <c r="B3" t="s">
        <v>944</v>
      </c>
    </row>
    <row r="4" spans="1:7" ht="135">
      <c r="A4" t="s">
        <v>923</v>
      </c>
      <c r="B4" s="145" t="str">
        <f>"Hi MRD,
Based on the latest FR2052a production (data as of "&amp;TEXT(REPORT_FR2052a!$AM$2,"yyyymmdd")&amp;  " generated on "&amp;TEXT(REPORT_FR2052a!$AN$2,"yyyymmdd")&amp;")
LCR Template ReportMaster and comments file has been produced. 
Please check the attachment for the Report Master and the Comments file, and review it ASAP."</f>
        <v>Hi MRD,
Based on the latest FR2052a production (data as of 20181231 generated on 20190104)
LCR Template ReportMaster and comments file has been produced. 
Please check the attachment for the Report Master and the Comments file, and review it ASAP.</v>
      </c>
    </row>
    <row r="6" spans="1:7">
      <c r="A6" s="198" t="s">
        <v>924</v>
      </c>
      <c r="B6" t="s">
        <v>925</v>
      </c>
    </row>
    <row r="7" spans="1:7">
      <c r="A7" s="198" t="s">
        <v>926</v>
      </c>
      <c r="B7" t="s">
        <v>925</v>
      </c>
    </row>
    <row r="9" spans="1:7">
      <c r="A9" t="s">
        <v>936</v>
      </c>
      <c r="B9">
        <v>2</v>
      </c>
    </row>
    <row r="10" spans="1:7">
      <c r="A10" t="s">
        <v>927</v>
      </c>
    </row>
    <row r="11" spans="1:7">
      <c r="A11" t="s">
        <v>937</v>
      </c>
      <c r="B11" t="s">
        <v>935</v>
      </c>
      <c r="C11" t="s">
        <v>938</v>
      </c>
    </row>
    <row r="13" spans="1:7">
      <c r="A13" t="s">
        <v>928</v>
      </c>
      <c r="B13" t="s">
        <v>925</v>
      </c>
    </row>
    <row r="14" spans="1:7">
      <c r="A14" t="s">
        <v>929</v>
      </c>
      <c r="B14" t="s">
        <v>925</v>
      </c>
    </row>
    <row r="16" spans="1:7">
      <c r="A16" t="s">
        <v>930</v>
      </c>
      <c r="B16" t="s">
        <v>931</v>
      </c>
    </row>
    <row r="19" spans="1:1">
      <c r="A19" t="s">
        <v>949</v>
      </c>
    </row>
    <row r="20" spans="1:1">
      <c r="A20" t="s">
        <v>950</v>
      </c>
    </row>
    <row r="21" spans="1:1">
      <c r="A21" t="s">
        <v>951</v>
      </c>
    </row>
    <row r="22" spans="1:1">
      <c r="A22" t="str">
        <f>MID(A21,FIND($A$20,A21)+1,LEN(A21)-FIND($A$20,A21)-1)</f>
        <v>MINLI@BOCUSA.COM</v>
      </c>
    </row>
  </sheetData>
  <hyperlinks>
    <hyperlink ref="B1" r:id="rId1" display="KENXIANG@BOCUSA.COM"/>
    <hyperlink ref="B2" r:id="rId2" display="YYMA@BOCUSA.COM"/>
    <hyperlink ref="G2" r:id="rId3"/>
  </hyperlinks>
  <pageMargins left="0.7" right="0.7" top="0.75" bottom="0.75" header="0.3" footer="0.3"/>
  <pageSetup orientation="portrait"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53249" r:id="rId7" name="Button 1">
              <controlPr defaultSize="0" print="0" autoFill="0" autoPict="0" macro="[0]!AutoEmail.AutoEmail">
                <anchor moveWithCells="1" sizeWithCells="1">
                  <from>
                    <xdr:col>1</xdr:col>
                    <xdr:colOff>1914525</xdr:colOff>
                    <xdr:row>13</xdr:row>
                    <xdr:rowOff>95250</xdr:rowOff>
                  </from>
                  <to>
                    <xdr:col>3</xdr:col>
                    <xdr:colOff>0</xdr:colOff>
                    <xdr:row>17</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I22"/>
  <sheetViews>
    <sheetView workbookViewId="0">
      <selection activeCell="B10" sqref="B10"/>
    </sheetView>
  </sheetViews>
  <sheetFormatPr defaultRowHeight="15"/>
  <cols>
    <col min="1" max="1" width="42.140625" bestFit="1" customWidth="1"/>
    <col min="2" max="2" width="37.85546875" customWidth="1"/>
    <col min="3" max="3" width="9.85546875" customWidth="1"/>
  </cols>
  <sheetData>
    <row r="1" spans="1:9">
      <c r="A1" t="s">
        <v>920</v>
      </c>
      <c r="B1" t="s">
        <v>973</v>
      </c>
    </row>
    <row r="2" spans="1:9">
      <c r="A2" t="s">
        <v>921</v>
      </c>
      <c r="B2" t="s">
        <v>940</v>
      </c>
      <c r="C2" t="s">
        <v>932</v>
      </c>
      <c r="D2" t="s">
        <v>939</v>
      </c>
      <c r="E2" t="s">
        <v>947</v>
      </c>
      <c r="F2" t="s">
        <v>933</v>
      </c>
      <c r="G2" t="s">
        <v>975</v>
      </c>
      <c r="H2" t="s">
        <v>976</v>
      </c>
      <c r="I2" t="s">
        <v>979</v>
      </c>
    </row>
    <row r="3" spans="1:9">
      <c r="A3" t="s">
        <v>922</v>
      </c>
      <c r="B3" t="s">
        <v>944</v>
      </c>
    </row>
    <row r="4" spans="1:9" ht="150">
      <c r="A4" t="s">
        <v>923</v>
      </c>
      <c r="B4" s="145" t="str">
        <f>"Hi ADC,
FMD have already saved the FR2052a Comment file as of "&amp;TEXT(REPORT_FR2052a!$AM$2,"yyyymmdd")&amp;" in the following path for uploading. 
N:\FR2052a\NotApplicable\Ready
Please conduct step 1 upload files and 4 XML Comments to upload.
Thanks.
"</f>
        <v xml:space="preserve">Hi ADC,
FMD have already saved the FR2052a Comment file as of 20181231 in the following path for uploading. 
N:\FR2052a\NotApplicable\Ready
Please conduct step 1 upload files and 4 XML Comments to upload.
Thanks.
</v>
      </c>
    </row>
    <row r="6" spans="1:9">
      <c r="A6" s="198" t="s">
        <v>924</v>
      </c>
      <c r="B6" t="s">
        <v>925</v>
      </c>
    </row>
    <row r="7" spans="1:9">
      <c r="A7" s="198" t="s">
        <v>926</v>
      </c>
      <c r="B7" t="s">
        <v>925</v>
      </c>
    </row>
    <row r="9" spans="1:9">
      <c r="A9" t="s">
        <v>936</v>
      </c>
      <c r="B9">
        <v>0</v>
      </c>
    </row>
    <row r="10" spans="1:9">
      <c r="A10" t="s">
        <v>927</v>
      </c>
    </row>
    <row r="11" spans="1:9">
      <c r="A11" t="s">
        <v>937</v>
      </c>
    </row>
    <row r="13" spans="1:9">
      <c r="A13" t="s">
        <v>928</v>
      </c>
      <c r="B13" t="s">
        <v>925</v>
      </c>
    </row>
    <row r="14" spans="1:9">
      <c r="A14" t="s">
        <v>929</v>
      </c>
      <c r="B14" t="s">
        <v>925</v>
      </c>
    </row>
    <row r="16" spans="1:9">
      <c r="A16" t="s">
        <v>930</v>
      </c>
    </row>
    <row r="19" spans="1:1">
      <c r="A19" t="s">
        <v>972</v>
      </c>
    </row>
    <row r="20" spans="1:1">
      <c r="A20" t="s">
        <v>950</v>
      </c>
    </row>
    <row r="21" spans="1:1">
      <c r="A21" t="s">
        <v>974</v>
      </c>
    </row>
    <row r="22" spans="1:1">
      <c r="A22" t="str">
        <f>MID(A21,FIND($A$20,A21)+1,LEN(A21)-FIND($A$20,A21)-1)</f>
        <v>RJLI@BOCUSA.COM</v>
      </c>
    </row>
  </sheetData>
  <hyperlinks>
    <hyperlink ref="C2" r:id="rId1" display="RJLI@BOCUSA.COM"/>
    <hyperlink ref="B2" r:id="rId2" display="YYMA@BOCUSA.COM"/>
    <hyperlink ref="B1" r:id="rId3" display="KENXIANG@BOCUSA.COM"/>
  </hyperlinks>
  <pageMargins left="0.7" right="0.7" top="0.75" bottom="0.75" header="0.3" footer="0.3"/>
  <pageSetup orientation="portrait"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7409" r:id="rId7" name="Button 1">
              <controlPr defaultSize="0" print="0" autoFill="0" autoPict="0" macro="[0]!AutoEmail.AutoEmail">
                <anchor moveWithCells="1" sizeWithCells="1">
                  <from>
                    <xdr:col>1</xdr:col>
                    <xdr:colOff>1914525</xdr:colOff>
                    <xdr:row>13</xdr:row>
                    <xdr:rowOff>95250</xdr:rowOff>
                  </from>
                  <to>
                    <xdr:col>3</xdr:col>
                    <xdr:colOff>0</xdr:colOff>
                    <xdr:row>17</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TemplateResult</vt:lpstr>
      <vt:lpstr>Dashboard</vt:lpstr>
      <vt:lpstr>REPORT_FR2052a</vt:lpstr>
      <vt:lpstr>IOS</vt:lpstr>
      <vt:lpstr>FORMULAGE</vt:lpstr>
      <vt:lpstr>HQLATABLE</vt:lpstr>
      <vt:lpstr>PID CHECK</vt:lpstr>
      <vt:lpstr>NonLCRTemplate</vt:lpstr>
      <vt:lpstr>LCRTemplate</vt:lpstr>
      <vt:lpstr>LCR TYPE EXPLAIN</vt:lpstr>
      <vt:lpstr>PID SUMM</vt:lpstr>
      <vt:lpstr>ASSET TYPE</vt:lpstr>
      <vt:lpstr>HQLA RECON</vt:lpstr>
      <vt:lpstr>CommentFileCheck</vt:lpstr>
      <vt:lpstr>Loan and Collateral</vt:lpstr>
      <vt:lpstr>Sheet1</vt:lpstr>
      <vt:lpstr>Comments</vt:lpstr>
      <vt:lpstr>Value ADJ</vt:lpstr>
      <vt:lpstr>ChangeLog</vt:lpstr>
      <vt:lpstr>InternalReview Email</vt:lpstr>
      <vt:lpstr>ADC Test Email</vt:lpstr>
      <vt:lpstr>MRD Review Email</vt:lpstr>
      <vt:lpstr>SendComment Email</vt:lpstr>
      <vt:lpstr>LCRTemplate!Print_Area</vt:lpstr>
      <vt:lpstr>REPORT_FR2052a!Table1</vt:lpstr>
    </vt:vector>
  </TitlesOfParts>
  <Company>Bank of China, USA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FANG, XIANG</dc:creator>
  <cp:lastModifiedBy>FANG, XIANG</cp:lastModifiedBy>
  <cp:lastPrinted>2017-07-21T14:29:55Z</cp:lastPrinted>
  <dcterms:created xsi:type="dcterms:W3CDTF">2017-06-30T14:20:08Z</dcterms:created>
  <dcterms:modified xsi:type="dcterms:W3CDTF">2019-01-04T16:42:36Z</dcterms:modified>
</cp:coreProperties>
</file>